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11c9515c95b0c7b8/Área de Trabalho/"/>
    </mc:Choice>
  </mc:AlternateContent>
  <xr:revisionPtr revIDLastSave="1" documentId="13_ncr:1_{4A5E6633-243D-4DEE-BEBF-0D038B4C14C7}" xr6:coauthVersionLast="47" xr6:coauthVersionMax="47" xr10:uidLastSave="{D20CF111-09B3-4516-A630-CF684CD930AE}"/>
  <bookViews>
    <workbookView xWindow="-120" yWindow="-120" windowWidth="29040" windowHeight="15720" tabRatio="500" activeTab="1" xr2:uid="{00000000-000D-0000-FFFF-FFFF00000000}"/>
  </bookViews>
  <sheets>
    <sheet name="1 - LEIA-ME" sheetId="1" r:id="rId1"/>
    <sheet name="2 - PREENCHA AQUI" sheetId="2" r:id="rId2"/>
    <sheet name="3 - LISTA DE ESPÉCIES" sheetId="3" r:id="rId3"/>
    <sheet name="4 - LISTA DOS TIPOS DE PRODUTOS" sheetId="4" r:id="rId4"/>
    <sheet name="5 - RESULTADO PARA EXPORTAÇÃO" sheetId="5" r:id="rId5"/>
  </sheets>
  <definedNames>
    <definedName name="DadosExternos_1" localSheetId="2">'3 - LISTA DE ESPÉCIES'!$A$4:$H$1807</definedName>
    <definedName name="DadosExternos_2" localSheetId="3">'4 - LISTA DOS TIPOS DE PRODUTOS'!$A$4:$C$21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803" i="3" l="1"/>
  <c r="G1804" i="3"/>
  <c r="G1805" i="3"/>
  <c r="G1806" i="3"/>
  <c r="G1807" i="3"/>
  <c r="H1803" i="3"/>
  <c r="H1804" i="3"/>
  <c r="H1805" i="3"/>
  <c r="H1806" i="3"/>
  <c r="H1807" i="3"/>
  <c r="G1802" i="3"/>
  <c r="H1802" i="3"/>
  <c r="G1789" i="3"/>
  <c r="G1790" i="3"/>
  <c r="G1791" i="3"/>
  <c r="G1792" i="3"/>
  <c r="G1793" i="3"/>
  <c r="G1794" i="3"/>
  <c r="G1795" i="3"/>
  <c r="G1796" i="3"/>
  <c r="G1797" i="3"/>
  <c r="G1798" i="3"/>
  <c r="G1799" i="3"/>
  <c r="G1800" i="3"/>
  <c r="G1801" i="3"/>
  <c r="H1789" i="3"/>
  <c r="H1790" i="3"/>
  <c r="H1791" i="3"/>
  <c r="H1792" i="3"/>
  <c r="H1793" i="3"/>
  <c r="H1794" i="3"/>
  <c r="H1795" i="3"/>
  <c r="H1796" i="3"/>
  <c r="H1797" i="3"/>
  <c r="H1798" i="3"/>
  <c r="H1799" i="3"/>
  <c r="H1800" i="3"/>
  <c r="H1801" i="3"/>
  <c r="G1785" i="3"/>
  <c r="G1786" i="3"/>
  <c r="G1787" i="3"/>
  <c r="G1788" i="3"/>
  <c r="H1785" i="3"/>
  <c r="H1786" i="3"/>
  <c r="H1787" i="3"/>
  <c r="H1788" i="3"/>
  <c r="G1782" i="3"/>
  <c r="G1783" i="3"/>
  <c r="G1784" i="3"/>
  <c r="H1782" i="3"/>
  <c r="H1783" i="3"/>
  <c r="H1784" i="3"/>
  <c r="G1780" i="3"/>
  <c r="G1781" i="3"/>
  <c r="H1780" i="3"/>
  <c r="H1781" i="3"/>
  <c r="G1779" i="3"/>
  <c r="H1779" i="3"/>
  <c r="G1778" i="3"/>
  <c r="H1778" i="3"/>
  <c r="G1777" i="3"/>
  <c r="H1777" i="3"/>
  <c r="G1773" i="3"/>
  <c r="G1774" i="3"/>
  <c r="G1775" i="3"/>
  <c r="G1776" i="3"/>
  <c r="H1773" i="3"/>
  <c r="H1774" i="3"/>
  <c r="H1775" i="3"/>
  <c r="H1776" i="3"/>
  <c r="G1772" i="3"/>
  <c r="H1772" i="3"/>
  <c r="G1770" i="3"/>
  <c r="G1771" i="3"/>
  <c r="H1770" i="3"/>
  <c r="H1771" i="3"/>
  <c r="G1768" i="3"/>
  <c r="G1769" i="3"/>
  <c r="H1768" i="3"/>
  <c r="H1769" i="3"/>
  <c r="G1764" i="3"/>
  <c r="G1765" i="3"/>
  <c r="G1766" i="3"/>
  <c r="G1767" i="3"/>
  <c r="H1764" i="3"/>
  <c r="H1765" i="3"/>
  <c r="H1766" i="3"/>
  <c r="H1767" i="3"/>
  <c r="G1759" i="3"/>
  <c r="G1760" i="3"/>
  <c r="G1761" i="3"/>
  <c r="G1762" i="3"/>
  <c r="G1763" i="3"/>
  <c r="H1759" i="3"/>
  <c r="H1760" i="3"/>
  <c r="H1761" i="3"/>
  <c r="H1762" i="3"/>
  <c r="H1763" i="3"/>
  <c r="G1756" i="3"/>
  <c r="G1757" i="3"/>
  <c r="G1758" i="3"/>
  <c r="H1756" i="3"/>
  <c r="H1757" i="3"/>
  <c r="H1758" i="3"/>
  <c r="G1754" i="3"/>
  <c r="G1755" i="3"/>
  <c r="H1754" i="3"/>
  <c r="H1755" i="3"/>
  <c r="G1751" i="3"/>
  <c r="G1752" i="3"/>
  <c r="G1753" i="3"/>
  <c r="H1751" i="3"/>
  <c r="H1752" i="3"/>
  <c r="H1753" i="3"/>
  <c r="G1750" i="3"/>
  <c r="H1750" i="3"/>
  <c r="G1749" i="3"/>
  <c r="H1749" i="3"/>
  <c r="G1747" i="3"/>
  <c r="G1748" i="3"/>
  <c r="H1747" i="3"/>
  <c r="H1748" i="3"/>
  <c r="G1745" i="3"/>
  <c r="G1746" i="3"/>
  <c r="H1745" i="3"/>
  <c r="H1746" i="3"/>
  <c r="G1744" i="3"/>
  <c r="H1744" i="3"/>
  <c r="G1742" i="3"/>
  <c r="G1743" i="3"/>
  <c r="H1742" i="3"/>
  <c r="H1743" i="3"/>
  <c r="G1740" i="3"/>
  <c r="G1741" i="3"/>
  <c r="H1740" i="3"/>
  <c r="H1741" i="3"/>
  <c r="G1738" i="3"/>
  <c r="G1739" i="3"/>
  <c r="H1738" i="3"/>
  <c r="H1739" i="3"/>
  <c r="G1737" i="3"/>
  <c r="H1737" i="3"/>
  <c r="G1736" i="3"/>
  <c r="H1736" i="3"/>
  <c r="G1734" i="3"/>
  <c r="G1735" i="3"/>
  <c r="H1734" i="3"/>
  <c r="H1735" i="3"/>
  <c r="G1733" i="3"/>
  <c r="H1733" i="3"/>
  <c r="G1732" i="3"/>
  <c r="H1732" i="3"/>
  <c r="G1731" i="3"/>
  <c r="H1731" i="3"/>
  <c r="G1730" i="3"/>
  <c r="H1730" i="3"/>
  <c r="G1729" i="3"/>
  <c r="H1729" i="3"/>
  <c r="G1725" i="3"/>
  <c r="G1726" i="3"/>
  <c r="G1727" i="3"/>
  <c r="G1728" i="3"/>
  <c r="H1725" i="3"/>
  <c r="H1726" i="3"/>
  <c r="H1727" i="3"/>
  <c r="H1728" i="3"/>
  <c r="G1723" i="3"/>
  <c r="G1724" i="3"/>
  <c r="H1723" i="3"/>
  <c r="H1724" i="3"/>
  <c r="G1721" i="3"/>
  <c r="G1722" i="3"/>
  <c r="H1721" i="3"/>
  <c r="H1722" i="3"/>
  <c r="G1719" i="3"/>
  <c r="G1720" i="3"/>
  <c r="H1719" i="3"/>
  <c r="H1720"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H5" i="3"/>
  <c r="G5" i="3"/>
  <c r="C18" i="5"/>
  <c r="E1001" i="5"/>
  <c r="D1001" i="5"/>
  <c r="C1001" i="5"/>
  <c r="B1001" i="5"/>
  <c r="E1000" i="5"/>
  <c r="D1000" i="5"/>
  <c r="C1000" i="5"/>
  <c r="B1000" i="5"/>
  <c r="E999" i="5"/>
  <c r="D999" i="5"/>
  <c r="C999" i="5"/>
  <c r="B999" i="5"/>
  <c r="E998" i="5"/>
  <c r="D998" i="5"/>
  <c r="C998" i="5"/>
  <c r="B998" i="5"/>
  <c r="E997" i="5"/>
  <c r="D997" i="5"/>
  <c r="C997" i="5"/>
  <c r="B997" i="5"/>
  <c r="E996" i="5"/>
  <c r="D996" i="5"/>
  <c r="C996" i="5"/>
  <c r="B996" i="5"/>
  <c r="E995" i="5"/>
  <c r="D995" i="5"/>
  <c r="C995" i="5"/>
  <c r="B995" i="5"/>
  <c r="E994" i="5"/>
  <c r="D994" i="5"/>
  <c r="C994" i="5"/>
  <c r="B994" i="5"/>
  <c r="E993" i="5"/>
  <c r="D993" i="5"/>
  <c r="C993" i="5"/>
  <c r="B993" i="5"/>
  <c r="E992" i="5"/>
  <c r="D992" i="5"/>
  <c r="C992" i="5"/>
  <c r="B992" i="5"/>
  <c r="E991" i="5"/>
  <c r="D991" i="5"/>
  <c r="C991" i="5"/>
  <c r="B991" i="5"/>
  <c r="E990" i="5"/>
  <c r="D990" i="5"/>
  <c r="C990" i="5"/>
  <c r="B990" i="5"/>
  <c r="E989" i="5"/>
  <c r="D989" i="5"/>
  <c r="C989" i="5"/>
  <c r="B989" i="5"/>
  <c r="E988" i="5"/>
  <c r="D988" i="5"/>
  <c r="C988" i="5"/>
  <c r="B988" i="5"/>
  <c r="E987" i="5"/>
  <c r="D987" i="5"/>
  <c r="C987" i="5"/>
  <c r="B987" i="5"/>
  <c r="E986" i="5"/>
  <c r="D986" i="5"/>
  <c r="C986" i="5"/>
  <c r="B986" i="5"/>
  <c r="E985" i="5"/>
  <c r="D985" i="5"/>
  <c r="C985" i="5"/>
  <c r="B985" i="5"/>
  <c r="E984" i="5"/>
  <c r="D984" i="5"/>
  <c r="C984" i="5"/>
  <c r="B984" i="5"/>
  <c r="E983" i="5"/>
  <c r="D983" i="5"/>
  <c r="C983" i="5"/>
  <c r="B983" i="5"/>
  <c r="E982" i="5"/>
  <c r="D982" i="5"/>
  <c r="C982" i="5"/>
  <c r="B982" i="5"/>
  <c r="E981" i="5"/>
  <c r="D981" i="5"/>
  <c r="C981" i="5"/>
  <c r="B981" i="5"/>
  <c r="E980" i="5"/>
  <c r="D980" i="5"/>
  <c r="C980" i="5"/>
  <c r="B980" i="5"/>
  <c r="E979" i="5"/>
  <c r="D979" i="5"/>
  <c r="C979" i="5"/>
  <c r="B979" i="5"/>
  <c r="E978" i="5"/>
  <c r="D978" i="5"/>
  <c r="C978" i="5"/>
  <c r="B978" i="5"/>
  <c r="E977" i="5"/>
  <c r="D977" i="5"/>
  <c r="C977" i="5"/>
  <c r="B977" i="5"/>
  <c r="E976" i="5"/>
  <c r="D976" i="5"/>
  <c r="C976" i="5"/>
  <c r="B976" i="5"/>
  <c r="E975" i="5"/>
  <c r="D975" i="5"/>
  <c r="C975" i="5"/>
  <c r="B975" i="5"/>
  <c r="E974" i="5"/>
  <c r="D974" i="5"/>
  <c r="C974" i="5"/>
  <c r="B974" i="5"/>
  <c r="E973" i="5"/>
  <c r="D973" i="5"/>
  <c r="C973" i="5"/>
  <c r="B973" i="5"/>
  <c r="E972" i="5"/>
  <c r="D972" i="5"/>
  <c r="C972" i="5"/>
  <c r="B972" i="5"/>
  <c r="E971" i="5"/>
  <c r="D971" i="5"/>
  <c r="C971" i="5"/>
  <c r="B971" i="5"/>
  <c r="E970" i="5"/>
  <c r="D970" i="5"/>
  <c r="C970" i="5"/>
  <c r="B970" i="5"/>
  <c r="E969" i="5"/>
  <c r="D969" i="5"/>
  <c r="C969" i="5"/>
  <c r="B969" i="5"/>
  <c r="E968" i="5"/>
  <c r="D968" i="5"/>
  <c r="C968" i="5"/>
  <c r="B968" i="5"/>
  <c r="E967" i="5"/>
  <c r="D967" i="5"/>
  <c r="C967" i="5"/>
  <c r="B967" i="5"/>
  <c r="E966" i="5"/>
  <c r="D966" i="5"/>
  <c r="C966" i="5"/>
  <c r="B966" i="5"/>
  <c r="E965" i="5"/>
  <c r="D965" i="5"/>
  <c r="C965" i="5"/>
  <c r="B965" i="5"/>
  <c r="E964" i="5"/>
  <c r="D964" i="5"/>
  <c r="C964" i="5"/>
  <c r="B964" i="5"/>
  <c r="E963" i="5"/>
  <c r="D963" i="5"/>
  <c r="C963" i="5"/>
  <c r="B963" i="5"/>
  <c r="E962" i="5"/>
  <c r="D962" i="5"/>
  <c r="C962" i="5"/>
  <c r="B962" i="5"/>
  <c r="E961" i="5"/>
  <c r="D961" i="5"/>
  <c r="C961" i="5"/>
  <c r="B961" i="5"/>
  <c r="E960" i="5"/>
  <c r="D960" i="5"/>
  <c r="C960" i="5"/>
  <c r="B960" i="5"/>
  <c r="E959" i="5"/>
  <c r="D959" i="5"/>
  <c r="C959" i="5"/>
  <c r="B959" i="5"/>
  <c r="E958" i="5"/>
  <c r="D958" i="5"/>
  <c r="C958" i="5"/>
  <c r="B958" i="5"/>
  <c r="E957" i="5"/>
  <c r="D957" i="5"/>
  <c r="C957" i="5"/>
  <c r="B957" i="5"/>
  <c r="E956" i="5"/>
  <c r="D956" i="5"/>
  <c r="C956" i="5"/>
  <c r="B956" i="5"/>
  <c r="E955" i="5"/>
  <c r="D955" i="5"/>
  <c r="C955" i="5"/>
  <c r="B955" i="5"/>
  <c r="E954" i="5"/>
  <c r="D954" i="5"/>
  <c r="C954" i="5"/>
  <c r="B954" i="5"/>
  <c r="E953" i="5"/>
  <c r="D953" i="5"/>
  <c r="C953" i="5"/>
  <c r="B953" i="5"/>
  <c r="E952" i="5"/>
  <c r="D952" i="5"/>
  <c r="C952" i="5"/>
  <c r="B952" i="5"/>
  <c r="E951" i="5"/>
  <c r="D951" i="5"/>
  <c r="C951" i="5"/>
  <c r="B951" i="5"/>
  <c r="E950" i="5"/>
  <c r="D950" i="5"/>
  <c r="C950" i="5"/>
  <c r="B950" i="5"/>
  <c r="E949" i="5"/>
  <c r="D949" i="5"/>
  <c r="C949" i="5"/>
  <c r="B949" i="5"/>
  <c r="E948" i="5"/>
  <c r="D948" i="5"/>
  <c r="C948" i="5"/>
  <c r="B948" i="5"/>
  <c r="E947" i="5"/>
  <c r="D947" i="5"/>
  <c r="C947" i="5"/>
  <c r="B947" i="5"/>
  <c r="E946" i="5"/>
  <c r="D946" i="5"/>
  <c r="C946" i="5"/>
  <c r="B946" i="5"/>
  <c r="E945" i="5"/>
  <c r="D945" i="5"/>
  <c r="C945" i="5"/>
  <c r="B945" i="5"/>
  <c r="E944" i="5"/>
  <c r="D944" i="5"/>
  <c r="C944" i="5"/>
  <c r="B944" i="5"/>
  <c r="E943" i="5"/>
  <c r="D943" i="5"/>
  <c r="C943" i="5"/>
  <c r="B943" i="5"/>
  <c r="E942" i="5"/>
  <c r="D942" i="5"/>
  <c r="C942" i="5"/>
  <c r="B942" i="5"/>
  <c r="E941" i="5"/>
  <c r="D941" i="5"/>
  <c r="C941" i="5"/>
  <c r="B941" i="5"/>
  <c r="E940" i="5"/>
  <c r="D940" i="5"/>
  <c r="C940" i="5"/>
  <c r="B940" i="5"/>
  <c r="E939" i="5"/>
  <c r="D939" i="5"/>
  <c r="C939" i="5"/>
  <c r="B939" i="5"/>
  <c r="E938" i="5"/>
  <c r="D938" i="5"/>
  <c r="C938" i="5"/>
  <c r="B938" i="5"/>
  <c r="E937" i="5"/>
  <c r="D937" i="5"/>
  <c r="C937" i="5"/>
  <c r="B937" i="5"/>
  <c r="E936" i="5"/>
  <c r="D936" i="5"/>
  <c r="C936" i="5"/>
  <c r="B936" i="5"/>
  <c r="E935" i="5"/>
  <c r="D935" i="5"/>
  <c r="C935" i="5"/>
  <c r="B935" i="5"/>
  <c r="E934" i="5"/>
  <c r="D934" i="5"/>
  <c r="C934" i="5"/>
  <c r="B934" i="5"/>
  <c r="E933" i="5"/>
  <c r="D933" i="5"/>
  <c r="C933" i="5"/>
  <c r="B933" i="5"/>
  <c r="E932" i="5"/>
  <c r="D932" i="5"/>
  <c r="C932" i="5"/>
  <c r="B932" i="5"/>
  <c r="E931" i="5"/>
  <c r="D931" i="5"/>
  <c r="C931" i="5"/>
  <c r="B931" i="5"/>
  <c r="E930" i="5"/>
  <c r="D930" i="5"/>
  <c r="C930" i="5"/>
  <c r="B930" i="5"/>
  <c r="E929" i="5"/>
  <c r="D929" i="5"/>
  <c r="C929" i="5"/>
  <c r="B929" i="5"/>
  <c r="E928" i="5"/>
  <c r="D928" i="5"/>
  <c r="C928" i="5"/>
  <c r="B928" i="5"/>
  <c r="E927" i="5"/>
  <c r="D927" i="5"/>
  <c r="C927" i="5"/>
  <c r="B927" i="5"/>
  <c r="E926" i="5"/>
  <c r="D926" i="5"/>
  <c r="C926" i="5"/>
  <c r="B926" i="5"/>
  <c r="E925" i="5"/>
  <c r="D925" i="5"/>
  <c r="C925" i="5"/>
  <c r="B925" i="5"/>
  <c r="E924" i="5"/>
  <c r="D924" i="5"/>
  <c r="C924" i="5"/>
  <c r="B924" i="5"/>
  <c r="E923" i="5"/>
  <c r="D923" i="5"/>
  <c r="C923" i="5"/>
  <c r="B923" i="5"/>
  <c r="E922" i="5"/>
  <c r="D922" i="5"/>
  <c r="C922" i="5"/>
  <c r="B922" i="5"/>
  <c r="E921" i="5"/>
  <c r="D921" i="5"/>
  <c r="C921" i="5"/>
  <c r="B921" i="5"/>
  <c r="E920" i="5"/>
  <c r="D920" i="5"/>
  <c r="C920" i="5"/>
  <c r="B920" i="5"/>
  <c r="E919" i="5"/>
  <c r="D919" i="5"/>
  <c r="C919" i="5"/>
  <c r="B919" i="5"/>
  <c r="E918" i="5"/>
  <c r="D918" i="5"/>
  <c r="C918" i="5"/>
  <c r="B918" i="5"/>
  <c r="E917" i="5"/>
  <c r="D917" i="5"/>
  <c r="C917" i="5"/>
  <c r="B917" i="5"/>
  <c r="E916" i="5"/>
  <c r="D916" i="5"/>
  <c r="C916" i="5"/>
  <c r="B916" i="5"/>
  <c r="E915" i="5"/>
  <c r="D915" i="5"/>
  <c r="C915" i="5"/>
  <c r="B915" i="5"/>
  <c r="E914" i="5"/>
  <c r="D914" i="5"/>
  <c r="C914" i="5"/>
  <c r="B914" i="5"/>
  <c r="E913" i="5"/>
  <c r="D913" i="5"/>
  <c r="C913" i="5"/>
  <c r="B913" i="5"/>
  <c r="E912" i="5"/>
  <c r="D912" i="5"/>
  <c r="C912" i="5"/>
  <c r="B912" i="5"/>
  <c r="E911" i="5"/>
  <c r="D911" i="5"/>
  <c r="C911" i="5"/>
  <c r="B911" i="5"/>
  <c r="E910" i="5"/>
  <c r="D910" i="5"/>
  <c r="C910" i="5"/>
  <c r="B910" i="5"/>
  <c r="E909" i="5"/>
  <c r="D909" i="5"/>
  <c r="C909" i="5"/>
  <c r="B909" i="5"/>
  <c r="E908" i="5"/>
  <c r="D908" i="5"/>
  <c r="C908" i="5"/>
  <c r="B908" i="5"/>
  <c r="E907" i="5"/>
  <c r="D907" i="5"/>
  <c r="C907" i="5"/>
  <c r="B907" i="5"/>
  <c r="E906" i="5"/>
  <c r="D906" i="5"/>
  <c r="C906" i="5"/>
  <c r="B906" i="5"/>
  <c r="E905" i="5"/>
  <c r="D905" i="5"/>
  <c r="C905" i="5"/>
  <c r="B905" i="5"/>
  <c r="E904" i="5"/>
  <c r="D904" i="5"/>
  <c r="C904" i="5"/>
  <c r="B904" i="5"/>
  <c r="E903" i="5"/>
  <c r="D903" i="5"/>
  <c r="C903" i="5"/>
  <c r="B903" i="5"/>
  <c r="E902" i="5"/>
  <c r="D902" i="5"/>
  <c r="C902" i="5"/>
  <c r="B902" i="5"/>
  <c r="E901" i="5"/>
  <c r="D901" i="5"/>
  <c r="C901" i="5"/>
  <c r="B901" i="5"/>
  <c r="E900" i="5"/>
  <c r="D900" i="5"/>
  <c r="C900" i="5"/>
  <c r="B900" i="5"/>
  <c r="E899" i="5"/>
  <c r="D899" i="5"/>
  <c r="C899" i="5"/>
  <c r="B899" i="5"/>
  <c r="E898" i="5"/>
  <c r="D898" i="5"/>
  <c r="C898" i="5"/>
  <c r="B898" i="5"/>
  <c r="E897" i="5"/>
  <c r="D897" i="5"/>
  <c r="C897" i="5"/>
  <c r="B897" i="5"/>
  <c r="E896" i="5"/>
  <c r="D896" i="5"/>
  <c r="C896" i="5"/>
  <c r="B896" i="5"/>
  <c r="E895" i="5"/>
  <c r="D895" i="5"/>
  <c r="C895" i="5"/>
  <c r="B895" i="5"/>
  <c r="E894" i="5"/>
  <c r="D894" i="5"/>
  <c r="C894" i="5"/>
  <c r="B894" i="5"/>
  <c r="E893" i="5"/>
  <c r="D893" i="5"/>
  <c r="C893" i="5"/>
  <c r="B893" i="5"/>
  <c r="E892" i="5"/>
  <c r="D892" i="5"/>
  <c r="C892" i="5"/>
  <c r="B892" i="5"/>
  <c r="E891" i="5"/>
  <c r="D891" i="5"/>
  <c r="C891" i="5"/>
  <c r="B891" i="5"/>
  <c r="E890" i="5"/>
  <c r="D890" i="5"/>
  <c r="C890" i="5"/>
  <c r="B890" i="5"/>
  <c r="E889" i="5"/>
  <c r="D889" i="5"/>
  <c r="C889" i="5"/>
  <c r="B889" i="5"/>
  <c r="E888" i="5"/>
  <c r="D888" i="5"/>
  <c r="C888" i="5"/>
  <c r="B888" i="5"/>
  <c r="E887" i="5"/>
  <c r="D887" i="5"/>
  <c r="C887" i="5"/>
  <c r="B887" i="5"/>
  <c r="E886" i="5"/>
  <c r="D886" i="5"/>
  <c r="C886" i="5"/>
  <c r="B886" i="5"/>
  <c r="E885" i="5"/>
  <c r="D885" i="5"/>
  <c r="C885" i="5"/>
  <c r="B885" i="5"/>
  <c r="E884" i="5"/>
  <c r="D884" i="5"/>
  <c r="C884" i="5"/>
  <c r="B884" i="5"/>
  <c r="E883" i="5"/>
  <c r="D883" i="5"/>
  <c r="C883" i="5"/>
  <c r="B883" i="5"/>
  <c r="E882" i="5"/>
  <c r="D882" i="5"/>
  <c r="C882" i="5"/>
  <c r="B882" i="5"/>
  <c r="E881" i="5"/>
  <c r="D881" i="5"/>
  <c r="C881" i="5"/>
  <c r="B881" i="5"/>
  <c r="E880" i="5"/>
  <c r="D880" i="5"/>
  <c r="C880" i="5"/>
  <c r="B880" i="5"/>
  <c r="E879" i="5"/>
  <c r="D879" i="5"/>
  <c r="C879" i="5"/>
  <c r="B879" i="5"/>
  <c r="E878" i="5"/>
  <c r="D878" i="5"/>
  <c r="C878" i="5"/>
  <c r="B878" i="5"/>
  <c r="E877" i="5"/>
  <c r="D877" i="5"/>
  <c r="C877" i="5"/>
  <c r="B877" i="5"/>
  <c r="E876" i="5"/>
  <c r="D876" i="5"/>
  <c r="C876" i="5"/>
  <c r="B876" i="5"/>
  <c r="E875" i="5"/>
  <c r="D875" i="5"/>
  <c r="C875" i="5"/>
  <c r="B875" i="5"/>
  <c r="E874" i="5"/>
  <c r="D874" i="5"/>
  <c r="C874" i="5"/>
  <c r="B874" i="5"/>
  <c r="E873" i="5"/>
  <c r="D873" i="5"/>
  <c r="C873" i="5"/>
  <c r="B873" i="5"/>
  <c r="E872" i="5"/>
  <c r="D872" i="5"/>
  <c r="C872" i="5"/>
  <c r="B872" i="5"/>
  <c r="E871" i="5"/>
  <c r="D871" i="5"/>
  <c r="C871" i="5"/>
  <c r="B871" i="5"/>
  <c r="E870" i="5"/>
  <c r="D870" i="5"/>
  <c r="C870" i="5"/>
  <c r="B870" i="5"/>
  <c r="E869" i="5"/>
  <c r="D869" i="5"/>
  <c r="C869" i="5"/>
  <c r="B869" i="5"/>
  <c r="E868" i="5"/>
  <c r="D868" i="5"/>
  <c r="C868" i="5"/>
  <c r="B868" i="5"/>
  <c r="E867" i="5"/>
  <c r="D867" i="5"/>
  <c r="C867" i="5"/>
  <c r="B867" i="5"/>
  <c r="E866" i="5"/>
  <c r="D866" i="5"/>
  <c r="C866" i="5"/>
  <c r="B866" i="5"/>
  <c r="E865" i="5"/>
  <c r="D865" i="5"/>
  <c r="C865" i="5"/>
  <c r="B865" i="5"/>
  <c r="E864" i="5"/>
  <c r="D864" i="5"/>
  <c r="C864" i="5"/>
  <c r="B864" i="5"/>
  <c r="E863" i="5"/>
  <c r="D863" i="5"/>
  <c r="C863" i="5"/>
  <c r="B863" i="5"/>
  <c r="E862" i="5"/>
  <c r="D862" i="5"/>
  <c r="C862" i="5"/>
  <c r="B862" i="5"/>
  <c r="E861" i="5"/>
  <c r="D861" i="5"/>
  <c r="C861" i="5"/>
  <c r="B861" i="5"/>
  <c r="E860" i="5"/>
  <c r="D860" i="5"/>
  <c r="C860" i="5"/>
  <c r="B860" i="5"/>
  <c r="E859" i="5"/>
  <c r="D859" i="5"/>
  <c r="C859" i="5"/>
  <c r="B859" i="5"/>
  <c r="E858" i="5"/>
  <c r="D858" i="5"/>
  <c r="C858" i="5"/>
  <c r="B858" i="5"/>
  <c r="E857" i="5"/>
  <c r="D857" i="5"/>
  <c r="C857" i="5"/>
  <c r="B857" i="5"/>
  <c r="E856" i="5"/>
  <c r="D856" i="5"/>
  <c r="C856" i="5"/>
  <c r="B856" i="5"/>
  <c r="E855" i="5"/>
  <c r="D855" i="5"/>
  <c r="C855" i="5"/>
  <c r="B855" i="5"/>
  <c r="E854" i="5"/>
  <c r="D854" i="5"/>
  <c r="C854" i="5"/>
  <c r="B854" i="5"/>
  <c r="E853" i="5"/>
  <c r="D853" i="5"/>
  <c r="C853" i="5"/>
  <c r="B853" i="5"/>
  <c r="E852" i="5"/>
  <c r="D852" i="5"/>
  <c r="C852" i="5"/>
  <c r="B852" i="5"/>
  <c r="E851" i="5"/>
  <c r="D851" i="5"/>
  <c r="C851" i="5"/>
  <c r="B851" i="5"/>
  <c r="E850" i="5"/>
  <c r="D850" i="5"/>
  <c r="C850" i="5"/>
  <c r="B850" i="5"/>
  <c r="E849" i="5"/>
  <c r="D849" i="5"/>
  <c r="C849" i="5"/>
  <c r="B849" i="5"/>
  <c r="E848" i="5"/>
  <c r="D848" i="5"/>
  <c r="C848" i="5"/>
  <c r="B848" i="5"/>
  <c r="E847" i="5"/>
  <c r="D847" i="5"/>
  <c r="C847" i="5"/>
  <c r="B847" i="5"/>
  <c r="E846" i="5"/>
  <c r="D846" i="5"/>
  <c r="C846" i="5"/>
  <c r="B846" i="5"/>
  <c r="E845" i="5"/>
  <c r="D845" i="5"/>
  <c r="C845" i="5"/>
  <c r="B845" i="5"/>
  <c r="E844" i="5"/>
  <c r="D844" i="5"/>
  <c r="C844" i="5"/>
  <c r="B844" i="5"/>
  <c r="E843" i="5"/>
  <c r="D843" i="5"/>
  <c r="C843" i="5"/>
  <c r="B843" i="5"/>
  <c r="E842" i="5"/>
  <c r="D842" i="5"/>
  <c r="C842" i="5"/>
  <c r="B842" i="5"/>
  <c r="E841" i="5"/>
  <c r="D841" i="5"/>
  <c r="C841" i="5"/>
  <c r="B841" i="5"/>
  <c r="E840" i="5"/>
  <c r="D840" i="5"/>
  <c r="C840" i="5"/>
  <c r="B840" i="5"/>
  <c r="E839" i="5"/>
  <c r="D839" i="5"/>
  <c r="C839" i="5"/>
  <c r="B839" i="5"/>
  <c r="E838" i="5"/>
  <c r="D838" i="5"/>
  <c r="C838" i="5"/>
  <c r="B838" i="5"/>
  <c r="E837" i="5"/>
  <c r="D837" i="5"/>
  <c r="C837" i="5"/>
  <c r="B837" i="5"/>
  <c r="E836" i="5"/>
  <c r="D836" i="5"/>
  <c r="C836" i="5"/>
  <c r="B836" i="5"/>
  <c r="E835" i="5"/>
  <c r="D835" i="5"/>
  <c r="C835" i="5"/>
  <c r="B835" i="5"/>
  <c r="E834" i="5"/>
  <c r="D834" i="5"/>
  <c r="C834" i="5"/>
  <c r="B834" i="5"/>
  <c r="E833" i="5"/>
  <c r="D833" i="5"/>
  <c r="C833" i="5"/>
  <c r="B833" i="5"/>
  <c r="E832" i="5"/>
  <c r="D832" i="5"/>
  <c r="C832" i="5"/>
  <c r="B832" i="5"/>
  <c r="E831" i="5"/>
  <c r="D831" i="5"/>
  <c r="C831" i="5"/>
  <c r="B831" i="5"/>
  <c r="E830" i="5"/>
  <c r="D830" i="5"/>
  <c r="C830" i="5"/>
  <c r="B830" i="5"/>
  <c r="E829" i="5"/>
  <c r="D829" i="5"/>
  <c r="C829" i="5"/>
  <c r="B829" i="5"/>
  <c r="E828" i="5"/>
  <c r="D828" i="5"/>
  <c r="C828" i="5"/>
  <c r="B828" i="5"/>
  <c r="E827" i="5"/>
  <c r="D827" i="5"/>
  <c r="C827" i="5"/>
  <c r="B827" i="5"/>
  <c r="E826" i="5"/>
  <c r="D826" i="5"/>
  <c r="C826" i="5"/>
  <c r="B826" i="5"/>
  <c r="E825" i="5"/>
  <c r="D825" i="5"/>
  <c r="C825" i="5"/>
  <c r="B825" i="5"/>
  <c r="E824" i="5"/>
  <c r="D824" i="5"/>
  <c r="C824" i="5"/>
  <c r="B824" i="5"/>
  <c r="E823" i="5"/>
  <c r="D823" i="5"/>
  <c r="C823" i="5"/>
  <c r="B823" i="5"/>
  <c r="E822" i="5"/>
  <c r="D822" i="5"/>
  <c r="C822" i="5"/>
  <c r="B822" i="5"/>
  <c r="E821" i="5"/>
  <c r="D821" i="5"/>
  <c r="C821" i="5"/>
  <c r="B821" i="5"/>
  <c r="E820" i="5"/>
  <c r="D820" i="5"/>
  <c r="C820" i="5"/>
  <c r="B820" i="5"/>
  <c r="E819" i="5"/>
  <c r="D819" i="5"/>
  <c r="C819" i="5"/>
  <c r="B819" i="5"/>
  <c r="E818" i="5"/>
  <c r="D818" i="5"/>
  <c r="C818" i="5"/>
  <c r="B818" i="5"/>
  <c r="E817" i="5"/>
  <c r="D817" i="5"/>
  <c r="C817" i="5"/>
  <c r="B817" i="5"/>
  <c r="E816" i="5"/>
  <c r="D816" i="5"/>
  <c r="C816" i="5"/>
  <c r="B816" i="5"/>
  <c r="E815" i="5"/>
  <c r="D815" i="5"/>
  <c r="C815" i="5"/>
  <c r="B815" i="5"/>
  <c r="E814" i="5"/>
  <c r="D814" i="5"/>
  <c r="C814" i="5"/>
  <c r="B814" i="5"/>
  <c r="E813" i="5"/>
  <c r="D813" i="5"/>
  <c r="C813" i="5"/>
  <c r="B813" i="5"/>
  <c r="E812" i="5"/>
  <c r="D812" i="5"/>
  <c r="C812" i="5"/>
  <c r="B812" i="5"/>
  <c r="E811" i="5"/>
  <c r="D811" i="5"/>
  <c r="C811" i="5"/>
  <c r="B811" i="5"/>
  <c r="E810" i="5"/>
  <c r="D810" i="5"/>
  <c r="C810" i="5"/>
  <c r="B810" i="5"/>
  <c r="E809" i="5"/>
  <c r="D809" i="5"/>
  <c r="C809" i="5"/>
  <c r="B809" i="5"/>
  <c r="E808" i="5"/>
  <c r="D808" i="5"/>
  <c r="C808" i="5"/>
  <c r="B808" i="5"/>
  <c r="E807" i="5"/>
  <c r="D807" i="5"/>
  <c r="C807" i="5"/>
  <c r="B807" i="5"/>
  <c r="E806" i="5"/>
  <c r="D806" i="5"/>
  <c r="C806" i="5"/>
  <c r="B806" i="5"/>
  <c r="E805" i="5"/>
  <c r="D805" i="5"/>
  <c r="C805" i="5"/>
  <c r="B805" i="5"/>
  <c r="E804" i="5"/>
  <c r="D804" i="5"/>
  <c r="C804" i="5"/>
  <c r="B804" i="5"/>
  <c r="E803" i="5"/>
  <c r="D803" i="5"/>
  <c r="C803" i="5"/>
  <c r="B803" i="5"/>
  <c r="E802" i="5"/>
  <c r="D802" i="5"/>
  <c r="C802" i="5"/>
  <c r="B802" i="5"/>
  <c r="E801" i="5"/>
  <c r="D801" i="5"/>
  <c r="C801" i="5"/>
  <c r="B801" i="5"/>
  <c r="E800" i="5"/>
  <c r="D800" i="5"/>
  <c r="C800" i="5"/>
  <c r="B800" i="5"/>
  <c r="E799" i="5"/>
  <c r="D799" i="5"/>
  <c r="C799" i="5"/>
  <c r="B799" i="5"/>
  <c r="E798" i="5"/>
  <c r="D798" i="5"/>
  <c r="C798" i="5"/>
  <c r="B798" i="5"/>
  <c r="E797" i="5"/>
  <c r="D797" i="5"/>
  <c r="C797" i="5"/>
  <c r="B797" i="5"/>
  <c r="E796" i="5"/>
  <c r="D796" i="5"/>
  <c r="C796" i="5"/>
  <c r="B796" i="5"/>
  <c r="E795" i="5"/>
  <c r="D795" i="5"/>
  <c r="C795" i="5"/>
  <c r="B795" i="5"/>
  <c r="E794" i="5"/>
  <c r="D794" i="5"/>
  <c r="C794" i="5"/>
  <c r="B794" i="5"/>
  <c r="E793" i="5"/>
  <c r="D793" i="5"/>
  <c r="C793" i="5"/>
  <c r="B793" i="5"/>
  <c r="E792" i="5"/>
  <c r="D792" i="5"/>
  <c r="C792" i="5"/>
  <c r="B792" i="5"/>
  <c r="E791" i="5"/>
  <c r="D791" i="5"/>
  <c r="C791" i="5"/>
  <c r="B791" i="5"/>
  <c r="E790" i="5"/>
  <c r="D790" i="5"/>
  <c r="C790" i="5"/>
  <c r="B790" i="5"/>
  <c r="E789" i="5"/>
  <c r="D789" i="5"/>
  <c r="C789" i="5"/>
  <c r="B789" i="5"/>
  <c r="E788" i="5"/>
  <c r="D788" i="5"/>
  <c r="C788" i="5"/>
  <c r="B788" i="5"/>
  <c r="E787" i="5"/>
  <c r="D787" i="5"/>
  <c r="C787" i="5"/>
  <c r="B787" i="5"/>
  <c r="E786" i="5"/>
  <c r="D786" i="5"/>
  <c r="C786" i="5"/>
  <c r="B786" i="5"/>
  <c r="E785" i="5"/>
  <c r="D785" i="5"/>
  <c r="C785" i="5"/>
  <c r="B785" i="5"/>
  <c r="E784" i="5"/>
  <c r="D784" i="5"/>
  <c r="C784" i="5"/>
  <c r="B784" i="5"/>
  <c r="E783" i="5"/>
  <c r="D783" i="5"/>
  <c r="C783" i="5"/>
  <c r="B783" i="5"/>
  <c r="E782" i="5"/>
  <c r="D782" i="5"/>
  <c r="C782" i="5"/>
  <c r="B782" i="5"/>
  <c r="E781" i="5"/>
  <c r="D781" i="5"/>
  <c r="C781" i="5"/>
  <c r="B781" i="5"/>
  <c r="E780" i="5"/>
  <c r="D780" i="5"/>
  <c r="C780" i="5"/>
  <c r="B780" i="5"/>
  <c r="E779" i="5"/>
  <c r="D779" i="5"/>
  <c r="C779" i="5"/>
  <c r="B779" i="5"/>
  <c r="E778" i="5"/>
  <c r="D778" i="5"/>
  <c r="C778" i="5"/>
  <c r="B778" i="5"/>
  <c r="E777" i="5"/>
  <c r="D777" i="5"/>
  <c r="C777" i="5"/>
  <c r="B777" i="5"/>
  <c r="E776" i="5"/>
  <c r="D776" i="5"/>
  <c r="C776" i="5"/>
  <c r="B776" i="5"/>
  <c r="E775" i="5"/>
  <c r="D775" i="5"/>
  <c r="C775" i="5"/>
  <c r="B775" i="5"/>
  <c r="E774" i="5"/>
  <c r="D774" i="5"/>
  <c r="C774" i="5"/>
  <c r="B774" i="5"/>
  <c r="E773" i="5"/>
  <c r="D773" i="5"/>
  <c r="C773" i="5"/>
  <c r="B773" i="5"/>
  <c r="E772" i="5"/>
  <c r="D772" i="5"/>
  <c r="C772" i="5"/>
  <c r="B772" i="5"/>
  <c r="E771" i="5"/>
  <c r="D771" i="5"/>
  <c r="C771" i="5"/>
  <c r="B771" i="5"/>
  <c r="E770" i="5"/>
  <c r="D770" i="5"/>
  <c r="C770" i="5"/>
  <c r="B770" i="5"/>
  <c r="E769" i="5"/>
  <c r="D769" i="5"/>
  <c r="C769" i="5"/>
  <c r="B769" i="5"/>
  <c r="E768" i="5"/>
  <c r="D768" i="5"/>
  <c r="C768" i="5"/>
  <c r="B768" i="5"/>
  <c r="E767" i="5"/>
  <c r="D767" i="5"/>
  <c r="C767" i="5"/>
  <c r="B767" i="5"/>
  <c r="E766" i="5"/>
  <c r="D766" i="5"/>
  <c r="C766" i="5"/>
  <c r="B766" i="5"/>
  <c r="E765" i="5"/>
  <c r="D765" i="5"/>
  <c r="C765" i="5"/>
  <c r="B765" i="5"/>
  <c r="E764" i="5"/>
  <c r="D764" i="5"/>
  <c r="C764" i="5"/>
  <c r="B764" i="5"/>
  <c r="E763" i="5"/>
  <c r="D763" i="5"/>
  <c r="C763" i="5"/>
  <c r="B763" i="5"/>
  <c r="E762" i="5"/>
  <c r="D762" i="5"/>
  <c r="C762" i="5"/>
  <c r="B762" i="5"/>
  <c r="E761" i="5"/>
  <c r="D761" i="5"/>
  <c r="C761" i="5"/>
  <c r="B761" i="5"/>
  <c r="E760" i="5"/>
  <c r="D760" i="5"/>
  <c r="C760" i="5"/>
  <c r="B760" i="5"/>
  <c r="E759" i="5"/>
  <c r="D759" i="5"/>
  <c r="C759" i="5"/>
  <c r="B759" i="5"/>
  <c r="E758" i="5"/>
  <c r="D758" i="5"/>
  <c r="C758" i="5"/>
  <c r="B758" i="5"/>
  <c r="E757" i="5"/>
  <c r="D757" i="5"/>
  <c r="C757" i="5"/>
  <c r="B757" i="5"/>
  <c r="E756" i="5"/>
  <c r="D756" i="5"/>
  <c r="C756" i="5"/>
  <c r="B756" i="5"/>
  <c r="E755" i="5"/>
  <c r="D755" i="5"/>
  <c r="C755" i="5"/>
  <c r="B755" i="5"/>
  <c r="E754" i="5"/>
  <c r="D754" i="5"/>
  <c r="C754" i="5"/>
  <c r="B754" i="5"/>
  <c r="E753" i="5"/>
  <c r="D753" i="5"/>
  <c r="C753" i="5"/>
  <c r="B753" i="5"/>
  <c r="E752" i="5"/>
  <c r="D752" i="5"/>
  <c r="C752" i="5"/>
  <c r="B752" i="5"/>
  <c r="E751" i="5"/>
  <c r="D751" i="5"/>
  <c r="C751" i="5"/>
  <c r="B751" i="5"/>
  <c r="E750" i="5"/>
  <c r="D750" i="5"/>
  <c r="C750" i="5"/>
  <c r="B750" i="5"/>
  <c r="E749" i="5"/>
  <c r="D749" i="5"/>
  <c r="C749" i="5"/>
  <c r="B749" i="5"/>
  <c r="E748" i="5"/>
  <c r="D748" i="5"/>
  <c r="C748" i="5"/>
  <c r="B748" i="5"/>
  <c r="E747" i="5"/>
  <c r="D747" i="5"/>
  <c r="C747" i="5"/>
  <c r="B747" i="5"/>
  <c r="E746" i="5"/>
  <c r="D746" i="5"/>
  <c r="C746" i="5"/>
  <c r="B746" i="5"/>
  <c r="E745" i="5"/>
  <c r="D745" i="5"/>
  <c r="C745" i="5"/>
  <c r="B745" i="5"/>
  <c r="E744" i="5"/>
  <c r="D744" i="5"/>
  <c r="C744" i="5"/>
  <c r="B744" i="5"/>
  <c r="E743" i="5"/>
  <c r="D743" i="5"/>
  <c r="C743" i="5"/>
  <c r="B743" i="5"/>
  <c r="E742" i="5"/>
  <c r="D742" i="5"/>
  <c r="C742" i="5"/>
  <c r="B742" i="5"/>
  <c r="E741" i="5"/>
  <c r="D741" i="5"/>
  <c r="C741" i="5"/>
  <c r="B741" i="5"/>
  <c r="E740" i="5"/>
  <c r="D740" i="5"/>
  <c r="C740" i="5"/>
  <c r="B740" i="5"/>
  <c r="E739" i="5"/>
  <c r="D739" i="5"/>
  <c r="C739" i="5"/>
  <c r="B739" i="5"/>
  <c r="E738" i="5"/>
  <c r="D738" i="5"/>
  <c r="C738" i="5"/>
  <c r="B738" i="5"/>
  <c r="E737" i="5"/>
  <c r="D737" i="5"/>
  <c r="C737" i="5"/>
  <c r="B737" i="5"/>
  <c r="E736" i="5"/>
  <c r="D736" i="5"/>
  <c r="C736" i="5"/>
  <c r="B736" i="5"/>
  <c r="E735" i="5"/>
  <c r="D735" i="5"/>
  <c r="C735" i="5"/>
  <c r="B735" i="5"/>
  <c r="E734" i="5"/>
  <c r="D734" i="5"/>
  <c r="C734" i="5"/>
  <c r="B734" i="5"/>
  <c r="E733" i="5"/>
  <c r="D733" i="5"/>
  <c r="C733" i="5"/>
  <c r="B733" i="5"/>
  <c r="E732" i="5"/>
  <c r="D732" i="5"/>
  <c r="C732" i="5"/>
  <c r="B732" i="5"/>
  <c r="E731" i="5"/>
  <c r="D731" i="5"/>
  <c r="C731" i="5"/>
  <c r="B731" i="5"/>
  <c r="E730" i="5"/>
  <c r="D730" i="5"/>
  <c r="C730" i="5"/>
  <c r="B730" i="5"/>
  <c r="E729" i="5"/>
  <c r="D729" i="5"/>
  <c r="C729" i="5"/>
  <c r="B729" i="5"/>
  <c r="E728" i="5"/>
  <c r="D728" i="5"/>
  <c r="C728" i="5"/>
  <c r="B728" i="5"/>
  <c r="E727" i="5"/>
  <c r="D727" i="5"/>
  <c r="C727" i="5"/>
  <c r="B727" i="5"/>
  <c r="E726" i="5"/>
  <c r="D726" i="5"/>
  <c r="C726" i="5"/>
  <c r="B726" i="5"/>
  <c r="E725" i="5"/>
  <c r="D725" i="5"/>
  <c r="C725" i="5"/>
  <c r="B725" i="5"/>
  <c r="E724" i="5"/>
  <c r="D724" i="5"/>
  <c r="C724" i="5"/>
  <c r="B724" i="5"/>
  <c r="E723" i="5"/>
  <c r="D723" i="5"/>
  <c r="C723" i="5"/>
  <c r="B723" i="5"/>
  <c r="E722" i="5"/>
  <c r="D722" i="5"/>
  <c r="C722" i="5"/>
  <c r="B722" i="5"/>
  <c r="E721" i="5"/>
  <c r="D721" i="5"/>
  <c r="C721" i="5"/>
  <c r="B721" i="5"/>
  <c r="E720" i="5"/>
  <c r="D720" i="5"/>
  <c r="C720" i="5"/>
  <c r="B720" i="5"/>
  <c r="E719" i="5"/>
  <c r="D719" i="5"/>
  <c r="C719" i="5"/>
  <c r="B719" i="5"/>
  <c r="E718" i="5"/>
  <c r="D718" i="5"/>
  <c r="C718" i="5"/>
  <c r="B718" i="5"/>
  <c r="E717" i="5"/>
  <c r="D717" i="5"/>
  <c r="C717" i="5"/>
  <c r="B717" i="5"/>
  <c r="E716" i="5"/>
  <c r="D716" i="5"/>
  <c r="C716" i="5"/>
  <c r="B716" i="5"/>
  <c r="E715" i="5"/>
  <c r="D715" i="5"/>
  <c r="C715" i="5"/>
  <c r="B715" i="5"/>
  <c r="E714" i="5"/>
  <c r="D714" i="5"/>
  <c r="C714" i="5"/>
  <c r="B714" i="5"/>
  <c r="E713" i="5"/>
  <c r="D713" i="5"/>
  <c r="C713" i="5"/>
  <c r="B713" i="5"/>
  <c r="E712" i="5"/>
  <c r="D712" i="5"/>
  <c r="C712" i="5"/>
  <c r="B712" i="5"/>
  <c r="E711" i="5"/>
  <c r="D711" i="5"/>
  <c r="C711" i="5"/>
  <c r="B711" i="5"/>
  <c r="E710" i="5"/>
  <c r="D710" i="5"/>
  <c r="C710" i="5"/>
  <c r="B710" i="5"/>
  <c r="E709" i="5"/>
  <c r="D709" i="5"/>
  <c r="C709" i="5"/>
  <c r="B709" i="5"/>
  <c r="E708" i="5"/>
  <c r="D708" i="5"/>
  <c r="C708" i="5"/>
  <c r="B708" i="5"/>
  <c r="E707" i="5"/>
  <c r="D707" i="5"/>
  <c r="C707" i="5"/>
  <c r="B707" i="5"/>
  <c r="E706" i="5"/>
  <c r="D706" i="5"/>
  <c r="C706" i="5"/>
  <c r="B706" i="5"/>
  <c r="E705" i="5"/>
  <c r="D705" i="5"/>
  <c r="C705" i="5"/>
  <c r="B705" i="5"/>
  <c r="E704" i="5"/>
  <c r="D704" i="5"/>
  <c r="C704" i="5"/>
  <c r="B704" i="5"/>
  <c r="E703" i="5"/>
  <c r="D703" i="5"/>
  <c r="C703" i="5"/>
  <c r="B703" i="5"/>
  <c r="E702" i="5"/>
  <c r="D702" i="5"/>
  <c r="C702" i="5"/>
  <c r="B702" i="5"/>
  <c r="E701" i="5"/>
  <c r="D701" i="5"/>
  <c r="C701" i="5"/>
  <c r="B701" i="5"/>
  <c r="E700" i="5"/>
  <c r="D700" i="5"/>
  <c r="C700" i="5"/>
  <c r="B700" i="5"/>
  <c r="E699" i="5"/>
  <c r="D699" i="5"/>
  <c r="C699" i="5"/>
  <c r="B699" i="5"/>
  <c r="E698" i="5"/>
  <c r="D698" i="5"/>
  <c r="C698" i="5"/>
  <c r="B698" i="5"/>
  <c r="E697" i="5"/>
  <c r="D697" i="5"/>
  <c r="C697" i="5"/>
  <c r="B697" i="5"/>
  <c r="E696" i="5"/>
  <c r="D696" i="5"/>
  <c r="C696" i="5"/>
  <c r="B696" i="5"/>
  <c r="E695" i="5"/>
  <c r="D695" i="5"/>
  <c r="C695" i="5"/>
  <c r="B695" i="5"/>
  <c r="E694" i="5"/>
  <c r="D694" i="5"/>
  <c r="C694" i="5"/>
  <c r="B694" i="5"/>
  <c r="E693" i="5"/>
  <c r="D693" i="5"/>
  <c r="C693" i="5"/>
  <c r="B693" i="5"/>
  <c r="E692" i="5"/>
  <c r="D692" i="5"/>
  <c r="C692" i="5"/>
  <c r="B692" i="5"/>
  <c r="E691" i="5"/>
  <c r="D691" i="5"/>
  <c r="C691" i="5"/>
  <c r="B691" i="5"/>
  <c r="E690" i="5"/>
  <c r="D690" i="5"/>
  <c r="C690" i="5"/>
  <c r="B690" i="5"/>
  <c r="E689" i="5"/>
  <c r="D689" i="5"/>
  <c r="C689" i="5"/>
  <c r="B689" i="5"/>
  <c r="E688" i="5"/>
  <c r="D688" i="5"/>
  <c r="C688" i="5"/>
  <c r="B688" i="5"/>
  <c r="E687" i="5"/>
  <c r="D687" i="5"/>
  <c r="C687" i="5"/>
  <c r="B687" i="5"/>
  <c r="E686" i="5"/>
  <c r="D686" i="5"/>
  <c r="C686" i="5"/>
  <c r="B686" i="5"/>
  <c r="E685" i="5"/>
  <c r="D685" i="5"/>
  <c r="C685" i="5"/>
  <c r="B685" i="5"/>
  <c r="E684" i="5"/>
  <c r="D684" i="5"/>
  <c r="C684" i="5"/>
  <c r="B684" i="5"/>
  <c r="E683" i="5"/>
  <c r="D683" i="5"/>
  <c r="C683" i="5"/>
  <c r="B683" i="5"/>
  <c r="E682" i="5"/>
  <c r="D682" i="5"/>
  <c r="C682" i="5"/>
  <c r="B682" i="5"/>
  <c r="E681" i="5"/>
  <c r="D681" i="5"/>
  <c r="C681" i="5"/>
  <c r="B681" i="5"/>
  <c r="E680" i="5"/>
  <c r="D680" i="5"/>
  <c r="C680" i="5"/>
  <c r="B680" i="5"/>
  <c r="E679" i="5"/>
  <c r="D679" i="5"/>
  <c r="C679" i="5"/>
  <c r="B679" i="5"/>
  <c r="E678" i="5"/>
  <c r="D678" i="5"/>
  <c r="C678" i="5"/>
  <c r="B678" i="5"/>
  <c r="E677" i="5"/>
  <c r="D677" i="5"/>
  <c r="C677" i="5"/>
  <c r="B677" i="5"/>
  <c r="E676" i="5"/>
  <c r="D676" i="5"/>
  <c r="C676" i="5"/>
  <c r="B676" i="5"/>
  <c r="E675" i="5"/>
  <c r="D675" i="5"/>
  <c r="C675" i="5"/>
  <c r="B675" i="5"/>
  <c r="E674" i="5"/>
  <c r="D674" i="5"/>
  <c r="C674" i="5"/>
  <c r="B674" i="5"/>
  <c r="E673" i="5"/>
  <c r="D673" i="5"/>
  <c r="C673" i="5"/>
  <c r="B673" i="5"/>
  <c r="E672" i="5"/>
  <c r="D672" i="5"/>
  <c r="C672" i="5"/>
  <c r="B672" i="5"/>
  <c r="E671" i="5"/>
  <c r="D671" i="5"/>
  <c r="C671" i="5"/>
  <c r="B671" i="5"/>
  <c r="E670" i="5"/>
  <c r="D670" i="5"/>
  <c r="C670" i="5"/>
  <c r="B670" i="5"/>
  <c r="E669" i="5"/>
  <c r="D669" i="5"/>
  <c r="C669" i="5"/>
  <c r="B669" i="5"/>
  <c r="E668" i="5"/>
  <c r="D668" i="5"/>
  <c r="C668" i="5"/>
  <c r="B668" i="5"/>
  <c r="E667" i="5"/>
  <c r="D667" i="5"/>
  <c r="C667" i="5"/>
  <c r="B667" i="5"/>
  <c r="E666" i="5"/>
  <c r="D666" i="5"/>
  <c r="C666" i="5"/>
  <c r="B666" i="5"/>
  <c r="E665" i="5"/>
  <c r="D665" i="5"/>
  <c r="C665" i="5"/>
  <c r="B665" i="5"/>
  <c r="E664" i="5"/>
  <c r="D664" i="5"/>
  <c r="C664" i="5"/>
  <c r="B664" i="5"/>
  <c r="E663" i="5"/>
  <c r="D663" i="5"/>
  <c r="C663" i="5"/>
  <c r="B663" i="5"/>
  <c r="E662" i="5"/>
  <c r="D662" i="5"/>
  <c r="C662" i="5"/>
  <c r="B662" i="5"/>
  <c r="E661" i="5"/>
  <c r="D661" i="5"/>
  <c r="C661" i="5"/>
  <c r="B661" i="5"/>
  <c r="E660" i="5"/>
  <c r="D660" i="5"/>
  <c r="C660" i="5"/>
  <c r="B660" i="5"/>
  <c r="E659" i="5"/>
  <c r="D659" i="5"/>
  <c r="C659" i="5"/>
  <c r="B659" i="5"/>
  <c r="E658" i="5"/>
  <c r="D658" i="5"/>
  <c r="C658" i="5"/>
  <c r="B658" i="5"/>
  <c r="E657" i="5"/>
  <c r="D657" i="5"/>
  <c r="C657" i="5"/>
  <c r="B657" i="5"/>
  <c r="E656" i="5"/>
  <c r="D656" i="5"/>
  <c r="C656" i="5"/>
  <c r="B656" i="5"/>
  <c r="E655" i="5"/>
  <c r="D655" i="5"/>
  <c r="C655" i="5"/>
  <c r="B655" i="5"/>
  <c r="E654" i="5"/>
  <c r="D654" i="5"/>
  <c r="C654" i="5"/>
  <c r="B654" i="5"/>
  <c r="E653" i="5"/>
  <c r="D653" i="5"/>
  <c r="C653" i="5"/>
  <c r="B653" i="5"/>
  <c r="E652" i="5"/>
  <c r="D652" i="5"/>
  <c r="C652" i="5"/>
  <c r="B652" i="5"/>
  <c r="E651" i="5"/>
  <c r="D651" i="5"/>
  <c r="C651" i="5"/>
  <c r="B651" i="5"/>
  <c r="E650" i="5"/>
  <c r="D650" i="5"/>
  <c r="C650" i="5"/>
  <c r="B650" i="5"/>
  <c r="E649" i="5"/>
  <c r="D649" i="5"/>
  <c r="C649" i="5"/>
  <c r="B649" i="5"/>
  <c r="E648" i="5"/>
  <c r="D648" i="5"/>
  <c r="C648" i="5"/>
  <c r="B648" i="5"/>
  <c r="E647" i="5"/>
  <c r="D647" i="5"/>
  <c r="C647" i="5"/>
  <c r="B647" i="5"/>
  <c r="E646" i="5"/>
  <c r="D646" i="5"/>
  <c r="C646" i="5"/>
  <c r="B646" i="5"/>
  <c r="E645" i="5"/>
  <c r="D645" i="5"/>
  <c r="C645" i="5"/>
  <c r="B645" i="5"/>
  <c r="E644" i="5"/>
  <c r="D644" i="5"/>
  <c r="C644" i="5"/>
  <c r="B644" i="5"/>
  <c r="E643" i="5"/>
  <c r="D643" i="5"/>
  <c r="C643" i="5"/>
  <c r="B643" i="5"/>
  <c r="E642" i="5"/>
  <c r="D642" i="5"/>
  <c r="C642" i="5"/>
  <c r="B642" i="5"/>
  <c r="E641" i="5"/>
  <c r="D641" i="5"/>
  <c r="C641" i="5"/>
  <c r="B641" i="5"/>
  <c r="E640" i="5"/>
  <c r="D640" i="5"/>
  <c r="C640" i="5"/>
  <c r="B640" i="5"/>
  <c r="E639" i="5"/>
  <c r="D639" i="5"/>
  <c r="C639" i="5"/>
  <c r="B639" i="5"/>
  <c r="E638" i="5"/>
  <c r="D638" i="5"/>
  <c r="C638" i="5"/>
  <c r="B638" i="5"/>
  <c r="E637" i="5"/>
  <c r="D637" i="5"/>
  <c r="C637" i="5"/>
  <c r="B637" i="5"/>
  <c r="E636" i="5"/>
  <c r="D636" i="5"/>
  <c r="C636" i="5"/>
  <c r="B636" i="5"/>
  <c r="E635" i="5"/>
  <c r="D635" i="5"/>
  <c r="C635" i="5"/>
  <c r="B635" i="5"/>
  <c r="E634" i="5"/>
  <c r="D634" i="5"/>
  <c r="C634" i="5"/>
  <c r="B634" i="5"/>
  <c r="E633" i="5"/>
  <c r="D633" i="5"/>
  <c r="C633" i="5"/>
  <c r="B633" i="5"/>
  <c r="E632" i="5"/>
  <c r="D632" i="5"/>
  <c r="C632" i="5"/>
  <c r="B632" i="5"/>
  <c r="E631" i="5"/>
  <c r="D631" i="5"/>
  <c r="C631" i="5"/>
  <c r="B631" i="5"/>
  <c r="E630" i="5"/>
  <c r="D630" i="5"/>
  <c r="C630" i="5"/>
  <c r="B630" i="5"/>
  <c r="E629" i="5"/>
  <c r="D629" i="5"/>
  <c r="C629" i="5"/>
  <c r="B629" i="5"/>
  <c r="E628" i="5"/>
  <c r="D628" i="5"/>
  <c r="C628" i="5"/>
  <c r="B628" i="5"/>
  <c r="E627" i="5"/>
  <c r="D627" i="5"/>
  <c r="C627" i="5"/>
  <c r="B627" i="5"/>
  <c r="E626" i="5"/>
  <c r="D626" i="5"/>
  <c r="C626" i="5"/>
  <c r="B626" i="5"/>
  <c r="E625" i="5"/>
  <c r="D625" i="5"/>
  <c r="C625" i="5"/>
  <c r="B625" i="5"/>
  <c r="E624" i="5"/>
  <c r="D624" i="5"/>
  <c r="C624" i="5"/>
  <c r="B624" i="5"/>
  <c r="E623" i="5"/>
  <c r="D623" i="5"/>
  <c r="C623" i="5"/>
  <c r="B623" i="5"/>
  <c r="E622" i="5"/>
  <c r="D622" i="5"/>
  <c r="C622" i="5"/>
  <c r="B622" i="5"/>
  <c r="E621" i="5"/>
  <c r="D621" i="5"/>
  <c r="C621" i="5"/>
  <c r="B621" i="5"/>
  <c r="E620" i="5"/>
  <c r="D620" i="5"/>
  <c r="C620" i="5"/>
  <c r="B620" i="5"/>
  <c r="E619" i="5"/>
  <c r="D619" i="5"/>
  <c r="C619" i="5"/>
  <c r="B619" i="5"/>
  <c r="E618" i="5"/>
  <c r="D618" i="5"/>
  <c r="C618" i="5"/>
  <c r="B618" i="5"/>
  <c r="E617" i="5"/>
  <c r="D617" i="5"/>
  <c r="C617" i="5"/>
  <c r="B617" i="5"/>
  <c r="E616" i="5"/>
  <c r="D616" i="5"/>
  <c r="C616" i="5"/>
  <c r="B616" i="5"/>
  <c r="E615" i="5"/>
  <c r="D615" i="5"/>
  <c r="C615" i="5"/>
  <c r="B615" i="5"/>
  <c r="E614" i="5"/>
  <c r="D614" i="5"/>
  <c r="C614" i="5"/>
  <c r="B614" i="5"/>
  <c r="E613" i="5"/>
  <c r="D613" i="5"/>
  <c r="C613" i="5"/>
  <c r="B613" i="5"/>
  <c r="E612" i="5"/>
  <c r="D612" i="5"/>
  <c r="C612" i="5"/>
  <c r="B612" i="5"/>
  <c r="E611" i="5"/>
  <c r="D611" i="5"/>
  <c r="C611" i="5"/>
  <c r="B611" i="5"/>
  <c r="E610" i="5"/>
  <c r="D610" i="5"/>
  <c r="C610" i="5"/>
  <c r="B610" i="5"/>
  <c r="E609" i="5"/>
  <c r="D609" i="5"/>
  <c r="C609" i="5"/>
  <c r="B609" i="5"/>
  <c r="E608" i="5"/>
  <c r="D608" i="5"/>
  <c r="C608" i="5"/>
  <c r="B608" i="5"/>
  <c r="E607" i="5"/>
  <c r="D607" i="5"/>
  <c r="C607" i="5"/>
  <c r="B607" i="5"/>
  <c r="E606" i="5"/>
  <c r="D606" i="5"/>
  <c r="C606" i="5"/>
  <c r="B606" i="5"/>
  <c r="E605" i="5"/>
  <c r="D605" i="5"/>
  <c r="C605" i="5"/>
  <c r="B605" i="5"/>
  <c r="E604" i="5"/>
  <c r="D604" i="5"/>
  <c r="C604" i="5"/>
  <c r="B604" i="5"/>
  <c r="E603" i="5"/>
  <c r="D603" i="5"/>
  <c r="C603" i="5"/>
  <c r="B603" i="5"/>
  <c r="E602" i="5"/>
  <c r="D602" i="5"/>
  <c r="C602" i="5"/>
  <c r="B602" i="5"/>
  <c r="E601" i="5"/>
  <c r="D601" i="5"/>
  <c r="C601" i="5"/>
  <c r="B601" i="5"/>
  <c r="E600" i="5"/>
  <c r="D600" i="5"/>
  <c r="C600" i="5"/>
  <c r="B600" i="5"/>
  <c r="E599" i="5"/>
  <c r="D599" i="5"/>
  <c r="C599" i="5"/>
  <c r="B599" i="5"/>
  <c r="E598" i="5"/>
  <c r="D598" i="5"/>
  <c r="C598" i="5"/>
  <c r="B598" i="5"/>
  <c r="E597" i="5"/>
  <c r="D597" i="5"/>
  <c r="C597" i="5"/>
  <c r="B597" i="5"/>
  <c r="E596" i="5"/>
  <c r="D596" i="5"/>
  <c r="C596" i="5"/>
  <c r="B596" i="5"/>
  <c r="E595" i="5"/>
  <c r="D595" i="5"/>
  <c r="C595" i="5"/>
  <c r="B595" i="5"/>
  <c r="E594" i="5"/>
  <c r="D594" i="5"/>
  <c r="C594" i="5"/>
  <c r="B594" i="5"/>
  <c r="E593" i="5"/>
  <c r="D593" i="5"/>
  <c r="C593" i="5"/>
  <c r="B593" i="5"/>
  <c r="E592" i="5"/>
  <c r="D592" i="5"/>
  <c r="C592" i="5"/>
  <c r="B592" i="5"/>
  <c r="E591" i="5"/>
  <c r="D591" i="5"/>
  <c r="C591" i="5"/>
  <c r="B591" i="5"/>
  <c r="E590" i="5"/>
  <c r="D590" i="5"/>
  <c r="C590" i="5"/>
  <c r="B590" i="5"/>
  <c r="E589" i="5"/>
  <c r="D589" i="5"/>
  <c r="C589" i="5"/>
  <c r="B589" i="5"/>
  <c r="E588" i="5"/>
  <c r="D588" i="5"/>
  <c r="C588" i="5"/>
  <c r="B588" i="5"/>
  <c r="E587" i="5"/>
  <c r="D587" i="5"/>
  <c r="C587" i="5"/>
  <c r="B587" i="5"/>
  <c r="E586" i="5"/>
  <c r="D586" i="5"/>
  <c r="C586" i="5"/>
  <c r="B586" i="5"/>
  <c r="E585" i="5"/>
  <c r="D585" i="5"/>
  <c r="C585" i="5"/>
  <c r="B585" i="5"/>
  <c r="E584" i="5"/>
  <c r="D584" i="5"/>
  <c r="C584" i="5"/>
  <c r="B584" i="5"/>
  <c r="E583" i="5"/>
  <c r="D583" i="5"/>
  <c r="C583" i="5"/>
  <c r="B583" i="5"/>
  <c r="E582" i="5"/>
  <c r="D582" i="5"/>
  <c r="C582" i="5"/>
  <c r="B582" i="5"/>
  <c r="E581" i="5"/>
  <c r="D581" i="5"/>
  <c r="C581" i="5"/>
  <c r="B581" i="5"/>
  <c r="E580" i="5"/>
  <c r="D580" i="5"/>
  <c r="C580" i="5"/>
  <c r="B580" i="5"/>
  <c r="E579" i="5"/>
  <c r="D579" i="5"/>
  <c r="C579" i="5"/>
  <c r="B579" i="5"/>
  <c r="E578" i="5"/>
  <c r="D578" i="5"/>
  <c r="C578" i="5"/>
  <c r="B578" i="5"/>
  <c r="E577" i="5"/>
  <c r="D577" i="5"/>
  <c r="C577" i="5"/>
  <c r="B577" i="5"/>
  <c r="E576" i="5"/>
  <c r="D576" i="5"/>
  <c r="C576" i="5"/>
  <c r="B576" i="5"/>
  <c r="E575" i="5"/>
  <c r="D575" i="5"/>
  <c r="C575" i="5"/>
  <c r="B575" i="5"/>
  <c r="E574" i="5"/>
  <c r="D574" i="5"/>
  <c r="C574" i="5"/>
  <c r="B574" i="5"/>
  <c r="E573" i="5"/>
  <c r="D573" i="5"/>
  <c r="C573" i="5"/>
  <c r="B573" i="5"/>
  <c r="E572" i="5"/>
  <c r="D572" i="5"/>
  <c r="C572" i="5"/>
  <c r="B572" i="5"/>
  <c r="E571" i="5"/>
  <c r="D571" i="5"/>
  <c r="C571" i="5"/>
  <c r="B571" i="5"/>
  <c r="E570" i="5"/>
  <c r="D570" i="5"/>
  <c r="C570" i="5"/>
  <c r="B570" i="5"/>
  <c r="E569" i="5"/>
  <c r="D569" i="5"/>
  <c r="C569" i="5"/>
  <c r="B569" i="5"/>
  <c r="E568" i="5"/>
  <c r="D568" i="5"/>
  <c r="C568" i="5"/>
  <c r="B568" i="5"/>
  <c r="E567" i="5"/>
  <c r="D567" i="5"/>
  <c r="C567" i="5"/>
  <c r="B567" i="5"/>
  <c r="E566" i="5"/>
  <c r="D566" i="5"/>
  <c r="C566" i="5"/>
  <c r="B566" i="5"/>
  <c r="E565" i="5"/>
  <c r="D565" i="5"/>
  <c r="C565" i="5"/>
  <c r="B565" i="5"/>
  <c r="E564" i="5"/>
  <c r="D564" i="5"/>
  <c r="C564" i="5"/>
  <c r="B564" i="5"/>
  <c r="E563" i="5"/>
  <c r="D563" i="5"/>
  <c r="C563" i="5"/>
  <c r="B563" i="5"/>
  <c r="E562" i="5"/>
  <c r="D562" i="5"/>
  <c r="C562" i="5"/>
  <c r="B562" i="5"/>
  <c r="E561" i="5"/>
  <c r="D561" i="5"/>
  <c r="C561" i="5"/>
  <c r="B561" i="5"/>
  <c r="E560" i="5"/>
  <c r="D560" i="5"/>
  <c r="C560" i="5"/>
  <c r="B560" i="5"/>
  <c r="E559" i="5"/>
  <c r="D559" i="5"/>
  <c r="C559" i="5"/>
  <c r="B559" i="5"/>
  <c r="E558" i="5"/>
  <c r="D558" i="5"/>
  <c r="C558" i="5"/>
  <c r="B558" i="5"/>
  <c r="E557" i="5"/>
  <c r="D557" i="5"/>
  <c r="C557" i="5"/>
  <c r="B557" i="5"/>
  <c r="E556" i="5"/>
  <c r="D556" i="5"/>
  <c r="C556" i="5"/>
  <c r="B556" i="5"/>
  <c r="E555" i="5"/>
  <c r="D555" i="5"/>
  <c r="C555" i="5"/>
  <c r="B555" i="5"/>
  <c r="E554" i="5"/>
  <c r="D554" i="5"/>
  <c r="C554" i="5"/>
  <c r="B554" i="5"/>
  <c r="E553" i="5"/>
  <c r="D553" i="5"/>
  <c r="C553" i="5"/>
  <c r="B553" i="5"/>
  <c r="E552" i="5"/>
  <c r="D552" i="5"/>
  <c r="C552" i="5"/>
  <c r="B552" i="5"/>
  <c r="E551" i="5"/>
  <c r="D551" i="5"/>
  <c r="C551" i="5"/>
  <c r="B551" i="5"/>
  <c r="E550" i="5"/>
  <c r="D550" i="5"/>
  <c r="C550" i="5"/>
  <c r="B550" i="5"/>
  <c r="E549" i="5"/>
  <c r="D549" i="5"/>
  <c r="C549" i="5"/>
  <c r="B549" i="5"/>
  <c r="E548" i="5"/>
  <c r="D548" i="5"/>
  <c r="C548" i="5"/>
  <c r="B548" i="5"/>
  <c r="E547" i="5"/>
  <c r="D547" i="5"/>
  <c r="C547" i="5"/>
  <c r="B547" i="5"/>
  <c r="E546" i="5"/>
  <c r="D546" i="5"/>
  <c r="C546" i="5"/>
  <c r="B546" i="5"/>
  <c r="E545" i="5"/>
  <c r="D545" i="5"/>
  <c r="C545" i="5"/>
  <c r="B545" i="5"/>
  <c r="E544" i="5"/>
  <c r="D544" i="5"/>
  <c r="C544" i="5"/>
  <c r="B544" i="5"/>
  <c r="E543" i="5"/>
  <c r="D543" i="5"/>
  <c r="C543" i="5"/>
  <c r="B543" i="5"/>
  <c r="E542" i="5"/>
  <c r="D542" i="5"/>
  <c r="C542" i="5"/>
  <c r="B542" i="5"/>
  <c r="E541" i="5"/>
  <c r="D541" i="5"/>
  <c r="C541" i="5"/>
  <c r="B541" i="5"/>
  <c r="E540" i="5"/>
  <c r="D540" i="5"/>
  <c r="C540" i="5"/>
  <c r="B540" i="5"/>
  <c r="E539" i="5"/>
  <c r="D539" i="5"/>
  <c r="C539" i="5"/>
  <c r="B539" i="5"/>
  <c r="E538" i="5"/>
  <c r="D538" i="5"/>
  <c r="C538" i="5"/>
  <c r="B538" i="5"/>
  <c r="E537" i="5"/>
  <c r="D537" i="5"/>
  <c r="C537" i="5"/>
  <c r="B537" i="5"/>
  <c r="E536" i="5"/>
  <c r="D536" i="5"/>
  <c r="C536" i="5"/>
  <c r="B536" i="5"/>
  <c r="E535" i="5"/>
  <c r="D535" i="5"/>
  <c r="C535" i="5"/>
  <c r="B535" i="5"/>
  <c r="E534" i="5"/>
  <c r="D534" i="5"/>
  <c r="C534" i="5"/>
  <c r="B534" i="5"/>
  <c r="E533" i="5"/>
  <c r="D533" i="5"/>
  <c r="C533" i="5"/>
  <c r="B533" i="5"/>
  <c r="E532" i="5"/>
  <c r="D532" i="5"/>
  <c r="C532" i="5"/>
  <c r="B532" i="5"/>
  <c r="E531" i="5"/>
  <c r="D531" i="5"/>
  <c r="C531" i="5"/>
  <c r="B531" i="5"/>
  <c r="E530" i="5"/>
  <c r="D530" i="5"/>
  <c r="C530" i="5"/>
  <c r="B530" i="5"/>
  <c r="E529" i="5"/>
  <c r="D529" i="5"/>
  <c r="C529" i="5"/>
  <c r="B529" i="5"/>
  <c r="E528" i="5"/>
  <c r="D528" i="5"/>
  <c r="C528" i="5"/>
  <c r="B528" i="5"/>
  <c r="E527" i="5"/>
  <c r="D527" i="5"/>
  <c r="C527" i="5"/>
  <c r="B527" i="5"/>
  <c r="E526" i="5"/>
  <c r="D526" i="5"/>
  <c r="C526" i="5"/>
  <c r="B526" i="5"/>
  <c r="E525" i="5"/>
  <c r="D525" i="5"/>
  <c r="C525" i="5"/>
  <c r="B525" i="5"/>
  <c r="E524" i="5"/>
  <c r="D524" i="5"/>
  <c r="C524" i="5"/>
  <c r="B524" i="5"/>
  <c r="E523" i="5"/>
  <c r="D523" i="5"/>
  <c r="C523" i="5"/>
  <c r="B523" i="5"/>
  <c r="E522" i="5"/>
  <c r="D522" i="5"/>
  <c r="C522" i="5"/>
  <c r="B522" i="5"/>
  <c r="E521" i="5"/>
  <c r="D521" i="5"/>
  <c r="C521" i="5"/>
  <c r="B521" i="5"/>
  <c r="E520" i="5"/>
  <c r="D520" i="5"/>
  <c r="C520" i="5"/>
  <c r="B520" i="5"/>
  <c r="E519" i="5"/>
  <c r="D519" i="5"/>
  <c r="C519" i="5"/>
  <c r="B519" i="5"/>
  <c r="E518" i="5"/>
  <c r="D518" i="5"/>
  <c r="C518" i="5"/>
  <c r="B518" i="5"/>
  <c r="E517" i="5"/>
  <c r="D517" i="5"/>
  <c r="C517" i="5"/>
  <c r="B517" i="5"/>
  <c r="E516" i="5"/>
  <c r="D516" i="5"/>
  <c r="C516" i="5"/>
  <c r="B516" i="5"/>
  <c r="E515" i="5"/>
  <c r="D515" i="5"/>
  <c r="C515" i="5"/>
  <c r="B515" i="5"/>
  <c r="E514" i="5"/>
  <c r="D514" i="5"/>
  <c r="C514" i="5"/>
  <c r="B514" i="5"/>
  <c r="E513" i="5"/>
  <c r="D513" i="5"/>
  <c r="C513" i="5"/>
  <c r="B513" i="5"/>
  <c r="E512" i="5"/>
  <c r="D512" i="5"/>
  <c r="C512" i="5"/>
  <c r="B512" i="5"/>
  <c r="E511" i="5"/>
  <c r="D511" i="5"/>
  <c r="C511" i="5"/>
  <c r="B511" i="5"/>
  <c r="E510" i="5"/>
  <c r="D510" i="5"/>
  <c r="C510" i="5"/>
  <c r="B510" i="5"/>
  <c r="E509" i="5"/>
  <c r="D509" i="5"/>
  <c r="C509" i="5"/>
  <c r="B509" i="5"/>
  <c r="E508" i="5"/>
  <c r="D508" i="5"/>
  <c r="C508" i="5"/>
  <c r="B508" i="5"/>
  <c r="E507" i="5"/>
  <c r="D507" i="5"/>
  <c r="C507" i="5"/>
  <c r="B507" i="5"/>
  <c r="E506" i="5"/>
  <c r="D506" i="5"/>
  <c r="C506" i="5"/>
  <c r="B506" i="5"/>
  <c r="E505" i="5"/>
  <c r="D505" i="5"/>
  <c r="C505" i="5"/>
  <c r="B505" i="5"/>
  <c r="E504" i="5"/>
  <c r="D504" i="5"/>
  <c r="C504" i="5"/>
  <c r="B504" i="5"/>
  <c r="E503" i="5"/>
  <c r="D503" i="5"/>
  <c r="C503" i="5"/>
  <c r="B503" i="5"/>
  <c r="E502" i="5"/>
  <c r="D502" i="5"/>
  <c r="C502" i="5"/>
  <c r="B502" i="5"/>
  <c r="E501" i="5"/>
  <c r="D501" i="5"/>
  <c r="C501" i="5"/>
  <c r="B501" i="5"/>
  <c r="E500" i="5"/>
  <c r="D500" i="5"/>
  <c r="C500" i="5"/>
  <c r="B500" i="5"/>
  <c r="E499" i="5"/>
  <c r="D499" i="5"/>
  <c r="C499" i="5"/>
  <c r="B499" i="5"/>
  <c r="E498" i="5"/>
  <c r="D498" i="5"/>
  <c r="C498" i="5"/>
  <c r="B498" i="5"/>
  <c r="E497" i="5"/>
  <c r="D497" i="5"/>
  <c r="C497" i="5"/>
  <c r="B497" i="5"/>
  <c r="E496" i="5"/>
  <c r="D496" i="5"/>
  <c r="C496" i="5"/>
  <c r="B496" i="5"/>
  <c r="E495" i="5"/>
  <c r="D495" i="5"/>
  <c r="C495" i="5"/>
  <c r="B495" i="5"/>
  <c r="E494" i="5"/>
  <c r="D494" i="5"/>
  <c r="C494" i="5"/>
  <c r="B494" i="5"/>
  <c r="E493" i="5"/>
  <c r="D493" i="5"/>
  <c r="C493" i="5"/>
  <c r="B493" i="5"/>
  <c r="E492" i="5"/>
  <c r="D492" i="5"/>
  <c r="C492" i="5"/>
  <c r="B492" i="5"/>
  <c r="E491" i="5"/>
  <c r="D491" i="5"/>
  <c r="C491" i="5"/>
  <c r="B491" i="5"/>
  <c r="E490" i="5"/>
  <c r="D490" i="5"/>
  <c r="C490" i="5"/>
  <c r="B490" i="5"/>
  <c r="E489" i="5"/>
  <c r="D489" i="5"/>
  <c r="C489" i="5"/>
  <c r="B489" i="5"/>
  <c r="E488" i="5"/>
  <c r="D488" i="5"/>
  <c r="C488" i="5"/>
  <c r="B488" i="5"/>
  <c r="E487" i="5"/>
  <c r="D487" i="5"/>
  <c r="C487" i="5"/>
  <c r="B487" i="5"/>
  <c r="E486" i="5"/>
  <c r="D486" i="5"/>
  <c r="C486" i="5"/>
  <c r="B486" i="5"/>
  <c r="E485" i="5"/>
  <c r="D485" i="5"/>
  <c r="C485" i="5"/>
  <c r="B485" i="5"/>
  <c r="E484" i="5"/>
  <c r="D484" i="5"/>
  <c r="C484" i="5"/>
  <c r="B484" i="5"/>
  <c r="E483" i="5"/>
  <c r="D483" i="5"/>
  <c r="C483" i="5"/>
  <c r="B483" i="5"/>
  <c r="E482" i="5"/>
  <c r="D482" i="5"/>
  <c r="C482" i="5"/>
  <c r="B482" i="5"/>
  <c r="E481" i="5"/>
  <c r="D481" i="5"/>
  <c r="C481" i="5"/>
  <c r="B481" i="5"/>
  <c r="E480" i="5"/>
  <c r="D480" i="5"/>
  <c r="C480" i="5"/>
  <c r="B480" i="5"/>
  <c r="E479" i="5"/>
  <c r="D479" i="5"/>
  <c r="C479" i="5"/>
  <c r="B479" i="5"/>
  <c r="E478" i="5"/>
  <c r="D478" i="5"/>
  <c r="C478" i="5"/>
  <c r="B478" i="5"/>
  <c r="E477" i="5"/>
  <c r="D477" i="5"/>
  <c r="C477" i="5"/>
  <c r="B477" i="5"/>
  <c r="E476" i="5"/>
  <c r="D476" i="5"/>
  <c r="C476" i="5"/>
  <c r="B476" i="5"/>
  <c r="E475" i="5"/>
  <c r="D475" i="5"/>
  <c r="C475" i="5"/>
  <c r="B475" i="5"/>
  <c r="E474" i="5"/>
  <c r="D474" i="5"/>
  <c r="C474" i="5"/>
  <c r="B474" i="5"/>
  <c r="E473" i="5"/>
  <c r="D473" i="5"/>
  <c r="C473" i="5"/>
  <c r="B473" i="5"/>
  <c r="E472" i="5"/>
  <c r="D472" i="5"/>
  <c r="C472" i="5"/>
  <c r="B472" i="5"/>
  <c r="E471" i="5"/>
  <c r="D471" i="5"/>
  <c r="C471" i="5"/>
  <c r="B471" i="5"/>
  <c r="E470" i="5"/>
  <c r="D470" i="5"/>
  <c r="C470" i="5"/>
  <c r="B470" i="5"/>
  <c r="E469" i="5"/>
  <c r="D469" i="5"/>
  <c r="C469" i="5"/>
  <c r="B469" i="5"/>
  <c r="E468" i="5"/>
  <c r="D468" i="5"/>
  <c r="C468" i="5"/>
  <c r="B468" i="5"/>
  <c r="E467" i="5"/>
  <c r="D467" i="5"/>
  <c r="C467" i="5"/>
  <c r="B467" i="5"/>
  <c r="E466" i="5"/>
  <c r="D466" i="5"/>
  <c r="C466" i="5"/>
  <c r="B466" i="5"/>
  <c r="E465" i="5"/>
  <c r="D465" i="5"/>
  <c r="C465" i="5"/>
  <c r="B465" i="5"/>
  <c r="E464" i="5"/>
  <c r="D464" i="5"/>
  <c r="C464" i="5"/>
  <c r="B464" i="5"/>
  <c r="E463" i="5"/>
  <c r="D463" i="5"/>
  <c r="C463" i="5"/>
  <c r="B463" i="5"/>
  <c r="E462" i="5"/>
  <c r="D462" i="5"/>
  <c r="C462" i="5"/>
  <c r="B462" i="5"/>
  <c r="E461" i="5"/>
  <c r="D461" i="5"/>
  <c r="C461" i="5"/>
  <c r="B461" i="5"/>
  <c r="E460" i="5"/>
  <c r="D460" i="5"/>
  <c r="C460" i="5"/>
  <c r="B460" i="5"/>
  <c r="E459" i="5"/>
  <c r="D459" i="5"/>
  <c r="C459" i="5"/>
  <c r="B459" i="5"/>
  <c r="E458" i="5"/>
  <c r="D458" i="5"/>
  <c r="C458" i="5"/>
  <c r="B458" i="5"/>
  <c r="E457" i="5"/>
  <c r="D457" i="5"/>
  <c r="C457" i="5"/>
  <c r="B457" i="5"/>
  <c r="E456" i="5"/>
  <c r="D456" i="5"/>
  <c r="C456" i="5"/>
  <c r="B456" i="5"/>
  <c r="E455" i="5"/>
  <c r="D455" i="5"/>
  <c r="C455" i="5"/>
  <c r="B455" i="5"/>
  <c r="E454" i="5"/>
  <c r="D454" i="5"/>
  <c r="C454" i="5"/>
  <c r="B454" i="5"/>
  <c r="E453" i="5"/>
  <c r="D453" i="5"/>
  <c r="C453" i="5"/>
  <c r="B453" i="5"/>
  <c r="E452" i="5"/>
  <c r="D452" i="5"/>
  <c r="C452" i="5"/>
  <c r="B452" i="5"/>
  <c r="E451" i="5"/>
  <c r="D451" i="5"/>
  <c r="C451" i="5"/>
  <c r="B451" i="5"/>
  <c r="E450" i="5"/>
  <c r="D450" i="5"/>
  <c r="C450" i="5"/>
  <c r="B450" i="5"/>
  <c r="E449" i="5"/>
  <c r="D449" i="5"/>
  <c r="C449" i="5"/>
  <c r="B449" i="5"/>
  <c r="E448" i="5"/>
  <c r="D448" i="5"/>
  <c r="C448" i="5"/>
  <c r="B448" i="5"/>
  <c r="E447" i="5"/>
  <c r="D447" i="5"/>
  <c r="C447" i="5"/>
  <c r="B447" i="5"/>
  <c r="E446" i="5"/>
  <c r="D446" i="5"/>
  <c r="C446" i="5"/>
  <c r="B446" i="5"/>
  <c r="E445" i="5"/>
  <c r="D445" i="5"/>
  <c r="C445" i="5"/>
  <c r="B445" i="5"/>
  <c r="E444" i="5"/>
  <c r="D444" i="5"/>
  <c r="C444" i="5"/>
  <c r="B444" i="5"/>
  <c r="E443" i="5"/>
  <c r="D443" i="5"/>
  <c r="C443" i="5"/>
  <c r="B443" i="5"/>
  <c r="E442" i="5"/>
  <c r="D442" i="5"/>
  <c r="C442" i="5"/>
  <c r="B442" i="5"/>
  <c r="E441" i="5"/>
  <c r="D441" i="5"/>
  <c r="C441" i="5"/>
  <c r="B441" i="5"/>
  <c r="E440" i="5"/>
  <c r="D440" i="5"/>
  <c r="C440" i="5"/>
  <c r="B440" i="5"/>
  <c r="E439" i="5"/>
  <c r="D439" i="5"/>
  <c r="C439" i="5"/>
  <c r="B439" i="5"/>
  <c r="E438" i="5"/>
  <c r="D438" i="5"/>
  <c r="C438" i="5"/>
  <c r="B438" i="5"/>
  <c r="E437" i="5"/>
  <c r="D437" i="5"/>
  <c r="C437" i="5"/>
  <c r="B437" i="5"/>
  <c r="E436" i="5"/>
  <c r="D436" i="5"/>
  <c r="C436" i="5"/>
  <c r="B436" i="5"/>
  <c r="E435" i="5"/>
  <c r="D435" i="5"/>
  <c r="C435" i="5"/>
  <c r="B435" i="5"/>
  <c r="E434" i="5"/>
  <c r="D434" i="5"/>
  <c r="C434" i="5"/>
  <c r="B434" i="5"/>
  <c r="E433" i="5"/>
  <c r="D433" i="5"/>
  <c r="C433" i="5"/>
  <c r="B433" i="5"/>
  <c r="E432" i="5"/>
  <c r="D432" i="5"/>
  <c r="C432" i="5"/>
  <c r="B432" i="5"/>
  <c r="E431" i="5"/>
  <c r="D431" i="5"/>
  <c r="C431" i="5"/>
  <c r="B431" i="5"/>
  <c r="E430" i="5"/>
  <c r="D430" i="5"/>
  <c r="C430" i="5"/>
  <c r="B430" i="5"/>
  <c r="E429" i="5"/>
  <c r="D429" i="5"/>
  <c r="C429" i="5"/>
  <c r="B429" i="5"/>
  <c r="E428" i="5"/>
  <c r="D428" i="5"/>
  <c r="C428" i="5"/>
  <c r="B428" i="5"/>
  <c r="E427" i="5"/>
  <c r="D427" i="5"/>
  <c r="C427" i="5"/>
  <c r="B427" i="5"/>
  <c r="E426" i="5"/>
  <c r="D426" i="5"/>
  <c r="C426" i="5"/>
  <c r="B426" i="5"/>
  <c r="E425" i="5"/>
  <c r="D425" i="5"/>
  <c r="C425" i="5"/>
  <c r="B425" i="5"/>
  <c r="E424" i="5"/>
  <c r="D424" i="5"/>
  <c r="C424" i="5"/>
  <c r="B424" i="5"/>
  <c r="E423" i="5"/>
  <c r="D423" i="5"/>
  <c r="C423" i="5"/>
  <c r="B423" i="5"/>
  <c r="E422" i="5"/>
  <c r="D422" i="5"/>
  <c r="C422" i="5"/>
  <c r="B422" i="5"/>
  <c r="E421" i="5"/>
  <c r="D421" i="5"/>
  <c r="C421" i="5"/>
  <c r="B421" i="5"/>
  <c r="E420" i="5"/>
  <c r="D420" i="5"/>
  <c r="C420" i="5"/>
  <c r="B420" i="5"/>
  <c r="E419" i="5"/>
  <c r="D419" i="5"/>
  <c r="C419" i="5"/>
  <c r="B419" i="5"/>
  <c r="E418" i="5"/>
  <c r="D418" i="5"/>
  <c r="C418" i="5"/>
  <c r="B418" i="5"/>
  <c r="E417" i="5"/>
  <c r="D417" i="5"/>
  <c r="C417" i="5"/>
  <c r="B417" i="5"/>
  <c r="E416" i="5"/>
  <c r="D416" i="5"/>
  <c r="C416" i="5"/>
  <c r="B416" i="5"/>
  <c r="E415" i="5"/>
  <c r="D415" i="5"/>
  <c r="C415" i="5"/>
  <c r="B415" i="5"/>
  <c r="E414" i="5"/>
  <c r="D414" i="5"/>
  <c r="C414" i="5"/>
  <c r="B414" i="5"/>
  <c r="E413" i="5"/>
  <c r="D413" i="5"/>
  <c r="C413" i="5"/>
  <c r="B413" i="5"/>
  <c r="E412" i="5"/>
  <c r="D412" i="5"/>
  <c r="C412" i="5"/>
  <c r="B412" i="5"/>
  <c r="E411" i="5"/>
  <c r="D411" i="5"/>
  <c r="C411" i="5"/>
  <c r="B411" i="5"/>
  <c r="E410" i="5"/>
  <c r="D410" i="5"/>
  <c r="C410" i="5"/>
  <c r="B410" i="5"/>
  <c r="E409" i="5"/>
  <c r="D409" i="5"/>
  <c r="C409" i="5"/>
  <c r="B409" i="5"/>
  <c r="E408" i="5"/>
  <c r="D408" i="5"/>
  <c r="C408" i="5"/>
  <c r="B408" i="5"/>
  <c r="E407" i="5"/>
  <c r="D407" i="5"/>
  <c r="C407" i="5"/>
  <c r="B407" i="5"/>
  <c r="E406" i="5"/>
  <c r="D406" i="5"/>
  <c r="C406" i="5"/>
  <c r="B406" i="5"/>
  <c r="E405" i="5"/>
  <c r="D405" i="5"/>
  <c r="C405" i="5"/>
  <c r="B405" i="5"/>
  <c r="E404" i="5"/>
  <c r="D404" i="5"/>
  <c r="C404" i="5"/>
  <c r="B404" i="5"/>
  <c r="E403" i="5"/>
  <c r="D403" i="5"/>
  <c r="C403" i="5"/>
  <c r="B403" i="5"/>
  <c r="E402" i="5"/>
  <c r="D402" i="5"/>
  <c r="C402" i="5"/>
  <c r="B402" i="5"/>
  <c r="E401" i="5"/>
  <c r="D401" i="5"/>
  <c r="C401" i="5"/>
  <c r="B401" i="5"/>
  <c r="E400" i="5"/>
  <c r="D400" i="5"/>
  <c r="C400" i="5"/>
  <c r="B400" i="5"/>
  <c r="E399" i="5"/>
  <c r="D399" i="5"/>
  <c r="C399" i="5"/>
  <c r="B399" i="5"/>
  <c r="E398" i="5"/>
  <c r="D398" i="5"/>
  <c r="C398" i="5"/>
  <c r="B398" i="5"/>
  <c r="E397" i="5"/>
  <c r="D397" i="5"/>
  <c r="C397" i="5"/>
  <c r="B397" i="5"/>
  <c r="E396" i="5"/>
  <c r="D396" i="5"/>
  <c r="C396" i="5"/>
  <c r="B396" i="5"/>
  <c r="E395" i="5"/>
  <c r="D395" i="5"/>
  <c r="C395" i="5"/>
  <c r="B395" i="5"/>
  <c r="E394" i="5"/>
  <c r="D394" i="5"/>
  <c r="C394" i="5"/>
  <c r="B394" i="5"/>
  <c r="E393" i="5"/>
  <c r="D393" i="5"/>
  <c r="C393" i="5"/>
  <c r="B393" i="5"/>
  <c r="E392" i="5"/>
  <c r="D392" i="5"/>
  <c r="C392" i="5"/>
  <c r="B392" i="5"/>
  <c r="E391" i="5"/>
  <c r="D391" i="5"/>
  <c r="C391" i="5"/>
  <c r="B391" i="5"/>
  <c r="E390" i="5"/>
  <c r="D390" i="5"/>
  <c r="C390" i="5"/>
  <c r="B390" i="5"/>
  <c r="E389" i="5"/>
  <c r="D389" i="5"/>
  <c r="C389" i="5"/>
  <c r="B389" i="5"/>
  <c r="E388" i="5"/>
  <c r="D388" i="5"/>
  <c r="C388" i="5"/>
  <c r="B388" i="5"/>
  <c r="E387" i="5"/>
  <c r="D387" i="5"/>
  <c r="C387" i="5"/>
  <c r="B387" i="5"/>
  <c r="E386" i="5"/>
  <c r="D386" i="5"/>
  <c r="C386" i="5"/>
  <c r="B386" i="5"/>
  <c r="E385" i="5"/>
  <c r="D385" i="5"/>
  <c r="C385" i="5"/>
  <c r="B385" i="5"/>
  <c r="E384" i="5"/>
  <c r="D384" i="5"/>
  <c r="C384" i="5"/>
  <c r="B384" i="5"/>
  <c r="E383" i="5"/>
  <c r="D383" i="5"/>
  <c r="C383" i="5"/>
  <c r="B383" i="5"/>
  <c r="E382" i="5"/>
  <c r="D382" i="5"/>
  <c r="C382" i="5"/>
  <c r="B382" i="5"/>
  <c r="E381" i="5"/>
  <c r="D381" i="5"/>
  <c r="C381" i="5"/>
  <c r="B381" i="5"/>
  <c r="E380" i="5"/>
  <c r="D380" i="5"/>
  <c r="C380" i="5"/>
  <c r="B380" i="5"/>
  <c r="E379" i="5"/>
  <c r="D379" i="5"/>
  <c r="C379" i="5"/>
  <c r="B379" i="5"/>
  <c r="E378" i="5"/>
  <c r="D378" i="5"/>
  <c r="C378" i="5"/>
  <c r="B378" i="5"/>
  <c r="E377" i="5"/>
  <c r="D377" i="5"/>
  <c r="C377" i="5"/>
  <c r="B377" i="5"/>
  <c r="E376" i="5"/>
  <c r="D376" i="5"/>
  <c r="C376" i="5"/>
  <c r="B376" i="5"/>
  <c r="E375" i="5"/>
  <c r="D375" i="5"/>
  <c r="C375" i="5"/>
  <c r="B375" i="5"/>
  <c r="E374" i="5"/>
  <c r="D374" i="5"/>
  <c r="C374" i="5"/>
  <c r="B374" i="5"/>
  <c r="E373" i="5"/>
  <c r="D373" i="5"/>
  <c r="C373" i="5"/>
  <c r="B373" i="5"/>
  <c r="E372" i="5"/>
  <c r="D372" i="5"/>
  <c r="C372" i="5"/>
  <c r="B372" i="5"/>
  <c r="E371" i="5"/>
  <c r="D371" i="5"/>
  <c r="C371" i="5"/>
  <c r="B371" i="5"/>
  <c r="E370" i="5"/>
  <c r="D370" i="5"/>
  <c r="C370" i="5"/>
  <c r="B370" i="5"/>
  <c r="E369" i="5"/>
  <c r="D369" i="5"/>
  <c r="C369" i="5"/>
  <c r="B369" i="5"/>
  <c r="E368" i="5"/>
  <c r="D368" i="5"/>
  <c r="C368" i="5"/>
  <c r="B368" i="5"/>
  <c r="E367" i="5"/>
  <c r="D367" i="5"/>
  <c r="C367" i="5"/>
  <c r="B367" i="5"/>
  <c r="E366" i="5"/>
  <c r="D366" i="5"/>
  <c r="C366" i="5"/>
  <c r="B366" i="5"/>
  <c r="E365" i="5"/>
  <c r="D365" i="5"/>
  <c r="C365" i="5"/>
  <c r="B365" i="5"/>
  <c r="E364" i="5"/>
  <c r="D364" i="5"/>
  <c r="C364" i="5"/>
  <c r="B364" i="5"/>
  <c r="E363" i="5"/>
  <c r="D363" i="5"/>
  <c r="C363" i="5"/>
  <c r="B363" i="5"/>
  <c r="E362" i="5"/>
  <c r="D362" i="5"/>
  <c r="C362" i="5"/>
  <c r="B362" i="5"/>
  <c r="E361" i="5"/>
  <c r="D361" i="5"/>
  <c r="C361" i="5"/>
  <c r="B361" i="5"/>
  <c r="E360" i="5"/>
  <c r="D360" i="5"/>
  <c r="C360" i="5"/>
  <c r="B360" i="5"/>
  <c r="E359" i="5"/>
  <c r="D359" i="5"/>
  <c r="C359" i="5"/>
  <c r="B359" i="5"/>
  <c r="E358" i="5"/>
  <c r="D358" i="5"/>
  <c r="C358" i="5"/>
  <c r="B358" i="5"/>
  <c r="E357" i="5"/>
  <c r="D357" i="5"/>
  <c r="C357" i="5"/>
  <c r="B357" i="5"/>
  <c r="E356" i="5"/>
  <c r="D356" i="5"/>
  <c r="C356" i="5"/>
  <c r="B356" i="5"/>
  <c r="E355" i="5"/>
  <c r="D355" i="5"/>
  <c r="C355" i="5"/>
  <c r="B355" i="5"/>
  <c r="E354" i="5"/>
  <c r="D354" i="5"/>
  <c r="C354" i="5"/>
  <c r="B354" i="5"/>
  <c r="E353" i="5"/>
  <c r="D353" i="5"/>
  <c r="C353" i="5"/>
  <c r="B353" i="5"/>
  <c r="E352" i="5"/>
  <c r="D352" i="5"/>
  <c r="C352" i="5"/>
  <c r="B352" i="5"/>
  <c r="E351" i="5"/>
  <c r="D351" i="5"/>
  <c r="C351" i="5"/>
  <c r="B351" i="5"/>
  <c r="E350" i="5"/>
  <c r="D350" i="5"/>
  <c r="C350" i="5"/>
  <c r="B350" i="5"/>
  <c r="E349" i="5"/>
  <c r="D349" i="5"/>
  <c r="C349" i="5"/>
  <c r="B349" i="5"/>
  <c r="E348" i="5"/>
  <c r="D348" i="5"/>
  <c r="C348" i="5"/>
  <c r="B348" i="5"/>
  <c r="E347" i="5"/>
  <c r="D347" i="5"/>
  <c r="C347" i="5"/>
  <c r="B347" i="5"/>
  <c r="E346" i="5"/>
  <c r="D346" i="5"/>
  <c r="C346" i="5"/>
  <c r="B346" i="5"/>
  <c r="E345" i="5"/>
  <c r="D345" i="5"/>
  <c r="C345" i="5"/>
  <c r="B345" i="5"/>
  <c r="E344" i="5"/>
  <c r="D344" i="5"/>
  <c r="C344" i="5"/>
  <c r="B344" i="5"/>
  <c r="E343" i="5"/>
  <c r="D343" i="5"/>
  <c r="C343" i="5"/>
  <c r="B343" i="5"/>
  <c r="E342" i="5"/>
  <c r="D342" i="5"/>
  <c r="C342" i="5"/>
  <c r="B342" i="5"/>
  <c r="E341" i="5"/>
  <c r="D341" i="5"/>
  <c r="C341" i="5"/>
  <c r="B341" i="5"/>
  <c r="E340" i="5"/>
  <c r="D340" i="5"/>
  <c r="C340" i="5"/>
  <c r="B340" i="5"/>
  <c r="E339" i="5"/>
  <c r="D339" i="5"/>
  <c r="C339" i="5"/>
  <c r="B339" i="5"/>
  <c r="E338" i="5"/>
  <c r="D338" i="5"/>
  <c r="C338" i="5"/>
  <c r="B338" i="5"/>
  <c r="E337" i="5"/>
  <c r="D337" i="5"/>
  <c r="C337" i="5"/>
  <c r="B337" i="5"/>
  <c r="E336" i="5"/>
  <c r="D336" i="5"/>
  <c r="C336" i="5"/>
  <c r="B336" i="5"/>
  <c r="E335" i="5"/>
  <c r="D335" i="5"/>
  <c r="C335" i="5"/>
  <c r="B335" i="5"/>
  <c r="E334" i="5"/>
  <c r="D334" i="5"/>
  <c r="C334" i="5"/>
  <c r="B334" i="5"/>
  <c r="E333" i="5"/>
  <c r="D333" i="5"/>
  <c r="C333" i="5"/>
  <c r="B333" i="5"/>
  <c r="E332" i="5"/>
  <c r="D332" i="5"/>
  <c r="C332" i="5"/>
  <c r="B332" i="5"/>
  <c r="E331" i="5"/>
  <c r="D331" i="5"/>
  <c r="C331" i="5"/>
  <c r="B331" i="5"/>
  <c r="E330" i="5"/>
  <c r="D330" i="5"/>
  <c r="C330" i="5"/>
  <c r="B330" i="5"/>
  <c r="E329" i="5"/>
  <c r="D329" i="5"/>
  <c r="C329" i="5"/>
  <c r="B329" i="5"/>
  <c r="E328" i="5"/>
  <c r="D328" i="5"/>
  <c r="C328" i="5"/>
  <c r="B328" i="5"/>
  <c r="E327" i="5"/>
  <c r="D327" i="5"/>
  <c r="C327" i="5"/>
  <c r="B327" i="5"/>
  <c r="E326" i="5"/>
  <c r="D326" i="5"/>
  <c r="C326" i="5"/>
  <c r="B326" i="5"/>
  <c r="E325" i="5"/>
  <c r="D325" i="5"/>
  <c r="C325" i="5"/>
  <c r="B325" i="5"/>
  <c r="E324" i="5"/>
  <c r="D324" i="5"/>
  <c r="C324" i="5"/>
  <c r="B324" i="5"/>
  <c r="E323" i="5"/>
  <c r="D323" i="5"/>
  <c r="C323" i="5"/>
  <c r="B323" i="5"/>
  <c r="E322" i="5"/>
  <c r="D322" i="5"/>
  <c r="C322" i="5"/>
  <c r="B322" i="5"/>
  <c r="E321" i="5"/>
  <c r="D321" i="5"/>
  <c r="C321" i="5"/>
  <c r="B321" i="5"/>
  <c r="E320" i="5"/>
  <c r="D320" i="5"/>
  <c r="C320" i="5"/>
  <c r="B320" i="5"/>
  <c r="E319" i="5"/>
  <c r="D319" i="5"/>
  <c r="C319" i="5"/>
  <c r="B319" i="5"/>
  <c r="E318" i="5"/>
  <c r="D318" i="5"/>
  <c r="C318" i="5"/>
  <c r="B318" i="5"/>
  <c r="E317" i="5"/>
  <c r="D317" i="5"/>
  <c r="C317" i="5"/>
  <c r="B317" i="5"/>
  <c r="E316" i="5"/>
  <c r="D316" i="5"/>
  <c r="C316" i="5"/>
  <c r="B316" i="5"/>
  <c r="E315" i="5"/>
  <c r="D315" i="5"/>
  <c r="C315" i="5"/>
  <c r="B315" i="5"/>
  <c r="E314" i="5"/>
  <c r="D314" i="5"/>
  <c r="C314" i="5"/>
  <c r="B314" i="5"/>
  <c r="E313" i="5"/>
  <c r="D313" i="5"/>
  <c r="C313" i="5"/>
  <c r="B313" i="5"/>
  <c r="E312" i="5"/>
  <c r="D312" i="5"/>
  <c r="C312" i="5"/>
  <c r="B312" i="5"/>
  <c r="E311" i="5"/>
  <c r="D311" i="5"/>
  <c r="C311" i="5"/>
  <c r="B311" i="5"/>
  <c r="E310" i="5"/>
  <c r="D310" i="5"/>
  <c r="C310" i="5"/>
  <c r="B310" i="5"/>
  <c r="E309" i="5"/>
  <c r="D309" i="5"/>
  <c r="C309" i="5"/>
  <c r="B309" i="5"/>
  <c r="E308" i="5"/>
  <c r="D308" i="5"/>
  <c r="C308" i="5"/>
  <c r="B308" i="5"/>
  <c r="E307" i="5"/>
  <c r="D307" i="5"/>
  <c r="C307" i="5"/>
  <c r="B307" i="5"/>
  <c r="E306" i="5"/>
  <c r="D306" i="5"/>
  <c r="C306" i="5"/>
  <c r="B306" i="5"/>
  <c r="E305" i="5"/>
  <c r="D305" i="5"/>
  <c r="C305" i="5"/>
  <c r="B305" i="5"/>
  <c r="E304" i="5"/>
  <c r="D304" i="5"/>
  <c r="C304" i="5"/>
  <c r="B304" i="5"/>
  <c r="E303" i="5"/>
  <c r="D303" i="5"/>
  <c r="C303" i="5"/>
  <c r="B303" i="5"/>
  <c r="E302" i="5"/>
  <c r="D302" i="5"/>
  <c r="C302" i="5"/>
  <c r="B302" i="5"/>
  <c r="E301" i="5"/>
  <c r="D301" i="5"/>
  <c r="C301" i="5"/>
  <c r="B301" i="5"/>
  <c r="E300" i="5"/>
  <c r="D300" i="5"/>
  <c r="C300" i="5"/>
  <c r="B300" i="5"/>
  <c r="E299" i="5"/>
  <c r="D299" i="5"/>
  <c r="C299" i="5"/>
  <c r="B299" i="5"/>
  <c r="E298" i="5"/>
  <c r="D298" i="5"/>
  <c r="C298" i="5"/>
  <c r="B298" i="5"/>
  <c r="E297" i="5"/>
  <c r="D297" i="5"/>
  <c r="C297" i="5"/>
  <c r="B297" i="5"/>
  <c r="E296" i="5"/>
  <c r="D296" i="5"/>
  <c r="C296" i="5"/>
  <c r="B296" i="5"/>
  <c r="E295" i="5"/>
  <c r="D295" i="5"/>
  <c r="C295" i="5"/>
  <c r="B295" i="5"/>
  <c r="E294" i="5"/>
  <c r="D294" i="5"/>
  <c r="C294" i="5"/>
  <c r="B294" i="5"/>
  <c r="E293" i="5"/>
  <c r="D293" i="5"/>
  <c r="C293" i="5"/>
  <c r="B293" i="5"/>
  <c r="E292" i="5"/>
  <c r="D292" i="5"/>
  <c r="C292" i="5"/>
  <c r="B292" i="5"/>
  <c r="E291" i="5"/>
  <c r="D291" i="5"/>
  <c r="C291" i="5"/>
  <c r="B291" i="5"/>
  <c r="E290" i="5"/>
  <c r="D290" i="5"/>
  <c r="C290" i="5"/>
  <c r="B290" i="5"/>
  <c r="E289" i="5"/>
  <c r="D289" i="5"/>
  <c r="C289" i="5"/>
  <c r="B289" i="5"/>
  <c r="E288" i="5"/>
  <c r="D288" i="5"/>
  <c r="C288" i="5"/>
  <c r="B288" i="5"/>
  <c r="E287" i="5"/>
  <c r="D287" i="5"/>
  <c r="C287" i="5"/>
  <c r="B287" i="5"/>
  <c r="E286" i="5"/>
  <c r="D286" i="5"/>
  <c r="C286" i="5"/>
  <c r="B286" i="5"/>
  <c r="E285" i="5"/>
  <c r="D285" i="5"/>
  <c r="C285" i="5"/>
  <c r="B285" i="5"/>
  <c r="E284" i="5"/>
  <c r="D284" i="5"/>
  <c r="C284" i="5"/>
  <c r="B284" i="5"/>
  <c r="E283" i="5"/>
  <c r="D283" i="5"/>
  <c r="C283" i="5"/>
  <c r="B283" i="5"/>
  <c r="E282" i="5"/>
  <c r="D282" i="5"/>
  <c r="C282" i="5"/>
  <c r="B282" i="5"/>
  <c r="E281" i="5"/>
  <c r="D281" i="5"/>
  <c r="C281" i="5"/>
  <c r="B281" i="5"/>
  <c r="E280" i="5"/>
  <c r="D280" i="5"/>
  <c r="C280" i="5"/>
  <c r="B280" i="5"/>
  <c r="E279" i="5"/>
  <c r="D279" i="5"/>
  <c r="C279" i="5"/>
  <c r="B279" i="5"/>
  <c r="E278" i="5"/>
  <c r="D278" i="5"/>
  <c r="C278" i="5"/>
  <c r="B278" i="5"/>
  <c r="E277" i="5"/>
  <c r="D277" i="5"/>
  <c r="C277" i="5"/>
  <c r="B277" i="5"/>
  <c r="E276" i="5"/>
  <c r="D276" i="5"/>
  <c r="C276" i="5"/>
  <c r="B276" i="5"/>
  <c r="E275" i="5"/>
  <c r="D275" i="5"/>
  <c r="C275" i="5"/>
  <c r="B275" i="5"/>
  <c r="E274" i="5"/>
  <c r="D274" i="5"/>
  <c r="C274" i="5"/>
  <c r="B274" i="5"/>
  <c r="E273" i="5"/>
  <c r="D273" i="5"/>
  <c r="C273" i="5"/>
  <c r="B273" i="5"/>
  <c r="E272" i="5"/>
  <c r="D272" i="5"/>
  <c r="C272" i="5"/>
  <c r="B272" i="5"/>
  <c r="E271" i="5"/>
  <c r="D271" i="5"/>
  <c r="C271" i="5"/>
  <c r="B271" i="5"/>
  <c r="E270" i="5"/>
  <c r="D270" i="5"/>
  <c r="C270" i="5"/>
  <c r="B270" i="5"/>
  <c r="E269" i="5"/>
  <c r="D269" i="5"/>
  <c r="C269" i="5"/>
  <c r="B269" i="5"/>
  <c r="E268" i="5"/>
  <c r="D268" i="5"/>
  <c r="C268" i="5"/>
  <c r="B268" i="5"/>
  <c r="E267" i="5"/>
  <c r="D267" i="5"/>
  <c r="C267" i="5"/>
  <c r="B267" i="5"/>
  <c r="E266" i="5"/>
  <c r="D266" i="5"/>
  <c r="C266" i="5"/>
  <c r="B266" i="5"/>
  <c r="E265" i="5"/>
  <c r="D265" i="5"/>
  <c r="C265" i="5"/>
  <c r="B265" i="5"/>
  <c r="E264" i="5"/>
  <c r="D264" i="5"/>
  <c r="C264" i="5"/>
  <c r="B264" i="5"/>
  <c r="E263" i="5"/>
  <c r="D263" i="5"/>
  <c r="C263" i="5"/>
  <c r="B263" i="5"/>
  <c r="E262" i="5"/>
  <c r="D262" i="5"/>
  <c r="C262" i="5"/>
  <c r="B262" i="5"/>
  <c r="E261" i="5"/>
  <c r="D261" i="5"/>
  <c r="C261" i="5"/>
  <c r="B261" i="5"/>
  <c r="E260" i="5"/>
  <c r="D260" i="5"/>
  <c r="C260" i="5"/>
  <c r="B260" i="5"/>
  <c r="E259" i="5"/>
  <c r="D259" i="5"/>
  <c r="C259" i="5"/>
  <c r="B259" i="5"/>
  <c r="E258" i="5"/>
  <c r="D258" i="5"/>
  <c r="C258" i="5"/>
  <c r="B258" i="5"/>
  <c r="E257" i="5"/>
  <c r="D257" i="5"/>
  <c r="C257" i="5"/>
  <c r="B257" i="5"/>
  <c r="E256" i="5"/>
  <c r="D256" i="5"/>
  <c r="C256" i="5"/>
  <c r="B256" i="5"/>
  <c r="E255" i="5"/>
  <c r="D255" i="5"/>
  <c r="C255" i="5"/>
  <c r="B255" i="5"/>
  <c r="E254" i="5"/>
  <c r="D254" i="5"/>
  <c r="C254" i="5"/>
  <c r="B254" i="5"/>
  <c r="E253" i="5"/>
  <c r="D253" i="5"/>
  <c r="C253" i="5"/>
  <c r="B253" i="5"/>
  <c r="E252" i="5"/>
  <c r="D252" i="5"/>
  <c r="C252" i="5"/>
  <c r="B252" i="5"/>
  <c r="E251" i="5"/>
  <c r="D251" i="5"/>
  <c r="C251" i="5"/>
  <c r="B251" i="5"/>
  <c r="E250" i="5"/>
  <c r="D250" i="5"/>
  <c r="C250" i="5"/>
  <c r="B250" i="5"/>
  <c r="E249" i="5"/>
  <c r="D249" i="5"/>
  <c r="C249" i="5"/>
  <c r="B249" i="5"/>
  <c r="E248" i="5"/>
  <c r="D248" i="5"/>
  <c r="C248" i="5"/>
  <c r="B248" i="5"/>
  <c r="E247" i="5"/>
  <c r="D247" i="5"/>
  <c r="C247" i="5"/>
  <c r="B247" i="5"/>
  <c r="E246" i="5"/>
  <c r="D246" i="5"/>
  <c r="C246" i="5"/>
  <c r="B246" i="5"/>
  <c r="E245" i="5"/>
  <c r="D245" i="5"/>
  <c r="C245" i="5"/>
  <c r="B245" i="5"/>
  <c r="E244" i="5"/>
  <c r="D244" i="5"/>
  <c r="C244" i="5"/>
  <c r="B244" i="5"/>
  <c r="E243" i="5"/>
  <c r="D243" i="5"/>
  <c r="C243" i="5"/>
  <c r="B243" i="5"/>
  <c r="E242" i="5"/>
  <c r="D242" i="5"/>
  <c r="C242" i="5"/>
  <c r="B242" i="5"/>
  <c r="E241" i="5"/>
  <c r="D241" i="5"/>
  <c r="C241" i="5"/>
  <c r="B241" i="5"/>
  <c r="E240" i="5"/>
  <c r="D240" i="5"/>
  <c r="C240" i="5"/>
  <c r="B240" i="5"/>
  <c r="E239" i="5"/>
  <c r="D239" i="5"/>
  <c r="C239" i="5"/>
  <c r="B239" i="5"/>
  <c r="E238" i="5"/>
  <c r="D238" i="5"/>
  <c r="C238" i="5"/>
  <c r="B238" i="5"/>
  <c r="E237" i="5"/>
  <c r="D237" i="5"/>
  <c r="C237" i="5"/>
  <c r="B237" i="5"/>
  <c r="E236" i="5"/>
  <c r="D236" i="5"/>
  <c r="C236" i="5"/>
  <c r="B236" i="5"/>
  <c r="E235" i="5"/>
  <c r="D235" i="5"/>
  <c r="C235" i="5"/>
  <c r="B235" i="5"/>
  <c r="E234" i="5"/>
  <c r="D234" i="5"/>
  <c r="C234" i="5"/>
  <c r="B234" i="5"/>
  <c r="E233" i="5"/>
  <c r="D233" i="5"/>
  <c r="C233" i="5"/>
  <c r="B233" i="5"/>
  <c r="E232" i="5"/>
  <c r="D232" i="5"/>
  <c r="C232" i="5"/>
  <c r="B232" i="5"/>
  <c r="E231" i="5"/>
  <c r="D231" i="5"/>
  <c r="C231" i="5"/>
  <c r="B231" i="5"/>
  <c r="E230" i="5"/>
  <c r="D230" i="5"/>
  <c r="C230" i="5"/>
  <c r="B230" i="5"/>
  <c r="E229" i="5"/>
  <c r="D229" i="5"/>
  <c r="C229" i="5"/>
  <c r="B229" i="5"/>
  <c r="E228" i="5"/>
  <c r="D228" i="5"/>
  <c r="C228" i="5"/>
  <c r="B228" i="5"/>
  <c r="E227" i="5"/>
  <c r="D227" i="5"/>
  <c r="C227" i="5"/>
  <c r="B227" i="5"/>
  <c r="E226" i="5"/>
  <c r="D226" i="5"/>
  <c r="C226" i="5"/>
  <c r="B226" i="5"/>
  <c r="E225" i="5"/>
  <c r="D225" i="5"/>
  <c r="C225" i="5"/>
  <c r="B225" i="5"/>
  <c r="E224" i="5"/>
  <c r="D224" i="5"/>
  <c r="C224" i="5"/>
  <c r="B224" i="5"/>
  <c r="E223" i="5"/>
  <c r="D223" i="5"/>
  <c r="C223" i="5"/>
  <c r="B223" i="5"/>
  <c r="E222" i="5"/>
  <c r="D222" i="5"/>
  <c r="C222" i="5"/>
  <c r="B222" i="5"/>
  <c r="E221" i="5"/>
  <c r="D221" i="5"/>
  <c r="C221" i="5"/>
  <c r="B221" i="5"/>
  <c r="E220" i="5"/>
  <c r="D220" i="5"/>
  <c r="C220" i="5"/>
  <c r="B220" i="5"/>
  <c r="E219" i="5"/>
  <c r="D219" i="5"/>
  <c r="C219" i="5"/>
  <c r="B219" i="5"/>
  <c r="E218" i="5"/>
  <c r="D218" i="5"/>
  <c r="C218" i="5"/>
  <c r="B218" i="5"/>
  <c r="E217" i="5"/>
  <c r="D217" i="5"/>
  <c r="C217" i="5"/>
  <c r="B217" i="5"/>
  <c r="E216" i="5"/>
  <c r="D216" i="5"/>
  <c r="C216" i="5"/>
  <c r="B216" i="5"/>
  <c r="E215" i="5"/>
  <c r="D215" i="5"/>
  <c r="C215" i="5"/>
  <c r="B215" i="5"/>
  <c r="E214" i="5"/>
  <c r="D214" i="5"/>
  <c r="C214" i="5"/>
  <c r="B214" i="5"/>
  <c r="E213" i="5"/>
  <c r="D213" i="5"/>
  <c r="C213" i="5"/>
  <c r="B213" i="5"/>
  <c r="E212" i="5"/>
  <c r="D212" i="5"/>
  <c r="C212" i="5"/>
  <c r="B212" i="5"/>
  <c r="E211" i="5"/>
  <c r="D211" i="5"/>
  <c r="C211" i="5"/>
  <c r="B211" i="5"/>
  <c r="E210" i="5"/>
  <c r="D210" i="5"/>
  <c r="C210" i="5"/>
  <c r="B210" i="5"/>
  <c r="E209" i="5"/>
  <c r="D209" i="5"/>
  <c r="C209" i="5"/>
  <c r="B209" i="5"/>
  <c r="E208" i="5"/>
  <c r="D208" i="5"/>
  <c r="C208" i="5"/>
  <c r="B208" i="5"/>
  <c r="E207" i="5"/>
  <c r="D207" i="5"/>
  <c r="C207" i="5"/>
  <c r="B207" i="5"/>
  <c r="E206" i="5"/>
  <c r="D206" i="5"/>
  <c r="C206" i="5"/>
  <c r="B206" i="5"/>
  <c r="E205" i="5"/>
  <c r="D205" i="5"/>
  <c r="C205" i="5"/>
  <c r="B205" i="5"/>
  <c r="E204" i="5"/>
  <c r="D204" i="5"/>
  <c r="C204" i="5"/>
  <c r="B204" i="5"/>
  <c r="E203" i="5"/>
  <c r="D203" i="5"/>
  <c r="C203" i="5"/>
  <c r="B203" i="5"/>
  <c r="E202" i="5"/>
  <c r="D202" i="5"/>
  <c r="C202" i="5"/>
  <c r="B202" i="5"/>
  <c r="E201" i="5"/>
  <c r="D201" i="5"/>
  <c r="C201" i="5"/>
  <c r="B201" i="5"/>
  <c r="E200" i="5"/>
  <c r="D200" i="5"/>
  <c r="C200" i="5"/>
  <c r="B200" i="5"/>
  <c r="E199" i="5"/>
  <c r="D199" i="5"/>
  <c r="C199" i="5"/>
  <c r="B199" i="5"/>
  <c r="E198" i="5"/>
  <c r="D198" i="5"/>
  <c r="C198" i="5"/>
  <c r="B198" i="5"/>
  <c r="E197" i="5"/>
  <c r="D197" i="5"/>
  <c r="C197" i="5"/>
  <c r="B197" i="5"/>
  <c r="E196" i="5"/>
  <c r="D196" i="5"/>
  <c r="C196" i="5"/>
  <c r="B196" i="5"/>
  <c r="E195" i="5"/>
  <c r="D195" i="5"/>
  <c r="C195" i="5"/>
  <c r="B195" i="5"/>
  <c r="E194" i="5"/>
  <c r="D194" i="5"/>
  <c r="C194" i="5"/>
  <c r="B194" i="5"/>
  <c r="E193" i="5"/>
  <c r="D193" i="5"/>
  <c r="C193" i="5"/>
  <c r="B193" i="5"/>
  <c r="E192" i="5"/>
  <c r="D192" i="5"/>
  <c r="C192" i="5"/>
  <c r="B192" i="5"/>
  <c r="E191" i="5"/>
  <c r="D191" i="5"/>
  <c r="C191" i="5"/>
  <c r="B191" i="5"/>
  <c r="E190" i="5"/>
  <c r="D190" i="5"/>
  <c r="C190" i="5"/>
  <c r="B190" i="5"/>
  <c r="E189" i="5"/>
  <c r="D189" i="5"/>
  <c r="C189" i="5"/>
  <c r="B189" i="5"/>
  <c r="E188" i="5"/>
  <c r="D188" i="5"/>
  <c r="C188" i="5"/>
  <c r="B188" i="5"/>
  <c r="E187" i="5"/>
  <c r="D187" i="5"/>
  <c r="C187" i="5"/>
  <c r="B187" i="5"/>
  <c r="E186" i="5"/>
  <c r="D186" i="5"/>
  <c r="C186" i="5"/>
  <c r="B186" i="5"/>
  <c r="E185" i="5"/>
  <c r="D185" i="5"/>
  <c r="C185" i="5"/>
  <c r="B185" i="5"/>
  <c r="E184" i="5"/>
  <c r="D184" i="5"/>
  <c r="C184" i="5"/>
  <c r="B184" i="5"/>
  <c r="E183" i="5"/>
  <c r="D183" i="5"/>
  <c r="C183" i="5"/>
  <c r="B183" i="5"/>
  <c r="E182" i="5"/>
  <c r="D182" i="5"/>
  <c r="C182" i="5"/>
  <c r="B182" i="5"/>
  <c r="E181" i="5"/>
  <c r="D181" i="5"/>
  <c r="C181" i="5"/>
  <c r="B181" i="5"/>
  <c r="E180" i="5"/>
  <c r="D180" i="5"/>
  <c r="C180" i="5"/>
  <c r="B180" i="5"/>
  <c r="E179" i="5"/>
  <c r="D179" i="5"/>
  <c r="C179" i="5"/>
  <c r="B179" i="5"/>
  <c r="E178" i="5"/>
  <c r="D178" i="5"/>
  <c r="C178" i="5"/>
  <c r="B178" i="5"/>
  <c r="E177" i="5"/>
  <c r="D177" i="5"/>
  <c r="C177" i="5"/>
  <c r="B177" i="5"/>
  <c r="E176" i="5"/>
  <c r="D176" i="5"/>
  <c r="C176" i="5"/>
  <c r="B176" i="5"/>
  <c r="E175" i="5"/>
  <c r="D175" i="5"/>
  <c r="C175" i="5"/>
  <c r="B175" i="5"/>
  <c r="E174" i="5"/>
  <c r="D174" i="5"/>
  <c r="C174" i="5"/>
  <c r="B174" i="5"/>
  <c r="E173" i="5"/>
  <c r="D173" i="5"/>
  <c r="C173" i="5"/>
  <c r="B173" i="5"/>
  <c r="E172" i="5"/>
  <c r="D172" i="5"/>
  <c r="C172" i="5"/>
  <c r="B172" i="5"/>
  <c r="E171" i="5"/>
  <c r="D171" i="5"/>
  <c r="C171" i="5"/>
  <c r="B171" i="5"/>
  <c r="E170" i="5"/>
  <c r="D170" i="5"/>
  <c r="C170" i="5"/>
  <c r="B170" i="5"/>
  <c r="E169" i="5"/>
  <c r="D169" i="5"/>
  <c r="C169" i="5"/>
  <c r="B169" i="5"/>
  <c r="E168" i="5"/>
  <c r="D168" i="5"/>
  <c r="C168" i="5"/>
  <c r="B168" i="5"/>
  <c r="E167" i="5"/>
  <c r="D167" i="5"/>
  <c r="C167" i="5"/>
  <c r="B167" i="5"/>
  <c r="E166" i="5"/>
  <c r="D166" i="5"/>
  <c r="C166" i="5"/>
  <c r="B166" i="5"/>
  <c r="E165" i="5"/>
  <c r="D165" i="5"/>
  <c r="C165" i="5"/>
  <c r="B165" i="5"/>
  <c r="E164" i="5"/>
  <c r="D164" i="5"/>
  <c r="C164" i="5"/>
  <c r="B164" i="5"/>
  <c r="E163" i="5"/>
  <c r="D163" i="5"/>
  <c r="C163" i="5"/>
  <c r="B163" i="5"/>
  <c r="E162" i="5"/>
  <c r="D162" i="5"/>
  <c r="C162" i="5"/>
  <c r="B162" i="5"/>
  <c r="E161" i="5"/>
  <c r="D161" i="5"/>
  <c r="C161" i="5"/>
  <c r="B161" i="5"/>
  <c r="E160" i="5"/>
  <c r="D160" i="5"/>
  <c r="C160" i="5"/>
  <c r="B160" i="5"/>
  <c r="E159" i="5"/>
  <c r="D159" i="5"/>
  <c r="C159" i="5"/>
  <c r="B159" i="5"/>
  <c r="E158" i="5"/>
  <c r="D158" i="5"/>
  <c r="C158" i="5"/>
  <c r="B158" i="5"/>
  <c r="E157" i="5"/>
  <c r="D157" i="5"/>
  <c r="C157" i="5"/>
  <c r="B157" i="5"/>
  <c r="E156" i="5"/>
  <c r="D156" i="5"/>
  <c r="C156" i="5"/>
  <c r="B156" i="5"/>
  <c r="E155" i="5"/>
  <c r="D155" i="5"/>
  <c r="C155" i="5"/>
  <c r="B155" i="5"/>
  <c r="E154" i="5"/>
  <c r="D154" i="5"/>
  <c r="C154" i="5"/>
  <c r="B154" i="5"/>
  <c r="E153" i="5"/>
  <c r="D153" i="5"/>
  <c r="C153" i="5"/>
  <c r="B153" i="5"/>
  <c r="E152" i="5"/>
  <c r="D152" i="5"/>
  <c r="C152" i="5"/>
  <c r="B152" i="5"/>
  <c r="E151" i="5"/>
  <c r="D151" i="5"/>
  <c r="C151" i="5"/>
  <c r="B151" i="5"/>
  <c r="E150" i="5"/>
  <c r="D150" i="5"/>
  <c r="C150" i="5"/>
  <c r="B150" i="5"/>
  <c r="E149" i="5"/>
  <c r="D149" i="5"/>
  <c r="C149" i="5"/>
  <c r="B149" i="5"/>
  <c r="E148" i="5"/>
  <c r="D148" i="5"/>
  <c r="C148" i="5"/>
  <c r="B148" i="5"/>
  <c r="E147" i="5"/>
  <c r="D147" i="5"/>
  <c r="C147" i="5"/>
  <c r="B147" i="5"/>
  <c r="E146" i="5"/>
  <c r="D146" i="5"/>
  <c r="C146" i="5"/>
  <c r="B146" i="5"/>
  <c r="E145" i="5"/>
  <c r="D145" i="5"/>
  <c r="C145" i="5"/>
  <c r="B145" i="5"/>
  <c r="E144" i="5"/>
  <c r="D144" i="5"/>
  <c r="C144" i="5"/>
  <c r="B144" i="5"/>
  <c r="E143" i="5"/>
  <c r="D143" i="5"/>
  <c r="C143" i="5"/>
  <c r="B143" i="5"/>
  <c r="E142" i="5"/>
  <c r="D142" i="5"/>
  <c r="C142" i="5"/>
  <c r="B142" i="5"/>
  <c r="E141" i="5"/>
  <c r="D141" i="5"/>
  <c r="C141" i="5"/>
  <c r="B141" i="5"/>
  <c r="E140" i="5"/>
  <c r="D140" i="5"/>
  <c r="C140" i="5"/>
  <c r="B140" i="5"/>
  <c r="E139" i="5"/>
  <c r="D139" i="5"/>
  <c r="C139" i="5"/>
  <c r="B139" i="5"/>
  <c r="E138" i="5"/>
  <c r="D138" i="5"/>
  <c r="C138" i="5"/>
  <c r="B138" i="5"/>
  <c r="E137" i="5"/>
  <c r="D137" i="5"/>
  <c r="C137" i="5"/>
  <c r="B137" i="5"/>
  <c r="E136" i="5"/>
  <c r="D136" i="5"/>
  <c r="C136" i="5"/>
  <c r="B136" i="5"/>
  <c r="E135" i="5"/>
  <c r="D135" i="5"/>
  <c r="C135" i="5"/>
  <c r="B135" i="5"/>
  <c r="E134" i="5"/>
  <c r="D134" i="5"/>
  <c r="C134" i="5"/>
  <c r="B134" i="5"/>
  <c r="E133" i="5"/>
  <c r="D133" i="5"/>
  <c r="C133" i="5"/>
  <c r="B133" i="5"/>
  <c r="E132" i="5"/>
  <c r="D132" i="5"/>
  <c r="C132" i="5"/>
  <c r="B132" i="5"/>
  <c r="E131" i="5"/>
  <c r="D131" i="5"/>
  <c r="C131" i="5"/>
  <c r="B131" i="5"/>
  <c r="E130" i="5"/>
  <c r="D130" i="5"/>
  <c r="C130" i="5"/>
  <c r="B130" i="5"/>
  <c r="E129" i="5"/>
  <c r="D129" i="5"/>
  <c r="C129" i="5"/>
  <c r="B129" i="5"/>
  <c r="E128" i="5"/>
  <c r="D128" i="5"/>
  <c r="C128" i="5"/>
  <c r="B128" i="5"/>
  <c r="E127" i="5"/>
  <c r="D127" i="5"/>
  <c r="C127" i="5"/>
  <c r="B127" i="5"/>
  <c r="E126" i="5"/>
  <c r="D126" i="5"/>
  <c r="C126" i="5"/>
  <c r="B126" i="5"/>
  <c r="E125" i="5"/>
  <c r="D125" i="5"/>
  <c r="C125" i="5"/>
  <c r="B125" i="5"/>
  <c r="E124" i="5"/>
  <c r="D124" i="5"/>
  <c r="C124" i="5"/>
  <c r="B124" i="5"/>
  <c r="E123" i="5"/>
  <c r="D123" i="5"/>
  <c r="C123" i="5"/>
  <c r="B123" i="5"/>
  <c r="E122" i="5"/>
  <c r="D122" i="5"/>
  <c r="C122" i="5"/>
  <c r="B122" i="5"/>
  <c r="E121" i="5"/>
  <c r="D121" i="5"/>
  <c r="C121" i="5"/>
  <c r="B121" i="5"/>
  <c r="E120" i="5"/>
  <c r="D120" i="5"/>
  <c r="C120" i="5"/>
  <c r="B120" i="5"/>
  <c r="E119" i="5"/>
  <c r="D119" i="5"/>
  <c r="C119" i="5"/>
  <c r="B119" i="5"/>
  <c r="E118" i="5"/>
  <c r="D118" i="5"/>
  <c r="C118" i="5"/>
  <c r="B118" i="5"/>
  <c r="E117" i="5"/>
  <c r="D117" i="5"/>
  <c r="C117" i="5"/>
  <c r="B117" i="5"/>
  <c r="E116" i="5"/>
  <c r="D116" i="5"/>
  <c r="C116" i="5"/>
  <c r="B116" i="5"/>
  <c r="E115" i="5"/>
  <c r="D115" i="5"/>
  <c r="C115" i="5"/>
  <c r="B115" i="5"/>
  <c r="E114" i="5"/>
  <c r="D114" i="5"/>
  <c r="C114" i="5"/>
  <c r="B114" i="5"/>
  <c r="E113" i="5"/>
  <c r="D113" i="5"/>
  <c r="C113" i="5"/>
  <c r="B113" i="5"/>
  <c r="E112" i="5"/>
  <c r="D112" i="5"/>
  <c r="C112" i="5"/>
  <c r="B112" i="5"/>
  <c r="E111" i="5"/>
  <c r="D111" i="5"/>
  <c r="C111" i="5"/>
  <c r="B111" i="5"/>
  <c r="E110" i="5"/>
  <c r="D110" i="5"/>
  <c r="C110" i="5"/>
  <c r="B110" i="5"/>
  <c r="E109" i="5"/>
  <c r="D109" i="5"/>
  <c r="C109" i="5"/>
  <c r="B109" i="5"/>
  <c r="E108" i="5"/>
  <c r="D108" i="5"/>
  <c r="C108" i="5"/>
  <c r="B108" i="5"/>
  <c r="E107" i="5"/>
  <c r="D107" i="5"/>
  <c r="C107" i="5"/>
  <c r="B107" i="5"/>
  <c r="E106" i="5"/>
  <c r="D106" i="5"/>
  <c r="C106" i="5"/>
  <c r="B106" i="5"/>
  <c r="E105" i="5"/>
  <c r="D105" i="5"/>
  <c r="C105" i="5"/>
  <c r="B105" i="5"/>
  <c r="E104" i="5"/>
  <c r="D104" i="5"/>
  <c r="C104" i="5"/>
  <c r="B104" i="5"/>
  <c r="E103" i="5"/>
  <c r="D103" i="5"/>
  <c r="C103" i="5"/>
  <c r="B103" i="5"/>
  <c r="E102" i="5"/>
  <c r="D102" i="5"/>
  <c r="C102" i="5"/>
  <c r="B102" i="5"/>
  <c r="E101" i="5"/>
  <c r="D101" i="5"/>
  <c r="C101" i="5"/>
  <c r="B101" i="5"/>
  <c r="E100" i="5"/>
  <c r="D100" i="5"/>
  <c r="C100" i="5"/>
  <c r="B100" i="5"/>
  <c r="E99" i="5"/>
  <c r="D99" i="5"/>
  <c r="C99" i="5"/>
  <c r="B99" i="5"/>
  <c r="E98" i="5"/>
  <c r="D98" i="5"/>
  <c r="C98" i="5"/>
  <c r="B98" i="5"/>
  <c r="E97" i="5"/>
  <c r="D97" i="5"/>
  <c r="C97" i="5"/>
  <c r="B97" i="5"/>
  <c r="E96" i="5"/>
  <c r="D96" i="5"/>
  <c r="C96" i="5"/>
  <c r="B96" i="5"/>
  <c r="E95" i="5"/>
  <c r="D95" i="5"/>
  <c r="C95" i="5"/>
  <c r="B95" i="5"/>
  <c r="E94" i="5"/>
  <c r="D94" i="5"/>
  <c r="C94" i="5"/>
  <c r="B94" i="5"/>
  <c r="E93" i="5"/>
  <c r="D93" i="5"/>
  <c r="C93" i="5"/>
  <c r="B93" i="5"/>
  <c r="E92" i="5"/>
  <c r="D92" i="5"/>
  <c r="C92" i="5"/>
  <c r="B92" i="5"/>
  <c r="E91" i="5"/>
  <c r="D91" i="5"/>
  <c r="C91" i="5"/>
  <c r="B91" i="5"/>
  <c r="E90" i="5"/>
  <c r="D90" i="5"/>
  <c r="C90" i="5"/>
  <c r="B90" i="5"/>
  <c r="E89" i="5"/>
  <c r="D89" i="5"/>
  <c r="C89" i="5"/>
  <c r="B89" i="5"/>
  <c r="E88" i="5"/>
  <c r="D88" i="5"/>
  <c r="C88" i="5"/>
  <c r="B88" i="5"/>
  <c r="E87" i="5"/>
  <c r="D87" i="5"/>
  <c r="C87" i="5"/>
  <c r="B87" i="5"/>
  <c r="E86" i="5"/>
  <c r="D86" i="5"/>
  <c r="C86" i="5"/>
  <c r="B86" i="5"/>
  <c r="E85" i="5"/>
  <c r="D85" i="5"/>
  <c r="C85" i="5"/>
  <c r="B85" i="5"/>
  <c r="E84" i="5"/>
  <c r="D84" i="5"/>
  <c r="C84" i="5"/>
  <c r="B84" i="5"/>
  <c r="E83" i="5"/>
  <c r="D83" i="5"/>
  <c r="C83" i="5"/>
  <c r="B83" i="5"/>
  <c r="E82" i="5"/>
  <c r="D82" i="5"/>
  <c r="C82" i="5"/>
  <c r="B82" i="5"/>
  <c r="E81" i="5"/>
  <c r="D81" i="5"/>
  <c r="C81" i="5"/>
  <c r="B81" i="5"/>
  <c r="E80" i="5"/>
  <c r="D80" i="5"/>
  <c r="C80" i="5"/>
  <c r="B80" i="5"/>
  <c r="E79" i="5"/>
  <c r="D79" i="5"/>
  <c r="C79" i="5"/>
  <c r="B79" i="5"/>
  <c r="E78" i="5"/>
  <c r="D78" i="5"/>
  <c r="C78" i="5"/>
  <c r="B78" i="5"/>
  <c r="E77" i="5"/>
  <c r="D77" i="5"/>
  <c r="C77" i="5"/>
  <c r="B77" i="5"/>
  <c r="E76" i="5"/>
  <c r="D76" i="5"/>
  <c r="C76" i="5"/>
  <c r="B76" i="5"/>
  <c r="E75" i="5"/>
  <c r="D75" i="5"/>
  <c r="C75" i="5"/>
  <c r="B75" i="5"/>
  <c r="E74" i="5"/>
  <c r="D74" i="5"/>
  <c r="C74" i="5"/>
  <c r="B74" i="5"/>
  <c r="E73" i="5"/>
  <c r="D73" i="5"/>
  <c r="C73" i="5"/>
  <c r="B73" i="5"/>
  <c r="E72" i="5"/>
  <c r="D72" i="5"/>
  <c r="C72" i="5"/>
  <c r="B72" i="5"/>
  <c r="E71" i="5"/>
  <c r="D71" i="5"/>
  <c r="C71" i="5"/>
  <c r="B71" i="5"/>
  <c r="E70" i="5"/>
  <c r="D70" i="5"/>
  <c r="C70" i="5"/>
  <c r="B70" i="5"/>
  <c r="E69" i="5"/>
  <c r="D69" i="5"/>
  <c r="C69" i="5"/>
  <c r="B69" i="5"/>
  <c r="E68" i="5"/>
  <c r="D68" i="5"/>
  <c r="C68" i="5"/>
  <c r="B68" i="5"/>
  <c r="E67" i="5"/>
  <c r="D67" i="5"/>
  <c r="C67" i="5"/>
  <c r="B67" i="5"/>
  <c r="E66" i="5"/>
  <c r="D66" i="5"/>
  <c r="C66" i="5"/>
  <c r="B66" i="5"/>
  <c r="E65" i="5"/>
  <c r="D65" i="5"/>
  <c r="C65" i="5"/>
  <c r="B65" i="5"/>
  <c r="E64" i="5"/>
  <c r="D64" i="5"/>
  <c r="C64" i="5"/>
  <c r="B64" i="5"/>
  <c r="E63" i="5"/>
  <c r="D63" i="5"/>
  <c r="C63" i="5"/>
  <c r="B63" i="5"/>
  <c r="E62" i="5"/>
  <c r="D62" i="5"/>
  <c r="C62" i="5"/>
  <c r="B62" i="5"/>
  <c r="E61" i="5"/>
  <c r="D61" i="5"/>
  <c r="C61" i="5"/>
  <c r="B61" i="5"/>
  <c r="E60" i="5"/>
  <c r="D60" i="5"/>
  <c r="C60" i="5"/>
  <c r="B60" i="5"/>
  <c r="E59" i="5"/>
  <c r="D59" i="5"/>
  <c r="C59" i="5"/>
  <c r="B59" i="5"/>
  <c r="E58" i="5"/>
  <c r="D58" i="5"/>
  <c r="C58" i="5"/>
  <c r="B58" i="5"/>
  <c r="E57" i="5"/>
  <c r="D57" i="5"/>
  <c r="C57" i="5"/>
  <c r="B57" i="5"/>
  <c r="E56" i="5"/>
  <c r="D56" i="5"/>
  <c r="C56" i="5"/>
  <c r="B56" i="5"/>
  <c r="E55" i="5"/>
  <c r="D55" i="5"/>
  <c r="C55" i="5"/>
  <c r="B55" i="5"/>
  <c r="E54" i="5"/>
  <c r="D54" i="5"/>
  <c r="C54" i="5"/>
  <c r="B54" i="5"/>
  <c r="E53" i="5"/>
  <c r="D53" i="5"/>
  <c r="C53" i="5"/>
  <c r="B53" i="5"/>
  <c r="E52" i="5"/>
  <c r="D52" i="5"/>
  <c r="C52" i="5"/>
  <c r="B52" i="5"/>
  <c r="E51" i="5"/>
  <c r="D51" i="5"/>
  <c r="C51" i="5"/>
  <c r="B51" i="5"/>
  <c r="E50" i="5"/>
  <c r="D50" i="5"/>
  <c r="C50" i="5"/>
  <c r="B50" i="5"/>
  <c r="E49" i="5"/>
  <c r="D49" i="5"/>
  <c r="C49" i="5"/>
  <c r="B49" i="5"/>
  <c r="E48" i="5"/>
  <c r="D48" i="5"/>
  <c r="C48" i="5"/>
  <c r="B48" i="5"/>
  <c r="E47" i="5"/>
  <c r="D47" i="5"/>
  <c r="C47" i="5"/>
  <c r="B47" i="5"/>
  <c r="E46" i="5"/>
  <c r="D46" i="5"/>
  <c r="C46" i="5"/>
  <c r="B46" i="5"/>
  <c r="E45" i="5"/>
  <c r="D45" i="5"/>
  <c r="C45" i="5"/>
  <c r="B45" i="5"/>
  <c r="E44" i="5"/>
  <c r="D44" i="5"/>
  <c r="C44" i="5"/>
  <c r="B44" i="5"/>
  <c r="E43" i="5"/>
  <c r="D43" i="5"/>
  <c r="C43" i="5"/>
  <c r="B43" i="5"/>
  <c r="E42" i="5"/>
  <c r="D42" i="5"/>
  <c r="C42" i="5"/>
  <c r="B42" i="5"/>
  <c r="E41" i="5"/>
  <c r="D41" i="5"/>
  <c r="C41" i="5"/>
  <c r="B41" i="5"/>
  <c r="E40" i="5"/>
  <c r="D40" i="5"/>
  <c r="C40" i="5"/>
  <c r="B40" i="5"/>
  <c r="E39" i="5"/>
  <c r="D39" i="5"/>
  <c r="C39" i="5"/>
  <c r="B39" i="5"/>
  <c r="E38" i="5"/>
  <c r="D38" i="5"/>
  <c r="C38" i="5"/>
  <c r="B38" i="5"/>
  <c r="E37" i="5"/>
  <c r="D37" i="5"/>
  <c r="C37" i="5"/>
  <c r="B37" i="5"/>
  <c r="E36" i="5"/>
  <c r="D36" i="5"/>
  <c r="C36" i="5"/>
  <c r="B36" i="5"/>
  <c r="E35" i="5"/>
  <c r="D35" i="5"/>
  <c r="C35" i="5"/>
  <c r="B35" i="5"/>
  <c r="E34" i="5"/>
  <c r="D34" i="5"/>
  <c r="C34" i="5"/>
  <c r="B34" i="5"/>
  <c r="E33" i="5"/>
  <c r="D33" i="5"/>
  <c r="C33" i="5"/>
  <c r="B33" i="5"/>
  <c r="E32" i="5"/>
  <c r="D32" i="5"/>
  <c r="C32" i="5"/>
  <c r="B32" i="5"/>
  <c r="E31" i="5"/>
  <c r="D31" i="5"/>
  <c r="C31" i="5"/>
  <c r="B31" i="5"/>
  <c r="E30" i="5"/>
  <c r="D30" i="5"/>
  <c r="C30" i="5"/>
  <c r="B30" i="5"/>
  <c r="E29" i="5"/>
  <c r="D29" i="5"/>
  <c r="C29" i="5"/>
  <c r="B29" i="5"/>
  <c r="E28" i="5"/>
  <c r="D28" i="5"/>
  <c r="C28" i="5"/>
  <c r="B28" i="5"/>
  <c r="E27" i="5"/>
  <c r="D27" i="5"/>
  <c r="C27" i="5"/>
  <c r="B27" i="5"/>
  <c r="E26" i="5"/>
  <c r="D26" i="5"/>
  <c r="C26" i="5"/>
  <c r="B26" i="5"/>
  <c r="E25" i="5"/>
  <c r="D25" i="5"/>
  <c r="C25" i="5"/>
  <c r="B25" i="5"/>
  <c r="E24" i="5"/>
  <c r="D24" i="5"/>
  <c r="C24" i="5"/>
  <c r="B24" i="5"/>
  <c r="E23" i="5"/>
  <c r="D23" i="5"/>
  <c r="C23" i="5"/>
  <c r="B23" i="5"/>
  <c r="E22" i="5"/>
  <c r="D22" i="5"/>
  <c r="C22" i="5"/>
  <c r="B22" i="5"/>
  <c r="E21" i="5"/>
  <c r="D21" i="5"/>
  <c r="C21" i="5"/>
  <c r="B21" i="5"/>
  <c r="E20" i="5"/>
  <c r="D20" i="5"/>
  <c r="C20" i="5"/>
  <c r="B20" i="5"/>
  <c r="E19" i="5"/>
  <c r="D19" i="5"/>
  <c r="C19" i="5"/>
  <c r="B19" i="5"/>
  <c r="E18" i="5"/>
  <c r="D18" i="5"/>
  <c r="B18" i="5"/>
  <c r="E17" i="5"/>
  <c r="D17" i="5"/>
  <c r="C17" i="5"/>
  <c r="B17" i="5"/>
  <c r="E16" i="5"/>
  <c r="D16" i="5"/>
  <c r="C16" i="5"/>
  <c r="B16" i="5"/>
  <c r="E15" i="5"/>
  <c r="D15" i="5"/>
  <c r="C15" i="5"/>
  <c r="B15" i="5"/>
  <c r="E14" i="5"/>
  <c r="D14" i="5"/>
  <c r="C14" i="5"/>
  <c r="B14" i="5"/>
  <c r="E13" i="5"/>
  <c r="D13" i="5"/>
  <c r="C13" i="5"/>
  <c r="B13" i="5"/>
  <c r="E12" i="5"/>
  <c r="D12" i="5"/>
  <c r="C12" i="5"/>
  <c r="B12" i="5"/>
  <c r="E11" i="5"/>
  <c r="D11" i="5"/>
  <c r="C11" i="5"/>
  <c r="B11" i="5"/>
  <c r="E10" i="5"/>
  <c r="D10" i="5"/>
  <c r="C10" i="5"/>
  <c r="B10" i="5"/>
  <c r="E9" i="5"/>
  <c r="D9" i="5"/>
  <c r="C9" i="5"/>
  <c r="B9" i="5"/>
  <c r="E8" i="5"/>
  <c r="D8" i="5"/>
  <c r="C8" i="5"/>
  <c r="B8" i="5"/>
  <c r="E7" i="5"/>
  <c r="D7" i="5"/>
  <c r="C7" i="5"/>
  <c r="B7" i="5"/>
  <c r="E6" i="5"/>
  <c r="D6" i="5"/>
  <c r="C6" i="5"/>
  <c r="B6" i="5"/>
  <c r="E5" i="5"/>
  <c r="D5" i="5"/>
  <c r="C5" i="5"/>
  <c r="B5" i="5"/>
  <c r="E4" i="5"/>
  <c r="D4" i="5"/>
  <c r="C4" i="5"/>
  <c r="B4" i="5"/>
  <c r="E3" i="5"/>
  <c r="D3" i="5"/>
  <c r="C3" i="5"/>
  <c r="B3" i="5"/>
  <c r="E2" i="5"/>
  <c r="D2" i="5"/>
  <c r="C2" i="5"/>
  <c r="B2" i="5"/>
  <c r="F1718" i="3"/>
  <c r="F1717" i="3"/>
  <c r="F1716" i="3"/>
  <c r="F1715" i="3"/>
  <c r="F1714" i="3"/>
  <c r="F1713" i="3"/>
  <c r="F1712" i="3"/>
  <c r="F1711"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1" i="3"/>
  <c r="F1680" i="3"/>
  <c r="F1679" i="3"/>
  <c r="F1678" i="3"/>
  <c r="F1677" i="3"/>
  <c r="F1676" i="3"/>
  <c r="F1675" i="3"/>
  <c r="F1674" i="3"/>
  <c r="F1673" i="3"/>
  <c r="F1672" i="3"/>
  <c r="F1671" i="3"/>
  <c r="F1670" i="3"/>
  <c r="F1669" i="3"/>
  <c r="F1668" i="3"/>
  <c r="F1667" i="3"/>
  <c r="F1666" i="3"/>
  <c r="F1665" i="3"/>
  <c r="F1664" i="3"/>
  <c r="F1663" i="3"/>
  <c r="F1662" i="3"/>
  <c r="F1661" i="3"/>
  <c r="F1660" i="3"/>
  <c r="F1659" i="3"/>
  <c r="F1658" i="3"/>
  <c r="F1657" i="3"/>
  <c r="F1656" i="3"/>
  <c r="F1655" i="3"/>
  <c r="F1654" i="3"/>
  <c r="F1653" i="3"/>
  <c r="F1652" i="3"/>
  <c r="F1651" i="3"/>
  <c r="F1650" i="3"/>
  <c r="F1649" i="3"/>
  <c r="F1648" i="3"/>
  <c r="F1647" i="3"/>
  <c r="F1646" i="3"/>
  <c r="F1645" i="3"/>
  <c r="F1644" i="3"/>
  <c r="F1643" i="3"/>
  <c r="F1642" i="3"/>
  <c r="F1641" i="3"/>
  <c r="F1640" i="3"/>
  <c r="F1639" i="3"/>
  <c r="F1638" i="3"/>
  <c r="F1637" i="3"/>
  <c r="F1636" i="3"/>
  <c r="F1635" i="3"/>
  <c r="F1634" i="3"/>
  <c r="F1633" i="3"/>
  <c r="F1632" i="3"/>
  <c r="F1631" i="3"/>
  <c r="F1630" i="3"/>
  <c r="F1629" i="3"/>
  <c r="F1628" i="3"/>
  <c r="F1627" i="3"/>
  <c r="F1626" i="3"/>
  <c r="F1625" i="3"/>
  <c r="F1624" i="3"/>
  <c r="F1623" i="3"/>
  <c r="F1622" i="3"/>
  <c r="F1621" i="3"/>
  <c r="F1620" i="3"/>
  <c r="F1619" i="3"/>
  <c r="F1618" i="3"/>
  <c r="F1617" i="3"/>
  <c r="F1616" i="3"/>
  <c r="F1615" i="3"/>
  <c r="F1614" i="3"/>
  <c r="F1613" i="3"/>
  <c r="F1612" i="3"/>
  <c r="F1611" i="3"/>
  <c r="F1610" i="3"/>
  <c r="F1609" i="3"/>
  <c r="F1608" i="3"/>
  <c r="F1607" i="3"/>
  <c r="F1606" i="3"/>
  <c r="F1605" i="3"/>
  <c r="F1604" i="3"/>
  <c r="F1603" i="3"/>
  <c r="F1602" i="3"/>
  <c r="F1601" i="3"/>
  <c r="F1600" i="3"/>
  <c r="F1599" i="3"/>
  <c r="F1598" i="3"/>
  <c r="F1597" i="3"/>
  <c r="F1596" i="3"/>
  <c r="F1595" i="3"/>
  <c r="F1594" i="3"/>
  <c r="F1593" i="3"/>
  <c r="F1592" i="3"/>
  <c r="F1591" i="3"/>
  <c r="F1590" i="3"/>
  <c r="F1589" i="3"/>
  <c r="F1588" i="3"/>
  <c r="F1587" i="3"/>
  <c r="F1586" i="3"/>
  <c r="F1585" i="3"/>
  <c r="F1584" i="3"/>
  <c r="F1583" i="3"/>
  <c r="F1582" i="3"/>
  <c r="F1581" i="3"/>
  <c r="F1580" i="3"/>
  <c r="F1579" i="3"/>
  <c r="F1578" i="3"/>
  <c r="F1577" i="3"/>
  <c r="F1576" i="3"/>
  <c r="F1575" i="3"/>
  <c r="F1574" i="3"/>
  <c r="F1573" i="3"/>
  <c r="F1572" i="3"/>
  <c r="F1571" i="3"/>
  <c r="F1570" i="3"/>
  <c r="F1569" i="3"/>
  <c r="F1568" i="3"/>
  <c r="F1567" i="3"/>
  <c r="F1566" i="3"/>
  <c r="F1565" i="3"/>
  <c r="F1564" i="3"/>
  <c r="F1563" i="3"/>
  <c r="F1562" i="3"/>
  <c r="F1561" i="3"/>
  <c r="F1560" i="3"/>
  <c r="F1559" i="3"/>
  <c r="F1558" i="3"/>
  <c r="F1557" i="3"/>
  <c r="F1556" i="3"/>
  <c r="F1555" i="3"/>
  <c r="F1554" i="3"/>
  <c r="F1553" i="3"/>
  <c r="F1552" i="3"/>
  <c r="F1551" i="3"/>
  <c r="F1550" i="3"/>
  <c r="F1549" i="3"/>
  <c r="F1548" i="3"/>
  <c r="F1547" i="3"/>
  <c r="F1546" i="3"/>
  <c r="F1545" i="3"/>
  <c r="F1544" i="3"/>
  <c r="F1543" i="3"/>
  <c r="F1542" i="3"/>
  <c r="F1541" i="3"/>
  <c r="F1540" i="3"/>
  <c r="F1539" i="3"/>
  <c r="F1538" i="3"/>
  <c r="F1537" i="3"/>
  <c r="F1536" i="3"/>
  <c r="F1535"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F1493" i="3"/>
  <c r="F1492" i="3"/>
  <c r="F1491" i="3"/>
  <c r="F1490" i="3"/>
  <c r="F1489" i="3"/>
  <c r="F1488" i="3"/>
  <c r="F1487" i="3"/>
  <c r="F1486" i="3"/>
  <c r="F1485" i="3"/>
  <c r="F1484" i="3"/>
  <c r="F1483" i="3"/>
  <c r="F1482"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3" i="3"/>
  <c r="F1452" i="3"/>
  <c r="F1451" i="3"/>
  <c r="F1450" i="3"/>
  <c r="F1449" i="3"/>
  <c r="F1448" i="3"/>
  <c r="F1447" i="3"/>
  <c r="F1446" i="3"/>
  <c r="F1445" i="3"/>
  <c r="F1444" i="3"/>
  <c r="F1443" i="3"/>
  <c r="F1442" i="3"/>
  <c r="F1441" i="3"/>
  <c r="F1440" i="3"/>
  <c r="F1439" i="3"/>
  <c r="F1438" i="3"/>
  <c r="F1437" i="3"/>
  <c r="F1436" i="3"/>
  <c r="F1435" i="3"/>
  <c r="F1434" i="3"/>
  <c r="F1433" i="3"/>
  <c r="F1432"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I1005" i="2"/>
  <c r="H1005" i="2"/>
  <c r="G1005" i="2"/>
  <c r="F1005" i="2"/>
  <c r="E1005" i="2"/>
  <c r="A1001" i="5" s="1"/>
  <c r="I1004" i="2"/>
  <c r="H1004" i="2"/>
  <c r="G1004" i="2"/>
  <c r="F1004" i="2"/>
  <c r="E1004" i="2"/>
  <c r="A1000" i="5" s="1"/>
  <c r="I1003" i="2"/>
  <c r="H1003" i="2"/>
  <c r="G1003" i="2"/>
  <c r="F1003" i="2"/>
  <c r="E1003" i="2"/>
  <c r="A999" i="5" s="1"/>
  <c r="I1002" i="2"/>
  <c r="H1002" i="2"/>
  <c r="G1002" i="2"/>
  <c r="F1002" i="2"/>
  <c r="E1002" i="2"/>
  <c r="A998" i="5" s="1"/>
  <c r="I1001" i="2"/>
  <c r="H1001" i="2"/>
  <c r="G1001" i="2"/>
  <c r="F1001" i="2"/>
  <c r="E1001" i="2"/>
  <c r="A997" i="5" s="1"/>
  <c r="I1000" i="2"/>
  <c r="H1000" i="2"/>
  <c r="G1000" i="2"/>
  <c r="F1000" i="2"/>
  <c r="E1000" i="2"/>
  <c r="A996" i="5" s="1"/>
  <c r="I999" i="2"/>
  <c r="H999" i="2"/>
  <c r="G999" i="2"/>
  <c r="F999" i="2"/>
  <c r="E999" i="2"/>
  <c r="A995" i="5" s="1"/>
  <c r="I998" i="2"/>
  <c r="H998" i="2"/>
  <c r="G998" i="2"/>
  <c r="F998" i="2"/>
  <c r="E998" i="2"/>
  <c r="A994" i="5" s="1"/>
  <c r="I997" i="2"/>
  <c r="H997" i="2"/>
  <c r="G997" i="2"/>
  <c r="F997" i="2"/>
  <c r="E997" i="2"/>
  <c r="A993" i="5" s="1"/>
  <c r="I996" i="2"/>
  <c r="H996" i="2"/>
  <c r="G996" i="2"/>
  <c r="F996" i="2"/>
  <c r="E996" i="2"/>
  <c r="A992" i="5" s="1"/>
  <c r="I995" i="2"/>
  <c r="H995" i="2"/>
  <c r="G995" i="2"/>
  <c r="F995" i="2"/>
  <c r="E995" i="2"/>
  <c r="A991" i="5" s="1"/>
  <c r="I994" i="2"/>
  <c r="H994" i="2"/>
  <c r="G994" i="2"/>
  <c r="F994" i="2"/>
  <c r="E994" i="2"/>
  <c r="A990" i="5" s="1"/>
  <c r="I993" i="2"/>
  <c r="H993" i="2"/>
  <c r="G993" i="2"/>
  <c r="F993" i="2"/>
  <c r="E993" i="2"/>
  <c r="A989" i="5" s="1"/>
  <c r="I992" i="2"/>
  <c r="H992" i="2"/>
  <c r="G992" i="2"/>
  <c r="F992" i="2"/>
  <c r="E992" i="2"/>
  <c r="A988" i="5" s="1"/>
  <c r="I991" i="2"/>
  <c r="H991" i="2"/>
  <c r="G991" i="2"/>
  <c r="F991" i="2"/>
  <c r="E991" i="2"/>
  <c r="A987" i="5" s="1"/>
  <c r="I990" i="2"/>
  <c r="H990" i="2"/>
  <c r="G990" i="2"/>
  <c r="F990" i="2"/>
  <c r="E990" i="2"/>
  <c r="A986" i="5" s="1"/>
  <c r="I989" i="2"/>
  <c r="H989" i="2"/>
  <c r="G989" i="2"/>
  <c r="F989" i="2"/>
  <c r="E989" i="2"/>
  <c r="A985" i="5" s="1"/>
  <c r="I988" i="2"/>
  <c r="H988" i="2"/>
  <c r="G988" i="2"/>
  <c r="F988" i="2"/>
  <c r="E988" i="2"/>
  <c r="A984" i="5" s="1"/>
  <c r="I987" i="2"/>
  <c r="H987" i="2"/>
  <c r="G987" i="2"/>
  <c r="F987" i="2"/>
  <c r="E987" i="2"/>
  <c r="A983" i="5" s="1"/>
  <c r="I986" i="2"/>
  <c r="H986" i="2"/>
  <c r="G986" i="2"/>
  <c r="F986" i="2"/>
  <c r="E986" i="2"/>
  <c r="A982" i="5" s="1"/>
  <c r="I985" i="2"/>
  <c r="H985" i="2"/>
  <c r="G985" i="2"/>
  <c r="F985" i="2"/>
  <c r="E985" i="2"/>
  <c r="A981" i="5" s="1"/>
  <c r="I984" i="2"/>
  <c r="H984" i="2"/>
  <c r="G984" i="2"/>
  <c r="F984" i="2"/>
  <c r="E984" i="2"/>
  <c r="A980" i="5" s="1"/>
  <c r="I983" i="2"/>
  <c r="H983" i="2"/>
  <c r="G983" i="2"/>
  <c r="F983" i="2"/>
  <c r="E983" i="2"/>
  <c r="A979" i="5" s="1"/>
  <c r="I982" i="2"/>
  <c r="H982" i="2"/>
  <c r="G982" i="2"/>
  <c r="F982" i="2"/>
  <c r="E982" i="2"/>
  <c r="A978" i="5" s="1"/>
  <c r="I981" i="2"/>
  <c r="H981" i="2"/>
  <c r="G981" i="2"/>
  <c r="F981" i="2"/>
  <c r="E981" i="2"/>
  <c r="A977" i="5" s="1"/>
  <c r="I980" i="2"/>
  <c r="H980" i="2"/>
  <c r="G980" i="2"/>
  <c r="F980" i="2"/>
  <c r="E980" i="2"/>
  <c r="A976" i="5" s="1"/>
  <c r="I979" i="2"/>
  <c r="H979" i="2"/>
  <c r="G979" i="2"/>
  <c r="F979" i="2"/>
  <c r="E979" i="2"/>
  <c r="A975" i="5" s="1"/>
  <c r="I978" i="2"/>
  <c r="H978" i="2"/>
  <c r="G978" i="2"/>
  <c r="F978" i="2"/>
  <c r="E978" i="2"/>
  <c r="A974" i="5" s="1"/>
  <c r="I977" i="2"/>
  <c r="H977" i="2"/>
  <c r="G977" i="2"/>
  <c r="F977" i="2"/>
  <c r="E977" i="2"/>
  <c r="A973" i="5" s="1"/>
  <c r="I976" i="2"/>
  <c r="H976" i="2"/>
  <c r="G976" i="2"/>
  <c r="F976" i="2"/>
  <c r="E976" i="2"/>
  <c r="A972" i="5" s="1"/>
  <c r="I975" i="2"/>
  <c r="H975" i="2"/>
  <c r="G975" i="2"/>
  <c r="F975" i="2"/>
  <c r="E975" i="2"/>
  <c r="A971" i="5" s="1"/>
  <c r="I974" i="2"/>
  <c r="H974" i="2"/>
  <c r="G974" i="2"/>
  <c r="F974" i="2"/>
  <c r="E974" i="2"/>
  <c r="A970" i="5" s="1"/>
  <c r="I973" i="2"/>
  <c r="H973" i="2"/>
  <c r="G973" i="2"/>
  <c r="F973" i="2"/>
  <c r="E973" i="2"/>
  <c r="A969" i="5" s="1"/>
  <c r="I972" i="2"/>
  <c r="H972" i="2"/>
  <c r="G972" i="2"/>
  <c r="F972" i="2"/>
  <c r="E972" i="2"/>
  <c r="A968" i="5" s="1"/>
  <c r="I971" i="2"/>
  <c r="H971" i="2"/>
  <c r="G971" i="2"/>
  <c r="F971" i="2"/>
  <c r="E971" i="2"/>
  <c r="A967" i="5" s="1"/>
  <c r="I970" i="2"/>
  <c r="H970" i="2"/>
  <c r="G970" i="2"/>
  <c r="F970" i="2"/>
  <c r="E970" i="2"/>
  <c r="A966" i="5" s="1"/>
  <c r="I969" i="2"/>
  <c r="H969" i="2"/>
  <c r="G969" i="2"/>
  <c r="F969" i="2"/>
  <c r="E969" i="2"/>
  <c r="A965" i="5" s="1"/>
  <c r="I968" i="2"/>
  <c r="H968" i="2"/>
  <c r="G968" i="2"/>
  <c r="F968" i="2"/>
  <c r="E968" i="2"/>
  <c r="A964" i="5" s="1"/>
  <c r="I967" i="2"/>
  <c r="H967" i="2"/>
  <c r="G967" i="2"/>
  <c r="F967" i="2"/>
  <c r="E967" i="2"/>
  <c r="A963" i="5" s="1"/>
  <c r="I966" i="2"/>
  <c r="H966" i="2"/>
  <c r="G966" i="2"/>
  <c r="F966" i="2"/>
  <c r="E966" i="2"/>
  <c r="A962" i="5" s="1"/>
  <c r="I965" i="2"/>
  <c r="H965" i="2"/>
  <c r="G965" i="2"/>
  <c r="F965" i="2"/>
  <c r="E965" i="2"/>
  <c r="A961" i="5" s="1"/>
  <c r="I964" i="2"/>
  <c r="H964" i="2"/>
  <c r="G964" i="2"/>
  <c r="F964" i="2"/>
  <c r="E964" i="2"/>
  <c r="A960" i="5" s="1"/>
  <c r="I963" i="2"/>
  <c r="H963" i="2"/>
  <c r="G963" i="2"/>
  <c r="F963" i="2"/>
  <c r="E963" i="2"/>
  <c r="A959" i="5" s="1"/>
  <c r="I962" i="2"/>
  <c r="H962" i="2"/>
  <c r="G962" i="2"/>
  <c r="F962" i="2"/>
  <c r="E962" i="2"/>
  <c r="A958" i="5" s="1"/>
  <c r="I961" i="2"/>
  <c r="H961" i="2"/>
  <c r="G961" i="2"/>
  <c r="F961" i="2"/>
  <c r="E961" i="2"/>
  <c r="A957" i="5" s="1"/>
  <c r="I960" i="2"/>
  <c r="H960" i="2"/>
  <c r="G960" i="2"/>
  <c r="F960" i="2"/>
  <c r="E960" i="2"/>
  <c r="A956" i="5" s="1"/>
  <c r="I959" i="2"/>
  <c r="H959" i="2"/>
  <c r="G959" i="2"/>
  <c r="F959" i="2"/>
  <c r="E959" i="2"/>
  <c r="A955" i="5" s="1"/>
  <c r="I958" i="2"/>
  <c r="H958" i="2"/>
  <c r="G958" i="2"/>
  <c r="F958" i="2"/>
  <c r="E958" i="2"/>
  <c r="A954" i="5" s="1"/>
  <c r="I957" i="2"/>
  <c r="H957" i="2"/>
  <c r="G957" i="2"/>
  <c r="F957" i="2"/>
  <c r="E957" i="2"/>
  <c r="A953" i="5" s="1"/>
  <c r="I956" i="2"/>
  <c r="H956" i="2"/>
  <c r="G956" i="2"/>
  <c r="F956" i="2"/>
  <c r="E956" i="2"/>
  <c r="A952" i="5" s="1"/>
  <c r="I955" i="2"/>
  <c r="H955" i="2"/>
  <c r="G955" i="2"/>
  <c r="F955" i="2"/>
  <c r="E955" i="2"/>
  <c r="A951" i="5" s="1"/>
  <c r="I954" i="2"/>
  <c r="H954" i="2"/>
  <c r="G954" i="2"/>
  <c r="F954" i="2"/>
  <c r="E954" i="2"/>
  <c r="A950" i="5" s="1"/>
  <c r="I953" i="2"/>
  <c r="H953" i="2"/>
  <c r="G953" i="2"/>
  <c r="F953" i="2"/>
  <c r="E953" i="2"/>
  <c r="A949" i="5" s="1"/>
  <c r="I952" i="2"/>
  <c r="H952" i="2"/>
  <c r="G952" i="2"/>
  <c r="F952" i="2"/>
  <c r="E952" i="2"/>
  <c r="A948" i="5" s="1"/>
  <c r="I951" i="2"/>
  <c r="H951" i="2"/>
  <c r="G951" i="2"/>
  <c r="F951" i="2"/>
  <c r="E951" i="2"/>
  <c r="A947" i="5" s="1"/>
  <c r="I950" i="2"/>
  <c r="H950" i="2"/>
  <c r="G950" i="2"/>
  <c r="F950" i="2"/>
  <c r="E950" i="2"/>
  <c r="A946" i="5" s="1"/>
  <c r="I949" i="2"/>
  <c r="H949" i="2"/>
  <c r="G949" i="2"/>
  <c r="F949" i="2"/>
  <c r="E949" i="2"/>
  <c r="A945" i="5" s="1"/>
  <c r="I948" i="2"/>
  <c r="H948" i="2"/>
  <c r="G948" i="2"/>
  <c r="F948" i="2"/>
  <c r="E948" i="2"/>
  <c r="A944" i="5" s="1"/>
  <c r="I947" i="2"/>
  <c r="H947" i="2"/>
  <c r="G947" i="2"/>
  <c r="F947" i="2"/>
  <c r="E947" i="2"/>
  <c r="A943" i="5" s="1"/>
  <c r="I946" i="2"/>
  <c r="H946" i="2"/>
  <c r="G946" i="2"/>
  <c r="F946" i="2"/>
  <c r="E946" i="2"/>
  <c r="A942" i="5" s="1"/>
  <c r="I945" i="2"/>
  <c r="H945" i="2"/>
  <c r="G945" i="2"/>
  <c r="F945" i="2"/>
  <c r="E945" i="2"/>
  <c r="A941" i="5" s="1"/>
  <c r="I944" i="2"/>
  <c r="H944" i="2"/>
  <c r="G944" i="2"/>
  <c r="F944" i="2"/>
  <c r="E944" i="2"/>
  <c r="A940" i="5" s="1"/>
  <c r="I943" i="2"/>
  <c r="H943" i="2"/>
  <c r="G943" i="2"/>
  <c r="F943" i="2"/>
  <c r="E943" i="2"/>
  <c r="A939" i="5" s="1"/>
  <c r="I942" i="2"/>
  <c r="H942" i="2"/>
  <c r="G942" i="2"/>
  <c r="F942" i="2"/>
  <c r="E942" i="2"/>
  <c r="A938" i="5" s="1"/>
  <c r="I941" i="2"/>
  <c r="H941" i="2"/>
  <c r="G941" i="2"/>
  <c r="F941" i="2"/>
  <c r="E941" i="2"/>
  <c r="A937" i="5" s="1"/>
  <c r="I940" i="2"/>
  <c r="H940" i="2"/>
  <c r="G940" i="2"/>
  <c r="F940" i="2"/>
  <c r="E940" i="2"/>
  <c r="A936" i="5" s="1"/>
  <c r="I939" i="2"/>
  <c r="H939" i="2"/>
  <c r="G939" i="2"/>
  <c r="F939" i="2"/>
  <c r="E939" i="2"/>
  <c r="A935" i="5" s="1"/>
  <c r="I938" i="2"/>
  <c r="H938" i="2"/>
  <c r="G938" i="2"/>
  <c r="F938" i="2"/>
  <c r="E938" i="2"/>
  <c r="A934" i="5" s="1"/>
  <c r="I937" i="2"/>
  <c r="H937" i="2"/>
  <c r="G937" i="2"/>
  <c r="F937" i="2"/>
  <c r="E937" i="2"/>
  <c r="A933" i="5" s="1"/>
  <c r="I936" i="2"/>
  <c r="H936" i="2"/>
  <c r="G936" i="2"/>
  <c r="F936" i="2"/>
  <c r="E936" i="2"/>
  <c r="A932" i="5" s="1"/>
  <c r="I935" i="2"/>
  <c r="H935" i="2"/>
  <c r="G935" i="2"/>
  <c r="F935" i="2"/>
  <c r="E935" i="2"/>
  <c r="A931" i="5" s="1"/>
  <c r="I934" i="2"/>
  <c r="H934" i="2"/>
  <c r="G934" i="2"/>
  <c r="F934" i="2"/>
  <c r="E934" i="2"/>
  <c r="A930" i="5" s="1"/>
  <c r="I933" i="2"/>
  <c r="H933" i="2"/>
  <c r="G933" i="2"/>
  <c r="F933" i="2"/>
  <c r="E933" i="2"/>
  <c r="A929" i="5" s="1"/>
  <c r="I932" i="2"/>
  <c r="H932" i="2"/>
  <c r="G932" i="2"/>
  <c r="F932" i="2"/>
  <c r="E932" i="2"/>
  <c r="A928" i="5" s="1"/>
  <c r="I931" i="2"/>
  <c r="H931" i="2"/>
  <c r="G931" i="2"/>
  <c r="F931" i="2"/>
  <c r="E931" i="2"/>
  <c r="A927" i="5" s="1"/>
  <c r="I930" i="2"/>
  <c r="H930" i="2"/>
  <c r="G930" i="2"/>
  <c r="F930" i="2"/>
  <c r="E930" i="2"/>
  <c r="A926" i="5" s="1"/>
  <c r="I929" i="2"/>
  <c r="H929" i="2"/>
  <c r="G929" i="2"/>
  <c r="F929" i="2"/>
  <c r="E929" i="2"/>
  <c r="A925" i="5" s="1"/>
  <c r="I928" i="2"/>
  <c r="H928" i="2"/>
  <c r="G928" i="2"/>
  <c r="F928" i="2"/>
  <c r="E928" i="2"/>
  <c r="A924" i="5" s="1"/>
  <c r="I927" i="2"/>
  <c r="H927" i="2"/>
  <c r="G927" i="2"/>
  <c r="F927" i="2"/>
  <c r="E927" i="2"/>
  <c r="A923" i="5" s="1"/>
  <c r="I926" i="2"/>
  <c r="H926" i="2"/>
  <c r="G926" i="2"/>
  <c r="F926" i="2"/>
  <c r="E926" i="2"/>
  <c r="A922" i="5" s="1"/>
  <c r="I925" i="2"/>
  <c r="H925" i="2"/>
  <c r="G925" i="2"/>
  <c r="F925" i="2"/>
  <c r="E925" i="2"/>
  <c r="A921" i="5" s="1"/>
  <c r="I924" i="2"/>
  <c r="H924" i="2"/>
  <c r="G924" i="2"/>
  <c r="F924" i="2"/>
  <c r="E924" i="2"/>
  <c r="A920" i="5" s="1"/>
  <c r="I923" i="2"/>
  <c r="H923" i="2"/>
  <c r="G923" i="2"/>
  <c r="F923" i="2"/>
  <c r="E923" i="2"/>
  <c r="A919" i="5" s="1"/>
  <c r="I922" i="2"/>
  <c r="H922" i="2"/>
  <c r="G922" i="2"/>
  <c r="F922" i="2"/>
  <c r="E922" i="2"/>
  <c r="A918" i="5" s="1"/>
  <c r="I921" i="2"/>
  <c r="H921" i="2"/>
  <c r="G921" i="2"/>
  <c r="F921" i="2"/>
  <c r="E921" i="2"/>
  <c r="A917" i="5" s="1"/>
  <c r="I920" i="2"/>
  <c r="H920" i="2"/>
  <c r="G920" i="2"/>
  <c r="F920" i="2"/>
  <c r="E920" i="2"/>
  <c r="A916" i="5" s="1"/>
  <c r="I919" i="2"/>
  <c r="H919" i="2"/>
  <c r="G919" i="2"/>
  <c r="F919" i="2"/>
  <c r="E919" i="2"/>
  <c r="A915" i="5" s="1"/>
  <c r="I918" i="2"/>
  <c r="H918" i="2"/>
  <c r="G918" i="2"/>
  <c r="F918" i="2"/>
  <c r="E918" i="2"/>
  <c r="A914" i="5" s="1"/>
  <c r="I917" i="2"/>
  <c r="H917" i="2"/>
  <c r="G917" i="2"/>
  <c r="F917" i="2"/>
  <c r="E917" i="2"/>
  <c r="A913" i="5" s="1"/>
  <c r="I916" i="2"/>
  <c r="H916" i="2"/>
  <c r="G916" i="2"/>
  <c r="F916" i="2"/>
  <c r="E916" i="2"/>
  <c r="A912" i="5" s="1"/>
  <c r="I915" i="2"/>
  <c r="H915" i="2"/>
  <c r="G915" i="2"/>
  <c r="F915" i="2"/>
  <c r="E915" i="2"/>
  <c r="A911" i="5" s="1"/>
  <c r="I914" i="2"/>
  <c r="H914" i="2"/>
  <c r="G914" i="2"/>
  <c r="F914" i="2"/>
  <c r="E914" i="2"/>
  <c r="A910" i="5" s="1"/>
  <c r="I913" i="2"/>
  <c r="H913" i="2"/>
  <c r="G913" i="2"/>
  <c r="F913" i="2"/>
  <c r="E913" i="2"/>
  <c r="A909" i="5" s="1"/>
  <c r="I912" i="2"/>
  <c r="H912" i="2"/>
  <c r="G912" i="2"/>
  <c r="F912" i="2"/>
  <c r="E912" i="2"/>
  <c r="A908" i="5" s="1"/>
  <c r="I911" i="2"/>
  <c r="H911" i="2"/>
  <c r="G911" i="2"/>
  <c r="F911" i="2"/>
  <c r="E911" i="2"/>
  <c r="A907" i="5" s="1"/>
  <c r="I910" i="2"/>
  <c r="H910" i="2"/>
  <c r="G910" i="2"/>
  <c r="F910" i="2"/>
  <c r="E910" i="2"/>
  <c r="A906" i="5" s="1"/>
  <c r="I909" i="2"/>
  <c r="H909" i="2"/>
  <c r="G909" i="2"/>
  <c r="F909" i="2"/>
  <c r="E909" i="2"/>
  <c r="A905" i="5" s="1"/>
  <c r="I908" i="2"/>
  <c r="H908" i="2"/>
  <c r="G908" i="2"/>
  <c r="F908" i="2"/>
  <c r="E908" i="2"/>
  <c r="A904" i="5" s="1"/>
  <c r="I907" i="2"/>
  <c r="H907" i="2"/>
  <c r="G907" i="2"/>
  <c r="F907" i="2"/>
  <c r="E907" i="2"/>
  <c r="A903" i="5" s="1"/>
  <c r="I906" i="2"/>
  <c r="H906" i="2"/>
  <c r="G906" i="2"/>
  <c r="F906" i="2"/>
  <c r="E906" i="2"/>
  <c r="A902" i="5" s="1"/>
  <c r="I905" i="2"/>
  <c r="H905" i="2"/>
  <c r="G905" i="2"/>
  <c r="F905" i="2"/>
  <c r="E905" i="2"/>
  <c r="A901" i="5" s="1"/>
  <c r="I904" i="2"/>
  <c r="H904" i="2"/>
  <c r="G904" i="2"/>
  <c r="F904" i="2"/>
  <c r="E904" i="2"/>
  <c r="A900" i="5" s="1"/>
  <c r="I903" i="2"/>
  <c r="H903" i="2"/>
  <c r="G903" i="2"/>
  <c r="F903" i="2"/>
  <c r="E903" i="2"/>
  <c r="A899" i="5" s="1"/>
  <c r="I902" i="2"/>
  <c r="H902" i="2"/>
  <c r="G902" i="2"/>
  <c r="F902" i="2"/>
  <c r="E902" i="2"/>
  <c r="A898" i="5" s="1"/>
  <c r="I901" i="2"/>
  <c r="H901" i="2"/>
  <c r="G901" i="2"/>
  <c r="F901" i="2"/>
  <c r="E901" i="2"/>
  <c r="A897" i="5" s="1"/>
  <c r="I900" i="2"/>
  <c r="H900" i="2"/>
  <c r="G900" i="2"/>
  <c r="F900" i="2"/>
  <c r="E900" i="2"/>
  <c r="A896" i="5" s="1"/>
  <c r="I899" i="2"/>
  <c r="H899" i="2"/>
  <c r="G899" i="2"/>
  <c r="F899" i="2"/>
  <c r="E899" i="2"/>
  <c r="A895" i="5" s="1"/>
  <c r="I898" i="2"/>
  <c r="H898" i="2"/>
  <c r="G898" i="2"/>
  <c r="F898" i="2"/>
  <c r="E898" i="2"/>
  <c r="A894" i="5" s="1"/>
  <c r="I897" i="2"/>
  <c r="H897" i="2"/>
  <c r="G897" i="2"/>
  <c r="F897" i="2"/>
  <c r="E897" i="2"/>
  <c r="A893" i="5" s="1"/>
  <c r="I896" i="2"/>
  <c r="H896" i="2"/>
  <c r="G896" i="2"/>
  <c r="F896" i="2"/>
  <c r="E896" i="2"/>
  <c r="A892" i="5" s="1"/>
  <c r="I895" i="2"/>
  <c r="H895" i="2"/>
  <c r="G895" i="2"/>
  <c r="F895" i="2"/>
  <c r="E895" i="2"/>
  <c r="A891" i="5" s="1"/>
  <c r="I894" i="2"/>
  <c r="H894" i="2"/>
  <c r="G894" i="2"/>
  <c r="F894" i="2"/>
  <c r="E894" i="2"/>
  <c r="A890" i="5" s="1"/>
  <c r="I893" i="2"/>
  <c r="H893" i="2"/>
  <c r="G893" i="2"/>
  <c r="F893" i="2"/>
  <c r="E893" i="2"/>
  <c r="A889" i="5" s="1"/>
  <c r="I892" i="2"/>
  <c r="H892" i="2"/>
  <c r="G892" i="2"/>
  <c r="F892" i="2"/>
  <c r="E892" i="2"/>
  <c r="A888" i="5" s="1"/>
  <c r="I891" i="2"/>
  <c r="H891" i="2"/>
  <c r="G891" i="2"/>
  <c r="F891" i="2"/>
  <c r="E891" i="2"/>
  <c r="A887" i="5" s="1"/>
  <c r="I890" i="2"/>
  <c r="H890" i="2"/>
  <c r="G890" i="2"/>
  <c r="F890" i="2"/>
  <c r="E890" i="2"/>
  <c r="A886" i="5" s="1"/>
  <c r="I889" i="2"/>
  <c r="H889" i="2"/>
  <c r="G889" i="2"/>
  <c r="F889" i="2"/>
  <c r="E889" i="2"/>
  <c r="A885" i="5" s="1"/>
  <c r="I888" i="2"/>
  <c r="H888" i="2"/>
  <c r="G888" i="2"/>
  <c r="F888" i="2"/>
  <c r="E888" i="2"/>
  <c r="A884" i="5" s="1"/>
  <c r="I887" i="2"/>
  <c r="H887" i="2"/>
  <c r="G887" i="2"/>
  <c r="F887" i="2"/>
  <c r="E887" i="2"/>
  <c r="A883" i="5" s="1"/>
  <c r="I886" i="2"/>
  <c r="H886" i="2"/>
  <c r="G886" i="2"/>
  <c r="F886" i="2"/>
  <c r="E886" i="2"/>
  <c r="A882" i="5" s="1"/>
  <c r="I885" i="2"/>
  <c r="H885" i="2"/>
  <c r="G885" i="2"/>
  <c r="F885" i="2"/>
  <c r="E885" i="2"/>
  <c r="A881" i="5" s="1"/>
  <c r="I884" i="2"/>
  <c r="H884" i="2"/>
  <c r="G884" i="2"/>
  <c r="F884" i="2"/>
  <c r="E884" i="2"/>
  <c r="A880" i="5" s="1"/>
  <c r="I883" i="2"/>
  <c r="H883" i="2"/>
  <c r="G883" i="2"/>
  <c r="F883" i="2"/>
  <c r="E883" i="2"/>
  <c r="A879" i="5" s="1"/>
  <c r="I882" i="2"/>
  <c r="H882" i="2"/>
  <c r="G882" i="2"/>
  <c r="F882" i="2"/>
  <c r="E882" i="2"/>
  <c r="A878" i="5" s="1"/>
  <c r="I881" i="2"/>
  <c r="H881" i="2"/>
  <c r="G881" i="2"/>
  <c r="F881" i="2"/>
  <c r="E881" i="2"/>
  <c r="A877" i="5" s="1"/>
  <c r="I880" i="2"/>
  <c r="H880" i="2"/>
  <c r="G880" i="2"/>
  <c r="F880" i="2"/>
  <c r="E880" i="2"/>
  <c r="A876" i="5" s="1"/>
  <c r="I879" i="2"/>
  <c r="H879" i="2"/>
  <c r="G879" i="2"/>
  <c r="F879" i="2"/>
  <c r="E879" i="2"/>
  <c r="A875" i="5" s="1"/>
  <c r="I878" i="2"/>
  <c r="H878" i="2"/>
  <c r="G878" i="2"/>
  <c r="F878" i="2"/>
  <c r="E878" i="2"/>
  <c r="A874" i="5" s="1"/>
  <c r="I877" i="2"/>
  <c r="H877" i="2"/>
  <c r="G877" i="2"/>
  <c r="F877" i="2"/>
  <c r="E877" i="2"/>
  <c r="A873" i="5" s="1"/>
  <c r="I876" i="2"/>
  <c r="H876" i="2"/>
  <c r="G876" i="2"/>
  <c r="F876" i="2"/>
  <c r="E876" i="2"/>
  <c r="A872" i="5" s="1"/>
  <c r="I875" i="2"/>
  <c r="H875" i="2"/>
  <c r="G875" i="2"/>
  <c r="F875" i="2"/>
  <c r="E875" i="2"/>
  <c r="A871" i="5" s="1"/>
  <c r="I874" i="2"/>
  <c r="H874" i="2"/>
  <c r="G874" i="2"/>
  <c r="F874" i="2"/>
  <c r="E874" i="2"/>
  <c r="A870" i="5" s="1"/>
  <c r="I873" i="2"/>
  <c r="H873" i="2"/>
  <c r="G873" i="2"/>
  <c r="F873" i="2"/>
  <c r="E873" i="2"/>
  <c r="A869" i="5" s="1"/>
  <c r="I872" i="2"/>
  <c r="H872" i="2"/>
  <c r="G872" i="2"/>
  <c r="F872" i="2"/>
  <c r="E872" i="2"/>
  <c r="A868" i="5" s="1"/>
  <c r="I871" i="2"/>
  <c r="H871" i="2"/>
  <c r="G871" i="2"/>
  <c r="F871" i="2"/>
  <c r="E871" i="2"/>
  <c r="A867" i="5" s="1"/>
  <c r="I870" i="2"/>
  <c r="H870" i="2"/>
  <c r="G870" i="2"/>
  <c r="F870" i="2"/>
  <c r="E870" i="2"/>
  <c r="A866" i="5" s="1"/>
  <c r="I869" i="2"/>
  <c r="H869" i="2"/>
  <c r="G869" i="2"/>
  <c r="F869" i="2"/>
  <c r="E869" i="2"/>
  <c r="A865" i="5" s="1"/>
  <c r="I868" i="2"/>
  <c r="H868" i="2"/>
  <c r="G868" i="2"/>
  <c r="F868" i="2"/>
  <c r="E868" i="2"/>
  <c r="A864" i="5" s="1"/>
  <c r="I867" i="2"/>
  <c r="H867" i="2"/>
  <c r="G867" i="2"/>
  <c r="F867" i="2"/>
  <c r="E867" i="2"/>
  <c r="A863" i="5" s="1"/>
  <c r="I866" i="2"/>
  <c r="H866" i="2"/>
  <c r="G866" i="2"/>
  <c r="F866" i="2"/>
  <c r="E866" i="2"/>
  <c r="A862" i="5" s="1"/>
  <c r="I865" i="2"/>
  <c r="H865" i="2"/>
  <c r="G865" i="2"/>
  <c r="F865" i="2"/>
  <c r="E865" i="2"/>
  <c r="A861" i="5" s="1"/>
  <c r="I864" i="2"/>
  <c r="H864" i="2"/>
  <c r="G864" i="2"/>
  <c r="F864" i="2"/>
  <c r="E864" i="2"/>
  <c r="A860" i="5" s="1"/>
  <c r="I863" i="2"/>
  <c r="H863" i="2"/>
  <c r="G863" i="2"/>
  <c r="F863" i="2"/>
  <c r="E863" i="2"/>
  <c r="A859" i="5" s="1"/>
  <c r="I862" i="2"/>
  <c r="H862" i="2"/>
  <c r="G862" i="2"/>
  <c r="F862" i="2"/>
  <c r="E862" i="2"/>
  <c r="A858" i="5" s="1"/>
  <c r="I861" i="2"/>
  <c r="H861" i="2"/>
  <c r="G861" i="2"/>
  <c r="F861" i="2"/>
  <c r="E861" i="2"/>
  <c r="A857" i="5" s="1"/>
  <c r="I860" i="2"/>
  <c r="H860" i="2"/>
  <c r="G860" i="2"/>
  <c r="F860" i="2"/>
  <c r="E860" i="2"/>
  <c r="A856" i="5" s="1"/>
  <c r="I859" i="2"/>
  <c r="H859" i="2"/>
  <c r="G859" i="2"/>
  <c r="F859" i="2"/>
  <c r="E859" i="2"/>
  <c r="A855" i="5" s="1"/>
  <c r="I858" i="2"/>
  <c r="H858" i="2"/>
  <c r="G858" i="2"/>
  <c r="F858" i="2"/>
  <c r="E858" i="2"/>
  <c r="A854" i="5" s="1"/>
  <c r="I857" i="2"/>
  <c r="H857" i="2"/>
  <c r="G857" i="2"/>
  <c r="F857" i="2"/>
  <c r="E857" i="2"/>
  <c r="A853" i="5" s="1"/>
  <c r="I856" i="2"/>
  <c r="H856" i="2"/>
  <c r="G856" i="2"/>
  <c r="F856" i="2"/>
  <c r="E856" i="2"/>
  <c r="A852" i="5" s="1"/>
  <c r="I855" i="2"/>
  <c r="H855" i="2"/>
  <c r="G855" i="2"/>
  <c r="F855" i="2"/>
  <c r="E855" i="2"/>
  <c r="A851" i="5" s="1"/>
  <c r="I854" i="2"/>
  <c r="H854" i="2"/>
  <c r="G854" i="2"/>
  <c r="F854" i="2"/>
  <c r="E854" i="2"/>
  <c r="A850" i="5" s="1"/>
  <c r="I853" i="2"/>
  <c r="H853" i="2"/>
  <c r="G853" i="2"/>
  <c r="F853" i="2"/>
  <c r="E853" i="2"/>
  <c r="A849" i="5" s="1"/>
  <c r="I852" i="2"/>
  <c r="H852" i="2"/>
  <c r="G852" i="2"/>
  <c r="F852" i="2"/>
  <c r="E852" i="2"/>
  <c r="A848" i="5" s="1"/>
  <c r="I851" i="2"/>
  <c r="H851" i="2"/>
  <c r="G851" i="2"/>
  <c r="F851" i="2"/>
  <c r="E851" i="2"/>
  <c r="A847" i="5" s="1"/>
  <c r="I850" i="2"/>
  <c r="H850" i="2"/>
  <c r="G850" i="2"/>
  <c r="F850" i="2"/>
  <c r="E850" i="2"/>
  <c r="A846" i="5" s="1"/>
  <c r="I849" i="2"/>
  <c r="H849" i="2"/>
  <c r="G849" i="2"/>
  <c r="F849" i="2"/>
  <c r="E849" i="2"/>
  <c r="A845" i="5" s="1"/>
  <c r="I848" i="2"/>
  <c r="H848" i="2"/>
  <c r="G848" i="2"/>
  <c r="F848" i="2"/>
  <c r="E848" i="2"/>
  <c r="A844" i="5" s="1"/>
  <c r="I847" i="2"/>
  <c r="H847" i="2"/>
  <c r="G847" i="2"/>
  <c r="F847" i="2"/>
  <c r="E847" i="2"/>
  <c r="A843" i="5" s="1"/>
  <c r="I846" i="2"/>
  <c r="H846" i="2"/>
  <c r="G846" i="2"/>
  <c r="F846" i="2"/>
  <c r="E846" i="2"/>
  <c r="A842" i="5" s="1"/>
  <c r="I845" i="2"/>
  <c r="H845" i="2"/>
  <c r="G845" i="2"/>
  <c r="F845" i="2"/>
  <c r="E845" i="2"/>
  <c r="A841" i="5" s="1"/>
  <c r="I844" i="2"/>
  <c r="H844" i="2"/>
  <c r="G844" i="2"/>
  <c r="F844" i="2"/>
  <c r="E844" i="2"/>
  <c r="A840" i="5" s="1"/>
  <c r="I843" i="2"/>
  <c r="H843" i="2"/>
  <c r="G843" i="2"/>
  <c r="F843" i="2"/>
  <c r="E843" i="2"/>
  <c r="A839" i="5" s="1"/>
  <c r="I842" i="2"/>
  <c r="H842" i="2"/>
  <c r="G842" i="2"/>
  <c r="F842" i="2"/>
  <c r="E842" i="2"/>
  <c r="A838" i="5" s="1"/>
  <c r="I841" i="2"/>
  <c r="H841" i="2"/>
  <c r="G841" i="2"/>
  <c r="F841" i="2"/>
  <c r="E841" i="2"/>
  <c r="A837" i="5" s="1"/>
  <c r="I840" i="2"/>
  <c r="H840" i="2"/>
  <c r="G840" i="2"/>
  <c r="F840" i="2"/>
  <c r="E840" i="2"/>
  <c r="A836" i="5" s="1"/>
  <c r="I839" i="2"/>
  <c r="H839" i="2"/>
  <c r="G839" i="2"/>
  <c r="F839" i="2"/>
  <c r="E839" i="2"/>
  <c r="A835" i="5" s="1"/>
  <c r="I838" i="2"/>
  <c r="H838" i="2"/>
  <c r="G838" i="2"/>
  <c r="F838" i="2"/>
  <c r="E838" i="2"/>
  <c r="A834" i="5" s="1"/>
  <c r="I837" i="2"/>
  <c r="H837" i="2"/>
  <c r="G837" i="2"/>
  <c r="F837" i="2"/>
  <c r="E837" i="2"/>
  <c r="A833" i="5" s="1"/>
  <c r="I836" i="2"/>
  <c r="H836" i="2"/>
  <c r="G836" i="2"/>
  <c r="F836" i="2"/>
  <c r="E836" i="2"/>
  <c r="A832" i="5" s="1"/>
  <c r="I835" i="2"/>
  <c r="H835" i="2"/>
  <c r="G835" i="2"/>
  <c r="F835" i="2"/>
  <c r="E835" i="2"/>
  <c r="A831" i="5" s="1"/>
  <c r="I834" i="2"/>
  <c r="H834" i="2"/>
  <c r="G834" i="2"/>
  <c r="F834" i="2"/>
  <c r="E834" i="2"/>
  <c r="A830" i="5" s="1"/>
  <c r="I833" i="2"/>
  <c r="H833" i="2"/>
  <c r="G833" i="2"/>
  <c r="F833" i="2"/>
  <c r="E833" i="2"/>
  <c r="A829" i="5" s="1"/>
  <c r="I832" i="2"/>
  <c r="H832" i="2"/>
  <c r="G832" i="2"/>
  <c r="F832" i="2"/>
  <c r="E832" i="2"/>
  <c r="A828" i="5" s="1"/>
  <c r="I831" i="2"/>
  <c r="H831" i="2"/>
  <c r="G831" i="2"/>
  <c r="F831" i="2"/>
  <c r="E831" i="2"/>
  <c r="A827" i="5" s="1"/>
  <c r="I830" i="2"/>
  <c r="H830" i="2"/>
  <c r="G830" i="2"/>
  <c r="F830" i="2"/>
  <c r="E830" i="2"/>
  <c r="A826" i="5" s="1"/>
  <c r="I829" i="2"/>
  <c r="H829" i="2"/>
  <c r="G829" i="2"/>
  <c r="F829" i="2"/>
  <c r="E829" i="2"/>
  <c r="A825" i="5" s="1"/>
  <c r="I828" i="2"/>
  <c r="H828" i="2"/>
  <c r="G828" i="2"/>
  <c r="F828" i="2"/>
  <c r="E828" i="2"/>
  <c r="A824" i="5" s="1"/>
  <c r="I827" i="2"/>
  <c r="H827" i="2"/>
  <c r="G827" i="2"/>
  <c r="F827" i="2"/>
  <c r="E827" i="2"/>
  <c r="A823" i="5" s="1"/>
  <c r="I826" i="2"/>
  <c r="H826" i="2"/>
  <c r="G826" i="2"/>
  <c r="F826" i="2"/>
  <c r="E826" i="2"/>
  <c r="A822" i="5" s="1"/>
  <c r="I825" i="2"/>
  <c r="H825" i="2"/>
  <c r="G825" i="2"/>
  <c r="F825" i="2"/>
  <c r="E825" i="2"/>
  <c r="A821" i="5" s="1"/>
  <c r="I824" i="2"/>
  <c r="H824" i="2"/>
  <c r="G824" i="2"/>
  <c r="F824" i="2"/>
  <c r="E824" i="2"/>
  <c r="A820" i="5" s="1"/>
  <c r="I823" i="2"/>
  <c r="H823" i="2"/>
  <c r="G823" i="2"/>
  <c r="F823" i="2"/>
  <c r="E823" i="2"/>
  <c r="A819" i="5" s="1"/>
  <c r="I822" i="2"/>
  <c r="H822" i="2"/>
  <c r="G822" i="2"/>
  <c r="F822" i="2"/>
  <c r="E822" i="2"/>
  <c r="A818" i="5" s="1"/>
  <c r="I821" i="2"/>
  <c r="H821" i="2"/>
  <c r="G821" i="2"/>
  <c r="F821" i="2"/>
  <c r="E821" i="2"/>
  <c r="A817" i="5" s="1"/>
  <c r="I820" i="2"/>
  <c r="H820" i="2"/>
  <c r="G820" i="2"/>
  <c r="F820" i="2"/>
  <c r="E820" i="2"/>
  <c r="A816" i="5" s="1"/>
  <c r="I819" i="2"/>
  <c r="H819" i="2"/>
  <c r="G819" i="2"/>
  <c r="F819" i="2"/>
  <c r="E819" i="2"/>
  <c r="A815" i="5" s="1"/>
  <c r="I818" i="2"/>
  <c r="H818" i="2"/>
  <c r="G818" i="2"/>
  <c r="F818" i="2"/>
  <c r="E818" i="2"/>
  <c r="A814" i="5" s="1"/>
  <c r="I817" i="2"/>
  <c r="H817" i="2"/>
  <c r="G817" i="2"/>
  <c r="F817" i="2"/>
  <c r="E817" i="2"/>
  <c r="A813" i="5" s="1"/>
  <c r="I816" i="2"/>
  <c r="H816" i="2"/>
  <c r="G816" i="2"/>
  <c r="F816" i="2"/>
  <c r="E816" i="2"/>
  <c r="A812" i="5" s="1"/>
  <c r="I815" i="2"/>
  <c r="H815" i="2"/>
  <c r="G815" i="2"/>
  <c r="F815" i="2"/>
  <c r="E815" i="2"/>
  <c r="A811" i="5" s="1"/>
  <c r="I814" i="2"/>
  <c r="H814" i="2"/>
  <c r="G814" i="2"/>
  <c r="F814" i="2"/>
  <c r="E814" i="2"/>
  <c r="A810" i="5" s="1"/>
  <c r="I813" i="2"/>
  <c r="H813" i="2"/>
  <c r="G813" i="2"/>
  <c r="F813" i="2"/>
  <c r="E813" i="2"/>
  <c r="A809" i="5" s="1"/>
  <c r="I812" i="2"/>
  <c r="H812" i="2"/>
  <c r="G812" i="2"/>
  <c r="F812" i="2"/>
  <c r="E812" i="2"/>
  <c r="A808" i="5" s="1"/>
  <c r="I811" i="2"/>
  <c r="H811" i="2"/>
  <c r="G811" i="2"/>
  <c r="F811" i="2"/>
  <c r="E811" i="2"/>
  <c r="A807" i="5" s="1"/>
  <c r="I810" i="2"/>
  <c r="H810" i="2"/>
  <c r="G810" i="2"/>
  <c r="F810" i="2"/>
  <c r="E810" i="2"/>
  <c r="A806" i="5" s="1"/>
  <c r="I809" i="2"/>
  <c r="H809" i="2"/>
  <c r="G809" i="2"/>
  <c r="F809" i="2"/>
  <c r="E809" i="2"/>
  <c r="A805" i="5" s="1"/>
  <c r="I808" i="2"/>
  <c r="H808" i="2"/>
  <c r="G808" i="2"/>
  <c r="F808" i="2"/>
  <c r="E808" i="2"/>
  <c r="A804" i="5" s="1"/>
  <c r="I807" i="2"/>
  <c r="H807" i="2"/>
  <c r="G807" i="2"/>
  <c r="F807" i="2"/>
  <c r="E807" i="2"/>
  <c r="A803" i="5" s="1"/>
  <c r="I806" i="2"/>
  <c r="H806" i="2"/>
  <c r="G806" i="2"/>
  <c r="F806" i="2"/>
  <c r="E806" i="2"/>
  <c r="A802" i="5" s="1"/>
  <c r="I805" i="2"/>
  <c r="H805" i="2"/>
  <c r="G805" i="2"/>
  <c r="F805" i="2"/>
  <c r="E805" i="2"/>
  <c r="A801" i="5" s="1"/>
  <c r="I804" i="2"/>
  <c r="H804" i="2"/>
  <c r="G804" i="2"/>
  <c r="F804" i="2"/>
  <c r="E804" i="2"/>
  <c r="A800" i="5" s="1"/>
  <c r="I803" i="2"/>
  <c r="H803" i="2"/>
  <c r="G803" i="2"/>
  <c r="F803" i="2"/>
  <c r="E803" i="2"/>
  <c r="A799" i="5" s="1"/>
  <c r="I802" i="2"/>
  <c r="H802" i="2"/>
  <c r="G802" i="2"/>
  <c r="F802" i="2"/>
  <c r="E802" i="2"/>
  <c r="A798" i="5" s="1"/>
  <c r="I801" i="2"/>
  <c r="H801" i="2"/>
  <c r="G801" i="2"/>
  <c r="F801" i="2"/>
  <c r="E801" i="2"/>
  <c r="A797" i="5" s="1"/>
  <c r="I800" i="2"/>
  <c r="H800" i="2"/>
  <c r="G800" i="2"/>
  <c r="F800" i="2"/>
  <c r="E800" i="2"/>
  <c r="A796" i="5" s="1"/>
  <c r="I799" i="2"/>
  <c r="H799" i="2"/>
  <c r="G799" i="2"/>
  <c r="F799" i="2"/>
  <c r="E799" i="2"/>
  <c r="A795" i="5" s="1"/>
  <c r="I798" i="2"/>
  <c r="H798" i="2"/>
  <c r="G798" i="2"/>
  <c r="F798" i="2"/>
  <c r="E798" i="2"/>
  <c r="A794" i="5" s="1"/>
  <c r="I797" i="2"/>
  <c r="H797" i="2"/>
  <c r="G797" i="2"/>
  <c r="F797" i="2"/>
  <c r="E797" i="2"/>
  <c r="A793" i="5" s="1"/>
  <c r="I796" i="2"/>
  <c r="H796" i="2"/>
  <c r="G796" i="2"/>
  <c r="F796" i="2"/>
  <c r="E796" i="2"/>
  <c r="A792" i="5" s="1"/>
  <c r="I795" i="2"/>
  <c r="H795" i="2"/>
  <c r="G795" i="2"/>
  <c r="F795" i="2"/>
  <c r="E795" i="2"/>
  <c r="A791" i="5" s="1"/>
  <c r="I794" i="2"/>
  <c r="H794" i="2"/>
  <c r="G794" i="2"/>
  <c r="F794" i="2"/>
  <c r="E794" i="2"/>
  <c r="A790" i="5" s="1"/>
  <c r="I793" i="2"/>
  <c r="H793" i="2"/>
  <c r="G793" i="2"/>
  <c r="F793" i="2"/>
  <c r="E793" i="2"/>
  <c r="A789" i="5" s="1"/>
  <c r="I792" i="2"/>
  <c r="H792" i="2"/>
  <c r="G792" i="2"/>
  <c r="F792" i="2"/>
  <c r="E792" i="2"/>
  <c r="A788" i="5" s="1"/>
  <c r="I791" i="2"/>
  <c r="H791" i="2"/>
  <c r="G791" i="2"/>
  <c r="F791" i="2"/>
  <c r="E791" i="2"/>
  <c r="A787" i="5" s="1"/>
  <c r="I790" i="2"/>
  <c r="H790" i="2"/>
  <c r="G790" i="2"/>
  <c r="F790" i="2"/>
  <c r="E790" i="2"/>
  <c r="A786" i="5" s="1"/>
  <c r="I789" i="2"/>
  <c r="H789" i="2"/>
  <c r="G789" i="2"/>
  <c r="F789" i="2"/>
  <c r="E789" i="2"/>
  <c r="A785" i="5" s="1"/>
  <c r="I788" i="2"/>
  <c r="H788" i="2"/>
  <c r="G788" i="2"/>
  <c r="F788" i="2"/>
  <c r="E788" i="2"/>
  <c r="A784" i="5" s="1"/>
  <c r="I787" i="2"/>
  <c r="H787" i="2"/>
  <c r="G787" i="2"/>
  <c r="F787" i="2"/>
  <c r="E787" i="2"/>
  <c r="A783" i="5" s="1"/>
  <c r="I786" i="2"/>
  <c r="H786" i="2"/>
  <c r="G786" i="2"/>
  <c r="F786" i="2"/>
  <c r="E786" i="2"/>
  <c r="A782" i="5" s="1"/>
  <c r="I785" i="2"/>
  <c r="H785" i="2"/>
  <c r="G785" i="2"/>
  <c r="F785" i="2"/>
  <c r="E785" i="2"/>
  <c r="A781" i="5" s="1"/>
  <c r="I784" i="2"/>
  <c r="H784" i="2"/>
  <c r="G784" i="2"/>
  <c r="F784" i="2"/>
  <c r="E784" i="2"/>
  <c r="A780" i="5" s="1"/>
  <c r="I783" i="2"/>
  <c r="H783" i="2"/>
  <c r="G783" i="2"/>
  <c r="F783" i="2"/>
  <c r="E783" i="2"/>
  <c r="A779" i="5" s="1"/>
  <c r="I782" i="2"/>
  <c r="H782" i="2"/>
  <c r="G782" i="2"/>
  <c r="F782" i="2"/>
  <c r="E782" i="2"/>
  <c r="A778" i="5" s="1"/>
  <c r="I781" i="2"/>
  <c r="H781" i="2"/>
  <c r="G781" i="2"/>
  <c r="F781" i="2"/>
  <c r="E781" i="2"/>
  <c r="A777" i="5" s="1"/>
  <c r="I780" i="2"/>
  <c r="H780" i="2"/>
  <c r="G780" i="2"/>
  <c r="F780" i="2"/>
  <c r="E780" i="2"/>
  <c r="A776" i="5" s="1"/>
  <c r="I779" i="2"/>
  <c r="H779" i="2"/>
  <c r="G779" i="2"/>
  <c r="F779" i="2"/>
  <c r="E779" i="2"/>
  <c r="A775" i="5" s="1"/>
  <c r="I778" i="2"/>
  <c r="H778" i="2"/>
  <c r="G778" i="2"/>
  <c r="F778" i="2"/>
  <c r="E778" i="2"/>
  <c r="A774" i="5" s="1"/>
  <c r="I777" i="2"/>
  <c r="H777" i="2"/>
  <c r="G777" i="2"/>
  <c r="F777" i="2"/>
  <c r="E777" i="2"/>
  <c r="A773" i="5" s="1"/>
  <c r="I776" i="2"/>
  <c r="H776" i="2"/>
  <c r="G776" i="2"/>
  <c r="F776" i="2"/>
  <c r="E776" i="2"/>
  <c r="A772" i="5" s="1"/>
  <c r="I775" i="2"/>
  <c r="H775" i="2"/>
  <c r="G775" i="2"/>
  <c r="F775" i="2"/>
  <c r="E775" i="2"/>
  <c r="A771" i="5" s="1"/>
  <c r="I774" i="2"/>
  <c r="H774" i="2"/>
  <c r="G774" i="2"/>
  <c r="F774" i="2"/>
  <c r="E774" i="2"/>
  <c r="A770" i="5" s="1"/>
  <c r="I773" i="2"/>
  <c r="H773" i="2"/>
  <c r="G773" i="2"/>
  <c r="F773" i="2"/>
  <c r="E773" i="2"/>
  <c r="A769" i="5" s="1"/>
  <c r="I772" i="2"/>
  <c r="H772" i="2"/>
  <c r="G772" i="2"/>
  <c r="F772" i="2"/>
  <c r="E772" i="2"/>
  <c r="A768" i="5" s="1"/>
  <c r="I771" i="2"/>
  <c r="H771" i="2"/>
  <c r="G771" i="2"/>
  <c r="F771" i="2"/>
  <c r="E771" i="2"/>
  <c r="A767" i="5" s="1"/>
  <c r="I770" i="2"/>
  <c r="H770" i="2"/>
  <c r="G770" i="2"/>
  <c r="F770" i="2"/>
  <c r="E770" i="2"/>
  <c r="A766" i="5" s="1"/>
  <c r="I769" i="2"/>
  <c r="H769" i="2"/>
  <c r="G769" i="2"/>
  <c r="F769" i="2"/>
  <c r="E769" i="2"/>
  <c r="A765" i="5" s="1"/>
  <c r="I768" i="2"/>
  <c r="H768" i="2"/>
  <c r="G768" i="2"/>
  <c r="F768" i="2"/>
  <c r="E768" i="2"/>
  <c r="A764" i="5" s="1"/>
  <c r="I767" i="2"/>
  <c r="H767" i="2"/>
  <c r="G767" i="2"/>
  <c r="F767" i="2"/>
  <c r="E767" i="2"/>
  <c r="A763" i="5" s="1"/>
  <c r="I766" i="2"/>
  <c r="H766" i="2"/>
  <c r="G766" i="2"/>
  <c r="F766" i="2"/>
  <c r="E766" i="2"/>
  <c r="A762" i="5" s="1"/>
  <c r="I765" i="2"/>
  <c r="H765" i="2"/>
  <c r="G765" i="2"/>
  <c r="F765" i="2"/>
  <c r="E765" i="2"/>
  <c r="A761" i="5" s="1"/>
  <c r="I764" i="2"/>
  <c r="H764" i="2"/>
  <c r="G764" i="2"/>
  <c r="F764" i="2"/>
  <c r="E764" i="2"/>
  <c r="A760" i="5" s="1"/>
  <c r="I763" i="2"/>
  <c r="H763" i="2"/>
  <c r="G763" i="2"/>
  <c r="F763" i="2"/>
  <c r="E763" i="2"/>
  <c r="A759" i="5" s="1"/>
  <c r="I762" i="2"/>
  <c r="H762" i="2"/>
  <c r="G762" i="2"/>
  <c r="F762" i="2"/>
  <c r="E762" i="2"/>
  <c r="A758" i="5" s="1"/>
  <c r="I761" i="2"/>
  <c r="H761" i="2"/>
  <c r="G761" i="2"/>
  <c r="F761" i="2"/>
  <c r="E761" i="2"/>
  <c r="A757" i="5" s="1"/>
  <c r="I760" i="2"/>
  <c r="H760" i="2"/>
  <c r="G760" i="2"/>
  <c r="F760" i="2"/>
  <c r="E760" i="2"/>
  <c r="A756" i="5" s="1"/>
  <c r="I759" i="2"/>
  <c r="H759" i="2"/>
  <c r="G759" i="2"/>
  <c r="F759" i="2"/>
  <c r="E759" i="2"/>
  <c r="A755" i="5" s="1"/>
  <c r="I758" i="2"/>
  <c r="H758" i="2"/>
  <c r="G758" i="2"/>
  <c r="F758" i="2"/>
  <c r="E758" i="2"/>
  <c r="A754" i="5" s="1"/>
  <c r="I757" i="2"/>
  <c r="H757" i="2"/>
  <c r="G757" i="2"/>
  <c r="F757" i="2"/>
  <c r="E757" i="2"/>
  <c r="A753" i="5" s="1"/>
  <c r="I756" i="2"/>
  <c r="H756" i="2"/>
  <c r="G756" i="2"/>
  <c r="F756" i="2"/>
  <c r="E756" i="2"/>
  <c r="A752" i="5" s="1"/>
  <c r="I755" i="2"/>
  <c r="H755" i="2"/>
  <c r="G755" i="2"/>
  <c r="F755" i="2"/>
  <c r="E755" i="2"/>
  <c r="A751" i="5" s="1"/>
  <c r="I754" i="2"/>
  <c r="H754" i="2"/>
  <c r="G754" i="2"/>
  <c r="F754" i="2"/>
  <c r="E754" i="2"/>
  <c r="A750" i="5" s="1"/>
  <c r="I753" i="2"/>
  <c r="H753" i="2"/>
  <c r="G753" i="2"/>
  <c r="F753" i="2"/>
  <c r="E753" i="2"/>
  <c r="A749" i="5" s="1"/>
  <c r="I752" i="2"/>
  <c r="H752" i="2"/>
  <c r="G752" i="2"/>
  <c r="F752" i="2"/>
  <c r="E752" i="2"/>
  <c r="A748" i="5" s="1"/>
  <c r="I751" i="2"/>
  <c r="H751" i="2"/>
  <c r="G751" i="2"/>
  <c r="F751" i="2"/>
  <c r="E751" i="2"/>
  <c r="A747" i="5" s="1"/>
  <c r="I750" i="2"/>
  <c r="H750" i="2"/>
  <c r="G750" i="2"/>
  <c r="F750" i="2"/>
  <c r="E750" i="2"/>
  <c r="A746" i="5" s="1"/>
  <c r="I749" i="2"/>
  <c r="H749" i="2"/>
  <c r="G749" i="2"/>
  <c r="F749" i="2"/>
  <c r="E749" i="2"/>
  <c r="A745" i="5" s="1"/>
  <c r="I748" i="2"/>
  <c r="H748" i="2"/>
  <c r="G748" i="2"/>
  <c r="F748" i="2"/>
  <c r="E748" i="2"/>
  <c r="A744" i="5" s="1"/>
  <c r="I747" i="2"/>
  <c r="H747" i="2"/>
  <c r="G747" i="2"/>
  <c r="F747" i="2"/>
  <c r="E747" i="2"/>
  <c r="A743" i="5" s="1"/>
  <c r="I746" i="2"/>
  <c r="H746" i="2"/>
  <c r="G746" i="2"/>
  <c r="F746" i="2"/>
  <c r="E746" i="2"/>
  <c r="A742" i="5" s="1"/>
  <c r="I745" i="2"/>
  <c r="H745" i="2"/>
  <c r="G745" i="2"/>
  <c r="F745" i="2"/>
  <c r="E745" i="2"/>
  <c r="A741" i="5" s="1"/>
  <c r="I744" i="2"/>
  <c r="H744" i="2"/>
  <c r="G744" i="2"/>
  <c r="F744" i="2"/>
  <c r="E744" i="2"/>
  <c r="A740" i="5" s="1"/>
  <c r="I743" i="2"/>
  <c r="H743" i="2"/>
  <c r="G743" i="2"/>
  <c r="F743" i="2"/>
  <c r="E743" i="2"/>
  <c r="A739" i="5" s="1"/>
  <c r="I742" i="2"/>
  <c r="H742" i="2"/>
  <c r="G742" i="2"/>
  <c r="F742" i="2"/>
  <c r="E742" i="2"/>
  <c r="A738" i="5" s="1"/>
  <c r="I741" i="2"/>
  <c r="H741" i="2"/>
  <c r="G741" i="2"/>
  <c r="F741" i="2"/>
  <c r="E741" i="2"/>
  <c r="A737" i="5" s="1"/>
  <c r="I740" i="2"/>
  <c r="H740" i="2"/>
  <c r="G740" i="2"/>
  <c r="F740" i="2"/>
  <c r="E740" i="2"/>
  <c r="A736" i="5" s="1"/>
  <c r="I739" i="2"/>
  <c r="H739" i="2"/>
  <c r="G739" i="2"/>
  <c r="F739" i="2"/>
  <c r="E739" i="2"/>
  <c r="A735" i="5" s="1"/>
  <c r="I738" i="2"/>
  <c r="H738" i="2"/>
  <c r="G738" i="2"/>
  <c r="F738" i="2"/>
  <c r="E738" i="2"/>
  <c r="A734" i="5" s="1"/>
  <c r="I737" i="2"/>
  <c r="H737" i="2"/>
  <c r="G737" i="2"/>
  <c r="F737" i="2"/>
  <c r="E737" i="2"/>
  <c r="A733" i="5" s="1"/>
  <c r="I736" i="2"/>
  <c r="H736" i="2"/>
  <c r="G736" i="2"/>
  <c r="F736" i="2"/>
  <c r="E736" i="2"/>
  <c r="A732" i="5" s="1"/>
  <c r="I735" i="2"/>
  <c r="H735" i="2"/>
  <c r="G735" i="2"/>
  <c r="F735" i="2"/>
  <c r="E735" i="2"/>
  <c r="A731" i="5" s="1"/>
  <c r="I734" i="2"/>
  <c r="H734" i="2"/>
  <c r="G734" i="2"/>
  <c r="F734" i="2"/>
  <c r="E734" i="2"/>
  <c r="A730" i="5" s="1"/>
  <c r="I733" i="2"/>
  <c r="H733" i="2"/>
  <c r="G733" i="2"/>
  <c r="F733" i="2"/>
  <c r="E733" i="2"/>
  <c r="A729" i="5" s="1"/>
  <c r="I732" i="2"/>
  <c r="H732" i="2"/>
  <c r="G732" i="2"/>
  <c r="F732" i="2"/>
  <c r="E732" i="2"/>
  <c r="A728" i="5" s="1"/>
  <c r="I731" i="2"/>
  <c r="H731" i="2"/>
  <c r="G731" i="2"/>
  <c r="F731" i="2"/>
  <c r="E731" i="2"/>
  <c r="A727" i="5" s="1"/>
  <c r="I730" i="2"/>
  <c r="H730" i="2"/>
  <c r="G730" i="2"/>
  <c r="F730" i="2"/>
  <c r="E730" i="2"/>
  <c r="A726" i="5" s="1"/>
  <c r="I729" i="2"/>
  <c r="H729" i="2"/>
  <c r="G729" i="2"/>
  <c r="F729" i="2"/>
  <c r="E729" i="2"/>
  <c r="A725" i="5" s="1"/>
  <c r="I728" i="2"/>
  <c r="H728" i="2"/>
  <c r="G728" i="2"/>
  <c r="F728" i="2"/>
  <c r="E728" i="2"/>
  <c r="A724" i="5" s="1"/>
  <c r="I727" i="2"/>
  <c r="H727" i="2"/>
  <c r="G727" i="2"/>
  <c r="F727" i="2"/>
  <c r="E727" i="2"/>
  <c r="A723" i="5" s="1"/>
  <c r="I726" i="2"/>
  <c r="H726" i="2"/>
  <c r="G726" i="2"/>
  <c r="F726" i="2"/>
  <c r="E726" i="2"/>
  <c r="A722" i="5" s="1"/>
  <c r="I725" i="2"/>
  <c r="H725" i="2"/>
  <c r="G725" i="2"/>
  <c r="F725" i="2"/>
  <c r="E725" i="2"/>
  <c r="A721" i="5" s="1"/>
  <c r="I724" i="2"/>
  <c r="H724" i="2"/>
  <c r="G724" i="2"/>
  <c r="F724" i="2"/>
  <c r="E724" i="2"/>
  <c r="A720" i="5" s="1"/>
  <c r="I723" i="2"/>
  <c r="H723" i="2"/>
  <c r="G723" i="2"/>
  <c r="F723" i="2"/>
  <c r="E723" i="2"/>
  <c r="A719" i="5" s="1"/>
  <c r="I722" i="2"/>
  <c r="H722" i="2"/>
  <c r="G722" i="2"/>
  <c r="F722" i="2"/>
  <c r="E722" i="2"/>
  <c r="A718" i="5" s="1"/>
  <c r="I721" i="2"/>
  <c r="H721" i="2"/>
  <c r="G721" i="2"/>
  <c r="F721" i="2"/>
  <c r="E721" i="2"/>
  <c r="A717" i="5" s="1"/>
  <c r="I720" i="2"/>
  <c r="H720" i="2"/>
  <c r="G720" i="2"/>
  <c r="F720" i="2"/>
  <c r="E720" i="2"/>
  <c r="A716" i="5" s="1"/>
  <c r="I719" i="2"/>
  <c r="H719" i="2"/>
  <c r="G719" i="2"/>
  <c r="F719" i="2"/>
  <c r="E719" i="2"/>
  <c r="A715" i="5" s="1"/>
  <c r="I718" i="2"/>
  <c r="H718" i="2"/>
  <c r="G718" i="2"/>
  <c r="F718" i="2"/>
  <c r="E718" i="2"/>
  <c r="A714" i="5" s="1"/>
  <c r="I717" i="2"/>
  <c r="H717" i="2"/>
  <c r="G717" i="2"/>
  <c r="F717" i="2"/>
  <c r="E717" i="2"/>
  <c r="A713" i="5" s="1"/>
  <c r="I716" i="2"/>
  <c r="H716" i="2"/>
  <c r="G716" i="2"/>
  <c r="F716" i="2"/>
  <c r="E716" i="2"/>
  <c r="A712" i="5" s="1"/>
  <c r="I715" i="2"/>
  <c r="H715" i="2"/>
  <c r="G715" i="2"/>
  <c r="F715" i="2"/>
  <c r="E715" i="2"/>
  <c r="A711" i="5" s="1"/>
  <c r="I714" i="2"/>
  <c r="H714" i="2"/>
  <c r="G714" i="2"/>
  <c r="F714" i="2"/>
  <c r="E714" i="2"/>
  <c r="A710" i="5" s="1"/>
  <c r="I713" i="2"/>
  <c r="H713" i="2"/>
  <c r="G713" i="2"/>
  <c r="F713" i="2"/>
  <c r="E713" i="2"/>
  <c r="A709" i="5" s="1"/>
  <c r="I712" i="2"/>
  <c r="H712" i="2"/>
  <c r="G712" i="2"/>
  <c r="F712" i="2"/>
  <c r="E712" i="2"/>
  <c r="A708" i="5" s="1"/>
  <c r="I711" i="2"/>
  <c r="H711" i="2"/>
  <c r="G711" i="2"/>
  <c r="F711" i="2"/>
  <c r="E711" i="2"/>
  <c r="A707" i="5" s="1"/>
  <c r="I710" i="2"/>
  <c r="H710" i="2"/>
  <c r="G710" i="2"/>
  <c r="F710" i="2"/>
  <c r="E710" i="2"/>
  <c r="A706" i="5" s="1"/>
  <c r="I709" i="2"/>
  <c r="H709" i="2"/>
  <c r="G709" i="2"/>
  <c r="F709" i="2"/>
  <c r="E709" i="2"/>
  <c r="A705" i="5" s="1"/>
  <c r="I708" i="2"/>
  <c r="H708" i="2"/>
  <c r="G708" i="2"/>
  <c r="F708" i="2"/>
  <c r="E708" i="2"/>
  <c r="A704" i="5" s="1"/>
  <c r="I707" i="2"/>
  <c r="H707" i="2"/>
  <c r="G707" i="2"/>
  <c r="F707" i="2"/>
  <c r="E707" i="2"/>
  <c r="A703" i="5" s="1"/>
  <c r="I706" i="2"/>
  <c r="H706" i="2"/>
  <c r="G706" i="2"/>
  <c r="F706" i="2"/>
  <c r="E706" i="2"/>
  <c r="A702" i="5" s="1"/>
  <c r="I705" i="2"/>
  <c r="H705" i="2"/>
  <c r="G705" i="2"/>
  <c r="F705" i="2"/>
  <c r="E705" i="2"/>
  <c r="A701" i="5" s="1"/>
  <c r="I704" i="2"/>
  <c r="H704" i="2"/>
  <c r="G704" i="2"/>
  <c r="F704" i="2"/>
  <c r="E704" i="2"/>
  <c r="A700" i="5" s="1"/>
  <c r="I703" i="2"/>
  <c r="H703" i="2"/>
  <c r="G703" i="2"/>
  <c r="F703" i="2"/>
  <c r="E703" i="2"/>
  <c r="A699" i="5" s="1"/>
  <c r="I702" i="2"/>
  <c r="H702" i="2"/>
  <c r="G702" i="2"/>
  <c r="F702" i="2"/>
  <c r="E702" i="2"/>
  <c r="A698" i="5" s="1"/>
  <c r="I701" i="2"/>
  <c r="H701" i="2"/>
  <c r="G701" i="2"/>
  <c r="F701" i="2"/>
  <c r="E701" i="2"/>
  <c r="A697" i="5" s="1"/>
  <c r="I700" i="2"/>
  <c r="H700" i="2"/>
  <c r="G700" i="2"/>
  <c r="F700" i="2"/>
  <c r="E700" i="2"/>
  <c r="A696" i="5" s="1"/>
  <c r="I699" i="2"/>
  <c r="H699" i="2"/>
  <c r="G699" i="2"/>
  <c r="F699" i="2"/>
  <c r="E699" i="2"/>
  <c r="A695" i="5" s="1"/>
  <c r="I698" i="2"/>
  <c r="H698" i="2"/>
  <c r="G698" i="2"/>
  <c r="F698" i="2"/>
  <c r="E698" i="2"/>
  <c r="A694" i="5" s="1"/>
  <c r="I697" i="2"/>
  <c r="H697" i="2"/>
  <c r="G697" i="2"/>
  <c r="F697" i="2"/>
  <c r="E697" i="2"/>
  <c r="A693" i="5" s="1"/>
  <c r="I696" i="2"/>
  <c r="H696" i="2"/>
  <c r="G696" i="2"/>
  <c r="F696" i="2"/>
  <c r="E696" i="2"/>
  <c r="A692" i="5" s="1"/>
  <c r="I695" i="2"/>
  <c r="H695" i="2"/>
  <c r="G695" i="2"/>
  <c r="F695" i="2"/>
  <c r="E695" i="2"/>
  <c r="A691" i="5" s="1"/>
  <c r="I694" i="2"/>
  <c r="H694" i="2"/>
  <c r="G694" i="2"/>
  <c r="F694" i="2"/>
  <c r="E694" i="2"/>
  <c r="A690" i="5" s="1"/>
  <c r="I693" i="2"/>
  <c r="H693" i="2"/>
  <c r="G693" i="2"/>
  <c r="F693" i="2"/>
  <c r="E693" i="2"/>
  <c r="A689" i="5" s="1"/>
  <c r="I692" i="2"/>
  <c r="H692" i="2"/>
  <c r="G692" i="2"/>
  <c r="F692" i="2"/>
  <c r="E692" i="2"/>
  <c r="A688" i="5" s="1"/>
  <c r="I691" i="2"/>
  <c r="H691" i="2"/>
  <c r="G691" i="2"/>
  <c r="F691" i="2"/>
  <c r="E691" i="2"/>
  <c r="A687" i="5" s="1"/>
  <c r="I690" i="2"/>
  <c r="H690" i="2"/>
  <c r="G690" i="2"/>
  <c r="F690" i="2"/>
  <c r="E690" i="2"/>
  <c r="A686" i="5" s="1"/>
  <c r="I689" i="2"/>
  <c r="H689" i="2"/>
  <c r="G689" i="2"/>
  <c r="F689" i="2"/>
  <c r="E689" i="2"/>
  <c r="A685" i="5" s="1"/>
  <c r="I688" i="2"/>
  <c r="H688" i="2"/>
  <c r="G688" i="2"/>
  <c r="F688" i="2"/>
  <c r="E688" i="2"/>
  <c r="A684" i="5" s="1"/>
  <c r="I687" i="2"/>
  <c r="H687" i="2"/>
  <c r="G687" i="2"/>
  <c r="F687" i="2"/>
  <c r="E687" i="2"/>
  <c r="A683" i="5" s="1"/>
  <c r="I686" i="2"/>
  <c r="H686" i="2"/>
  <c r="G686" i="2"/>
  <c r="F686" i="2"/>
  <c r="E686" i="2"/>
  <c r="A682" i="5" s="1"/>
  <c r="I685" i="2"/>
  <c r="H685" i="2"/>
  <c r="G685" i="2"/>
  <c r="F685" i="2"/>
  <c r="E685" i="2"/>
  <c r="A681" i="5" s="1"/>
  <c r="I684" i="2"/>
  <c r="H684" i="2"/>
  <c r="G684" i="2"/>
  <c r="F684" i="2"/>
  <c r="E684" i="2"/>
  <c r="A680" i="5" s="1"/>
  <c r="I683" i="2"/>
  <c r="H683" i="2"/>
  <c r="G683" i="2"/>
  <c r="F683" i="2"/>
  <c r="E683" i="2"/>
  <c r="A679" i="5" s="1"/>
  <c r="I682" i="2"/>
  <c r="H682" i="2"/>
  <c r="G682" i="2"/>
  <c r="F682" i="2"/>
  <c r="E682" i="2"/>
  <c r="A678" i="5" s="1"/>
  <c r="I681" i="2"/>
  <c r="H681" i="2"/>
  <c r="G681" i="2"/>
  <c r="F681" i="2"/>
  <c r="E681" i="2"/>
  <c r="A677" i="5" s="1"/>
  <c r="I680" i="2"/>
  <c r="H680" i="2"/>
  <c r="G680" i="2"/>
  <c r="F680" i="2"/>
  <c r="E680" i="2"/>
  <c r="A676" i="5" s="1"/>
  <c r="I679" i="2"/>
  <c r="H679" i="2"/>
  <c r="G679" i="2"/>
  <c r="F679" i="2"/>
  <c r="E679" i="2"/>
  <c r="A675" i="5" s="1"/>
  <c r="I678" i="2"/>
  <c r="H678" i="2"/>
  <c r="G678" i="2"/>
  <c r="F678" i="2"/>
  <c r="E678" i="2"/>
  <c r="A674" i="5" s="1"/>
  <c r="I677" i="2"/>
  <c r="H677" i="2"/>
  <c r="G677" i="2"/>
  <c r="F677" i="2"/>
  <c r="E677" i="2"/>
  <c r="A673" i="5" s="1"/>
  <c r="I676" i="2"/>
  <c r="H676" i="2"/>
  <c r="G676" i="2"/>
  <c r="F676" i="2"/>
  <c r="E676" i="2"/>
  <c r="A672" i="5" s="1"/>
  <c r="I675" i="2"/>
  <c r="H675" i="2"/>
  <c r="G675" i="2"/>
  <c r="F675" i="2"/>
  <c r="E675" i="2"/>
  <c r="A671" i="5" s="1"/>
  <c r="I674" i="2"/>
  <c r="H674" i="2"/>
  <c r="G674" i="2"/>
  <c r="F674" i="2"/>
  <c r="E674" i="2"/>
  <c r="A670" i="5" s="1"/>
  <c r="I673" i="2"/>
  <c r="H673" i="2"/>
  <c r="G673" i="2"/>
  <c r="F673" i="2"/>
  <c r="E673" i="2"/>
  <c r="A669" i="5" s="1"/>
  <c r="I672" i="2"/>
  <c r="H672" i="2"/>
  <c r="G672" i="2"/>
  <c r="F672" i="2"/>
  <c r="E672" i="2"/>
  <c r="A668" i="5" s="1"/>
  <c r="I671" i="2"/>
  <c r="H671" i="2"/>
  <c r="G671" i="2"/>
  <c r="F671" i="2"/>
  <c r="E671" i="2"/>
  <c r="A667" i="5" s="1"/>
  <c r="I670" i="2"/>
  <c r="H670" i="2"/>
  <c r="G670" i="2"/>
  <c r="F670" i="2"/>
  <c r="E670" i="2"/>
  <c r="A666" i="5" s="1"/>
  <c r="I669" i="2"/>
  <c r="H669" i="2"/>
  <c r="G669" i="2"/>
  <c r="F669" i="2"/>
  <c r="E669" i="2"/>
  <c r="A665" i="5" s="1"/>
  <c r="I668" i="2"/>
  <c r="H668" i="2"/>
  <c r="G668" i="2"/>
  <c r="F668" i="2"/>
  <c r="E668" i="2"/>
  <c r="A664" i="5" s="1"/>
  <c r="I667" i="2"/>
  <c r="H667" i="2"/>
  <c r="G667" i="2"/>
  <c r="F667" i="2"/>
  <c r="E667" i="2"/>
  <c r="A663" i="5" s="1"/>
  <c r="I666" i="2"/>
  <c r="H666" i="2"/>
  <c r="G666" i="2"/>
  <c r="F666" i="2"/>
  <c r="E666" i="2"/>
  <c r="A662" i="5" s="1"/>
  <c r="I665" i="2"/>
  <c r="H665" i="2"/>
  <c r="G665" i="2"/>
  <c r="F665" i="2"/>
  <c r="E665" i="2"/>
  <c r="A661" i="5" s="1"/>
  <c r="I664" i="2"/>
  <c r="H664" i="2"/>
  <c r="G664" i="2"/>
  <c r="F664" i="2"/>
  <c r="E664" i="2"/>
  <c r="A660" i="5" s="1"/>
  <c r="I663" i="2"/>
  <c r="H663" i="2"/>
  <c r="G663" i="2"/>
  <c r="F663" i="2"/>
  <c r="E663" i="2"/>
  <c r="A659" i="5" s="1"/>
  <c r="I662" i="2"/>
  <c r="H662" i="2"/>
  <c r="G662" i="2"/>
  <c r="F662" i="2"/>
  <c r="E662" i="2"/>
  <c r="A658" i="5" s="1"/>
  <c r="I661" i="2"/>
  <c r="H661" i="2"/>
  <c r="G661" i="2"/>
  <c r="F661" i="2"/>
  <c r="E661" i="2"/>
  <c r="A657" i="5" s="1"/>
  <c r="I660" i="2"/>
  <c r="H660" i="2"/>
  <c r="G660" i="2"/>
  <c r="F660" i="2"/>
  <c r="E660" i="2"/>
  <c r="A656" i="5" s="1"/>
  <c r="I659" i="2"/>
  <c r="H659" i="2"/>
  <c r="G659" i="2"/>
  <c r="F659" i="2"/>
  <c r="E659" i="2"/>
  <c r="A655" i="5" s="1"/>
  <c r="I658" i="2"/>
  <c r="H658" i="2"/>
  <c r="G658" i="2"/>
  <c r="F658" i="2"/>
  <c r="E658" i="2"/>
  <c r="A654" i="5" s="1"/>
  <c r="I657" i="2"/>
  <c r="H657" i="2"/>
  <c r="G657" i="2"/>
  <c r="F657" i="2"/>
  <c r="E657" i="2"/>
  <c r="A653" i="5" s="1"/>
  <c r="I656" i="2"/>
  <c r="H656" i="2"/>
  <c r="G656" i="2"/>
  <c r="F656" i="2"/>
  <c r="E656" i="2"/>
  <c r="A652" i="5" s="1"/>
  <c r="I655" i="2"/>
  <c r="H655" i="2"/>
  <c r="G655" i="2"/>
  <c r="F655" i="2"/>
  <c r="E655" i="2"/>
  <c r="A651" i="5" s="1"/>
  <c r="I654" i="2"/>
  <c r="H654" i="2"/>
  <c r="G654" i="2"/>
  <c r="F654" i="2"/>
  <c r="E654" i="2"/>
  <c r="A650" i="5" s="1"/>
  <c r="I653" i="2"/>
  <c r="H653" i="2"/>
  <c r="G653" i="2"/>
  <c r="F653" i="2"/>
  <c r="E653" i="2"/>
  <c r="A649" i="5" s="1"/>
  <c r="I652" i="2"/>
  <c r="H652" i="2"/>
  <c r="G652" i="2"/>
  <c r="F652" i="2"/>
  <c r="E652" i="2"/>
  <c r="A648" i="5" s="1"/>
  <c r="I651" i="2"/>
  <c r="H651" i="2"/>
  <c r="G651" i="2"/>
  <c r="F651" i="2"/>
  <c r="E651" i="2"/>
  <c r="A647" i="5" s="1"/>
  <c r="I650" i="2"/>
  <c r="H650" i="2"/>
  <c r="G650" i="2"/>
  <c r="F650" i="2"/>
  <c r="E650" i="2"/>
  <c r="A646" i="5" s="1"/>
  <c r="I649" i="2"/>
  <c r="H649" i="2"/>
  <c r="G649" i="2"/>
  <c r="F649" i="2"/>
  <c r="E649" i="2"/>
  <c r="A645" i="5" s="1"/>
  <c r="I648" i="2"/>
  <c r="H648" i="2"/>
  <c r="G648" i="2"/>
  <c r="F648" i="2"/>
  <c r="E648" i="2"/>
  <c r="A644" i="5" s="1"/>
  <c r="I647" i="2"/>
  <c r="H647" i="2"/>
  <c r="G647" i="2"/>
  <c r="F647" i="2"/>
  <c r="E647" i="2"/>
  <c r="A643" i="5" s="1"/>
  <c r="I646" i="2"/>
  <c r="H646" i="2"/>
  <c r="G646" i="2"/>
  <c r="F646" i="2"/>
  <c r="E646" i="2"/>
  <c r="A642" i="5" s="1"/>
  <c r="I645" i="2"/>
  <c r="H645" i="2"/>
  <c r="G645" i="2"/>
  <c r="F645" i="2"/>
  <c r="E645" i="2"/>
  <c r="A641" i="5" s="1"/>
  <c r="I644" i="2"/>
  <c r="H644" i="2"/>
  <c r="G644" i="2"/>
  <c r="F644" i="2"/>
  <c r="E644" i="2"/>
  <c r="A640" i="5" s="1"/>
  <c r="I643" i="2"/>
  <c r="H643" i="2"/>
  <c r="G643" i="2"/>
  <c r="F643" i="2"/>
  <c r="E643" i="2"/>
  <c r="A639" i="5" s="1"/>
  <c r="I642" i="2"/>
  <c r="H642" i="2"/>
  <c r="G642" i="2"/>
  <c r="F642" i="2"/>
  <c r="E642" i="2"/>
  <c r="A638" i="5" s="1"/>
  <c r="I641" i="2"/>
  <c r="H641" i="2"/>
  <c r="G641" i="2"/>
  <c r="F641" i="2"/>
  <c r="E641" i="2"/>
  <c r="A637" i="5" s="1"/>
  <c r="I640" i="2"/>
  <c r="H640" i="2"/>
  <c r="G640" i="2"/>
  <c r="F640" i="2"/>
  <c r="E640" i="2"/>
  <c r="A636" i="5" s="1"/>
  <c r="I639" i="2"/>
  <c r="H639" i="2"/>
  <c r="G639" i="2"/>
  <c r="F639" i="2"/>
  <c r="E639" i="2"/>
  <c r="A635" i="5" s="1"/>
  <c r="I638" i="2"/>
  <c r="H638" i="2"/>
  <c r="G638" i="2"/>
  <c r="F638" i="2"/>
  <c r="E638" i="2"/>
  <c r="A634" i="5" s="1"/>
  <c r="I637" i="2"/>
  <c r="H637" i="2"/>
  <c r="G637" i="2"/>
  <c r="F637" i="2"/>
  <c r="E637" i="2"/>
  <c r="A633" i="5" s="1"/>
  <c r="I636" i="2"/>
  <c r="H636" i="2"/>
  <c r="G636" i="2"/>
  <c r="F636" i="2"/>
  <c r="E636" i="2"/>
  <c r="A632" i="5" s="1"/>
  <c r="I635" i="2"/>
  <c r="H635" i="2"/>
  <c r="G635" i="2"/>
  <c r="F635" i="2"/>
  <c r="E635" i="2"/>
  <c r="A631" i="5" s="1"/>
  <c r="I634" i="2"/>
  <c r="H634" i="2"/>
  <c r="G634" i="2"/>
  <c r="F634" i="2"/>
  <c r="E634" i="2"/>
  <c r="A630" i="5" s="1"/>
  <c r="I633" i="2"/>
  <c r="H633" i="2"/>
  <c r="G633" i="2"/>
  <c r="F633" i="2"/>
  <c r="E633" i="2"/>
  <c r="A629" i="5" s="1"/>
  <c r="I632" i="2"/>
  <c r="H632" i="2"/>
  <c r="G632" i="2"/>
  <c r="F632" i="2"/>
  <c r="E632" i="2"/>
  <c r="A628" i="5" s="1"/>
  <c r="I631" i="2"/>
  <c r="H631" i="2"/>
  <c r="G631" i="2"/>
  <c r="F631" i="2"/>
  <c r="E631" i="2"/>
  <c r="A627" i="5" s="1"/>
  <c r="I630" i="2"/>
  <c r="H630" i="2"/>
  <c r="G630" i="2"/>
  <c r="F630" i="2"/>
  <c r="E630" i="2"/>
  <c r="A626" i="5" s="1"/>
  <c r="I629" i="2"/>
  <c r="H629" i="2"/>
  <c r="G629" i="2"/>
  <c r="F629" i="2"/>
  <c r="E629" i="2"/>
  <c r="A625" i="5" s="1"/>
  <c r="I628" i="2"/>
  <c r="H628" i="2"/>
  <c r="G628" i="2"/>
  <c r="F628" i="2"/>
  <c r="E628" i="2"/>
  <c r="A624" i="5" s="1"/>
  <c r="I627" i="2"/>
  <c r="H627" i="2"/>
  <c r="G627" i="2"/>
  <c r="F627" i="2"/>
  <c r="E627" i="2"/>
  <c r="A623" i="5" s="1"/>
  <c r="I626" i="2"/>
  <c r="H626" i="2"/>
  <c r="G626" i="2"/>
  <c r="F626" i="2"/>
  <c r="E626" i="2"/>
  <c r="A622" i="5" s="1"/>
  <c r="I625" i="2"/>
  <c r="H625" i="2"/>
  <c r="G625" i="2"/>
  <c r="F625" i="2"/>
  <c r="E625" i="2"/>
  <c r="A621" i="5" s="1"/>
  <c r="I624" i="2"/>
  <c r="H624" i="2"/>
  <c r="G624" i="2"/>
  <c r="F624" i="2"/>
  <c r="E624" i="2"/>
  <c r="A620" i="5" s="1"/>
  <c r="I623" i="2"/>
  <c r="H623" i="2"/>
  <c r="G623" i="2"/>
  <c r="F623" i="2"/>
  <c r="E623" i="2"/>
  <c r="A619" i="5" s="1"/>
  <c r="I622" i="2"/>
  <c r="H622" i="2"/>
  <c r="G622" i="2"/>
  <c r="F622" i="2"/>
  <c r="E622" i="2"/>
  <c r="A618" i="5" s="1"/>
  <c r="I621" i="2"/>
  <c r="H621" i="2"/>
  <c r="G621" i="2"/>
  <c r="F621" i="2"/>
  <c r="E621" i="2"/>
  <c r="A617" i="5" s="1"/>
  <c r="I620" i="2"/>
  <c r="H620" i="2"/>
  <c r="G620" i="2"/>
  <c r="F620" i="2"/>
  <c r="E620" i="2"/>
  <c r="A616" i="5" s="1"/>
  <c r="I619" i="2"/>
  <c r="H619" i="2"/>
  <c r="G619" i="2"/>
  <c r="F619" i="2"/>
  <c r="E619" i="2"/>
  <c r="A615" i="5" s="1"/>
  <c r="I618" i="2"/>
  <c r="H618" i="2"/>
  <c r="G618" i="2"/>
  <c r="F618" i="2"/>
  <c r="E618" i="2"/>
  <c r="A614" i="5" s="1"/>
  <c r="I617" i="2"/>
  <c r="H617" i="2"/>
  <c r="G617" i="2"/>
  <c r="F617" i="2"/>
  <c r="E617" i="2"/>
  <c r="A613" i="5" s="1"/>
  <c r="I616" i="2"/>
  <c r="H616" i="2"/>
  <c r="G616" i="2"/>
  <c r="F616" i="2"/>
  <c r="E616" i="2"/>
  <c r="A612" i="5" s="1"/>
  <c r="I615" i="2"/>
  <c r="H615" i="2"/>
  <c r="G615" i="2"/>
  <c r="F615" i="2"/>
  <c r="E615" i="2"/>
  <c r="A611" i="5" s="1"/>
  <c r="I614" i="2"/>
  <c r="H614" i="2"/>
  <c r="G614" i="2"/>
  <c r="F614" i="2"/>
  <c r="E614" i="2"/>
  <c r="A610" i="5" s="1"/>
  <c r="I613" i="2"/>
  <c r="H613" i="2"/>
  <c r="G613" i="2"/>
  <c r="F613" i="2"/>
  <c r="E613" i="2"/>
  <c r="A609" i="5" s="1"/>
  <c r="I612" i="2"/>
  <c r="H612" i="2"/>
  <c r="G612" i="2"/>
  <c r="F612" i="2"/>
  <c r="E612" i="2"/>
  <c r="A608" i="5" s="1"/>
  <c r="I611" i="2"/>
  <c r="H611" i="2"/>
  <c r="G611" i="2"/>
  <c r="F611" i="2"/>
  <c r="E611" i="2"/>
  <c r="A607" i="5" s="1"/>
  <c r="I610" i="2"/>
  <c r="H610" i="2"/>
  <c r="G610" i="2"/>
  <c r="F610" i="2"/>
  <c r="E610" i="2"/>
  <c r="A606" i="5" s="1"/>
  <c r="I609" i="2"/>
  <c r="H609" i="2"/>
  <c r="G609" i="2"/>
  <c r="F609" i="2"/>
  <c r="E609" i="2"/>
  <c r="A605" i="5" s="1"/>
  <c r="I608" i="2"/>
  <c r="H608" i="2"/>
  <c r="G608" i="2"/>
  <c r="F608" i="2"/>
  <c r="E608" i="2"/>
  <c r="A604" i="5" s="1"/>
  <c r="I607" i="2"/>
  <c r="H607" i="2"/>
  <c r="G607" i="2"/>
  <c r="F607" i="2"/>
  <c r="E607" i="2"/>
  <c r="A603" i="5" s="1"/>
  <c r="I606" i="2"/>
  <c r="H606" i="2"/>
  <c r="G606" i="2"/>
  <c r="F606" i="2"/>
  <c r="E606" i="2"/>
  <c r="A602" i="5" s="1"/>
  <c r="I605" i="2"/>
  <c r="H605" i="2"/>
  <c r="G605" i="2"/>
  <c r="F605" i="2"/>
  <c r="E605" i="2"/>
  <c r="A601" i="5" s="1"/>
  <c r="I604" i="2"/>
  <c r="H604" i="2"/>
  <c r="G604" i="2"/>
  <c r="F604" i="2"/>
  <c r="E604" i="2"/>
  <c r="A600" i="5" s="1"/>
  <c r="I603" i="2"/>
  <c r="H603" i="2"/>
  <c r="G603" i="2"/>
  <c r="F603" i="2"/>
  <c r="E603" i="2"/>
  <c r="A599" i="5" s="1"/>
  <c r="I602" i="2"/>
  <c r="H602" i="2"/>
  <c r="G602" i="2"/>
  <c r="F602" i="2"/>
  <c r="E602" i="2"/>
  <c r="A598" i="5" s="1"/>
  <c r="I601" i="2"/>
  <c r="H601" i="2"/>
  <c r="G601" i="2"/>
  <c r="F601" i="2"/>
  <c r="E601" i="2"/>
  <c r="A597" i="5" s="1"/>
  <c r="I600" i="2"/>
  <c r="H600" i="2"/>
  <c r="G600" i="2"/>
  <c r="F600" i="2"/>
  <c r="E600" i="2"/>
  <c r="A596" i="5" s="1"/>
  <c r="I599" i="2"/>
  <c r="H599" i="2"/>
  <c r="G599" i="2"/>
  <c r="F599" i="2"/>
  <c r="E599" i="2"/>
  <c r="A595" i="5" s="1"/>
  <c r="I598" i="2"/>
  <c r="H598" i="2"/>
  <c r="G598" i="2"/>
  <c r="F598" i="2"/>
  <c r="E598" i="2"/>
  <c r="A594" i="5" s="1"/>
  <c r="I597" i="2"/>
  <c r="H597" i="2"/>
  <c r="G597" i="2"/>
  <c r="F597" i="2"/>
  <c r="E597" i="2"/>
  <c r="A593" i="5" s="1"/>
  <c r="I596" i="2"/>
  <c r="H596" i="2"/>
  <c r="G596" i="2"/>
  <c r="F596" i="2"/>
  <c r="E596" i="2"/>
  <c r="A592" i="5" s="1"/>
  <c r="I595" i="2"/>
  <c r="H595" i="2"/>
  <c r="G595" i="2"/>
  <c r="F595" i="2"/>
  <c r="E595" i="2"/>
  <c r="A591" i="5" s="1"/>
  <c r="I594" i="2"/>
  <c r="H594" i="2"/>
  <c r="G594" i="2"/>
  <c r="F594" i="2"/>
  <c r="E594" i="2"/>
  <c r="A590" i="5" s="1"/>
  <c r="I593" i="2"/>
  <c r="H593" i="2"/>
  <c r="G593" i="2"/>
  <c r="F593" i="2"/>
  <c r="E593" i="2"/>
  <c r="A589" i="5" s="1"/>
  <c r="I592" i="2"/>
  <c r="H592" i="2"/>
  <c r="G592" i="2"/>
  <c r="F592" i="2"/>
  <c r="E592" i="2"/>
  <c r="A588" i="5" s="1"/>
  <c r="I591" i="2"/>
  <c r="H591" i="2"/>
  <c r="G591" i="2"/>
  <c r="F591" i="2"/>
  <c r="E591" i="2"/>
  <c r="A587" i="5" s="1"/>
  <c r="I590" i="2"/>
  <c r="H590" i="2"/>
  <c r="G590" i="2"/>
  <c r="F590" i="2"/>
  <c r="E590" i="2"/>
  <c r="A586" i="5" s="1"/>
  <c r="I589" i="2"/>
  <c r="H589" i="2"/>
  <c r="G589" i="2"/>
  <c r="F589" i="2"/>
  <c r="E589" i="2"/>
  <c r="A585" i="5" s="1"/>
  <c r="I588" i="2"/>
  <c r="H588" i="2"/>
  <c r="G588" i="2"/>
  <c r="F588" i="2"/>
  <c r="E588" i="2"/>
  <c r="A584" i="5" s="1"/>
  <c r="I587" i="2"/>
  <c r="H587" i="2"/>
  <c r="G587" i="2"/>
  <c r="F587" i="2"/>
  <c r="E587" i="2"/>
  <c r="A583" i="5" s="1"/>
  <c r="I586" i="2"/>
  <c r="H586" i="2"/>
  <c r="G586" i="2"/>
  <c r="F586" i="2"/>
  <c r="E586" i="2"/>
  <c r="A582" i="5" s="1"/>
  <c r="I585" i="2"/>
  <c r="H585" i="2"/>
  <c r="G585" i="2"/>
  <c r="F585" i="2"/>
  <c r="E585" i="2"/>
  <c r="A581" i="5" s="1"/>
  <c r="I584" i="2"/>
  <c r="H584" i="2"/>
  <c r="G584" i="2"/>
  <c r="F584" i="2"/>
  <c r="E584" i="2"/>
  <c r="A580" i="5" s="1"/>
  <c r="I583" i="2"/>
  <c r="H583" i="2"/>
  <c r="G583" i="2"/>
  <c r="F583" i="2"/>
  <c r="E583" i="2"/>
  <c r="A579" i="5" s="1"/>
  <c r="I582" i="2"/>
  <c r="H582" i="2"/>
  <c r="G582" i="2"/>
  <c r="F582" i="2"/>
  <c r="E582" i="2"/>
  <c r="A578" i="5" s="1"/>
  <c r="I581" i="2"/>
  <c r="H581" i="2"/>
  <c r="G581" i="2"/>
  <c r="F581" i="2"/>
  <c r="E581" i="2"/>
  <c r="A577" i="5" s="1"/>
  <c r="I580" i="2"/>
  <c r="H580" i="2"/>
  <c r="G580" i="2"/>
  <c r="F580" i="2"/>
  <c r="E580" i="2"/>
  <c r="A576" i="5" s="1"/>
  <c r="I579" i="2"/>
  <c r="H579" i="2"/>
  <c r="G579" i="2"/>
  <c r="F579" i="2"/>
  <c r="E579" i="2"/>
  <c r="A575" i="5" s="1"/>
  <c r="I578" i="2"/>
  <c r="H578" i="2"/>
  <c r="G578" i="2"/>
  <c r="F578" i="2"/>
  <c r="E578" i="2"/>
  <c r="A574" i="5" s="1"/>
  <c r="I577" i="2"/>
  <c r="H577" i="2"/>
  <c r="G577" i="2"/>
  <c r="F577" i="2"/>
  <c r="E577" i="2"/>
  <c r="A573" i="5" s="1"/>
  <c r="I576" i="2"/>
  <c r="H576" i="2"/>
  <c r="G576" i="2"/>
  <c r="F576" i="2"/>
  <c r="E576" i="2"/>
  <c r="A572" i="5" s="1"/>
  <c r="I575" i="2"/>
  <c r="H575" i="2"/>
  <c r="G575" i="2"/>
  <c r="F575" i="2"/>
  <c r="E575" i="2"/>
  <c r="A571" i="5" s="1"/>
  <c r="I574" i="2"/>
  <c r="H574" i="2"/>
  <c r="G574" i="2"/>
  <c r="F574" i="2"/>
  <c r="E574" i="2"/>
  <c r="A570" i="5" s="1"/>
  <c r="I573" i="2"/>
  <c r="H573" i="2"/>
  <c r="G573" i="2"/>
  <c r="F573" i="2"/>
  <c r="E573" i="2"/>
  <c r="A569" i="5" s="1"/>
  <c r="I572" i="2"/>
  <c r="H572" i="2"/>
  <c r="G572" i="2"/>
  <c r="F572" i="2"/>
  <c r="E572" i="2"/>
  <c r="A568" i="5" s="1"/>
  <c r="I571" i="2"/>
  <c r="H571" i="2"/>
  <c r="G571" i="2"/>
  <c r="F571" i="2"/>
  <c r="E571" i="2"/>
  <c r="A567" i="5" s="1"/>
  <c r="I570" i="2"/>
  <c r="H570" i="2"/>
  <c r="G570" i="2"/>
  <c r="F570" i="2"/>
  <c r="E570" i="2"/>
  <c r="A566" i="5" s="1"/>
  <c r="I569" i="2"/>
  <c r="H569" i="2"/>
  <c r="G569" i="2"/>
  <c r="F569" i="2"/>
  <c r="E569" i="2"/>
  <c r="A565" i="5" s="1"/>
  <c r="I568" i="2"/>
  <c r="H568" i="2"/>
  <c r="G568" i="2"/>
  <c r="F568" i="2"/>
  <c r="E568" i="2"/>
  <c r="A564" i="5" s="1"/>
  <c r="I567" i="2"/>
  <c r="H567" i="2"/>
  <c r="G567" i="2"/>
  <c r="F567" i="2"/>
  <c r="E567" i="2"/>
  <c r="A563" i="5" s="1"/>
  <c r="I566" i="2"/>
  <c r="H566" i="2"/>
  <c r="G566" i="2"/>
  <c r="F566" i="2"/>
  <c r="E566" i="2"/>
  <c r="A562" i="5" s="1"/>
  <c r="I565" i="2"/>
  <c r="H565" i="2"/>
  <c r="G565" i="2"/>
  <c r="F565" i="2"/>
  <c r="E565" i="2"/>
  <c r="A561" i="5" s="1"/>
  <c r="I564" i="2"/>
  <c r="H564" i="2"/>
  <c r="G564" i="2"/>
  <c r="F564" i="2"/>
  <c r="E564" i="2"/>
  <c r="A560" i="5" s="1"/>
  <c r="I563" i="2"/>
  <c r="H563" i="2"/>
  <c r="G563" i="2"/>
  <c r="F563" i="2"/>
  <c r="E563" i="2"/>
  <c r="A559" i="5" s="1"/>
  <c r="I562" i="2"/>
  <c r="H562" i="2"/>
  <c r="G562" i="2"/>
  <c r="F562" i="2"/>
  <c r="E562" i="2"/>
  <c r="A558" i="5" s="1"/>
  <c r="I561" i="2"/>
  <c r="H561" i="2"/>
  <c r="G561" i="2"/>
  <c r="F561" i="2"/>
  <c r="E561" i="2"/>
  <c r="A557" i="5" s="1"/>
  <c r="I560" i="2"/>
  <c r="H560" i="2"/>
  <c r="G560" i="2"/>
  <c r="F560" i="2"/>
  <c r="E560" i="2"/>
  <c r="A556" i="5" s="1"/>
  <c r="I559" i="2"/>
  <c r="H559" i="2"/>
  <c r="G559" i="2"/>
  <c r="F559" i="2"/>
  <c r="E559" i="2"/>
  <c r="A555" i="5" s="1"/>
  <c r="I558" i="2"/>
  <c r="H558" i="2"/>
  <c r="G558" i="2"/>
  <c r="F558" i="2"/>
  <c r="E558" i="2"/>
  <c r="A554" i="5" s="1"/>
  <c r="I557" i="2"/>
  <c r="H557" i="2"/>
  <c r="G557" i="2"/>
  <c r="F557" i="2"/>
  <c r="E557" i="2"/>
  <c r="A553" i="5" s="1"/>
  <c r="I556" i="2"/>
  <c r="H556" i="2"/>
  <c r="G556" i="2"/>
  <c r="F556" i="2"/>
  <c r="E556" i="2"/>
  <c r="A552" i="5" s="1"/>
  <c r="I555" i="2"/>
  <c r="H555" i="2"/>
  <c r="G555" i="2"/>
  <c r="F555" i="2"/>
  <c r="E555" i="2"/>
  <c r="A551" i="5" s="1"/>
  <c r="I554" i="2"/>
  <c r="H554" i="2"/>
  <c r="G554" i="2"/>
  <c r="F554" i="2"/>
  <c r="E554" i="2"/>
  <c r="A550" i="5" s="1"/>
  <c r="I553" i="2"/>
  <c r="H553" i="2"/>
  <c r="G553" i="2"/>
  <c r="F553" i="2"/>
  <c r="E553" i="2"/>
  <c r="A549" i="5" s="1"/>
  <c r="I552" i="2"/>
  <c r="H552" i="2"/>
  <c r="G552" i="2"/>
  <c r="F552" i="2"/>
  <c r="E552" i="2"/>
  <c r="A548" i="5" s="1"/>
  <c r="I551" i="2"/>
  <c r="H551" i="2"/>
  <c r="G551" i="2"/>
  <c r="F551" i="2"/>
  <c r="E551" i="2"/>
  <c r="A547" i="5" s="1"/>
  <c r="I550" i="2"/>
  <c r="H550" i="2"/>
  <c r="G550" i="2"/>
  <c r="F550" i="2"/>
  <c r="E550" i="2"/>
  <c r="A546" i="5" s="1"/>
  <c r="I549" i="2"/>
  <c r="H549" i="2"/>
  <c r="G549" i="2"/>
  <c r="F549" i="2"/>
  <c r="E549" i="2"/>
  <c r="A545" i="5" s="1"/>
  <c r="I548" i="2"/>
  <c r="H548" i="2"/>
  <c r="G548" i="2"/>
  <c r="F548" i="2"/>
  <c r="E548" i="2"/>
  <c r="A544" i="5" s="1"/>
  <c r="I547" i="2"/>
  <c r="H547" i="2"/>
  <c r="G547" i="2"/>
  <c r="F547" i="2"/>
  <c r="E547" i="2"/>
  <c r="A543" i="5" s="1"/>
  <c r="I546" i="2"/>
  <c r="H546" i="2"/>
  <c r="G546" i="2"/>
  <c r="F546" i="2"/>
  <c r="E546" i="2"/>
  <c r="A542" i="5" s="1"/>
  <c r="I545" i="2"/>
  <c r="H545" i="2"/>
  <c r="G545" i="2"/>
  <c r="F545" i="2"/>
  <c r="E545" i="2"/>
  <c r="A541" i="5" s="1"/>
  <c r="I544" i="2"/>
  <c r="H544" i="2"/>
  <c r="G544" i="2"/>
  <c r="F544" i="2"/>
  <c r="E544" i="2"/>
  <c r="A540" i="5" s="1"/>
  <c r="I543" i="2"/>
  <c r="H543" i="2"/>
  <c r="G543" i="2"/>
  <c r="F543" i="2"/>
  <c r="E543" i="2"/>
  <c r="A539" i="5" s="1"/>
  <c r="I542" i="2"/>
  <c r="H542" i="2"/>
  <c r="G542" i="2"/>
  <c r="F542" i="2"/>
  <c r="E542" i="2"/>
  <c r="A538" i="5" s="1"/>
  <c r="I541" i="2"/>
  <c r="H541" i="2"/>
  <c r="G541" i="2"/>
  <c r="F541" i="2"/>
  <c r="E541" i="2"/>
  <c r="A537" i="5" s="1"/>
  <c r="I540" i="2"/>
  <c r="H540" i="2"/>
  <c r="G540" i="2"/>
  <c r="F540" i="2"/>
  <c r="E540" i="2"/>
  <c r="A536" i="5" s="1"/>
  <c r="I539" i="2"/>
  <c r="H539" i="2"/>
  <c r="G539" i="2"/>
  <c r="F539" i="2"/>
  <c r="E539" i="2"/>
  <c r="A535" i="5" s="1"/>
  <c r="I538" i="2"/>
  <c r="H538" i="2"/>
  <c r="G538" i="2"/>
  <c r="F538" i="2"/>
  <c r="E538" i="2"/>
  <c r="A534" i="5" s="1"/>
  <c r="I537" i="2"/>
  <c r="H537" i="2"/>
  <c r="G537" i="2"/>
  <c r="F537" i="2"/>
  <c r="E537" i="2"/>
  <c r="A533" i="5" s="1"/>
  <c r="I536" i="2"/>
  <c r="H536" i="2"/>
  <c r="G536" i="2"/>
  <c r="F536" i="2"/>
  <c r="E536" i="2"/>
  <c r="A532" i="5" s="1"/>
  <c r="I535" i="2"/>
  <c r="H535" i="2"/>
  <c r="G535" i="2"/>
  <c r="F535" i="2"/>
  <c r="E535" i="2"/>
  <c r="A531" i="5" s="1"/>
  <c r="I534" i="2"/>
  <c r="H534" i="2"/>
  <c r="G534" i="2"/>
  <c r="F534" i="2"/>
  <c r="E534" i="2"/>
  <c r="A530" i="5" s="1"/>
  <c r="I533" i="2"/>
  <c r="H533" i="2"/>
  <c r="G533" i="2"/>
  <c r="F533" i="2"/>
  <c r="E533" i="2"/>
  <c r="A529" i="5" s="1"/>
  <c r="I532" i="2"/>
  <c r="H532" i="2"/>
  <c r="G532" i="2"/>
  <c r="F532" i="2"/>
  <c r="E532" i="2"/>
  <c r="A528" i="5" s="1"/>
  <c r="I531" i="2"/>
  <c r="H531" i="2"/>
  <c r="G531" i="2"/>
  <c r="F531" i="2"/>
  <c r="E531" i="2"/>
  <c r="A527" i="5" s="1"/>
  <c r="I530" i="2"/>
  <c r="H530" i="2"/>
  <c r="G530" i="2"/>
  <c r="F530" i="2"/>
  <c r="E530" i="2"/>
  <c r="A526" i="5" s="1"/>
  <c r="I529" i="2"/>
  <c r="H529" i="2"/>
  <c r="G529" i="2"/>
  <c r="F529" i="2"/>
  <c r="E529" i="2"/>
  <c r="A525" i="5" s="1"/>
  <c r="I528" i="2"/>
  <c r="H528" i="2"/>
  <c r="G528" i="2"/>
  <c r="F528" i="2"/>
  <c r="E528" i="2"/>
  <c r="A524" i="5" s="1"/>
  <c r="I527" i="2"/>
  <c r="H527" i="2"/>
  <c r="G527" i="2"/>
  <c r="F527" i="2"/>
  <c r="E527" i="2"/>
  <c r="A523" i="5" s="1"/>
  <c r="I526" i="2"/>
  <c r="H526" i="2"/>
  <c r="G526" i="2"/>
  <c r="F526" i="2"/>
  <c r="E526" i="2"/>
  <c r="A522" i="5" s="1"/>
  <c r="I525" i="2"/>
  <c r="H525" i="2"/>
  <c r="G525" i="2"/>
  <c r="F525" i="2"/>
  <c r="E525" i="2"/>
  <c r="A521" i="5" s="1"/>
  <c r="I524" i="2"/>
  <c r="H524" i="2"/>
  <c r="G524" i="2"/>
  <c r="F524" i="2"/>
  <c r="E524" i="2"/>
  <c r="A520" i="5" s="1"/>
  <c r="I523" i="2"/>
  <c r="H523" i="2"/>
  <c r="G523" i="2"/>
  <c r="F523" i="2"/>
  <c r="E523" i="2"/>
  <c r="A519" i="5" s="1"/>
  <c r="I522" i="2"/>
  <c r="H522" i="2"/>
  <c r="G522" i="2"/>
  <c r="F522" i="2"/>
  <c r="E522" i="2"/>
  <c r="A518" i="5" s="1"/>
  <c r="I521" i="2"/>
  <c r="H521" i="2"/>
  <c r="G521" i="2"/>
  <c r="F521" i="2"/>
  <c r="E521" i="2"/>
  <c r="A517" i="5" s="1"/>
  <c r="I520" i="2"/>
  <c r="H520" i="2"/>
  <c r="G520" i="2"/>
  <c r="F520" i="2"/>
  <c r="E520" i="2"/>
  <c r="A516" i="5" s="1"/>
  <c r="I519" i="2"/>
  <c r="H519" i="2"/>
  <c r="G519" i="2"/>
  <c r="F519" i="2"/>
  <c r="E519" i="2"/>
  <c r="A515" i="5" s="1"/>
  <c r="I518" i="2"/>
  <c r="H518" i="2"/>
  <c r="G518" i="2"/>
  <c r="F518" i="2"/>
  <c r="E518" i="2"/>
  <c r="A514" i="5" s="1"/>
  <c r="I517" i="2"/>
  <c r="H517" i="2"/>
  <c r="G517" i="2"/>
  <c r="F517" i="2"/>
  <c r="E517" i="2"/>
  <c r="A513" i="5" s="1"/>
  <c r="I516" i="2"/>
  <c r="H516" i="2"/>
  <c r="G516" i="2"/>
  <c r="F516" i="2"/>
  <c r="E516" i="2"/>
  <c r="A512" i="5" s="1"/>
  <c r="I515" i="2"/>
  <c r="H515" i="2"/>
  <c r="G515" i="2"/>
  <c r="F515" i="2"/>
  <c r="E515" i="2"/>
  <c r="A511" i="5" s="1"/>
  <c r="I514" i="2"/>
  <c r="H514" i="2"/>
  <c r="G514" i="2"/>
  <c r="F514" i="2"/>
  <c r="E514" i="2"/>
  <c r="A510" i="5" s="1"/>
  <c r="I513" i="2"/>
  <c r="H513" i="2"/>
  <c r="G513" i="2"/>
  <c r="F513" i="2"/>
  <c r="E513" i="2"/>
  <c r="A509" i="5" s="1"/>
  <c r="I512" i="2"/>
  <c r="H512" i="2"/>
  <c r="G512" i="2"/>
  <c r="F512" i="2"/>
  <c r="E512" i="2"/>
  <c r="A508" i="5" s="1"/>
  <c r="I511" i="2"/>
  <c r="H511" i="2"/>
  <c r="G511" i="2"/>
  <c r="F511" i="2"/>
  <c r="E511" i="2"/>
  <c r="A507" i="5" s="1"/>
  <c r="I510" i="2"/>
  <c r="H510" i="2"/>
  <c r="G510" i="2"/>
  <c r="F510" i="2"/>
  <c r="E510" i="2"/>
  <c r="A506" i="5" s="1"/>
  <c r="I509" i="2"/>
  <c r="H509" i="2"/>
  <c r="G509" i="2"/>
  <c r="F509" i="2"/>
  <c r="E509" i="2"/>
  <c r="A505" i="5" s="1"/>
  <c r="I508" i="2"/>
  <c r="H508" i="2"/>
  <c r="G508" i="2"/>
  <c r="F508" i="2"/>
  <c r="E508" i="2"/>
  <c r="A504" i="5" s="1"/>
  <c r="I507" i="2"/>
  <c r="H507" i="2"/>
  <c r="G507" i="2"/>
  <c r="F507" i="2"/>
  <c r="E507" i="2"/>
  <c r="A503" i="5" s="1"/>
  <c r="I506" i="2"/>
  <c r="H506" i="2"/>
  <c r="G506" i="2"/>
  <c r="F506" i="2"/>
  <c r="E506" i="2"/>
  <c r="A502" i="5" s="1"/>
  <c r="I505" i="2"/>
  <c r="H505" i="2"/>
  <c r="G505" i="2"/>
  <c r="F505" i="2"/>
  <c r="E505" i="2"/>
  <c r="A501" i="5" s="1"/>
  <c r="I504" i="2"/>
  <c r="H504" i="2"/>
  <c r="G504" i="2"/>
  <c r="F504" i="2"/>
  <c r="E504" i="2"/>
  <c r="A500" i="5" s="1"/>
  <c r="I503" i="2"/>
  <c r="H503" i="2"/>
  <c r="G503" i="2"/>
  <c r="F503" i="2"/>
  <c r="E503" i="2"/>
  <c r="A499" i="5" s="1"/>
  <c r="I502" i="2"/>
  <c r="H502" i="2"/>
  <c r="G502" i="2"/>
  <c r="F502" i="2"/>
  <c r="E502" i="2"/>
  <c r="A498" i="5" s="1"/>
  <c r="I501" i="2"/>
  <c r="H501" i="2"/>
  <c r="G501" i="2"/>
  <c r="F501" i="2"/>
  <c r="E501" i="2"/>
  <c r="A497" i="5" s="1"/>
  <c r="I500" i="2"/>
  <c r="H500" i="2"/>
  <c r="G500" i="2"/>
  <c r="F500" i="2"/>
  <c r="E500" i="2"/>
  <c r="A496" i="5" s="1"/>
  <c r="I499" i="2"/>
  <c r="H499" i="2"/>
  <c r="G499" i="2"/>
  <c r="F499" i="2"/>
  <c r="E499" i="2"/>
  <c r="A495" i="5" s="1"/>
  <c r="I498" i="2"/>
  <c r="H498" i="2"/>
  <c r="G498" i="2"/>
  <c r="F498" i="2"/>
  <c r="E498" i="2"/>
  <c r="A494" i="5" s="1"/>
  <c r="I497" i="2"/>
  <c r="H497" i="2"/>
  <c r="G497" i="2"/>
  <c r="F497" i="2"/>
  <c r="E497" i="2"/>
  <c r="A493" i="5" s="1"/>
  <c r="I496" i="2"/>
  <c r="H496" i="2"/>
  <c r="G496" i="2"/>
  <c r="F496" i="2"/>
  <c r="E496" i="2"/>
  <c r="A492" i="5" s="1"/>
  <c r="I495" i="2"/>
  <c r="H495" i="2"/>
  <c r="G495" i="2"/>
  <c r="F495" i="2"/>
  <c r="E495" i="2"/>
  <c r="A491" i="5" s="1"/>
  <c r="I494" i="2"/>
  <c r="H494" i="2"/>
  <c r="G494" i="2"/>
  <c r="F494" i="2"/>
  <c r="E494" i="2"/>
  <c r="A490" i="5" s="1"/>
  <c r="I493" i="2"/>
  <c r="H493" i="2"/>
  <c r="G493" i="2"/>
  <c r="F493" i="2"/>
  <c r="E493" i="2"/>
  <c r="A489" i="5" s="1"/>
  <c r="I492" i="2"/>
  <c r="H492" i="2"/>
  <c r="G492" i="2"/>
  <c r="F492" i="2"/>
  <c r="E492" i="2"/>
  <c r="A488" i="5" s="1"/>
  <c r="I491" i="2"/>
  <c r="H491" i="2"/>
  <c r="G491" i="2"/>
  <c r="F491" i="2"/>
  <c r="E491" i="2"/>
  <c r="A487" i="5" s="1"/>
  <c r="I490" i="2"/>
  <c r="H490" i="2"/>
  <c r="G490" i="2"/>
  <c r="F490" i="2"/>
  <c r="E490" i="2"/>
  <c r="A486" i="5" s="1"/>
  <c r="I489" i="2"/>
  <c r="H489" i="2"/>
  <c r="G489" i="2"/>
  <c r="F489" i="2"/>
  <c r="E489" i="2"/>
  <c r="A485" i="5" s="1"/>
  <c r="I488" i="2"/>
  <c r="H488" i="2"/>
  <c r="G488" i="2"/>
  <c r="F488" i="2"/>
  <c r="E488" i="2"/>
  <c r="A484" i="5" s="1"/>
  <c r="I487" i="2"/>
  <c r="H487" i="2"/>
  <c r="G487" i="2"/>
  <c r="F487" i="2"/>
  <c r="E487" i="2"/>
  <c r="A483" i="5" s="1"/>
  <c r="I486" i="2"/>
  <c r="H486" i="2"/>
  <c r="G486" i="2"/>
  <c r="F486" i="2"/>
  <c r="E486" i="2"/>
  <c r="A482" i="5" s="1"/>
  <c r="I485" i="2"/>
  <c r="H485" i="2"/>
  <c r="G485" i="2"/>
  <c r="F485" i="2"/>
  <c r="E485" i="2"/>
  <c r="A481" i="5" s="1"/>
  <c r="I484" i="2"/>
  <c r="H484" i="2"/>
  <c r="G484" i="2"/>
  <c r="F484" i="2"/>
  <c r="E484" i="2"/>
  <c r="A480" i="5" s="1"/>
  <c r="I483" i="2"/>
  <c r="H483" i="2"/>
  <c r="G483" i="2"/>
  <c r="F483" i="2"/>
  <c r="E483" i="2"/>
  <c r="A479" i="5" s="1"/>
  <c r="I482" i="2"/>
  <c r="H482" i="2"/>
  <c r="G482" i="2"/>
  <c r="F482" i="2"/>
  <c r="E482" i="2"/>
  <c r="A478" i="5" s="1"/>
  <c r="I481" i="2"/>
  <c r="H481" i="2"/>
  <c r="G481" i="2"/>
  <c r="F481" i="2"/>
  <c r="E481" i="2"/>
  <c r="A477" i="5" s="1"/>
  <c r="I480" i="2"/>
  <c r="H480" i="2"/>
  <c r="G480" i="2"/>
  <c r="F480" i="2"/>
  <c r="E480" i="2"/>
  <c r="A476" i="5" s="1"/>
  <c r="I479" i="2"/>
  <c r="H479" i="2"/>
  <c r="G479" i="2"/>
  <c r="F479" i="2"/>
  <c r="E479" i="2"/>
  <c r="A475" i="5" s="1"/>
  <c r="I478" i="2"/>
  <c r="H478" i="2"/>
  <c r="G478" i="2"/>
  <c r="F478" i="2"/>
  <c r="E478" i="2"/>
  <c r="A474" i="5" s="1"/>
  <c r="I477" i="2"/>
  <c r="H477" i="2"/>
  <c r="G477" i="2"/>
  <c r="F477" i="2"/>
  <c r="E477" i="2"/>
  <c r="A473" i="5" s="1"/>
  <c r="I476" i="2"/>
  <c r="H476" i="2"/>
  <c r="G476" i="2"/>
  <c r="F476" i="2"/>
  <c r="E476" i="2"/>
  <c r="A472" i="5" s="1"/>
  <c r="I475" i="2"/>
  <c r="H475" i="2"/>
  <c r="G475" i="2"/>
  <c r="F475" i="2"/>
  <c r="E475" i="2"/>
  <c r="A471" i="5" s="1"/>
  <c r="I474" i="2"/>
  <c r="H474" i="2"/>
  <c r="G474" i="2"/>
  <c r="F474" i="2"/>
  <c r="E474" i="2"/>
  <c r="A470" i="5" s="1"/>
  <c r="I473" i="2"/>
  <c r="H473" i="2"/>
  <c r="G473" i="2"/>
  <c r="F473" i="2"/>
  <c r="E473" i="2"/>
  <c r="A469" i="5" s="1"/>
  <c r="I472" i="2"/>
  <c r="H472" i="2"/>
  <c r="G472" i="2"/>
  <c r="F472" i="2"/>
  <c r="E472" i="2"/>
  <c r="A468" i="5" s="1"/>
  <c r="I471" i="2"/>
  <c r="H471" i="2"/>
  <c r="G471" i="2"/>
  <c r="F471" i="2"/>
  <c r="E471" i="2"/>
  <c r="A467" i="5" s="1"/>
  <c r="I470" i="2"/>
  <c r="H470" i="2"/>
  <c r="G470" i="2"/>
  <c r="F470" i="2"/>
  <c r="E470" i="2"/>
  <c r="A466" i="5" s="1"/>
  <c r="I469" i="2"/>
  <c r="H469" i="2"/>
  <c r="G469" i="2"/>
  <c r="F469" i="2"/>
  <c r="E469" i="2"/>
  <c r="A465" i="5" s="1"/>
  <c r="I468" i="2"/>
  <c r="H468" i="2"/>
  <c r="G468" i="2"/>
  <c r="F468" i="2"/>
  <c r="E468" i="2"/>
  <c r="A464" i="5" s="1"/>
  <c r="I467" i="2"/>
  <c r="H467" i="2"/>
  <c r="G467" i="2"/>
  <c r="F467" i="2"/>
  <c r="E467" i="2"/>
  <c r="A463" i="5" s="1"/>
  <c r="I466" i="2"/>
  <c r="H466" i="2"/>
  <c r="G466" i="2"/>
  <c r="F466" i="2"/>
  <c r="E466" i="2"/>
  <c r="A462" i="5" s="1"/>
  <c r="I465" i="2"/>
  <c r="H465" i="2"/>
  <c r="G465" i="2"/>
  <c r="F465" i="2"/>
  <c r="E465" i="2"/>
  <c r="A461" i="5" s="1"/>
  <c r="I464" i="2"/>
  <c r="H464" i="2"/>
  <c r="G464" i="2"/>
  <c r="F464" i="2"/>
  <c r="E464" i="2"/>
  <c r="A460" i="5" s="1"/>
  <c r="I463" i="2"/>
  <c r="H463" i="2"/>
  <c r="G463" i="2"/>
  <c r="F463" i="2"/>
  <c r="E463" i="2"/>
  <c r="A459" i="5" s="1"/>
  <c r="I462" i="2"/>
  <c r="H462" i="2"/>
  <c r="G462" i="2"/>
  <c r="F462" i="2"/>
  <c r="E462" i="2"/>
  <c r="A458" i="5" s="1"/>
  <c r="I461" i="2"/>
  <c r="H461" i="2"/>
  <c r="G461" i="2"/>
  <c r="F461" i="2"/>
  <c r="E461" i="2"/>
  <c r="A457" i="5" s="1"/>
  <c r="I460" i="2"/>
  <c r="H460" i="2"/>
  <c r="G460" i="2"/>
  <c r="F460" i="2"/>
  <c r="E460" i="2"/>
  <c r="A456" i="5" s="1"/>
  <c r="I459" i="2"/>
  <c r="H459" i="2"/>
  <c r="G459" i="2"/>
  <c r="F459" i="2"/>
  <c r="E459" i="2"/>
  <c r="A455" i="5" s="1"/>
  <c r="I458" i="2"/>
  <c r="H458" i="2"/>
  <c r="G458" i="2"/>
  <c r="F458" i="2"/>
  <c r="E458" i="2"/>
  <c r="A454" i="5" s="1"/>
  <c r="I457" i="2"/>
  <c r="H457" i="2"/>
  <c r="G457" i="2"/>
  <c r="F457" i="2"/>
  <c r="E457" i="2"/>
  <c r="A453" i="5" s="1"/>
  <c r="I456" i="2"/>
  <c r="H456" i="2"/>
  <c r="G456" i="2"/>
  <c r="F456" i="2"/>
  <c r="E456" i="2"/>
  <c r="A452" i="5" s="1"/>
  <c r="I455" i="2"/>
  <c r="H455" i="2"/>
  <c r="G455" i="2"/>
  <c r="F455" i="2"/>
  <c r="E455" i="2"/>
  <c r="A451" i="5" s="1"/>
  <c r="I454" i="2"/>
  <c r="H454" i="2"/>
  <c r="G454" i="2"/>
  <c r="F454" i="2"/>
  <c r="E454" i="2"/>
  <c r="A450" i="5" s="1"/>
  <c r="I453" i="2"/>
  <c r="H453" i="2"/>
  <c r="G453" i="2"/>
  <c r="F453" i="2"/>
  <c r="E453" i="2"/>
  <c r="A449" i="5" s="1"/>
  <c r="I452" i="2"/>
  <c r="H452" i="2"/>
  <c r="G452" i="2"/>
  <c r="F452" i="2"/>
  <c r="E452" i="2"/>
  <c r="A448" i="5" s="1"/>
  <c r="I451" i="2"/>
  <c r="H451" i="2"/>
  <c r="G451" i="2"/>
  <c r="F451" i="2"/>
  <c r="E451" i="2"/>
  <c r="A447" i="5" s="1"/>
  <c r="I450" i="2"/>
  <c r="H450" i="2"/>
  <c r="G450" i="2"/>
  <c r="F450" i="2"/>
  <c r="E450" i="2"/>
  <c r="A446" i="5" s="1"/>
  <c r="I449" i="2"/>
  <c r="H449" i="2"/>
  <c r="G449" i="2"/>
  <c r="F449" i="2"/>
  <c r="E449" i="2"/>
  <c r="A445" i="5" s="1"/>
  <c r="I448" i="2"/>
  <c r="H448" i="2"/>
  <c r="G448" i="2"/>
  <c r="F448" i="2"/>
  <c r="E448" i="2"/>
  <c r="A444" i="5" s="1"/>
  <c r="I447" i="2"/>
  <c r="H447" i="2"/>
  <c r="G447" i="2"/>
  <c r="F447" i="2"/>
  <c r="E447" i="2"/>
  <c r="A443" i="5" s="1"/>
  <c r="I446" i="2"/>
  <c r="H446" i="2"/>
  <c r="G446" i="2"/>
  <c r="F446" i="2"/>
  <c r="E446" i="2"/>
  <c r="A442" i="5" s="1"/>
  <c r="I445" i="2"/>
  <c r="H445" i="2"/>
  <c r="G445" i="2"/>
  <c r="F445" i="2"/>
  <c r="E445" i="2"/>
  <c r="A441" i="5" s="1"/>
  <c r="I444" i="2"/>
  <c r="H444" i="2"/>
  <c r="G444" i="2"/>
  <c r="F444" i="2"/>
  <c r="E444" i="2"/>
  <c r="A440" i="5" s="1"/>
  <c r="I443" i="2"/>
  <c r="H443" i="2"/>
  <c r="G443" i="2"/>
  <c r="F443" i="2"/>
  <c r="E443" i="2"/>
  <c r="A439" i="5" s="1"/>
  <c r="I442" i="2"/>
  <c r="H442" i="2"/>
  <c r="G442" i="2"/>
  <c r="F442" i="2"/>
  <c r="E442" i="2"/>
  <c r="A438" i="5" s="1"/>
  <c r="I441" i="2"/>
  <c r="H441" i="2"/>
  <c r="G441" i="2"/>
  <c r="F441" i="2"/>
  <c r="E441" i="2"/>
  <c r="A437" i="5" s="1"/>
  <c r="I440" i="2"/>
  <c r="H440" i="2"/>
  <c r="G440" i="2"/>
  <c r="F440" i="2"/>
  <c r="E440" i="2"/>
  <c r="A436" i="5" s="1"/>
  <c r="I439" i="2"/>
  <c r="H439" i="2"/>
  <c r="G439" i="2"/>
  <c r="F439" i="2"/>
  <c r="E439" i="2"/>
  <c r="A435" i="5" s="1"/>
  <c r="I438" i="2"/>
  <c r="H438" i="2"/>
  <c r="G438" i="2"/>
  <c r="F438" i="2"/>
  <c r="E438" i="2"/>
  <c r="A434" i="5" s="1"/>
  <c r="I437" i="2"/>
  <c r="H437" i="2"/>
  <c r="G437" i="2"/>
  <c r="F437" i="2"/>
  <c r="E437" i="2"/>
  <c r="A433" i="5" s="1"/>
  <c r="I436" i="2"/>
  <c r="H436" i="2"/>
  <c r="G436" i="2"/>
  <c r="F436" i="2"/>
  <c r="E436" i="2"/>
  <c r="A432" i="5" s="1"/>
  <c r="I435" i="2"/>
  <c r="H435" i="2"/>
  <c r="G435" i="2"/>
  <c r="F435" i="2"/>
  <c r="E435" i="2"/>
  <c r="A431" i="5" s="1"/>
  <c r="I434" i="2"/>
  <c r="H434" i="2"/>
  <c r="G434" i="2"/>
  <c r="F434" i="2"/>
  <c r="E434" i="2"/>
  <c r="A430" i="5" s="1"/>
  <c r="I433" i="2"/>
  <c r="H433" i="2"/>
  <c r="G433" i="2"/>
  <c r="F433" i="2"/>
  <c r="E433" i="2"/>
  <c r="A429" i="5" s="1"/>
  <c r="I432" i="2"/>
  <c r="H432" i="2"/>
  <c r="G432" i="2"/>
  <c r="F432" i="2"/>
  <c r="E432" i="2"/>
  <c r="A428" i="5" s="1"/>
  <c r="I431" i="2"/>
  <c r="H431" i="2"/>
  <c r="G431" i="2"/>
  <c r="F431" i="2"/>
  <c r="E431" i="2"/>
  <c r="A427" i="5" s="1"/>
  <c r="I430" i="2"/>
  <c r="H430" i="2"/>
  <c r="G430" i="2"/>
  <c r="F430" i="2"/>
  <c r="E430" i="2"/>
  <c r="A426" i="5" s="1"/>
  <c r="I429" i="2"/>
  <c r="H429" i="2"/>
  <c r="G429" i="2"/>
  <c r="F429" i="2"/>
  <c r="E429" i="2"/>
  <c r="A425" i="5" s="1"/>
  <c r="I428" i="2"/>
  <c r="H428" i="2"/>
  <c r="G428" i="2"/>
  <c r="F428" i="2"/>
  <c r="E428" i="2"/>
  <c r="A424" i="5" s="1"/>
  <c r="I427" i="2"/>
  <c r="H427" i="2"/>
  <c r="G427" i="2"/>
  <c r="F427" i="2"/>
  <c r="E427" i="2"/>
  <c r="A423" i="5" s="1"/>
  <c r="I426" i="2"/>
  <c r="H426" i="2"/>
  <c r="G426" i="2"/>
  <c r="F426" i="2"/>
  <c r="E426" i="2"/>
  <c r="A422" i="5" s="1"/>
  <c r="I425" i="2"/>
  <c r="H425" i="2"/>
  <c r="G425" i="2"/>
  <c r="F425" i="2"/>
  <c r="E425" i="2"/>
  <c r="A421" i="5" s="1"/>
  <c r="I424" i="2"/>
  <c r="H424" i="2"/>
  <c r="G424" i="2"/>
  <c r="F424" i="2"/>
  <c r="E424" i="2"/>
  <c r="A420" i="5" s="1"/>
  <c r="I423" i="2"/>
  <c r="H423" i="2"/>
  <c r="G423" i="2"/>
  <c r="F423" i="2"/>
  <c r="E423" i="2"/>
  <c r="A419" i="5" s="1"/>
  <c r="I422" i="2"/>
  <c r="H422" i="2"/>
  <c r="G422" i="2"/>
  <c r="F422" i="2"/>
  <c r="E422" i="2"/>
  <c r="A418" i="5" s="1"/>
  <c r="I421" i="2"/>
  <c r="H421" i="2"/>
  <c r="G421" i="2"/>
  <c r="F421" i="2"/>
  <c r="E421" i="2"/>
  <c r="A417" i="5" s="1"/>
  <c r="I420" i="2"/>
  <c r="H420" i="2"/>
  <c r="G420" i="2"/>
  <c r="F420" i="2"/>
  <c r="E420" i="2"/>
  <c r="A416" i="5" s="1"/>
  <c r="I419" i="2"/>
  <c r="H419" i="2"/>
  <c r="G419" i="2"/>
  <c r="F419" i="2"/>
  <c r="E419" i="2"/>
  <c r="A415" i="5" s="1"/>
  <c r="I418" i="2"/>
  <c r="H418" i="2"/>
  <c r="G418" i="2"/>
  <c r="F418" i="2"/>
  <c r="E418" i="2"/>
  <c r="A414" i="5" s="1"/>
  <c r="I417" i="2"/>
  <c r="H417" i="2"/>
  <c r="G417" i="2"/>
  <c r="F417" i="2"/>
  <c r="E417" i="2"/>
  <c r="A413" i="5" s="1"/>
  <c r="I416" i="2"/>
  <c r="H416" i="2"/>
  <c r="G416" i="2"/>
  <c r="F416" i="2"/>
  <c r="E416" i="2"/>
  <c r="A412" i="5" s="1"/>
  <c r="I415" i="2"/>
  <c r="H415" i="2"/>
  <c r="G415" i="2"/>
  <c r="F415" i="2"/>
  <c r="E415" i="2"/>
  <c r="A411" i="5" s="1"/>
  <c r="I414" i="2"/>
  <c r="H414" i="2"/>
  <c r="G414" i="2"/>
  <c r="F414" i="2"/>
  <c r="E414" i="2"/>
  <c r="A410" i="5" s="1"/>
  <c r="I413" i="2"/>
  <c r="H413" i="2"/>
  <c r="G413" i="2"/>
  <c r="F413" i="2"/>
  <c r="E413" i="2"/>
  <c r="A409" i="5" s="1"/>
  <c r="I412" i="2"/>
  <c r="H412" i="2"/>
  <c r="G412" i="2"/>
  <c r="F412" i="2"/>
  <c r="E412" i="2"/>
  <c r="A408" i="5" s="1"/>
  <c r="I411" i="2"/>
  <c r="H411" i="2"/>
  <c r="G411" i="2"/>
  <c r="F411" i="2"/>
  <c r="E411" i="2"/>
  <c r="A407" i="5" s="1"/>
  <c r="I410" i="2"/>
  <c r="H410" i="2"/>
  <c r="G410" i="2"/>
  <c r="F410" i="2"/>
  <c r="E410" i="2"/>
  <c r="A406" i="5" s="1"/>
  <c r="I409" i="2"/>
  <c r="H409" i="2"/>
  <c r="G409" i="2"/>
  <c r="F409" i="2"/>
  <c r="E409" i="2"/>
  <c r="A405" i="5" s="1"/>
  <c r="I408" i="2"/>
  <c r="H408" i="2"/>
  <c r="G408" i="2"/>
  <c r="F408" i="2"/>
  <c r="E408" i="2"/>
  <c r="A404" i="5" s="1"/>
  <c r="I407" i="2"/>
  <c r="H407" i="2"/>
  <c r="G407" i="2"/>
  <c r="F407" i="2"/>
  <c r="E407" i="2"/>
  <c r="A403" i="5" s="1"/>
  <c r="I406" i="2"/>
  <c r="H406" i="2"/>
  <c r="G406" i="2"/>
  <c r="F406" i="2"/>
  <c r="E406" i="2"/>
  <c r="A402" i="5" s="1"/>
  <c r="I405" i="2"/>
  <c r="H405" i="2"/>
  <c r="G405" i="2"/>
  <c r="F405" i="2"/>
  <c r="E405" i="2"/>
  <c r="A401" i="5" s="1"/>
  <c r="I404" i="2"/>
  <c r="H404" i="2"/>
  <c r="G404" i="2"/>
  <c r="F404" i="2"/>
  <c r="E404" i="2"/>
  <c r="A400" i="5" s="1"/>
  <c r="I403" i="2"/>
  <c r="H403" i="2"/>
  <c r="G403" i="2"/>
  <c r="F403" i="2"/>
  <c r="E403" i="2"/>
  <c r="A399" i="5" s="1"/>
  <c r="I402" i="2"/>
  <c r="H402" i="2"/>
  <c r="G402" i="2"/>
  <c r="F402" i="2"/>
  <c r="E402" i="2"/>
  <c r="A398" i="5" s="1"/>
  <c r="I401" i="2"/>
  <c r="H401" i="2"/>
  <c r="G401" i="2"/>
  <c r="F401" i="2"/>
  <c r="E401" i="2"/>
  <c r="A397" i="5" s="1"/>
  <c r="I400" i="2"/>
  <c r="H400" i="2"/>
  <c r="G400" i="2"/>
  <c r="F400" i="2"/>
  <c r="E400" i="2"/>
  <c r="A396" i="5" s="1"/>
  <c r="I399" i="2"/>
  <c r="H399" i="2"/>
  <c r="G399" i="2"/>
  <c r="F399" i="2"/>
  <c r="E399" i="2"/>
  <c r="A395" i="5" s="1"/>
  <c r="I398" i="2"/>
  <c r="H398" i="2"/>
  <c r="G398" i="2"/>
  <c r="F398" i="2"/>
  <c r="E398" i="2"/>
  <c r="A394" i="5" s="1"/>
  <c r="I397" i="2"/>
  <c r="H397" i="2"/>
  <c r="G397" i="2"/>
  <c r="F397" i="2"/>
  <c r="E397" i="2"/>
  <c r="A393" i="5" s="1"/>
  <c r="I396" i="2"/>
  <c r="H396" i="2"/>
  <c r="G396" i="2"/>
  <c r="F396" i="2"/>
  <c r="E396" i="2"/>
  <c r="A392" i="5" s="1"/>
  <c r="I395" i="2"/>
  <c r="H395" i="2"/>
  <c r="G395" i="2"/>
  <c r="F395" i="2"/>
  <c r="E395" i="2"/>
  <c r="A391" i="5" s="1"/>
  <c r="I394" i="2"/>
  <c r="H394" i="2"/>
  <c r="G394" i="2"/>
  <c r="F394" i="2"/>
  <c r="E394" i="2"/>
  <c r="A390" i="5" s="1"/>
  <c r="I393" i="2"/>
  <c r="H393" i="2"/>
  <c r="G393" i="2"/>
  <c r="F393" i="2"/>
  <c r="E393" i="2"/>
  <c r="A389" i="5" s="1"/>
  <c r="I392" i="2"/>
  <c r="H392" i="2"/>
  <c r="G392" i="2"/>
  <c r="F392" i="2"/>
  <c r="E392" i="2"/>
  <c r="A388" i="5" s="1"/>
  <c r="I391" i="2"/>
  <c r="H391" i="2"/>
  <c r="G391" i="2"/>
  <c r="F391" i="2"/>
  <c r="E391" i="2"/>
  <c r="A387" i="5" s="1"/>
  <c r="I390" i="2"/>
  <c r="H390" i="2"/>
  <c r="G390" i="2"/>
  <c r="F390" i="2"/>
  <c r="E390" i="2"/>
  <c r="A386" i="5" s="1"/>
  <c r="I389" i="2"/>
  <c r="H389" i="2"/>
  <c r="G389" i="2"/>
  <c r="F389" i="2"/>
  <c r="E389" i="2"/>
  <c r="A385" i="5" s="1"/>
  <c r="I388" i="2"/>
  <c r="H388" i="2"/>
  <c r="G388" i="2"/>
  <c r="F388" i="2"/>
  <c r="E388" i="2"/>
  <c r="A384" i="5" s="1"/>
  <c r="I387" i="2"/>
  <c r="H387" i="2"/>
  <c r="G387" i="2"/>
  <c r="F387" i="2"/>
  <c r="E387" i="2"/>
  <c r="A383" i="5" s="1"/>
  <c r="I386" i="2"/>
  <c r="H386" i="2"/>
  <c r="G386" i="2"/>
  <c r="F386" i="2"/>
  <c r="E386" i="2"/>
  <c r="A382" i="5" s="1"/>
  <c r="I385" i="2"/>
  <c r="H385" i="2"/>
  <c r="G385" i="2"/>
  <c r="F385" i="2"/>
  <c r="E385" i="2"/>
  <c r="A381" i="5" s="1"/>
  <c r="I384" i="2"/>
  <c r="H384" i="2"/>
  <c r="G384" i="2"/>
  <c r="F384" i="2"/>
  <c r="E384" i="2"/>
  <c r="A380" i="5" s="1"/>
  <c r="I383" i="2"/>
  <c r="H383" i="2"/>
  <c r="G383" i="2"/>
  <c r="F383" i="2"/>
  <c r="E383" i="2"/>
  <c r="A379" i="5" s="1"/>
  <c r="I382" i="2"/>
  <c r="H382" i="2"/>
  <c r="G382" i="2"/>
  <c r="F382" i="2"/>
  <c r="E382" i="2"/>
  <c r="A378" i="5" s="1"/>
  <c r="I381" i="2"/>
  <c r="H381" i="2"/>
  <c r="G381" i="2"/>
  <c r="F381" i="2"/>
  <c r="E381" i="2"/>
  <c r="A377" i="5" s="1"/>
  <c r="I380" i="2"/>
  <c r="H380" i="2"/>
  <c r="G380" i="2"/>
  <c r="F380" i="2"/>
  <c r="E380" i="2"/>
  <c r="A376" i="5" s="1"/>
  <c r="I379" i="2"/>
  <c r="H379" i="2"/>
  <c r="G379" i="2"/>
  <c r="F379" i="2"/>
  <c r="E379" i="2"/>
  <c r="A375" i="5" s="1"/>
  <c r="I378" i="2"/>
  <c r="H378" i="2"/>
  <c r="G378" i="2"/>
  <c r="F378" i="2"/>
  <c r="E378" i="2"/>
  <c r="A374" i="5" s="1"/>
  <c r="I377" i="2"/>
  <c r="H377" i="2"/>
  <c r="G377" i="2"/>
  <c r="F377" i="2"/>
  <c r="E377" i="2"/>
  <c r="A373" i="5" s="1"/>
  <c r="I376" i="2"/>
  <c r="H376" i="2"/>
  <c r="G376" i="2"/>
  <c r="F376" i="2"/>
  <c r="E376" i="2"/>
  <c r="A372" i="5" s="1"/>
  <c r="I375" i="2"/>
  <c r="H375" i="2"/>
  <c r="G375" i="2"/>
  <c r="F375" i="2"/>
  <c r="E375" i="2"/>
  <c r="A371" i="5" s="1"/>
  <c r="I374" i="2"/>
  <c r="H374" i="2"/>
  <c r="G374" i="2"/>
  <c r="F374" i="2"/>
  <c r="E374" i="2"/>
  <c r="A370" i="5" s="1"/>
  <c r="I373" i="2"/>
  <c r="H373" i="2"/>
  <c r="G373" i="2"/>
  <c r="F373" i="2"/>
  <c r="E373" i="2"/>
  <c r="A369" i="5" s="1"/>
  <c r="I372" i="2"/>
  <c r="H372" i="2"/>
  <c r="G372" i="2"/>
  <c r="F372" i="2"/>
  <c r="E372" i="2"/>
  <c r="A368" i="5" s="1"/>
  <c r="I371" i="2"/>
  <c r="H371" i="2"/>
  <c r="G371" i="2"/>
  <c r="F371" i="2"/>
  <c r="E371" i="2"/>
  <c r="A367" i="5" s="1"/>
  <c r="I370" i="2"/>
  <c r="H370" i="2"/>
  <c r="G370" i="2"/>
  <c r="F370" i="2"/>
  <c r="E370" i="2"/>
  <c r="A366" i="5" s="1"/>
  <c r="I369" i="2"/>
  <c r="H369" i="2"/>
  <c r="G369" i="2"/>
  <c r="F369" i="2"/>
  <c r="E369" i="2"/>
  <c r="A365" i="5" s="1"/>
  <c r="I368" i="2"/>
  <c r="H368" i="2"/>
  <c r="G368" i="2"/>
  <c r="F368" i="2"/>
  <c r="E368" i="2"/>
  <c r="A364" i="5" s="1"/>
  <c r="I367" i="2"/>
  <c r="H367" i="2"/>
  <c r="G367" i="2"/>
  <c r="F367" i="2"/>
  <c r="E367" i="2"/>
  <c r="A363" i="5" s="1"/>
  <c r="I366" i="2"/>
  <c r="H366" i="2"/>
  <c r="G366" i="2"/>
  <c r="F366" i="2"/>
  <c r="E366" i="2"/>
  <c r="A362" i="5" s="1"/>
  <c r="I365" i="2"/>
  <c r="H365" i="2"/>
  <c r="G365" i="2"/>
  <c r="F365" i="2"/>
  <c r="E365" i="2"/>
  <c r="A361" i="5" s="1"/>
  <c r="I364" i="2"/>
  <c r="H364" i="2"/>
  <c r="G364" i="2"/>
  <c r="F364" i="2"/>
  <c r="E364" i="2"/>
  <c r="A360" i="5" s="1"/>
  <c r="I363" i="2"/>
  <c r="H363" i="2"/>
  <c r="G363" i="2"/>
  <c r="F363" i="2"/>
  <c r="E363" i="2"/>
  <c r="A359" i="5" s="1"/>
  <c r="I362" i="2"/>
  <c r="H362" i="2"/>
  <c r="G362" i="2"/>
  <c r="F362" i="2"/>
  <c r="E362" i="2"/>
  <c r="A358" i="5" s="1"/>
  <c r="I361" i="2"/>
  <c r="H361" i="2"/>
  <c r="G361" i="2"/>
  <c r="F361" i="2"/>
  <c r="E361" i="2"/>
  <c r="A357" i="5" s="1"/>
  <c r="I360" i="2"/>
  <c r="H360" i="2"/>
  <c r="G360" i="2"/>
  <c r="F360" i="2"/>
  <c r="E360" i="2"/>
  <c r="A356" i="5" s="1"/>
  <c r="I359" i="2"/>
  <c r="H359" i="2"/>
  <c r="G359" i="2"/>
  <c r="F359" i="2"/>
  <c r="E359" i="2"/>
  <c r="A355" i="5" s="1"/>
  <c r="I358" i="2"/>
  <c r="H358" i="2"/>
  <c r="G358" i="2"/>
  <c r="F358" i="2"/>
  <c r="E358" i="2"/>
  <c r="A354" i="5" s="1"/>
  <c r="I357" i="2"/>
  <c r="H357" i="2"/>
  <c r="G357" i="2"/>
  <c r="F357" i="2"/>
  <c r="E357" i="2"/>
  <c r="A353" i="5" s="1"/>
  <c r="I356" i="2"/>
  <c r="H356" i="2"/>
  <c r="G356" i="2"/>
  <c r="F356" i="2"/>
  <c r="E356" i="2"/>
  <c r="A352" i="5" s="1"/>
  <c r="I355" i="2"/>
  <c r="H355" i="2"/>
  <c r="G355" i="2"/>
  <c r="F355" i="2"/>
  <c r="E355" i="2"/>
  <c r="A351" i="5" s="1"/>
  <c r="I354" i="2"/>
  <c r="H354" i="2"/>
  <c r="G354" i="2"/>
  <c r="F354" i="2"/>
  <c r="E354" i="2"/>
  <c r="A350" i="5" s="1"/>
  <c r="I353" i="2"/>
  <c r="H353" i="2"/>
  <c r="G353" i="2"/>
  <c r="F353" i="2"/>
  <c r="E353" i="2"/>
  <c r="A349" i="5" s="1"/>
  <c r="I352" i="2"/>
  <c r="H352" i="2"/>
  <c r="G352" i="2"/>
  <c r="F352" i="2"/>
  <c r="E352" i="2"/>
  <c r="A348" i="5" s="1"/>
  <c r="I351" i="2"/>
  <c r="H351" i="2"/>
  <c r="G351" i="2"/>
  <c r="F351" i="2"/>
  <c r="E351" i="2"/>
  <c r="A347" i="5" s="1"/>
  <c r="I350" i="2"/>
  <c r="H350" i="2"/>
  <c r="G350" i="2"/>
  <c r="F350" i="2"/>
  <c r="E350" i="2"/>
  <c r="A346" i="5" s="1"/>
  <c r="I349" i="2"/>
  <c r="H349" i="2"/>
  <c r="G349" i="2"/>
  <c r="F349" i="2"/>
  <c r="E349" i="2"/>
  <c r="A345" i="5" s="1"/>
  <c r="I348" i="2"/>
  <c r="H348" i="2"/>
  <c r="G348" i="2"/>
  <c r="F348" i="2"/>
  <c r="E348" i="2"/>
  <c r="A344" i="5" s="1"/>
  <c r="I347" i="2"/>
  <c r="H347" i="2"/>
  <c r="G347" i="2"/>
  <c r="F347" i="2"/>
  <c r="E347" i="2"/>
  <c r="A343" i="5" s="1"/>
  <c r="I346" i="2"/>
  <c r="H346" i="2"/>
  <c r="G346" i="2"/>
  <c r="F346" i="2"/>
  <c r="E346" i="2"/>
  <c r="A342" i="5" s="1"/>
  <c r="I345" i="2"/>
  <c r="H345" i="2"/>
  <c r="G345" i="2"/>
  <c r="F345" i="2"/>
  <c r="E345" i="2"/>
  <c r="A341" i="5" s="1"/>
  <c r="I344" i="2"/>
  <c r="H344" i="2"/>
  <c r="G344" i="2"/>
  <c r="F344" i="2"/>
  <c r="E344" i="2"/>
  <c r="A340" i="5" s="1"/>
  <c r="I343" i="2"/>
  <c r="H343" i="2"/>
  <c r="G343" i="2"/>
  <c r="F343" i="2"/>
  <c r="E343" i="2"/>
  <c r="A339" i="5" s="1"/>
  <c r="I342" i="2"/>
  <c r="H342" i="2"/>
  <c r="G342" i="2"/>
  <c r="F342" i="2"/>
  <c r="E342" i="2"/>
  <c r="A338" i="5" s="1"/>
  <c r="I341" i="2"/>
  <c r="H341" i="2"/>
  <c r="G341" i="2"/>
  <c r="F341" i="2"/>
  <c r="E341" i="2"/>
  <c r="A337" i="5" s="1"/>
  <c r="I340" i="2"/>
  <c r="H340" i="2"/>
  <c r="G340" i="2"/>
  <c r="F340" i="2"/>
  <c r="E340" i="2"/>
  <c r="A336" i="5" s="1"/>
  <c r="I339" i="2"/>
  <c r="H339" i="2"/>
  <c r="G339" i="2"/>
  <c r="F339" i="2"/>
  <c r="E339" i="2"/>
  <c r="A335" i="5" s="1"/>
  <c r="I338" i="2"/>
  <c r="H338" i="2"/>
  <c r="G338" i="2"/>
  <c r="F338" i="2"/>
  <c r="E338" i="2"/>
  <c r="A334" i="5" s="1"/>
  <c r="I337" i="2"/>
  <c r="H337" i="2"/>
  <c r="G337" i="2"/>
  <c r="F337" i="2"/>
  <c r="E337" i="2"/>
  <c r="A333" i="5" s="1"/>
  <c r="I336" i="2"/>
  <c r="H336" i="2"/>
  <c r="G336" i="2"/>
  <c r="F336" i="2"/>
  <c r="E336" i="2"/>
  <c r="A332" i="5" s="1"/>
  <c r="I335" i="2"/>
  <c r="H335" i="2"/>
  <c r="G335" i="2"/>
  <c r="F335" i="2"/>
  <c r="E335" i="2"/>
  <c r="A331" i="5" s="1"/>
  <c r="I334" i="2"/>
  <c r="H334" i="2"/>
  <c r="G334" i="2"/>
  <c r="F334" i="2"/>
  <c r="E334" i="2"/>
  <c r="A330" i="5" s="1"/>
  <c r="I333" i="2"/>
  <c r="H333" i="2"/>
  <c r="G333" i="2"/>
  <c r="F333" i="2"/>
  <c r="E333" i="2"/>
  <c r="A329" i="5" s="1"/>
  <c r="I332" i="2"/>
  <c r="H332" i="2"/>
  <c r="G332" i="2"/>
  <c r="F332" i="2"/>
  <c r="E332" i="2"/>
  <c r="A328" i="5" s="1"/>
  <c r="I331" i="2"/>
  <c r="H331" i="2"/>
  <c r="G331" i="2"/>
  <c r="F331" i="2"/>
  <c r="E331" i="2"/>
  <c r="A327" i="5" s="1"/>
  <c r="I330" i="2"/>
  <c r="H330" i="2"/>
  <c r="G330" i="2"/>
  <c r="F330" i="2"/>
  <c r="E330" i="2"/>
  <c r="A326" i="5" s="1"/>
  <c r="I329" i="2"/>
  <c r="H329" i="2"/>
  <c r="G329" i="2"/>
  <c r="F329" i="2"/>
  <c r="E329" i="2"/>
  <c r="A325" i="5" s="1"/>
  <c r="I328" i="2"/>
  <c r="H328" i="2"/>
  <c r="G328" i="2"/>
  <c r="F328" i="2"/>
  <c r="E328" i="2"/>
  <c r="A324" i="5" s="1"/>
  <c r="I327" i="2"/>
  <c r="H327" i="2"/>
  <c r="G327" i="2"/>
  <c r="F327" i="2"/>
  <c r="E327" i="2"/>
  <c r="A323" i="5" s="1"/>
  <c r="I326" i="2"/>
  <c r="H326" i="2"/>
  <c r="G326" i="2"/>
  <c r="F326" i="2"/>
  <c r="E326" i="2"/>
  <c r="A322" i="5" s="1"/>
  <c r="I325" i="2"/>
  <c r="H325" i="2"/>
  <c r="G325" i="2"/>
  <c r="F325" i="2"/>
  <c r="E325" i="2"/>
  <c r="A321" i="5" s="1"/>
  <c r="I324" i="2"/>
  <c r="H324" i="2"/>
  <c r="G324" i="2"/>
  <c r="F324" i="2"/>
  <c r="E324" i="2"/>
  <c r="A320" i="5" s="1"/>
  <c r="I323" i="2"/>
  <c r="H323" i="2"/>
  <c r="G323" i="2"/>
  <c r="F323" i="2"/>
  <c r="E323" i="2"/>
  <c r="A319" i="5" s="1"/>
  <c r="I322" i="2"/>
  <c r="H322" i="2"/>
  <c r="G322" i="2"/>
  <c r="F322" i="2"/>
  <c r="E322" i="2"/>
  <c r="A318" i="5" s="1"/>
  <c r="I321" i="2"/>
  <c r="H321" i="2"/>
  <c r="G321" i="2"/>
  <c r="F321" i="2"/>
  <c r="E321" i="2"/>
  <c r="A317" i="5" s="1"/>
  <c r="I320" i="2"/>
  <c r="H320" i="2"/>
  <c r="G320" i="2"/>
  <c r="F320" i="2"/>
  <c r="E320" i="2"/>
  <c r="A316" i="5" s="1"/>
  <c r="I319" i="2"/>
  <c r="H319" i="2"/>
  <c r="G319" i="2"/>
  <c r="F319" i="2"/>
  <c r="E319" i="2"/>
  <c r="A315" i="5" s="1"/>
  <c r="I318" i="2"/>
  <c r="H318" i="2"/>
  <c r="G318" i="2"/>
  <c r="F318" i="2"/>
  <c r="E318" i="2"/>
  <c r="A314" i="5" s="1"/>
  <c r="I317" i="2"/>
  <c r="H317" i="2"/>
  <c r="G317" i="2"/>
  <c r="F317" i="2"/>
  <c r="E317" i="2"/>
  <c r="A313" i="5" s="1"/>
  <c r="I316" i="2"/>
  <c r="H316" i="2"/>
  <c r="G316" i="2"/>
  <c r="F316" i="2"/>
  <c r="E316" i="2"/>
  <c r="A312" i="5" s="1"/>
  <c r="I315" i="2"/>
  <c r="H315" i="2"/>
  <c r="G315" i="2"/>
  <c r="F315" i="2"/>
  <c r="E315" i="2"/>
  <c r="A311" i="5" s="1"/>
  <c r="I314" i="2"/>
  <c r="H314" i="2"/>
  <c r="G314" i="2"/>
  <c r="F314" i="2"/>
  <c r="E314" i="2"/>
  <c r="A310" i="5" s="1"/>
  <c r="I313" i="2"/>
  <c r="H313" i="2"/>
  <c r="G313" i="2"/>
  <c r="F313" i="2"/>
  <c r="E313" i="2"/>
  <c r="A309" i="5" s="1"/>
  <c r="I312" i="2"/>
  <c r="H312" i="2"/>
  <c r="G312" i="2"/>
  <c r="F312" i="2"/>
  <c r="E312" i="2"/>
  <c r="A308" i="5" s="1"/>
  <c r="I311" i="2"/>
  <c r="H311" i="2"/>
  <c r="G311" i="2"/>
  <c r="F311" i="2"/>
  <c r="E311" i="2"/>
  <c r="A307" i="5" s="1"/>
  <c r="I310" i="2"/>
  <c r="H310" i="2"/>
  <c r="G310" i="2"/>
  <c r="F310" i="2"/>
  <c r="E310" i="2"/>
  <c r="A306" i="5" s="1"/>
  <c r="I309" i="2"/>
  <c r="H309" i="2"/>
  <c r="G309" i="2"/>
  <c r="F309" i="2"/>
  <c r="E309" i="2"/>
  <c r="A305" i="5" s="1"/>
  <c r="I308" i="2"/>
  <c r="H308" i="2"/>
  <c r="G308" i="2"/>
  <c r="F308" i="2"/>
  <c r="E308" i="2"/>
  <c r="A304" i="5" s="1"/>
  <c r="I307" i="2"/>
  <c r="H307" i="2"/>
  <c r="G307" i="2"/>
  <c r="F307" i="2"/>
  <c r="E307" i="2"/>
  <c r="A303" i="5" s="1"/>
  <c r="I306" i="2"/>
  <c r="H306" i="2"/>
  <c r="G306" i="2"/>
  <c r="F306" i="2"/>
  <c r="E306" i="2"/>
  <c r="A302" i="5" s="1"/>
  <c r="I305" i="2"/>
  <c r="H305" i="2"/>
  <c r="G305" i="2"/>
  <c r="F305" i="2"/>
  <c r="E305" i="2"/>
  <c r="A301" i="5" s="1"/>
  <c r="I304" i="2"/>
  <c r="H304" i="2"/>
  <c r="G304" i="2"/>
  <c r="F304" i="2"/>
  <c r="E304" i="2"/>
  <c r="A300" i="5" s="1"/>
  <c r="I303" i="2"/>
  <c r="H303" i="2"/>
  <c r="G303" i="2"/>
  <c r="F303" i="2"/>
  <c r="E303" i="2"/>
  <c r="A299" i="5" s="1"/>
  <c r="I302" i="2"/>
  <c r="H302" i="2"/>
  <c r="G302" i="2"/>
  <c r="F302" i="2"/>
  <c r="E302" i="2"/>
  <c r="A298" i="5" s="1"/>
  <c r="I301" i="2"/>
  <c r="H301" i="2"/>
  <c r="G301" i="2"/>
  <c r="F301" i="2"/>
  <c r="E301" i="2"/>
  <c r="A297" i="5" s="1"/>
  <c r="I300" i="2"/>
  <c r="H300" i="2"/>
  <c r="G300" i="2"/>
  <c r="F300" i="2"/>
  <c r="E300" i="2"/>
  <c r="A296" i="5" s="1"/>
  <c r="I299" i="2"/>
  <c r="H299" i="2"/>
  <c r="G299" i="2"/>
  <c r="F299" i="2"/>
  <c r="E299" i="2"/>
  <c r="A295" i="5" s="1"/>
  <c r="I298" i="2"/>
  <c r="H298" i="2"/>
  <c r="G298" i="2"/>
  <c r="F298" i="2"/>
  <c r="E298" i="2"/>
  <c r="A294" i="5" s="1"/>
  <c r="I297" i="2"/>
  <c r="H297" i="2"/>
  <c r="G297" i="2"/>
  <c r="F297" i="2"/>
  <c r="E297" i="2"/>
  <c r="A293" i="5" s="1"/>
  <c r="I296" i="2"/>
  <c r="H296" i="2"/>
  <c r="G296" i="2"/>
  <c r="F296" i="2"/>
  <c r="E296" i="2"/>
  <c r="A292" i="5" s="1"/>
  <c r="I295" i="2"/>
  <c r="H295" i="2"/>
  <c r="G295" i="2"/>
  <c r="F295" i="2"/>
  <c r="E295" i="2"/>
  <c r="A291" i="5" s="1"/>
  <c r="I294" i="2"/>
  <c r="H294" i="2"/>
  <c r="G294" i="2"/>
  <c r="F294" i="2"/>
  <c r="E294" i="2"/>
  <c r="A290" i="5" s="1"/>
  <c r="I293" i="2"/>
  <c r="H293" i="2"/>
  <c r="G293" i="2"/>
  <c r="F293" i="2"/>
  <c r="E293" i="2"/>
  <c r="A289" i="5" s="1"/>
  <c r="I292" i="2"/>
  <c r="H292" i="2"/>
  <c r="G292" i="2"/>
  <c r="F292" i="2"/>
  <c r="E292" i="2"/>
  <c r="A288" i="5" s="1"/>
  <c r="I291" i="2"/>
  <c r="H291" i="2"/>
  <c r="G291" i="2"/>
  <c r="F291" i="2"/>
  <c r="E291" i="2"/>
  <c r="A287" i="5" s="1"/>
  <c r="I290" i="2"/>
  <c r="H290" i="2"/>
  <c r="G290" i="2"/>
  <c r="F290" i="2"/>
  <c r="E290" i="2"/>
  <c r="A286" i="5" s="1"/>
  <c r="I289" i="2"/>
  <c r="H289" i="2"/>
  <c r="G289" i="2"/>
  <c r="F289" i="2"/>
  <c r="E289" i="2"/>
  <c r="A285" i="5" s="1"/>
  <c r="I288" i="2"/>
  <c r="H288" i="2"/>
  <c r="G288" i="2"/>
  <c r="F288" i="2"/>
  <c r="E288" i="2"/>
  <c r="A284" i="5" s="1"/>
  <c r="I287" i="2"/>
  <c r="H287" i="2"/>
  <c r="G287" i="2"/>
  <c r="F287" i="2"/>
  <c r="E287" i="2"/>
  <c r="A283" i="5" s="1"/>
  <c r="I286" i="2"/>
  <c r="H286" i="2"/>
  <c r="G286" i="2"/>
  <c r="F286" i="2"/>
  <c r="E286" i="2"/>
  <c r="A282" i="5" s="1"/>
  <c r="I285" i="2"/>
  <c r="H285" i="2"/>
  <c r="G285" i="2"/>
  <c r="F285" i="2"/>
  <c r="E285" i="2"/>
  <c r="A281" i="5" s="1"/>
  <c r="I284" i="2"/>
  <c r="H284" i="2"/>
  <c r="G284" i="2"/>
  <c r="F284" i="2"/>
  <c r="E284" i="2"/>
  <c r="A280" i="5" s="1"/>
  <c r="I283" i="2"/>
  <c r="H283" i="2"/>
  <c r="G283" i="2"/>
  <c r="F283" i="2"/>
  <c r="E283" i="2"/>
  <c r="A279" i="5" s="1"/>
  <c r="I282" i="2"/>
  <c r="H282" i="2"/>
  <c r="G282" i="2"/>
  <c r="F282" i="2"/>
  <c r="E282" i="2"/>
  <c r="A278" i="5" s="1"/>
  <c r="I281" i="2"/>
  <c r="H281" i="2"/>
  <c r="G281" i="2"/>
  <c r="F281" i="2"/>
  <c r="E281" i="2"/>
  <c r="A277" i="5" s="1"/>
  <c r="I280" i="2"/>
  <c r="H280" i="2"/>
  <c r="G280" i="2"/>
  <c r="F280" i="2"/>
  <c r="E280" i="2"/>
  <c r="A276" i="5" s="1"/>
  <c r="I279" i="2"/>
  <c r="H279" i="2"/>
  <c r="G279" i="2"/>
  <c r="F279" i="2"/>
  <c r="E279" i="2"/>
  <c r="A275" i="5" s="1"/>
  <c r="I278" i="2"/>
  <c r="H278" i="2"/>
  <c r="G278" i="2"/>
  <c r="F278" i="2"/>
  <c r="E278" i="2"/>
  <c r="A274" i="5" s="1"/>
  <c r="I277" i="2"/>
  <c r="H277" i="2"/>
  <c r="G277" i="2"/>
  <c r="F277" i="2"/>
  <c r="E277" i="2"/>
  <c r="A273" i="5" s="1"/>
  <c r="I276" i="2"/>
  <c r="H276" i="2"/>
  <c r="G276" i="2"/>
  <c r="F276" i="2"/>
  <c r="E276" i="2"/>
  <c r="A272" i="5" s="1"/>
  <c r="I275" i="2"/>
  <c r="H275" i="2"/>
  <c r="G275" i="2"/>
  <c r="F275" i="2"/>
  <c r="E275" i="2"/>
  <c r="A271" i="5" s="1"/>
  <c r="I274" i="2"/>
  <c r="H274" i="2"/>
  <c r="G274" i="2"/>
  <c r="F274" i="2"/>
  <c r="E274" i="2"/>
  <c r="A270" i="5" s="1"/>
  <c r="I273" i="2"/>
  <c r="H273" i="2"/>
  <c r="G273" i="2"/>
  <c r="F273" i="2"/>
  <c r="E273" i="2"/>
  <c r="A269" i="5" s="1"/>
  <c r="I272" i="2"/>
  <c r="H272" i="2"/>
  <c r="G272" i="2"/>
  <c r="F272" i="2"/>
  <c r="E272" i="2"/>
  <c r="A268" i="5" s="1"/>
  <c r="I271" i="2"/>
  <c r="H271" i="2"/>
  <c r="G271" i="2"/>
  <c r="F271" i="2"/>
  <c r="E271" i="2"/>
  <c r="A267" i="5" s="1"/>
  <c r="I270" i="2"/>
  <c r="H270" i="2"/>
  <c r="G270" i="2"/>
  <c r="F270" i="2"/>
  <c r="E270" i="2"/>
  <c r="A266" i="5" s="1"/>
  <c r="I269" i="2"/>
  <c r="H269" i="2"/>
  <c r="G269" i="2"/>
  <c r="F269" i="2"/>
  <c r="E269" i="2"/>
  <c r="A265" i="5" s="1"/>
  <c r="I268" i="2"/>
  <c r="H268" i="2"/>
  <c r="G268" i="2"/>
  <c r="F268" i="2"/>
  <c r="E268" i="2"/>
  <c r="A264" i="5" s="1"/>
  <c r="I267" i="2"/>
  <c r="H267" i="2"/>
  <c r="G267" i="2"/>
  <c r="F267" i="2"/>
  <c r="E267" i="2"/>
  <c r="A263" i="5" s="1"/>
  <c r="I266" i="2"/>
  <c r="H266" i="2"/>
  <c r="G266" i="2"/>
  <c r="F266" i="2"/>
  <c r="E266" i="2"/>
  <c r="A262" i="5" s="1"/>
  <c r="I265" i="2"/>
  <c r="H265" i="2"/>
  <c r="G265" i="2"/>
  <c r="F265" i="2"/>
  <c r="E265" i="2"/>
  <c r="A261" i="5" s="1"/>
  <c r="I264" i="2"/>
  <c r="H264" i="2"/>
  <c r="G264" i="2"/>
  <c r="F264" i="2"/>
  <c r="E264" i="2"/>
  <c r="A260" i="5" s="1"/>
  <c r="I263" i="2"/>
  <c r="H263" i="2"/>
  <c r="G263" i="2"/>
  <c r="F263" i="2"/>
  <c r="E263" i="2"/>
  <c r="A259" i="5" s="1"/>
  <c r="I262" i="2"/>
  <c r="H262" i="2"/>
  <c r="G262" i="2"/>
  <c r="F262" i="2"/>
  <c r="E262" i="2"/>
  <c r="A258" i="5" s="1"/>
  <c r="I261" i="2"/>
  <c r="H261" i="2"/>
  <c r="G261" i="2"/>
  <c r="F261" i="2"/>
  <c r="E261" i="2"/>
  <c r="A257" i="5" s="1"/>
  <c r="I260" i="2"/>
  <c r="H260" i="2"/>
  <c r="G260" i="2"/>
  <c r="F260" i="2"/>
  <c r="E260" i="2"/>
  <c r="A256" i="5" s="1"/>
  <c r="I259" i="2"/>
  <c r="H259" i="2"/>
  <c r="G259" i="2"/>
  <c r="F259" i="2"/>
  <c r="E259" i="2"/>
  <c r="A255" i="5" s="1"/>
  <c r="I258" i="2"/>
  <c r="H258" i="2"/>
  <c r="G258" i="2"/>
  <c r="F258" i="2"/>
  <c r="E258" i="2"/>
  <c r="A254" i="5" s="1"/>
  <c r="I257" i="2"/>
  <c r="H257" i="2"/>
  <c r="G257" i="2"/>
  <c r="F257" i="2"/>
  <c r="E257" i="2"/>
  <c r="A253" i="5" s="1"/>
  <c r="I256" i="2"/>
  <c r="H256" i="2"/>
  <c r="G256" i="2"/>
  <c r="F256" i="2"/>
  <c r="E256" i="2"/>
  <c r="A252" i="5" s="1"/>
  <c r="I255" i="2"/>
  <c r="H255" i="2"/>
  <c r="G255" i="2"/>
  <c r="F255" i="2"/>
  <c r="E255" i="2"/>
  <c r="A251" i="5" s="1"/>
  <c r="I254" i="2"/>
  <c r="H254" i="2"/>
  <c r="G254" i="2"/>
  <c r="F254" i="2"/>
  <c r="E254" i="2"/>
  <c r="A250" i="5" s="1"/>
  <c r="I253" i="2"/>
  <c r="H253" i="2"/>
  <c r="G253" i="2"/>
  <c r="F253" i="2"/>
  <c r="E253" i="2"/>
  <c r="A249" i="5" s="1"/>
  <c r="I252" i="2"/>
  <c r="H252" i="2"/>
  <c r="G252" i="2"/>
  <c r="F252" i="2"/>
  <c r="E252" i="2"/>
  <c r="A248" i="5" s="1"/>
  <c r="I251" i="2"/>
  <c r="H251" i="2"/>
  <c r="G251" i="2"/>
  <c r="F251" i="2"/>
  <c r="E251" i="2"/>
  <c r="A247" i="5" s="1"/>
  <c r="I250" i="2"/>
  <c r="H250" i="2"/>
  <c r="G250" i="2"/>
  <c r="F250" i="2"/>
  <c r="E250" i="2"/>
  <c r="A246" i="5" s="1"/>
  <c r="I249" i="2"/>
  <c r="H249" i="2"/>
  <c r="G249" i="2"/>
  <c r="F249" i="2"/>
  <c r="E249" i="2"/>
  <c r="A245" i="5" s="1"/>
  <c r="I248" i="2"/>
  <c r="H248" i="2"/>
  <c r="G248" i="2"/>
  <c r="F248" i="2"/>
  <c r="E248" i="2"/>
  <c r="A244" i="5" s="1"/>
  <c r="I247" i="2"/>
  <c r="H247" i="2"/>
  <c r="G247" i="2"/>
  <c r="F247" i="2"/>
  <c r="E247" i="2"/>
  <c r="A243" i="5" s="1"/>
  <c r="I246" i="2"/>
  <c r="H246" i="2"/>
  <c r="G246" i="2"/>
  <c r="F246" i="2"/>
  <c r="E246" i="2"/>
  <c r="A242" i="5" s="1"/>
  <c r="I245" i="2"/>
  <c r="H245" i="2"/>
  <c r="G245" i="2"/>
  <c r="F245" i="2"/>
  <c r="E245" i="2"/>
  <c r="A241" i="5" s="1"/>
  <c r="I244" i="2"/>
  <c r="H244" i="2"/>
  <c r="G244" i="2"/>
  <c r="F244" i="2"/>
  <c r="E244" i="2"/>
  <c r="A240" i="5" s="1"/>
  <c r="I243" i="2"/>
  <c r="H243" i="2"/>
  <c r="G243" i="2"/>
  <c r="F243" i="2"/>
  <c r="E243" i="2"/>
  <c r="A239" i="5" s="1"/>
  <c r="I242" i="2"/>
  <c r="H242" i="2"/>
  <c r="G242" i="2"/>
  <c r="F242" i="2"/>
  <c r="E242" i="2"/>
  <c r="A238" i="5" s="1"/>
  <c r="I241" i="2"/>
  <c r="H241" i="2"/>
  <c r="G241" i="2"/>
  <c r="F241" i="2"/>
  <c r="E241" i="2"/>
  <c r="A237" i="5" s="1"/>
  <c r="I240" i="2"/>
  <c r="H240" i="2"/>
  <c r="G240" i="2"/>
  <c r="F240" i="2"/>
  <c r="E240" i="2"/>
  <c r="A236" i="5" s="1"/>
  <c r="I239" i="2"/>
  <c r="H239" i="2"/>
  <c r="G239" i="2"/>
  <c r="F239" i="2"/>
  <c r="E239" i="2"/>
  <c r="A235" i="5" s="1"/>
  <c r="I238" i="2"/>
  <c r="H238" i="2"/>
  <c r="G238" i="2"/>
  <c r="F238" i="2"/>
  <c r="E238" i="2"/>
  <c r="A234" i="5" s="1"/>
  <c r="I237" i="2"/>
  <c r="H237" i="2"/>
  <c r="G237" i="2"/>
  <c r="F237" i="2"/>
  <c r="E237" i="2"/>
  <c r="A233" i="5" s="1"/>
  <c r="I236" i="2"/>
  <c r="H236" i="2"/>
  <c r="G236" i="2"/>
  <c r="F236" i="2"/>
  <c r="E236" i="2"/>
  <c r="A232" i="5" s="1"/>
  <c r="I235" i="2"/>
  <c r="H235" i="2"/>
  <c r="G235" i="2"/>
  <c r="F235" i="2"/>
  <c r="E235" i="2"/>
  <c r="A231" i="5" s="1"/>
  <c r="I234" i="2"/>
  <c r="H234" i="2"/>
  <c r="G234" i="2"/>
  <c r="F234" i="2"/>
  <c r="E234" i="2"/>
  <c r="A230" i="5" s="1"/>
  <c r="I233" i="2"/>
  <c r="H233" i="2"/>
  <c r="G233" i="2"/>
  <c r="F233" i="2"/>
  <c r="E233" i="2"/>
  <c r="A229" i="5" s="1"/>
  <c r="I232" i="2"/>
  <c r="H232" i="2"/>
  <c r="G232" i="2"/>
  <c r="F232" i="2"/>
  <c r="E232" i="2"/>
  <c r="A228" i="5" s="1"/>
  <c r="I231" i="2"/>
  <c r="H231" i="2"/>
  <c r="G231" i="2"/>
  <c r="F231" i="2"/>
  <c r="E231" i="2"/>
  <c r="A227" i="5" s="1"/>
  <c r="I230" i="2"/>
  <c r="H230" i="2"/>
  <c r="G230" i="2"/>
  <c r="F230" i="2"/>
  <c r="E230" i="2"/>
  <c r="A226" i="5" s="1"/>
  <c r="I229" i="2"/>
  <c r="H229" i="2"/>
  <c r="G229" i="2"/>
  <c r="F229" i="2"/>
  <c r="E229" i="2"/>
  <c r="A225" i="5" s="1"/>
  <c r="I228" i="2"/>
  <c r="H228" i="2"/>
  <c r="G228" i="2"/>
  <c r="F228" i="2"/>
  <c r="E228" i="2"/>
  <c r="A224" i="5" s="1"/>
  <c r="I227" i="2"/>
  <c r="H227" i="2"/>
  <c r="G227" i="2"/>
  <c r="F227" i="2"/>
  <c r="E227" i="2"/>
  <c r="A223" i="5" s="1"/>
  <c r="I226" i="2"/>
  <c r="H226" i="2"/>
  <c r="G226" i="2"/>
  <c r="F226" i="2"/>
  <c r="E226" i="2"/>
  <c r="A222" i="5" s="1"/>
  <c r="I225" i="2"/>
  <c r="H225" i="2"/>
  <c r="G225" i="2"/>
  <c r="F225" i="2"/>
  <c r="E225" i="2"/>
  <c r="A221" i="5" s="1"/>
  <c r="I224" i="2"/>
  <c r="H224" i="2"/>
  <c r="G224" i="2"/>
  <c r="F224" i="2"/>
  <c r="E224" i="2"/>
  <c r="A220" i="5" s="1"/>
  <c r="I223" i="2"/>
  <c r="H223" i="2"/>
  <c r="G223" i="2"/>
  <c r="F223" i="2"/>
  <c r="E223" i="2"/>
  <c r="A219" i="5" s="1"/>
  <c r="I222" i="2"/>
  <c r="H222" i="2"/>
  <c r="G222" i="2"/>
  <c r="F222" i="2"/>
  <c r="E222" i="2"/>
  <c r="A218" i="5" s="1"/>
  <c r="I221" i="2"/>
  <c r="H221" i="2"/>
  <c r="G221" i="2"/>
  <c r="F221" i="2"/>
  <c r="E221" i="2"/>
  <c r="A217" i="5" s="1"/>
  <c r="I220" i="2"/>
  <c r="H220" i="2"/>
  <c r="G220" i="2"/>
  <c r="F220" i="2"/>
  <c r="E220" i="2"/>
  <c r="A216" i="5" s="1"/>
  <c r="I219" i="2"/>
  <c r="H219" i="2"/>
  <c r="G219" i="2"/>
  <c r="F219" i="2"/>
  <c r="E219" i="2"/>
  <c r="A215" i="5" s="1"/>
  <c r="I218" i="2"/>
  <c r="H218" i="2"/>
  <c r="G218" i="2"/>
  <c r="F218" i="2"/>
  <c r="E218" i="2"/>
  <c r="A214" i="5" s="1"/>
  <c r="I217" i="2"/>
  <c r="H217" i="2"/>
  <c r="G217" i="2"/>
  <c r="F217" i="2"/>
  <c r="E217" i="2"/>
  <c r="A213" i="5" s="1"/>
  <c r="I216" i="2"/>
  <c r="H216" i="2"/>
  <c r="G216" i="2"/>
  <c r="F216" i="2"/>
  <c r="E216" i="2"/>
  <c r="A212" i="5" s="1"/>
  <c r="I215" i="2"/>
  <c r="H215" i="2"/>
  <c r="G215" i="2"/>
  <c r="F215" i="2"/>
  <c r="E215" i="2"/>
  <c r="A211" i="5" s="1"/>
  <c r="I214" i="2"/>
  <c r="H214" i="2"/>
  <c r="G214" i="2"/>
  <c r="F214" i="2"/>
  <c r="E214" i="2"/>
  <c r="A210" i="5" s="1"/>
  <c r="I213" i="2"/>
  <c r="H213" i="2"/>
  <c r="G213" i="2"/>
  <c r="F213" i="2"/>
  <c r="E213" i="2"/>
  <c r="A209" i="5" s="1"/>
  <c r="I212" i="2"/>
  <c r="H212" i="2"/>
  <c r="G212" i="2"/>
  <c r="F212" i="2"/>
  <c r="E212" i="2"/>
  <c r="A208" i="5" s="1"/>
  <c r="I211" i="2"/>
  <c r="H211" i="2"/>
  <c r="G211" i="2"/>
  <c r="F211" i="2"/>
  <c r="E211" i="2"/>
  <c r="A207" i="5" s="1"/>
  <c r="I210" i="2"/>
  <c r="H210" i="2"/>
  <c r="G210" i="2"/>
  <c r="F210" i="2"/>
  <c r="E210" i="2"/>
  <c r="A206" i="5" s="1"/>
  <c r="I209" i="2"/>
  <c r="H209" i="2"/>
  <c r="G209" i="2"/>
  <c r="F209" i="2"/>
  <c r="E209" i="2"/>
  <c r="A205" i="5" s="1"/>
  <c r="I208" i="2"/>
  <c r="H208" i="2"/>
  <c r="G208" i="2"/>
  <c r="F208" i="2"/>
  <c r="E208" i="2"/>
  <c r="A204" i="5" s="1"/>
  <c r="I207" i="2"/>
  <c r="H207" i="2"/>
  <c r="G207" i="2"/>
  <c r="F207" i="2"/>
  <c r="E207" i="2"/>
  <c r="A203" i="5" s="1"/>
  <c r="I206" i="2"/>
  <c r="H206" i="2"/>
  <c r="G206" i="2"/>
  <c r="F206" i="2"/>
  <c r="E206" i="2"/>
  <c r="A202" i="5" s="1"/>
  <c r="I205" i="2"/>
  <c r="H205" i="2"/>
  <c r="G205" i="2"/>
  <c r="F205" i="2"/>
  <c r="E205" i="2"/>
  <c r="A201" i="5" s="1"/>
  <c r="I204" i="2"/>
  <c r="H204" i="2"/>
  <c r="G204" i="2"/>
  <c r="F204" i="2"/>
  <c r="E204" i="2"/>
  <c r="A200" i="5" s="1"/>
  <c r="I203" i="2"/>
  <c r="H203" i="2"/>
  <c r="G203" i="2"/>
  <c r="F203" i="2"/>
  <c r="E203" i="2"/>
  <c r="A199" i="5" s="1"/>
  <c r="I202" i="2"/>
  <c r="H202" i="2"/>
  <c r="G202" i="2"/>
  <c r="F202" i="2"/>
  <c r="E202" i="2"/>
  <c r="A198" i="5" s="1"/>
  <c r="I201" i="2"/>
  <c r="H201" i="2"/>
  <c r="G201" i="2"/>
  <c r="F201" i="2"/>
  <c r="E201" i="2"/>
  <c r="A197" i="5" s="1"/>
  <c r="I200" i="2"/>
  <c r="H200" i="2"/>
  <c r="G200" i="2"/>
  <c r="F200" i="2"/>
  <c r="E200" i="2"/>
  <c r="A196" i="5" s="1"/>
  <c r="I199" i="2"/>
  <c r="H199" i="2"/>
  <c r="G199" i="2"/>
  <c r="F199" i="2"/>
  <c r="E199" i="2"/>
  <c r="A195" i="5" s="1"/>
  <c r="I198" i="2"/>
  <c r="H198" i="2"/>
  <c r="G198" i="2"/>
  <c r="F198" i="2"/>
  <c r="E198" i="2"/>
  <c r="A194" i="5" s="1"/>
  <c r="I197" i="2"/>
  <c r="H197" i="2"/>
  <c r="G197" i="2"/>
  <c r="F197" i="2"/>
  <c r="E197" i="2"/>
  <c r="A193" i="5" s="1"/>
  <c r="I196" i="2"/>
  <c r="H196" i="2"/>
  <c r="G196" i="2"/>
  <c r="F196" i="2"/>
  <c r="E196" i="2"/>
  <c r="A192" i="5" s="1"/>
  <c r="I195" i="2"/>
  <c r="H195" i="2"/>
  <c r="G195" i="2"/>
  <c r="F195" i="2"/>
  <c r="E195" i="2"/>
  <c r="A191" i="5" s="1"/>
  <c r="I194" i="2"/>
  <c r="H194" i="2"/>
  <c r="G194" i="2"/>
  <c r="F194" i="2"/>
  <c r="E194" i="2"/>
  <c r="A190" i="5" s="1"/>
  <c r="I193" i="2"/>
  <c r="H193" i="2"/>
  <c r="G193" i="2"/>
  <c r="F193" i="2"/>
  <c r="E193" i="2"/>
  <c r="A189" i="5" s="1"/>
  <c r="I192" i="2"/>
  <c r="H192" i="2"/>
  <c r="G192" i="2"/>
  <c r="F192" i="2"/>
  <c r="E192" i="2"/>
  <c r="A188" i="5" s="1"/>
  <c r="I191" i="2"/>
  <c r="H191" i="2"/>
  <c r="G191" i="2"/>
  <c r="F191" i="2"/>
  <c r="E191" i="2"/>
  <c r="A187" i="5" s="1"/>
  <c r="I190" i="2"/>
  <c r="H190" i="2"/>
  <c r="G190" i="2"/>
  <c r="F190" i="2"/>
  <c r="E190" i="2"/>
  <c r="A186" i="5" s="1"/>
  <c r="I189" i="2"/>
  <c r="H189" i="2"/>
  <c r="G189" i="2"/>
  <c r="F189" i="2"/>
  <c r="E189" i="2"/>
  <c r="A185" i="5" s="1"/>
  <c r="I188" i="2"/>
  <c r="H188" i="2"/>
  <c r="G188" i="2"/>
  <c r="F188" i="2"/>
  <c r="E188" i="2"/>
  <c r="A184" i="5" s="1"/>
  <c r="I187" i="2"/>
  <c r="H187" i="2"/>
  <c r="G187" i="2"/>
  <c r="F187" i="2"/>
  <c r="E187" i="2"/>
  <c r="A183" i="5" s="1"/>
  <c r="I186" i="2"/>
  <c r="H186" i="2"/>
  <c r="G186" i="2"/>
  <c r="F186" i="2"/>
  <c r="E186" i="2"/>
  <c r="A182" i="5" s="1"/>
  <c r="I185" i="2"/>
  <c r="H185" i="2"/>
  <c r="G185" i="2"/>
  <c r="F185" i="2"/>
  <c r="E185" i="2"/>
  <c r="A181" i="5" s="1"/>
  <c r="I184" i="2"/>
  <c r="H184" i="2"/>
  <c r="G184" i="2"/>
  <c r="F184" i="2"/>
  <c r="E184" i="2"/>
  <c r="A180" i="5" s="1"/>
  <c r="I183" i="2"/>
  <c r="H183" i="2"/>
  <c r="G183" i="2"/>
  <c r="F183" i="2"/>
  <c r="E183" i="2"/>
  <c r="A179" i="5" s="1"/>
  <c r="I182" i="2"/>
  <c r="H182" i="2"/>
  <c r="G182" i="2"/>
  <c r="F182" i="2"/>
  <c r="E182" i="2"/>
  <c r="A178" i="5" s="1"/>
  <c r="I181" i="2"/>
  <c r="H181" i="2"/>
  <c r="G181" i="2"/>
  <c r="F181" i="2"/>
  <c r="E181" i="2"/>
  <c r="A177" i="5" s="1"/>
  <c r="I180" i="2"/>
  <c r="H180" i="2"/>
  <c r="G180" i="2"/>
  <c r="F180" i="2"/>
  <c r="E180" i="2"/>
  <c r="A176" i="5" s="1"/>
  <c r="I179" i="2"/>
  <c r="H179" i="2"/>
  <c r="G179" i="2"/>
  <c r="F179" i="2"/>
  <c r="E179" i="2"/>
  <c r="A175" i="5" s="1"/>
  <c r="I178" i="2"/>
  <c r="H178" i="2"/>
  <c r="G178" i="2"/>
  <c r="F178" i="2"/>
  <c r="E178" i="2"/>
  <c r="A174" i="5" s="1"/>
  <c r="I177" i="2"/>
  <c r="H177" i="2"/>
  <c r="G177" i="2"/>
  <c r="F177" i="2"/>
  <c r="E177" i="2"/>
  <c r="A173" i="5" s="1"/>
  <c r="I176" i="2"/>
  <c r="H176" i="2"/>
  <c r="G176" i="2"/>
  <c r="F176" i="2"/>
  <c r="E176" i="2"/>
  <c r="A172" i="5" s="1"/>
  <c r="I175" i="2"/>
  <c r="H175" i="2"/>
  <c r="G175" i="2"/>
  <c r="F175" i="2"/>
  <c r="E175" i="2"/>
  <c r="A171" i="5" s="1"/>
  <c r="I174" i="2"/>
  <c r="H174" i="2"/>
  <c r="G174" i="2"/>
  <c r="F174" i="2"/>
  <c r="E174" i="2"/>
  <c r="A170" i="5" s="1"/>
  <c r="I173" i="2"/>
  <c r="H173" i="2"/>
  <c r="G173" i="2"/>
  <c r="F173" i="2"/>
  <c r="E173" i="2"/>
  <c r="A169" i="5" s="1"/>
  <c r="I172" i="2"/>
  <c r="H172" i="2"/>
  <c r="G172" i="2"/>
  <c r="F172" i="2"/>
  <c r="E172" i="2"/>
  <c r="A168" i="5" s="1"/>
  <c r="I171" i="2"/>
  <c r="H171" i="2"/>
  <c r="G171" i="2"/>
  <c r="F171" i="2"/>
  <c r="E171" i="2"/>
  <c r="A167" i="5" s="1"/>
  <c r="I170" i="2"/>
  <c r="H170" i="2"/>
  <c r="G170" i="2"/>
  <c r="F170" i="2"/>
  <c r="E170" i="2"/>
  <c r="A166" i="5" s="1"/>
  <c r="I169" i="2"/>
  <c r="H169" i="2"/>
  <c r="G169" i="2"/>
  <c r="F169" i="2"/>
  <c r="E169" i="2"/>
  <c r="A165" i="5" s="1"/>
  <c r="I168" i="2"/>
  <c r="H168" i="2"/>
  <c r="G168" i="2"/>
  <c r="F168" i="2"/>
  <c r="E168" i="2"/>
  <c r="A164" i="5" s="1"/>
  <c r="I167" i="2"/>
  <c r="H167" i="2"/>
  <c r="G167" i="2"/>
  <c r="F167" i="2"/>
  <c r="E167" i="2"/>
  <c r="A163" i="5" s="1"/>
  <c r="I166" i="2"/>
  <c r="H166" i="2"/>
  <c r="G166" i="2"/>
  <c r="F166" i="2"/>
  <c r="E166" i="2"/>
  <c r="A162" i="5" s="1"/>
  <c r="I165" i="2"/>
  <c r="H165" i="2"/>
  <c r="G165" i="2"/>
  <c r="F165" i="2"/>
  <c r="E165" i="2"/>
  <c r="A161" i="5" s="1"/>
  <c r="I164" i="2"/>
  <c r="H164" i="2"/>
  <c r="G164" i="2"/>
  <c r="F164" i="2"/>
  <c r="E164" i="2"/>
  <c r="A160" i="5" s="1"/>
  <c r="I163" i="2"/>
  <c r="H163" i="2"/>
  <c r="G163" i="2"/>
  <c r="F163" i="2"/>
  <c r="E163" i="2"/>
  <c r="A159" i="5" s="1"/>
  <c r="I162" i="2"/>
  <c r="H162" i="2"/>
  <c r="G162" i="2"/>
  <c r="F162" i="2"/>
  <c r="E162" i="2"/>
  <c r="A158" i="5" s="1"/>
  <c r="I161" i="2"/>
  <c r="H161" i="2"/>
  <c r="G161" i="2"/>
  <c r="F161" i="2"/>
  <c r="E161" i="2"/>
  <c r="A157" i="5" s="1"/>
  <c r="I160" i="2"/>
  <c r="H160" i="2"/>
  <c r="G160" i="2"/>
  <c r="F160" i="2"/>
  <c r="E160" i="2"/>
  <c r="A156" i="5" s="1"/>
  <c r="I159" i="2"/>
  <c r="H159" i="2"/>
  <c r="G159" i="2"/>
  <c r="F159" i="2"/>
  <c r="E159" i="2"/>
  <c r="A155" i="5" s="1"/>
  <c r="I158" i="2"/>
  <c r="H158" i="2"/>
  <c r="G158" i="2"/>
  <c r="F158" i="2"/>
  <c r="E158" i="2"/>
  <c r="A154" i="5" s="1"/>
  <c r="I157" i="2"/>
  <c r="H157" i="2"/>
  <c r="G157" i="2"/>
  <c r="F157" i="2"/>
  <c r="E157" i="2"/>
  <c r="A153" i="5" s="1"/>
  <c r="I156" i="2"/>
  <c r="H156" i="2"/>
  <c r="G156" i="2"/>
  <c r="F156" i="2"/>
  <c r="E156" i="2"/>
  <c r="A152" i="5" s="1"/>
  <c r="I155" i="2"/>
  <c r="H155" i="2"/>
  <c r="G155" i="2"/>
  <c r="F155" i="2"/>
  <c r="E155" i="2"/>
  <c r="A151" i="5" s="1"/>
  <c r="I154" i="2"/>
  <c r="H154" i="2"/>
  <c r="G154" i="2"/>
  <c r="F154" i="2"/>
  <c r="E154" i="2"/>
  <c r="A150" i="5" s="1"/>
  <c r="I153" i="2"/>
  <c r="H153" i="2"/>
  <c r="G153" i="2"/>
  <c r="F153" i="2"/>
  <c r="E153" i="2"/>
  <c r="A149" i="5" s="1"/>
  <c r="I152" i="2"/>
  <c r="H152" i="2"/>
  <c r="G152" i="2"/>
  <c r="F152" i="2"/>
  <c r="E152" i="2"/>
  <c r="A148" i="5" s="1"/>
  <c r="I151" i="2"/>
  <c r="H151" i="2"/>
  <c r="G151" i="2"/>
  <c r="F151" i="2"/>
  <c r="E151" i="2"/>
  <c r="A147" i="5" s="1"/>
  <c r="I150" i="2"/>
  <c r="H150" i="2"/>
  <c r="G150" i="2"/>
  <c r="F150" i="2"/>
  <c r="E150" i="2"/>
  <c r="A146" i="5" s="1"/>
  <c r="I149" i="2"/>
  <c r="H149" i="2"/>
  <c r="G149" i="2"/>
  <c r="F149" i="2"/>
  <c r="E149" i="2"/>
  <c r="A145" i="5" s="1"/>
  <c r="I148" i="2"/>
  <c r="H148" i="2"/>
  <c r="G148" i="2"/>
  <c r="F148" i="2"/>
  <c r="E148" i="2"/>
  <c r="A144" i="5" s="1"/>
  <c r="I147" i="2"/>
  <c r="H147" i="2"/>
  <c r="G147" i="2"/>
  <c r="F147" i="2"/>
  <c r="E147" i="2"/>
  <c r="A143" i="5" s="1"/>
  <c r="I146" i="2"/>
  <c r="H146" i="2"/>
  <c r="G146" i="2"/>
  <c r="F146" i="2"/>
  <c r="E146" i="2"/>
  <c r="A142" i="5" s="1"/>
  <c r="I145" i="2"/>
  <c r="H145" i="2"/>
  <c r="G145" i="2"/>
  <c r="F145" i="2"/>
  <c r="E145" i="2"/>
  <c r="A141" i="5" s="1"/>
  <c r="I144" i="2"/>
  <c r="H144" i="2"/>
  <c r="G144" i="2"/>
  <c r="F144" i="2"/>
  <c r="E144" i="2"/>
  <c r="A140" i="5" s="1"/>
  <c r="I143" i="2"/>
  <c r="H143" i="2"/>
  <c r="G143" i="2"/>
  <c r="F143" i="2"/>
  <c r="E143" i="2"/>
  <c r="A139" i="5" s="1"/>
  <c r="I142" i="2"/>
  <c r="H142" i="2"/>
  <c r="G142" i="2"/>
  <c r="F142" i="2"/>
  <c r="E142" i="2"/>
  <c r="A138" i="5" s="1"/>
  <c r="I141" i="2"/>
  <c r="H141" i="2"/>
  <c r="G141" i="2"/>
  <c r="F141" i="2"/>
  <c r="E141" i="2"/>
  <c r="A137" i="5" s="1"/>
  <c r="I140" i="2"/>
  <c r="H140" i="2"/>
  <c r="G140" i="2"/>
  <c r="F140" i="2"/>
  <c r="E140" i="2"/>
  <c r="A136" i="5" s="1"/>
  <c r="I139" i="2"/>
  <c r="H139" i="2"/>
  <c r="G139" i="2"/>
  <c r="F139" i="2"/>
  <c r="E139" i="2"/>
  <c r="A135" i="5" s="1"/>
  <c r="I138" i="2"/>
  <c r="H138" i="2"/>
  <c r="G138" i="2"/>
  <c r="F138" i="2"/>
  <c r="E138" i="2"/>
  <c r="A134" i="5" s="1"/>
  <c r="I137" i="2"/>
  <c r="H137" i="2"/>
  <c r="G137" i="2"/>
  <c r="F137" i="2"/>
  <c r="E137" i="2"/>
  <c r="A133" i="5" s="1"/>
  <c r="I136" i="2"/>
  <c r="H136" i="2"/>
  <c r="G136" i="2"/>
  <c r="F136" i="2"/>
  <c r="E136" i="2"/>
  <c r="A132" i="5" s="1"/>
  <c r="I135" i="2"/>
  <c r="H135" i="2"/>
  <c r="G135" i="2"/>
  <c r="F135" i="2"/>
  <c r="E135" i="2"/>
  <c r="A131" i="5" s="1"/>
  <c r="I134" i="2"/>
  <c r="H134" i="2"/>
  <c r="G134" i="2"/>
  <c r="F134" i="2"/>
  <c r="E134" i="2"/>
  <c r="A130" i="5" s="1"/>
  <c r="I133" i="2"/>
  <c r="H133" i="2"/>
  <c r="G133" i="2"/>
  <c r="F133" i="2"/>
  <c r="E133" i="2"/>
  <c r="A129" i="5" s="1"/>
  <c r="I132" i="2"/>
  <c r="H132" i="2"/>
  <c r="G132" i="2"/>
  <c r="F132" i="2"/>
  <c r="E132" i="2"/>
  <c r="A128" i="5" s="1"/>
  <c r="I131" i="2"/>
  <c r="H131" i="2"/>
  <c r="G131" i="2"/>
  <c r="F131" i="2"/>
  <c r="E131" i="2"/>
  <c r="A127" i="5" s="1"/>
  <c r="I130" i="2"/>
  <c r="H130" i="2"/>
  <c r="G130" i="2"/>
  <c r="F130" i="2"/>
  <c r="E130" i="2"/>
  <c r="A126" i="5" s="1"/>
  <c r="I129" i="2"/>
  <c r="H129" i="2"/>
  <c r="G129" i="2"/>
  <c r="F129" i="2"/>
  <c r="E129" i="2"/>
  <c r="A125" i="5" s="1"/>
  <c r="I128" i="2"/>
  <c r="H128" i="2"/>
  <c r="G128" i="2"/>
  <c r="F128" i="2"/>
  <c r="E128" i="2"/>
  <c r="A124" i="5" s="1"/>
  <c r="I127" i="2"/>
  <c r="H127" i="2"/>
  <c r="G127" i="2"/>
  <c r="F127" i="2"/>
  <c r="E127" i="2"/>
  <c r="A123" i="5" s="1"/>
  <c r="I126" i="2"/>
  <c r="H126" i="2"/>
  <c r="G126" i="2"/>
  <c r="F126" i="2"/>
  <c r="E126" i="2"/>
  <c r="A122" i="5" s="1"/>
  <c r="I125" i="2"/>
  <c r="H125" i="2"/>
  <c r="G125" i="2"/>
  <c r="F125" i="2"/>
  <c r="E125" i="2"/>
  <c r="A121" i="5" s="1"/>
  <c r="I124" i="2"/>
  <c r="H124" i="2"/>
  <c r="G124" i="2"/>
  <c r="F124" i="2"/>
  <c r="E124" i="2"/>
  <c r="A120" i="5" s="1"/>
  <c r="I123" i="2"/>
  <c r="H123" i="2"/>
  <c r="G123" i="2"/>
  <c r="F123" i="2"/>
  <c r="E123" i="2"/>
  <c r="A119" i="5" s="1"/>
  <c r="I122" i="2"/>
  <c r="H122" i="2"/>
  <c r="G122" i="2"/>
  <c r="F122" i="2"/>
  <c r="E122" i="2"/>
  <c r="A118" i="5" s="1"/>
  <c r="I121" i="2"/>
  <c r="H121" i="2"/>
  <c r="G121" i="2"/>
  <c r="F121" i="2"/>
  <c r="E121" i="2"/>
  <c r="A117" i="5" s="1"/>
  <c r="I120" i="2"/>
  <c r="H120" i="2"/>
  <c r="G120" i="2"/>
  <c r="F120" i="2"/>
  <c r="E120" i="2"/>
  <c r="A116" i="5" s="1"/>
  <c r="I119" i="2"/>
  <c r="H119" i="2"/>
  <c r="G119" i="2"/>
  <c r="F119" i="2"/>
  <c r="E119" i="2"/>
  <c r="A115" i="5" s="1"/>
  <c r="I118" i="2"/>
  <c r="H118" i="2"/>
  <c r="G118" i="2"/>
  <c r="F118" i="2"/>
  <c r="E118" i="2"/>
  <c r="A114" i="5" s="1"/>
  <c r="I117" i="2"/>
  <c r="H117" i="2"/>
  <c r="G117" i="2"/>
  <c r="F117" i="2"/>
  <c r="E117" i="2"/>
  <c r="A113" i="5" s="1"/>
  <c r="I116" i="2"/>
  <c r="H116" i="2"/>
  <c r="G116" i="2"/>
  <c r="F116" i="2"/>
  <c r="E116" i="2"/>
  <c r="A112" i="5" s="1"/>
  <c r="I115" i="2"/>
  <c r="H115" i="2"/>
  <c r="G115" i="2"/>
  <c r="F115" i="2"/>
  <c r="E115" i="2"/>
  <c r="A111" i="5" s="1"/>
  <c r="I114" i="2"/>
  <c r="H114" i="2"/>
  <c r="G114" i="2"/>
  <c r="F114" i="2"/>
  <c r="E114" i="2"/>
  <c r="A110" i="5" s="1"/>
  <c r="I113" i="2"/>
  <c r="H113" i="2"/>
  <c r="G113" i="2"/>
  <c r="F113" i="2"/>
  <c r="E113" i="2"/>
  <c r="A109" i="5" s="1"/>
  <c r="I112" i="2"/>
  <c r="H112" i="2"/>
  <c r="G112" i="2"/>
  <c r="F112" i="2"/>
  <c r="E112" i="2"/>
  <c r="A108" i="5" s="1"/>
  <c r="I111" i="2"/>
  <c r="H111" i="2"/>
  <c r="G111" i="2"/>
  <c r="F111" i="2"/>
  <c r="E111" i="2"/>
  <c r="A107" i="5" s="1"/>
  <c r="I110" i="2"/>
  <c r="H110" i="2"/>
  <c r="G110" i="2"/>
  <c r="F110" i="2"/>
  <c r="E110" i="2"/>
  <c r="A106" i="5" s="1"/>
  <c r="I109" i="2"/>
  <c r="H109" i="2"/>
  <c r="G109" i="2"/>
  <c r="F109" i="2"/>
  <c r="E109" i="2"/>
  <c r="A105" i="5" s="1"/>
  <c r="I108" i="2"/>
  <c r="H108" i="2"/>
  <c r="G108" i="2"/>
  <c r="F108" i="2"/>
  <c r="E108" i="2"/>
  <c r="A104" i="5" s="1"/>
  <c r="I107" i="2"/>
  <c r="H107" i="2"/>
  <c r="G107" i="2"/>
  <c r="F107" i="2"/>
  <c r="E107" i="2"/>
  <c r="A103" i="5" s="1"/>
  <c r="I106" i="2"/>
  <c r="H106" i="2"/>
  <c r="G106" i="2"/>
  <c r="F106" i="2"/>
  <c r="E106" i="2"/>
  <c r="A102" i="5" s="1"/>
  <c r="I105" i="2"/>
  <c r="H105" i="2"/>
  <c r="G105" i="2"/>
  <c r="F105" i="2"/>
  <c r="E105" i="2"/>
  <c r="A101" i="5" s="1"/>
  <c r="I104" i="2"/>
  <c r="H104" i="2"/>
  <c r="G104" i="2"/>
  <c r="F104" i="2"/>
  <c r="E104" i="2"/>
  <c r="A100" i="5" s="1"/>
  <c r="I103" i="2"/>
  <c r="H103" i="2"/>
  <c r="G103" i="2"/>
  <c r="F103" i="2"/>
  <c r="E103" i="2"/>
  <c r="A99" i="5" s="1"/>
  <c r="I102" i="2"/>
  <c r="H102" i="2"/>
  <c r="G102" i="2"/>
  <c r="F102" i="2"/>
  <c r="E102" i="2"/>
  <c r="A98" i="5" s="1"/>
  <c r="I101" i="2"/>
  <c r="H101" i="2"/>
  <c r="G101" i="2"/>
  <c r="F101" i="2"/>
  <c r="E101" i="2"/>
  <c r="A97" i="5" s="1"/>
  <c r="I100" i="2"/>
  <c r="H100" i="2"/>
  <c r="G100" i="2"/>
  <c r="F100" i="2"/>
  <c r="E100" i="2"/>
  <c r="A96" i="5" s="1"/>
  <c r="I99" i="2"/>
  <c r="H99" i="2"/>
  <c r="G99" i="2"/>
  <c r="F99" i="2"/>
  <c r="E99" i="2"/>
  <c r="A95" i="5" s="1"/>
  <c r="I98" i="2"/>
  <c r="H98" i="2"/>
  <c r="G98" i="2"/>
  <c r="F98" i="2"/>
  <c r="E98" i="2"/>
  <c r="A94" i="5" s="1"/>
  <c r="I97" i="2"/>
  <c r="H97" i="2"/>
  <c r="G97" i="2"/>
  <c r="F97" i="2"/>
  <c r="E97" i="2"/>
  <c r="A93" i="5" s="1"/>
  <c r="I96" i="2"/>
  <c r="H96" i="2"/>
  <c r="G96" i="2"/>
  <c r="F96" i="2"/>
  <c r="E96" i="2"/>
  <c r="A92" i="5" s="1"/>
  <c r="I95" i="2"/>
  <c r="H95" i="2"/>
  <c r="G95" i="2"/>
  <c r="F95" i="2"/>
  <c r="E95" i="2"/>
  <c r="A91" i="5" s="1"/>
  <c r="I94" i="2"/>
  <c r="H94" i="2"/>
  <c r="G94" i="2"/>
  <c r="F94" i="2"/>
  <c r="E94" i="2"/>
  <c r="A90" i="5" s="1"/>
  <c r="I93" i="2"/>
  <c r="H93" i="2"/>
  <c r="G93" i="2"/>
  <c r="F93" i="2"/>
  <c r="E93" i="2"/>
  <c r="A89" i="5" s="1"/>
  <c r="I92" i="2"/>
  <c r="H92" i="2"/>
  <c r="G92" i="2"/>
  <c r="F92" i="2"/>
  <c r="E92" i="2"/>
  <c r="A88" i="5" s="1"/>
  <c r="I91" i="2"/>
  <c r="H91" i="2"/>
  <c r="G91" i="2"/>
  <c r="F91" i="2"/>
  <c r="E91" i="2"/>
  <c r="A87" i="5" s="1"/>
  <c r="I90" i="2"/>
  <c r="H90" i="2"/>
  <c r="G90" i="2"/>
  <c r="F90" i="2"/>
  <c r="E90" i="2"/>
  <c r="A86" i="5" s="1"/>
  <c r="I89" i="2"/>
  <c r="H89" i="2"/>
  <c r="G89" i="2"/>
  <c r="F89" i="2"/>
  <c r="E89" i="2"/>
  <c r="A85" i="5" s="1"/>
  <c r="I88" i="2"/>
  <c r="H88" i="2"/>
  <c r="G88" i="2"/>
  <c r="F88" i="2"/>
  <c r="E88" i="2"/>
  <c r="A84" i="5" s="1"/>
  <c r="I87" i="2"/>
  <c r="H87" i="2"/>
  <c r="G87" i="2"/>
  <c r="F87" i="2"/>
  <c r="E87" i="2"/>
  <c r="A83" i="5" s="1"/>
  <c r="I86" i="2"/>
  <c r="H86" i="2"/>
  <c r="G86" i="2"/>
  <c r="F86" i="2"/>
  <c r="E86" i="2"/>
  <c r="A82" i="5" s="1"/>
  <c r="I85" i="2"/>
  <c r="H85" i="2"/>
  <c r="G85" i="2"/>
  <c r="F85" i="2"/>
  <c r="E85" i="2"/>
  <c r="A81" i="5" s="1"/>
  <c r="I84" i="2"/>
  <c r="H84" i="2"/>
  <c r="G84" i="2"/>
  <c r="F84" i="2"/>
  <c r="E84" i="2"/>
  <c r="A80" i="5" s="1"/>
  <c r="I83" i="2"/>
  <c r="H83" i="2"/>
  <c r="G83" i="2"/>
  <c r="F83" i="2"/>
  <c r="E83" i="2"/>
  <c r="A79" i="5" s="1"/>
  <c r="I82" i="2"/>
  <c r="H82" i="2"/>
  <c r="G82" i="2"/>
  <c r="F82" i="2"/>
  <c r="E82" i="2"/>
  <c r="A78" i="5" s="1"/>
  <c r="I81" i="2"/>
  <c r="H81" i="2"/>
  <c r="G81" i="2"/>
  <c r="F81" i="2"/>
  <c r="E81" i="2"/>
  <c r="A77" i="5" s="1"/>
  <c r="I80" i="2"/>
  <c r="H80" i="2"/>
  <c r="G80" i="2"/>
  <c r="F80" i="2"/>
  <c r="E80" i="2"/>
  <c r="A76" i="5" s="1"/>
  <c r="I79" i="2"/>
  <c r="H79" i="2"/>
  <c r="G79" i="2"/>
  <c r="F79" i="2"/>
  <c r="E79" i="2"/>
  <c r="A75" i="5" s="1"/>
  <c r="I78" i="2"/>
  <c r="H78" i="2"/>
  <c r="G78" i="2"/>
  <c r="F78" i="2"/>
  <c r="E78" i="2"/>
  <c r="A74" i="5" s="1"/>
  <c r="I77" i="2"/>
  <c r="H77" i="2"/>
  <c r="G77" i="2"/>
  <c r="F77" i="2"/>
  <c r="E77" i="2"/>
  <c r="A73" i="5" s="1"/>
  <c r="I76" i="2"/>
  <c r="H76" i="2"/>
  <c r="G76" i="2"/>
  <c r="F76" i="2"/>
  <c r="E76" i="2"/>
  <c r="A72" i="5" s="1"/>
  <c r="I75" i="2"/>
  <c r="H75" i="2"/>
  <c r="G75" i="2"/>
  <c r="F75" i="2"/>
  <c r="E75" i="2"/>
  <c r="A71" i="5" s="1"/>
  <c r="I74" i="2"/>
  <c r="H74" i="2"/>
  <c r="G74" i="2"/>
  <c r="F74" i="2"/>
  <c r="E74" i="2"/>
  <c r="A70" i="5" s="1"/>
  <c r="I73" i="2"/>
  <c r="H73" i="2"/>
  <c r="G73" i="2"/>
  <c r="F73" i="2"/>
  <c r="E73" i="2"/>
  <c r="A69" i="5" s="1"/>
  <c r="I72" i="2"/>
  <c r="H72" i="2"/>
  <c r="G72" i="2"/>
  <c r="F72" i="2"/>
  <c r="E72" i="2"/>
  <c r="A68" i="5" s="1"/>
  <c r="I71" i="2"/>
  <c r="H71" i="2"/>
  <c r="G71" i="2"/>
  <c r="F71" i="2"/>
  <c r="E71" i="2"/>
  <c r="A67" i="5" s="1"/>
  <c r="I70" i="2"/>
  <c r="H70" i="2"/>
  <c r="G70" i="2"/>
  <c r="F70" i="2"/>
  <c r="E70" i="2"/>
  <c r="A66" i="5" s="1"/>
  <c r="I69" i="2"/>
  <c r="H69" i="2"/>
  <c r="G69" i="2"/>
  <c r="F69" i="2"/>
  <c r="E69" i="2"/>
  <c r="A65" i="5" s="1"/>
  <c r="I68" i="2"/>
  <c r="H68" i="2"/>
  <c r="G68" i="2"/>
  <c r="F68" i="2"/>
  <c r="E68" i="2"/>
  <c r="A64" i="5" s="1"/>
  <c r="I67" i="2"/>
  <c r="H67" i="2"/>
  <c r="G67" i="2"/>
  <c r="F67" i="2"/>
  <c r="E67" i="2"/>
  <c r="A63" i="5" s="1"/>
  <c r="I66" i="2"/>
  <c r="H66" i="2"/>
  <c r="G66" i="2"/>
  <c r="F66" i="2"/>
  <c r="E66" i="2"/>
  <c r="A62" i="5" s="1"/>
  <c r="I65" i="2"/>
  <c r="H65" i="2"/>
  <c r="G65" i="2"/>
  <c r="F65" i="2"/>
  <c r="E65" i="2"/>
  <c r="A61" i="5" s="1"/>
  <c r="I64" i="2"/>
  <c r="H64" i="2"/>
  <c r="G64" i="2"/>
  <c r="F64" i="2"/>
  <c r="E64" i="2"/>
  <c r="A60" i="5" s="1"/>
  <c r="I63" i="2"/>
  <c r="H63" i="2"/>
  <c r="G63" i="2"/>
  <c r="F63" i="2"/>
  <c r="E63" i="2"/>
  <c r="A59" i="5" s="1"/>
  <c r="I62" i="2"/>
  <c r="H62" i="2"/>
  <c r="G62" i="2"/>
  <c r="F62" i="2"/>
  <c r="E62" i="2"/>
  <c r="A58" i="5" s="1"/>
  <c r="I61" i="2"/>
  <c r="H61" i="2"/>
  <c r="G61" i="2"/>
  <c r="F61" i="2"/>
  <c r="E61" i="2"/>
  <c r="A57" i="5" s="1"/>
  <c r="I60" i="2"/>
  <c r="H60" i="2"/>
  <c r="G60" i="2"/>
  <c r="F60" i="2"/>
  <c r="E60" i="2"/>
  <c r="A56" i="5" s="1"/>
  <c r="I59" i="2"/>
  <c r="H59" i="2"/>
  <c r="G59" i="2"/>
  <c r="F59" i="2"/>
  <c r="E59" i="2"/>
  <c r="A55" i="5" s="1"/>
  <c r="I58" i="2"/>
  <c r="H58" i="2"/>
  <c r="G58" i="2"/>
  <c r="F58" i="2"/>
  <c r="E58" i="2"/>
  <c r="A54" i="5" s="1"/>
  <c r="I57" i="2"/>
  <c r="H57" i="2"/>
  <c r="G57" i="2"/>
  <c r="F57" i="2"/>
  <c r="E57" i="2"/>
  <c r="A53" i="5" s="1"/>
  <c r="I56" i="2"/>
  <c r="H56" i="2"/>
  <c r="G56" i="2"/>
  <c r="F56" i="2"/>
  <c r="E56" i="2"/>
  <c r="A52" i="5" s="1"/>
  <c r="I55" i="2"/>
  <c r="H55" i="2"/>
  <c r="G55" i="2"/>
  <c r="F55" i="2"/>
  <c r="E55" i="2"/>
  <c r="A51" i="5" s="1"/>
  <c r="I54" i="2"/>
  <c r="H54" i="2"/>
  <c r="G54" i="2"/>
  <c r="F54" i="2"/>
  <c r="E54" i="2"/>
  <c r="A50" i="5" s="1"/>
  <c r="I53" i="2"/>
  <c r="H53" i="2"/>
  <c r="G53" i="2"/>
  <c r="F53" i="2"/>
  <c r="E53" i="2"/>
  <c r="A49" i="5" s="1"/>
  <c r="I52" i="2"/>
  <c r="H52" i="2"/>
  <c r="G52" i="2"/>
  <c r="F52" i="2"/>
  <c r="E52" i="2"/>
  <c r="A48" i="5" s="1"/>
  <c r="I51" i="2"/>
  <c r="H51" i="2"/>
  <c r="G51" i="2"/>
  <c r="F51" i="2"/>
  <c r="E51" i="2"/>
  <c r="A47" i="5" s="1"/>
  <c r="I50" i="2"/>
  <c r="H50" i="2"/>
  <c r="G50" i="2"/>
  <c r="F50" i="2"/>
  <c r="E50" i="2"/>
  <c r="A46" i="5" s="1"/>
  <c r="I49" i="2"/>
  <c r="H49" i="2"/>
  <c r="G49" i="2"/>
  <c r="F49" i="2"/>
  <c r="E49" i="2"/>
  <c r="A45" i="5" s="1"/>
  <c r="I48" i="2"/>
  <c r="H48" i="2"/>
  <c r="G48" i="2"/>
  <c r="F48" i="2"/>
  <c r="E48" i="2"/>
  <c r="A44" i="5" s="1"/>
  <c r="I47" i="2"/>
  <c r="H47" i="2"/>
  <c r="G47" i="2"/>
  <c r="F47" i="2"/>
  <c r="E47" i="2"/>
  <c r="A43" i="5" s="1"/>
  <c r="I46" i="2"/>
  <c r="H46" i="2"/>
  <c r="G46" i="2"/>
  <c r="F46" i="2"/>
  <c r="E46" i="2"/>
  <c r="A42" i="5" s="1"/>
  <c r="I45" i="2"/>
  <c r="H45" i="2"/>
  <c r="G45" i="2"/>
  <c r="F45" i="2"/>
  <c r="E45" i="2"/>
  <c r="A41" i="5" s="1"/>
  <c r="I44" i="2"/>
  <c r="H44" i="2"/>
  <c r="G44" i="2"/>
  <c r="F44" i="2"/>
  <c r="E44" i="2"/>
  <c r="A40" i="5" s="1"/>
  <c r="I43" i="2"/>
  <c r="H43" i="2"/>
  <c r="G43" i="2"/>
  <c r="F43" i="2"/>
  <c r="E43" i="2"/>
  <c r="A39" i="5" s="1"/>
  <c r="I42" i="2"/>
  <c r="H42" i="2"/>
  <c r="G42" i="2"/>
  <c r="F42" i="2"/>
  <c r="E42" i="2"/>
  <c r="A38" i="5" s="1"/>
  <c r="I41" i="2"/>
  <c r="H41" i="2"/>
  <c r="G41" i="2"/>
  <c r="F41" i="2"/>
  <c r="E41" i="2"/>
  <c r="A37" i="5" s="1"/>
  <c r="I40" i="2"/>
  <c r="H40" i="2"/>
  <c r="G40" i="2"/>
  <c r="F40" i="2"/>
  <c r="E40" i="2"/>
  <c r="A36" i="5" s="1"/>
  <c r="I39" i="2"/>
  <c r="H39" i="2"/>
  <c r="G39" i="2"/>
  <c r="F39" i="2"/>
  <c r="E39" i="2"/>
  <c r="A35" i="5" s="1"/>
  <c r="I38" i="2"/>
  <c r="H38" i="2"/>
  <c r="G38" i="2"/>
  <c r="F38" i="2"/>
  <c r="E38" i="2"/>
  <c r="A34" i="5" s="1"/>
  <c r="I37" i="2"/>
  <c r="H37" i="2"/>
  <c r="G37" i="2"/>
  <c r="F37" i="2"/>
  <c r="E37" i="2"/>
  <c r="A33" i="5" s="1"/>
  <c r="I36" i="2"/>
  <c r="H36" i="2"/>
  <c r="G36" i="2"/>
  <c r="F36" i="2"/>
  <c r="E36" i="2"/>
  <c r="A32" i="5" s="1"/>
  <c r="I35" i="2"/>
  <c r="H35" i="2"/>
  <c r="G35" i="2"/>
  <c r="F35" i="2"/>
  <c r="E35" i="2"/>
  <c r="A31" i="5" s="1"/>
  <c r="I34" i="2"/>
  <c r="H34" i="2"/>
  <c r="G34" i="2"/>
  <c r="F34" i="2"/>
  <c r="E34" i="2"/>
  <c r="A30" i="5" s="1"/>
  <c r="I33" i="2"/>
  <c r="H33" i="2"/>
  <c r="G33" i="2"/>
  <c r="F33" i="2"/>
  <c r="E33" i="2"/>
  <c r="A29" i="5" s="1"/>
  <c r="I32" i="2"/>
  <c r="H32" i="2"/>
  <c r="G32" i="2"/>
  <c r="F32" i="2"/>
  <c r="E32" i="2"/>
  <c r="A28" i="5" s="1"/>
  <c r="I31" i="2"/>
  <c r="H31" i="2"/>
  <c r="G31" i="2"/>
  <c r="F31" i="2"/>
  <c r="E31" i="2"/>
  <c r="A27" i="5" s="1"/>
  <c r="I30" i="2"/>
  <c r="H30" i="2"/>
  <c r="G30" i="2"/>
  <c r="F30" i="2"/>
  <c r="E30" i="2"/>
  <c r="A26" i="5" s="1"/>
  <c r="I29" i="2"/>
  <c r="H29" i="2"/>
  <c r="G29" i="2"/>
  <c r="F29" i="2"/>
  <c r="E29" i="2"/>
  <c r="A25" i="5" s="1"/>
  <c r="I28" i="2"/>
  <c r="H28" i="2"/>
  <c r="G28" i="2"/>
  <c r="F28" i="2"/>
  <c r="E28" i="2"/>
  <c r="A24" i="5" s="1"/>
  <c r="I27" i="2"/>
  <c r="H27" i="2"/>
  <c r="G27" i="2"/>
  <c r="F27" i="2"/>
  <c r="E27" i="2"/>
  <c r="A23" i="5" s="1"/>
  <c r="I26" i="2"/>
  <c r="H26" i="2"/>
  <c r="G26" i="2"/>
  <c r="F26" i="2"/>
  <c r="E26" i="2"/>
  <c r="A22" i="5" s="1"/>
  <c r="I25" i="2"/>
  <c r="H25" i="2"/>
  <c r="G25" i="2"/>
  <c r="F25" i="2"/>
  <c r="E25" i="2"/>
  <c r="A21" i="5" s="1"/>
  <c r="I24" i="2"/>
  <c r="H24" i="2"/>
  <c r="G24" i="2"/>
  <c r="F24" i="2"/>
  <c r="E24" i="2"/>
  <c r="A20" i="5" s="1"/>
  <c r="I23" i="2"/>
  <c r="H23" i="2"/>
  <c r="G23" i="2"/>
  <c r="F23" i="2"/>
  <c r="E23" i="2"/>
  <c r="A19" i="5" s="1"/>
  <c r="I22" i="2"/>
  <c r="H22" i="2"/>
  <c r="G22" i="2"/>
  <c r="F22" i="2"/>
  <c r="E22" i="2"/>
  <c r="A18" i="5" s="1"/>
  <c r="I21" i="2"/>
  <c r="H21" i="2"/>
  <c r="G21" i="2"/>
  <c r="F21" i="2"/>
  <c r="E21" i="2"/>
  <c r="A17" i="5" s="1"/>
  <c r="I20" i="2"/>
  <c r="H20" i="2"/>
  <c r="G20" i="2"/>
  <c r="F20" i="2"/>
  <c r="E20" i="2"/>
  <c r="A16" i="5" s="1"/>
  <c r="I19" i="2"/>
  <c r="H19" i="2"/>
  <c r="G19" i="2"/>
  <c r="F19" i="2"/>
  <c r="E19" i="2"/>
  <c r="A15" i="5" s="1"/>
  <c r="I18" i="2"/>
  <c r="H18" i="2"/>
  <c r="G18" i="2"/>
  <c r="F18" i="2"/>
  <c r="E18" i="2"/>
  <c r="A14" i="5" s="1"/>
  <c r="I17" i="2"/>
  <c r="H17" i="2"/>
  <c r="G17" i="2"/>
  <c r="F17" i="2"/>
  <c r="E17" i="2"/>
  <c r="A13" i="5" s="1"/>
  <c r="I16" i="2"/>
  <c r="H16" i="2"/>
  <c r="G16" i="2"/>
  <c r="F16" i="2"/>
  <c r="E16" i="2"/>
  <c r="A12" i="5" s="1"/>
  <c r="I15" i="2"/>
  <c r="H15" i="2"/>
  <c r="G15" i="2"/>
  <c r="F15" i="2"/>
  <c r="E15" i="2"/>
  <c r="A11" i="5" s="1"/>
  <c r="I14" i="2"/>
  <c r="H14" i="2"/>
  <c r="G14" i="2"/>
  <c r="F14" i="2"/>
  <c r="E14" i="2"/>
  <c r="A10" i="5" s="1"/>
  <c r="I13" i="2"/>
  <c r="H13" i="2"/>
  <c r="G13" i="2"/>
  <c r="F13" i="2"/>
  <c r="E13" i="2"/>
  <c r="A9" i="5" s="1"/>
  <c r="I12" i="2"/>
  <c r="H12" i="2"/>
  <c r="G12" i="2"/>
  <c r="F12" i="2"/>
  <c r="E12" i="2"/>
  <c r="A8" i="5" s="1"/>
  <c r="I11" i="2"/>
  <c r="H11" i="2"/>
  <c r="G11" i="2"/>
  <c r="F11" i="2"/>
  <c r="E11" i="2"/>
  <c r="A7" i="5" s="1"/>
  <c r="I10" i="2"/>
  <c r="H10" i="2"/>
  <c r="G10" i="2"/>
  <c r="F10" i="2"/>
  <c r="E10" i="2"/>
  <c r="A6" i="5" s="1"/>
  <c r="I9" i="2"/>
  <c r="H9" i="2"/>
  <c r="G9" i="2"/>
  <c r="F9" i="2"/>
  <c r="E9" i="2"/>
  <c r="A5" i="5" s="1"/>
  <c r="I8" i="2"/>
  <c r="H8" i="2"/>
  <c r="G8" i="2"/>
  <c r="F8" i="2"/>
  <c r="E8" i="2"/>
  <c r="A4" i="5" s="1"/>
  <c r="I7" i="2"/>
  <c r="H7" i="2"/>
  <c r="G7" i="2"/>
  <c r="F7" i="2"/>
  <c r="E7" i="2"/>
  <c r="A3" i="5" s="1"/>
  <c r="I6" i="2"/>
  <c r="H6" i="2"/>
  <c r="G6" i="2"/>
  <c r="F6" i="2"/>
  <c r="E6" i="2"/>
  <c r="A2" i="5" s="1"/>
</calcChain>
</file>

<file path=xl/sharedStrings.xml><?xml version="1.0" encoding="utf-8"?>
<sst xmlns="http://schemas.openxmlformats.org/spreadsheetml/2006/main" count="5497" uniqueCount="2765">
  <si>
    <t>PLANILHA DE ESPÉCIES ARBÓREAS PARA CAI COM RENDIMENTO LENHOSO - GUIA DE PREENCHIMENTO</t>
  </si>
  <si>
    <t>PARA PREENCHER CORRETAMENTE A PLANILHA DE ESPÉCIES ARBÓREAS, É FUNDAMENTAL COMPREENDER O SEU FUNCIONAMENTO. A SEGUIR, APRESENTAMOS AS INFORMAÇÕES NECESSÁRIAS:</t>
  </si>
  <si>
    <t>ABAS DA PLANILHA</t>
  </si>
  <si>
    <t xml:space="preserve"> 2 - PREENCHA AQUI</t>
  </si>
  <si>
    <t>2.1 Espécies</t>
  </si>
  <si>
    <t>• Você pode buscar a espécie por código, nome popular ou nome científico.</t>
  </si>
  <si>
    <t>• Para preencher a parte de espécies, é necessário pesquisar os atributos na aba 3 - LISTA DE ESPÉCIES.</t>
  </si>
  <si>
    <t>• Depois de realizar a pesquisa, insira o código ou o nome da espécie na planilha.</t>
  </si>
  <si>
    <t>2.2 Dados a serem exportados</t>
  </si>
  <si>
    <t>• Alguns atributos são preenchidos automaticamente: Código, Nome Popular, Espécie (Nome Científico), Classificação e Código do Ibama.</t>
  </si>
  <si>
    <t>• É necessário preencher os seguintes campos: Latitude, Longitude, Produto, Volume.</t>
  </si>
  <si>
    <t xml:space="preserve">          e insira-o no campo Produto.   </t>
  </si>
  <si>
    <t xml:space="preserve"> </t>
  </si>
  <si>
    <t>3 - LISTA DE ESPÉCIES</t>
  </si>
  <si>
    <t>Esta aba destina-se à consulta dos dados das espécies, permitindo a obtenção das informações corretas para inserção na aba 2 - PREENCHA AQUI.</t>
  </si>
  <si>
    <t>4  -  LISTA DOS TIPOS DE PRODUTOS</t>
  </si>
  <si>
    <t>Nesta aba, é possível realizar a consulta dos tipos de produtos que serão gerados, a fim de obter os dados para inserção na aba 2 - PREENCHA AQUI.</t>
  </si>
  <si>
    <t>5 - RESULTADO PARA EXPORTAÇÃO</t>
  </si>
  <si>
    <t xml:space="preserve">Esta aba é exclusivamente destinada à exportação dos dados que foram preenchidos para o sistema. Não se destina ao preenchimento nem à consulta por parte </t>
  </si>
  <si>
    <t>PLANILHA DE ESPÉCIES ARBÓREAS PARA CAI COM RENDIMENTO LENHOSO</t>
  </si>
  <si>
    <t>ESPÉCIES</t>
  </si>
  <si>
    <t>DADOS A SEREM EXPORTADOS</t>
  </si>
  <si>
    <t>Código</t>
  </si>
  <si>
    <t>Nome Popular</t>
  </si>
  <si>
    <t>Espécie (Nome Científico)</t>
  </si>
  <si>
    <t>Classificação</t>
  </si>
  <si>
    <t>Código Ibama</t>
  </si>
  <si>
    <t>Latitude</t>
  </si>
  <si>
    <t>Longitude</t>
  </si>
  <si>
    <t>Produto</t>
  </si>
  <si>
    <t>Volume</t>
  </si>
  <si>
    <t>Nome popular</t>
  </si>
  <si>
    <t>Nome científico</t>
  </si>
  <si>
    <t>Cópia Código</t>
  </si>
  <si>
    <t>Cópia Nome popular</t>
  </si>
  <si>
    <t>Cópia Nome científico</t>
  </si>
  <si>
    <t>Barreiro, branquinho e laranjeira-do-mato, Guamirim, laranjeira-brava, laranjeira-do-mato, Limoeiro, pau-rainha , Canela-de-veado, feicassé, laranjeira-brava</t>
  </si>
  <si>
    <t>Actinostemon concolor</t>
  </si>
  <si>
    <t>Não avaliada.</t>
  </si>
  <si>
    <t>Apuruí, Arapuruí</t>
  </si>
  <si>
    <t>Alibertia edulis</t>
  </si>
  <si>
    <t>Angelim-do-cerrado</t>
  </si>
  <si>
    <t>Andira cujabensis</t>
  </si>
  <si>
    <t>Coco-de-palmeira</t>
  </si>
  <si>
    <t>Attalea speciosa</t>
  </si>
  <si>
    <t>Babaçu</t>
  </si>
  <si>
    <t>Bauhinia variegata</t>
  </si>
  <si>
    <t>Barriguda</t>
  </si>
  <si>
    <t>Chorisia glaziovii</t>
  </si>
  <si>
    <t>Paineira-branca</t>
  </si>
  <si>
    <t>Paineira-de-espinho</t>
  </si>
  <si>
    <t>Pau-ferro</t>
  </si>
  <si>
    <t>Connarus suberosus</t>
  </si>
  <si>
    <t>Bugre-branco</t>
  </si>
  <si>
    <t>Coussarea hydrangeifolia</t>
  </si>
  <si>
    <t>Café-do-mato</t>
  </si>
  <si>
    <t>Falsa-quina</t>
  </si>
  <si>
    <t>Louveira</t>
  </si>
  <si>
    <t>Cyclolobium vecchii</t>
  </si>
  <si>
    <t>Cabriutinga</t>
  </si>
  <si>
    <t>Cipó-violeta</t>
  </si>
  <si>
    <t>Dalbergia frutescens</t>
  </si>
  <si>
    <t>Pau-de-fuso</t>
  </si>
  <si>
    <t>Sebastião-de-arruda</t>
  </si>
  <si>
    <t>Jacarandá-rosa</t>
  </si>
  <si>
    <t>Pau-rosa</t>
  </si>
  <si>
    <t>Pau-de-estribo</t>
  </si>
  <si>
    <t>Rabo-de-bugio</t>
  </si>
  <si>
    <t>Cega-machado</t>
  </si>
  <si>
    <t>Sebastião-arruda</t>
  </si>
  <si>
    <t>Grão-de-porco</t>
  </si>
  <si>
    <t>Dalbergia frutescens tometosa</t>
  </si>
  <si>
    <t>Maria-mole</t>
  </si>
  <si>
    <t>Dendropanax cuneatum</t>
  </si>
  <si>
    <t>Mandiocão</t>
  </si>
  <si>
    <t>Didymopanax calvum</t>
  </si>
  <si>
    <t>Didymopanax macrocarpum</t>
  </si>
  <si>
    <t>Olho-de-boi</t>
  </si>
  <si>
    <t>Diospyros brasiliensis</t>
  </si>
  <si>
    <t>Endêmica</t>
  </si>
  <si>
    <t>Caqui-do-mato</t>
  </si>
  <si>
    <t>Fruta-de-boi</t>
  </si>
  <si>
    <t>Marmelada-brava</t>
  </si>
  <si>
    <t>Diospyros burchellii</t>
  </si>
  <si>
    <t>Caquizeiro-do-cerrado</t>
  </si>
  <si>
    <t>Sobro</t>
  </si>
  <si>
    <t>Timbari</t>
  </si>
  <si>
    <t>Enterolobium contortisiliquum</t>
  </si>
  <si>
    <t>Timbuíba</t>
  </si>
  <si>
    <t>Timburim</t>
  </si>
  <si>
    <t>Tamboril-da-mata</t>
  </si>
  <si>
    <t>Tamboril-pardo</t>
  </si>
  <si>
    <t>Tamboril</t>
  </si>
  <si>
    <t>Eucalipto</t>
  </si>
  <si>
    <t>Eucalyptus camaldulensis</t>
  </si>
  <si>
    <t>Eucalyptus grandis</t>
  </si>
  <si>
    <t>Cafezinho</t>
  </si>
  <si>
    <t>Faramea cyanea</t>
  </si>
  <si>
    <t>Gameleira</t>
  </si>
  <si>
    <t>Ficus adhatodaefolia</t>
  </si>
  <si>
    <t>Árvore-da-borracha</t>
  </si>
  <si>
    <t>Ficus elastica</t>
  </si>
  <si>
    <t>Árvore-da-goma-elástica</t>
  </si>
  <si>
    <t>Ficus insipida</t>
  </si>
  <si>
    <t>Seringueira</t>
  </si>
  <si>
    <t>Hevea brasiliensis</t>
  </si>
  <si>
    <t>---</t>
  </si>
  <si>
    <t>Hieronyma alchorneoides</t>
  </si>
  <si>
    <t>Amendoim</t>
  </si>
  <si>
    <t>Hymenolobium heringerianum</t>
  </si>
  <si>
    <t>Angelim</t>
  </si>
  <si>
    <t>Araribe</t>
  </si>
  <si>
    <t>Ixora warmingii</t>
  </si>
  <si>
    <t>Ixora-do-mato</t>
  </si>
  <si>
    <t>Jacarandá-mimoso</t>
  </si>
  <si>
    <t>Jacaranda mimosifolia</t>
  </si>
  <si>
    <t>Jacarandá</t>
  </si>
  <si>
    <t>mogno africano</t>
  </si>
  <si>
    <t>Khaya ivorensis</t>
  </si>
  <si>
    <t>Leucena</t>
  </si>
  <si>
    <t>Leucaena leucocephala</t>
  </si>
  <si>
    <t>Wild-tamarind</t>
  </si>
  <si>
    <t>Ajuru</t>
  </si>
  <si>
    <t>Licania apetala</t>
  </si>
  <si>
    <t>Machaerium aculeatum</t>
  </si>
  <si>
    <t>Maytenus floribunda</t>
  </si>
  <si>
    <t>Menos preocupante.</t>
  </si>
  <si>
    <t>Guamirim-cascudo</t>
  </si>
  <si>
    <t>Myrcia arborescens</t>
  </si>
  <si>
    <t>Guamirim-ferro</t>
  </si>
  <si>
    <t>Guamirim</t>
  </si>
  <si>
    <t>Guamirim-de-folha-fina</t>
  </si>
  <si>
    <t>Myrcia splendens</t>
  </si>
  <si>
    <t>Óleo-vermelho</t>
  </si>
  <si>
    <t>Myroxylon balsamum</t>
  </si>
  <si>
    <t>Pau-vermelho</t>
  </si>
  <si>
    <t>Canjiquinha</t>
  </si>
  <si>
    <t>Myrsine gardneriana</t>
  </si>
  <si>
    <t>Canela-ferrugem</t>
  </si>
  <si>
    <t>Nectandra oppositifolia</t>
  </si>
  <si>
    <t>Chapéu-de-couro</t>
  </si>
  <si>
    <t>Palicourea rigida</t>
  </si>
  <si>
    <t>Bate-caixa</t>
  </si>
  <si>
    <t>Camboatã</t>
  </si>
  <si>
    <t>Picramnia camboita</t>
  </si>
  <si>
    <t>Canjica</t>
  </si>
  <si>
    <t>Rhamnus sphaerosperma</t>
  </si>
  <si>
    <t>burra-leiteira, janaguba, seringarana</t>
  </si>
  <si>
    <t>Sapium glandulosum</t>
  </si>
  <si>
    <t>Mandiocão-docerrado</t>
  </si>
  <si>
    <t>Schefflera macrocarpa</t>
  </si>
  <si>
    <t>Carvoeiro-do-cerrado</t>
  </si>
  <si>
    <t>Sclerolobium paniculatum</t>
  </si>
  <si>
    <t>Taxi-branco</t>
  </si>
  <si>
    <t>Carvoeiro</t>
  </si>
  <si>
    <t>Pau-bosta</t>
  </si>
  <si>
    <t>Sebastiania brasiliensis</t>
  </si>
  <si>
    <t>Rebenta-laço</t>
  </si>
  <si>
    <t>Sebastiania membranifolia</t>
  </si>
  <si>
    <t>Muquém</t>
  </si>
  <si>
    <t>Sabibeira</t>
  </si>
  <si>
    <t>Durão</t>
  </si>
  <si>
    <t>Sarandi</t>
  </si>
  <si>
    <t>Sardinheira</t>
  </si>
  <si>
    <t>Creri</t>
  </si>
  <si>
    <t>Carne-de-vaca</t>
  </si>
  <si>
    <t>Styrax latifolium</t>
  </si>
  <si>
    <t>Mangue</t>
  </si>
  <si>
    <t>Pau-tinta</t>
  </si>
  <si>
    <t>Canela-poca</t>
  </si>
  <si>
    <t>Teca</t>
  </si>
  <si>
    <t>Tectona grandis</t>
  </si>
  <si>
    <t>Terminalia argentea</t>
  </si>
  <si>
    <t>Quaresma</t>
  </si>
  <si>
    <t>Tibouchina candolleana</t>
  </si>
  <si>
    <t>Quaresmeira</t>
  </si>
  <si>
    <t>Flor-de-quaresma</t>
  </si>
  <si>
    <t>Quaresmeira-da-serra</t>
  </si>
  <si>
    <t>Jenipapo</t>
  </si>
  <si>
    <t>Tocoyena formosa</t>
  </si>
  <si>
    <t>genipapo-bravo</t>
  </si>
  <si>
    <t>Embira</t>
  </si>
  <si>
    <t>Unonopsis guatterioides</t>
  </si>
  <si>
    <t>Embira-surucucu</t>
  </si>
  <si>
    <t>Embira-surucucu-da-várzea</t>
  </si>
  <si>
    <t>Ata-do-igapó</t>
  </si>
  <si>
    <t>--</t>
  </si>
  <si>
    <t>Vernonanthura polyanthes</t>
  </si>
  <si>
    <t>Naranjinho</t>
  </si>
  <si>
    <t>Zanthoxylum narangillo</t>
  </si>
  <si>
    <t>Mamica-de-cadela-de-folha-comprida</t>
  </si>
  <si>
    <t>Lindackeria paludosa</t>
  </si>
  <si>
    <t>Carpotroche brasiliensis</t>
  </si>
  <si>
    <t>Cabo de Lança</t>
  </si>
  <si>
    <t>Achatocarpus praecox</t>
  </si>
  <si>
    <t>Schinopsis balansae</t>
  </si>
  <si>
    <t>Em perigo.</t>
  </si>
  <si>
    <t>cajá, cajazeira</t>
  </si>
  <si>
    <t>Spondias venulosa</t>
  </si>
  <si>
    <t>cajá-redondo, cajazeiro, cajá-mirim</t>
  </si>
  <si>
    <t>Spondias macrocarpa</t>
  </si>
  <si>
    <t>aderne, gibatan, guaritá, ubatan</t>
  </si>
  <si>
    <t>Astronium graveolens</t>
  </si>
  <si>
    <t>baraúna, braúna</t>
  </si>
  <si>
    <t>Schinopsis brasiliensis</t>
  </si>
  <si>
    <t>Protegida</t>
  </si>
  <si>
    <t>Anacardium humile</t>
  </si>
  <si>
    <t>canjera, cedro-brabo</t>
  </si>
  <si>
    <t>Cyrtocarpa caatingae</t>
  </si>
  <si>
    <t>acajaiba, caju, caju-anão, cajueiro,</t>
  </si>
  <si>
    <t>Anacardium occidentale</t>
  </si>
  <si>
    <t>amapara, manga-brava, mututura, tutuzuba-da-várzea</t>
  </si>
  <si>
    <t>Thyrsodium spruceanum</t>
  </si>
  <si>
    <t>Astronium nelson-rosae</t>
  </si>
  <si>
    <t>aroeira-negra</t>
  </si>
  <si>
    <t>Schinus terebinthifolia var. pohliana</t>
  </si>
  <si>
    <t>aroeira-da-praia, aroeira-de-remédio, aroeira-mansa, aroeira-vermelha</t>
  </si>
  <si>
    <t>Schinus terebinthifolia</t>
  </si>
  <si>
    <t>aroeira-de-brejo, aroeira-da-praia</t>
  </si>
  <si>
    <t>Schinus terebinthifolia var. raddiana</t>
  </si>
  <si>
    <t>aroeira-do-campo, carobá</t>
  </si>
  <si>
    <t>Schinus lentiscifolia</t>
  </si>
  <si>
    <t>aroeira-do-Paraná, aroeira-mansa, aroeira-vermelha,</t>
  </si>
  <si>
    <t>Schinus terebinthifolia var. acutifolia</t>
  </si>
  <si>
    <t>aroeira-mole, paraíba</t>
  </si>
  <si>
    <t>Apterokarpos gardneri</t>
  </si>
  <si>
    <t>aroeira-rajada, guarubu-violeta, itapicuru-ferreiro, mucuri</t>
  </si>
  <si>
    <t>Astronium concinnum</t>
  </si>
  <si>
    <t>arueira, muiracatiara</t>
  </si>
  <si>
    <t>Astronium lecointei</t>
  </si>
  <si>
    <t>cajá, cajá-mirim, cajara, cajazeira, cajazinho, taperebá</t>
  </si>
  <si>
    <t>Spondias mombin</t>
  </si>
  <si>
    <t>cajuaçu, caju-açu, caju-da-mata, cajuí</t>
  </si>
  <si>
    <t>Anacardium giganteum</t>
  </si>
  <si>
    <t>camboatá, cupuba, pau-pombo, peito-de-pomba</t>
  </si>
  <si>
    <t>Tapirira guianensis</t>
  </si>
  <si>
    <t>imbuzeiro, tapereba, umbu, caja-do-sertão, umbuzeiro, imbu-verdadeiro, imbura-de-cambão, imbuzeiro</t>
  </si>
  <si>
    <t>Spondias tuberosa</t>
  </si>
  <si>
    <t>pau-pombo, peito-de-pomba</t>
  </si>
  <si>
    <t>Tapirira obtusa</t>
  </si>
  <si>
    <t>Mangifera indica</t>
  </si>
  <si>
    <t>Lithraea molleoides</t>
  </si>
  <si>
    <t>Aroeira, Urindeuva, Aroeira-do-sertão, Aroeira-do-cerrado, Pandeiro, Almecega, Urundeuva</t>
  </si>
  <si>
    <t>Astronium urundeuva</t>
  </si>
  <si>
    <t>Astronium fraxinifolium</t>
  </si>
  <si>
    <t>Araticum, Ata, Araticú, Biribá do mato, Pinha do mato</t>
  </si>
  <si>
    <t>Annona dolabripetala</t>
  </si>
  <si>
    <t>Araticum, Piíba</t>
  </si>
  <si>
    <t>Annona salzmannii</t>
  </si>
  <si>
    <t>Ba de macaco, Ba do mato, Pau de zinga, Pindaíba do mato</t>
  </si>
  <si>
    <t>Porcelia macrocarpa</t>
  </si>
  <si>
    <t>Canguanta</t>
  </si>
  <si>
    <t>Guatteria latifolia</t>
  </si>
  <si>
    <t>Casca de barata, Embira, Erva doce, Guamirim, Pimenta, Pindaíba, Pindaíba vermelha, Pindauva, Pindauvú</t>
  </si>
  <si>
    <t>Xylopia brasiliensis</t>
  </si>
  <si>
    <t>Coração, Pindaíba</t>
  </si>
  <si>
    <t>Xylopia ochrantha</t>
  </si>
  <si>
    <t>Guiné, Guiné Caboclo</t>
  </si>
  <si>
    <t>Annona acutiflora</t>
  </si>
  <si>
    <t>Pindauva</t>
  </si>
  <si>
    <t>Xylopia langsdorffiana</t>
  </si>
  <si>
    <t>Guatteria oligocarpa</t>
  </si>
  <si>
    <t>Alathê, Araticum, Araticum barato do campo, Araticum do campo, Araticum lato, Araticum lanceta, Araticum rasteiro, Araticum vermelho, Araticumzinho, Araxicumzinho, Ata, Ata brava, Ata do campo, Aticum, Bruto, Marolinho, Marolo, Moroua, Orelha de burro, Pinha braba, Pinha brava, Pinha do campo</t>
  </si>
  <si>
    <t>Duguetia furfuracea</t>
  </si>
  <si>
    <t>Araticum, Marolinho</t>
  </si>
  <si>
    <t>Annona coriacea</t>
  </si>
  <si>
    <t>Ata rasteira, Marolo</t>
  </si>
  <si>
    <t>Annona dioica</t>
  </si>
  <si>
    <t>Atinha, imbiú-mineiro</t>
  </si>
  <si>
    <t>Oxandra reticulata</t>
  </si>
  <si>
    <t>Xylopia aromatica</t>
  </si>
  <si>
    <t>Capreuva vermelho, Pindabu, Pindahiba, Pindaíba, Pindaíba branca, Pindaibu, Pindaúba, Pindaúva</t>
  </si>
  <si>
    <t>Duguetia lanceolata</t>
  </si>
  <si>
    <t>Envira da mata, Pirayauara kiynha, Rudirimo xurumici</t>
  </si>
  <si>
    <t>Cymbopetalum brasiliense</t>
  </si>
  <si>
    <t>Annona sericea</t>
  </si>
  <si>
    <t>Annona cacans</t>
  </si>
  <si>
    <t>Annona glabra</t>
  </si>
  <si>
    <t>Guatteria sellowiana</t>
  </si>
  <si>
    <t>Guatteria australis</t>
  </si>
  <si>
    <t>Annona monticola</t>
  </si>
  <si>
    <t>Acanga, Araticum, Araticum do Mata, Tapahuacanga</t>
  </si>
  <si>
    <t>Annona crassiflora</t>
  </si>
  <si>
    <t>Affenbeeren, Alchexú, Araticú, Araticú do mata, Araticum, Araticum grande, Baninha, Biribá, Cortiça, Cortiça de comer, Embira vermelha, Pinha</t>
  </si>
  <si>
    <t>Annona sylvatica</t>
  </si>
  <si>
    <t>Ameijú, Ameipi, Ameju, Ameju de touceira, Ata braba, Atameju, Envira amarela, Envira preta, Envira surucucu, Envireira, Pindaeua</t>
  </si>
  <si>
    <t>Duguetia echinophora</t>
  </si>
  <si>
    <t>Ameju preto, Caniceiro preto, Pi`y</t>
  </si>
  <si>
    <t>Duguetia flagellaris</t>
  </si>
  <si>
    <t>Araticum, Articum, Biribá, Cundurú, Envira biribá, Meijoí</t>
  </si>
  <si>
    <t>Duguetia marcgraviana</t>
  </si>
  <si>
    <t>Araticum, Ata, Biribá, Envira, Envira ata, Envira cheirosa, Envira menjuba, Envira preta, Envira preta de lasca, Envira surucucu da preta, Envireira, Espinta, Latoure</t>
  </si>
  <si>
    <t>Fusaea longifolia</t>
  </si>
  <si>
    <t>graviola-brava, fruta-de-condessa, fruta-de-conde, condessa, biribá, araticum</t>
  </si>
  <si>
    <t>Annona mucosa</t>
  </si>
  <si>
    <t>Araxiku-ran, Graveóla, Graviola, Jaca de Pobre</t>
  </si>
  <si>
    <t>Annona muricata</t>
  </si>
  <si>
    <t>Araxiku`y, Jaca de pobre</t>
  </si>
  <si>
    <t>Annona montana</t>
  </si>
  <si>
    <t>Ata meju, Envira, Envira preta, Envira surucucu, Envireira, Envireira preta, Gabiroba, Invira surucucu, Invireiro surucucu, Morteira</t>
  </si>
  <si>
    <t>Bocageopsis multiflora</t>
  </si>
  <si>
    <t>Chapéu de sol, Embira, Embira vermelha, Pau de embira, Pimenta, Pimenta de macaco, Pimenta dos negros, Pimenteira, Pindaíba, Pindaíba branca, Pindaíba preta, Semente de embira, Tucaneiro</t>
  </si>
  <si>
    <t>Xylopia sericea</t>
  </si>
  <si>
    <t>Embira, Embiriba, Embiribinha, Envira, Envirira, Pindaíba de folha miúda, Pindaíba preta, Sementes de imbira</t>
  </si>
  <si>
    <t>Xylopia frutescens</t>
  </si>
  <si>
    <t>Envira cajú, Envira casca rocha, Envira preta</t>
  </si>
  <si>
    <t>Onychopetalum amazonicum</t>
  </si>
  <si>
    <t>Envira chichi, Envira folha fina, Pindaíba, Pindaíba preta</t>
  </si>
  <si>
    <t>Xylopia emarginata</t>
  </si>
  <si>
    <t>Envira jodo, Envira-taía</t>
  </si>
  <si>
    <t>Annona ambotay</t>
  </si>
  <si>
    <t>Envira, Mejo de porco de cerrado</t>
  </si>
  <si>
    <t>Bocageopsis mattogrossensis</t>
  </si>
  <si>
    <t>Pindaíba, Pindaíba branca, Pindaíba preta, Araticum, Ariticum, Ata do igapó, Atinha, Cundurú, Envira, Envira  da várzea, Envira do caiso, Envira do igapó, Envira preta, Envira preta do igapó, Envira surucucu, Envira surucucu da várzea, Invira, Mejo de porco, Mutambi, Muxiba</t>
  </si>
  <si>
    <t>Tupã-wyra</t>
  </si>
  <si>
    <t>Xylopia nitida</t>
  </si>
  <si>
    <t>Annona hypoglauca</t>
  </si>
  <si>
    <t>Annona foetida</t>
  </si>
  <si>
    <t>Annona paludosa</t>
  </si>
  <si>
    <t>Cardiopetalum calophyllum</t>
  </si>
  <si>
    <t>Annona neosalicifolia</t>
  </si>
  <si>
    <t>Annona crotonifolia</t>
  </si>
  <si>
    <t>Xylopia polyantha</t>
  </si>
  <si>
    <t>Annona spinescens</t>
  </si>
  <si>
    <t>Quase ameçada.</t>
  </si>
  <si>
    <t>Banana de papagaio</t>
  </si>
  <si>
    <t>Himatanthus bracteatus</t>
  </si>
  <si>
    <t>Casca D`Anta, jasmim-grado, leiteiro</t>
  </si>
  <si>
    <t>Rauvolfia sellowii</t>
  </si>
  <si>
    <t>catingueira, peroba-vermelha</t>
  </si>
  <si>
    <t>Aspidosperma dispermum</t>
  </si>
  <si>
    <t>Aspidosperma verbascifolium</t>
  </si>
  <si>
    <t>Aspidosperma formosanum</t>
  </si>
  <si>
    <t>Aspidosperma pyricollum</t>
  </si>
  <si>
    <t>Lacmellea pauciflora</t>
  </si>
  <si>
    <t>Aspidosperma illustre</t>
  </si>
  <si>
    <t>Aspidosperma compactinervium</t>
  </si>
  <si>
    <t>Aspidosperma parvifolium</t>
  </si>
  <si>
    <t>Aspidosperma camporum</t>
  </si>
  <si>
    <t>aracanga, cuririú, bico de arara</t>
  </si>
  <si>
    <t>Aspidosperma nobile</t>
  </si>
  <si>
    <t>araracanga, quina da mata</t>
  </si>
  <si>
    <t>Aspidosperma desmanthum</t>
  </si>
  <si>
    <t>guatambú do cerrado, pereiro do campo</t>
  </si>
  <si>
    <t>Aspidosperma tomentosum</t>
  </si>
  <si>
    <t>pereiro</t>
  </si>
  <si>
    <t>Aspidosperma macrocarpon</t>
  </si>
  <si>
    <t>Aspidosperma australe</t>
  </si>
  <si>
    <t>Aspidosperma ramiflorum</t>
  </si>
  <si>
    <t>Aspidosperma cylindrocarpon</t>
  </si>
  <si>
    <t>Malouetia cestroides</t>
  </si>
  <si>
    <t>carapaúba amarela, carapaúba do baixio</t>
  </si>
  <si>
    <t>Aspidosperma rigidum</t>
  </si>
  <si>
    <t>Aspidosperma oblongum</t>
  </si>
  <si>
    <t>carapaúba, carapaúba preta</t>
  </si>
  <si>
    <t>Aspidosperma carapanauba</t>
  </si>
  <si>
    <t>guatambuzinho</t>
  </si>
  <si>
    <t>Aspidosperma cuspa</t>
  </si>
  <si>
    <t>Jaguba, Sucuuba</t>
  </si>
  <si>
    <t>Himatanthus articulatus</t>
  </si>
  <si>
    <t>mangaba</t>
  </si>
  <si>
    <t>Hancornia speciosa</t>
  </si>
  <si>
    <t>mucugê</t>
  </si>
  <si>
    <t>Couma rigida</t>
  </si>
  <si>
    <t>Pau de Leite, Tibor do Cerrado</t>
  </si>
  <si>
    <t>Himatanthus obovatus</t>
  </si>
  <si>
    <t>pau-pereira</t>
  </si>
  <si>
    <t>Geissospermum laeve</t>
  </si>
  <si>
    <t>Aspidosperma pyrifolium</t>
  </si>
  <si>
    <t>piquiá marfim do roxo</t>
  </si>
  <si>
    <t>Aspidosperma obscurinervium</t>
  </si>
  <si>
    <t>Pitiá</t>
  </si>
  <si>
    <t>Aspidosperma multiflorum</t>
  </si>
  <si>
    <t>quebracho-branco</t>
  </si>
  <si>
    <t>Aspidosperma quebracho-blanco</t>
  </si>
  <si>
    <t>quina, cabo de machado, pau pereiro</t>
  </si>
  <si>
    <t>Aspidosperma discolor</t>
  </si>
  <si>
    <t>sorva</t>
  </si>
  <si>
    <t>Couma macrocarpa</t>
  </si>
  <si>
    <t>sorva da mata, sorvão</t>
  </si>
  <si>
    <t>Couma guianensis</t>
  </si>
  <si>
    <t>Aspidosperma melanocalyx</t>
  </si>
  <si>
    <t>Tabernaemontana laeta</t>
  </si>
  <si>
    <t>Tabernaemontana hystrix</t>
  </si>
  <si>
    <t>Aspidosperma duckei</t>
  </si>
  <si>
    <t>Lacmellea arborescens</t>
  </si>
  <si>
    <t>Malouetia tamaquarina</t>
  </si>
  <si>
    <t>Thevetia peruviana</t>
  </si>
  <si>
    <t>Aspidosperma subincanum</t>
  </si>
  <si>
    <t>Lacmellea aculeata</t>
  </si>
  <si>
    <t>Macoubea guianensis</t>
  </si>
  <si>
    <t>Tabernaemontana catharinensis</t>
  </si>
  <si>
    <t>Nerium oleander</t>
  </si>
  <si>
    <t>Aspidosperma triternatum</t>
  </si>
  <si>
    <t>peroba-rosa</t>
  </si>
  <si>
    <t>Aspidosperma polyneuron</t>
  </si>
  <si>
    <t>Mange da Serra</t>
  </si>
  <si>
    <t>Ilex integerrima</t>
  </si>
  <si>
    <t>Ilex grandis</t>
  </si>
  <si>
    <t>Ilex microdonta</t>
  </si>
  <si>
    <t>erva-mate, mate</t>
  </si>
  <si>
    <t>Ilex paraguariensis</t>
  </si>
  <si>
    <t xml:space="preserve">caúna, orelha-de-mico </t>
  </si>
  <si>
    <t>Ilex brevicuspis</t>
  </si>
  <si>
    <t>caúna, mate, erva-mate</t>
  </si>
  <si>
    <t>Ilex dumosa</t>
  </si>
  <si>
    <t>congonha</t>
  </si>
  <si>
    <t>Ilex theezans</t>
  </si>
  <si>
    <t>Ilex conocarpa</t>
  </si>
  <si>
    <t>Ilex pseudobuxus</t>
  </si>
  <si>
    <t>Ilex cerasifolia</t>
  </si>
  <si>
    <t>Ilex affinis</t>
  </si>
  <si>
    <t>Didymopanax morototoni</t>
  </si>
  <si>
    <t>aricuri, aricuriroba</t>
  </si>
  <si>
    <t>Syagrus schizophylla</t>
  </si>
  <si>
    <t>Ariri, Ariri-açu, Coco-ariri, Brejaúba, Brejaúva, Iri</t>
  </si>
  <si>
    <t>Astrocaryum aculeatissimum</t>
  </si>
  <si>
    <t>coco-amargoso, peririma</t>
  </si>
  <si>
    <t>Syagrus pseudococos</t>
  </si>
  <si>
    <t>Palha-branca, buri</t>
  </si>
  <si>
    <t>Allagoptera caudescens</t>
  </si>
  <si>
    <t>pati, patioba</t>
  </si>
  <si>
    <t>Syagrus botryophora</t>
  </si>
  <si>
    <t>Attalea exigua</t>
  </si>
  <si>
    <t>geriva, jarobá, jeriva</t>
  </si>
  <si>
    <t>Syagrus romanzoffiana</t>
  </si>
  <si>
    <t>Euterpe longibracteata</t>
  </si>
  <si>
    <t>Euterpe oleracea</t>
  </si>
  <si>
    <t>acumã</t>
  </si>
  <si>
    <t>Syagrus flexuosa</t>
  </si>
  <si>
    <t>Bacaba</t>
  </si>
  <si>
    <t>Oenocarpus distichus</t>
  </si>
  <si>
    <t>Mauritia flexuosa</t>
  </si>
  <si>
    <t>Caraná, Caranã, Buritira, Buriti-mirim</t>
  </si>
  <si>
    <t>Mauritiella armata</t>
  </si>
  <si>
    <t>Carandá</t>
  </si>
  <si>
    <t>Copernicia alba</t>
  </si>
  <si>
    <t>Carúba</t>
  </si>
  <si>
    <t>Copernicia prunifera</t>
  </si>
  <si>
    <t>catolé</t>
  </si>
  <si>
    <t>Syagrus comosa</t>
  </si>
  <si>
    <t>Coco-verde, Coqueiro, Coco-da-bahia, Coqueiro-da-praia</t>
  </si>
  <si>
    <t>Cocos nucifera</t>
  </si>
  <si>
    <t>dendê</t>
  </si>
  <si>
    <t>Elaeis guineensis</t>
  </si>
  <si>
    <t>guariroba, gueiroba</t>
  </si>
  <si>
    <t>Syagrus oleracea</t>
  </si>
  <si>
    <t>Macaúba, Mucajá, Coco-babão</t>
  </si>
  <si>
    <t>Acrocomia aculeata</t>
  </si>
  <si>
    <t>marajá</t>
  </si>
  <si>
    <t>Bactris brongniartii</t>
  </si>
  <si>
    <t>murmuru, murumuru</t>
  </si>
  <si>
    <t>Astrocaryum murumuru</t>
  </si>
  <si>
    <t>Paxiúba, Paxiúba-barriguda, Paxiubão, Palmeira-barriguda</t>
  </si>
  <si>
    <t>Iriartea deltoidea</t>
  </si>
  <si>
    <t>tucum</t>
  </si>
  <si>
    <t>Bactris setosa</t>
  </si>
  <si>
    <t>tucumã</t>
  </si>
  <si>
    <t>Astrocaryum aculeatum</t>
  </si>
  <si>
    <t>Tucumã, Tucum-bravo, Tucum-piranga, Tucumã-do-pará</t>
  </si>
  <si>
    <t>Astrocaryum vulgare</t>
  </si>
  <si>
    <t>Syagrus coronata</t>
  </si>
  <si>
    <t>Astrocaryum tucuma</t>
  </si>
  <si>
    <t>Coco-azedinho, Coco-cabeçudo</t>
  </si>
  <si>
    <t>Butia capitata</t>
  </si>
  <si>
    <t>Vulnerável.</t>
  </si>
  <si>
    <t>Içara, Palmito-doce, Palmito-juçara, Juçara, Ensarova, Ripeira</t>
  </si>
  <si>
    <t>Euterpe edulis</t>
  </si>
  <si>
    <t>Wunderlichia crulsiana</t>
  </si>
  <si>
    <t>Canela-podre, Maria-mole, Cambará-do-campo, Vassourão</t>
  </si>
  <si>
    <t>Piptocarpha axillaris</t>
  </si>
  <si>
    <t>Eremanthus glomerulatus</t>
  </si>
  <si>
    <t>Lychnophora salicifolia</t>
  </si>
  <si>
    <t>Dasyphyllum spinescens</t>
  </si>
  <si>
    <t>Piptocarpha regnellii</t>
  </si>
  <si>
    <t>Candeia, Infalível, Para-tudo</t>
  </si>
  <si>
    <t>Piptocarpha rotundifolia</t>
  </si>
  <si>
    <t>Piptocarpha macropoda</t>
  </si>
  <si>
    <t>Mangero, Eupatório, Mangero brava, Mata-campo</t>
  </si>
  <si>
    <t>Kaunia rufescens</t>
  </si>
  <si>
    <t>papel higiênico do cerradorra Dourada</t>
  </si>
  <si>
    <t>Wunderlichia mirabilis</t>
  </si>
  <si>
    <t>Vassourãozinho, Vassourão-preto</t>
  </si>
  <si>
    <t>Piptocarpha angustifolia</t>
  </si>
  <si>
    <t>Eremanthus incanus</t>
  </si>
  <si>
    <t>Baccharis retusa</t>
  </si>
  <si>
    <t>Eremanthus erythropappus</t>
  </si>
  <si>
    <t>Moquiniastrum oligocephalum</t>
  </si>
  <si>
    <t>Moquiniastrum polymorphum</t>
  </si>
  <si>
    <t>Vernonanthura discolor</t>
  </si>
  <si>
    <t>Baccharis dracunculifolia</t>
  </si>
  <si>
    <t>Stifftia parviflora</t>
  </si>
  <si>
    <t>caixeta, pau de tamanco, tabebuya, tagibibuia</t>
  </si>
  <si>
    <t>Tabebuia cassinoides</t>
  </si>
  <si>
    <t>peroba, peroba amarella, peroba manchada, peroba tremida, ipe peroba</t>
  </si>
  <si>
    <t>Paratecoma peroba</t>
  </si>
  <si>
    <t>Ipê</t>
  </si>
  <si>
    <t>Handroanthus riodocensis</t>
  </si>
  <si>
    <t>cascudo, ipê-cascudo, sete-cascas, ipê-amarelo</t>
  </si>
  <si>
    <t>Handroanthus spongiosus</t>
  </si>
  <si>
    <t>caroba, caroba do mato</t>
  </si>
  <si>
    <t>Jacaranda micrantha</t>
  </si>
  <si>
    <t>bolsa de pastor, mandioquinha do campo</t>
  </si>
  <si>
    <t>Zeyheria montana</t>
  </si>
  <si>
    <t>carabobinho, caroba</t>
  </si>
  <si>
    <t>Jacaranda macrantha</t>
  </si>
  <si>
    <t>caroba, carobinha</t>
  </si>
  <si>
    <t>Jacaranda puberula</t>
  </si>
  <si>
    <t>árvore-de-cuia, cabaceira, calabasa, huingo, pati, pilche, pilchimate, sacha huingo</t>
  </si>
  <si>
    <t>Crescentia cujete</t>
  </si>
  <si>
    <t>caroba, caroba muuda</t>
  </si>
  <si>
    <t>Jacaranda caroba</t>
  </si>
  <si>
    <t>caroba, castello do cavallo</t>
  </si>
  <si>
    <t>Jacaranda brasiliana</t>
  </si>
  <si>
    <t>Jacaranda cuspidifolia</t>
  </si>
  <si>
    <t>caroba-de-flor-verde, caroba-do-campo, carobinha verde, cinco chagas, espeguilla (Quillabamba area), fava-de-aranha, ipê-de-flor-verde, ipê-mandioca, ipê-mirim, ipê pardo, ipê-verde.</t>
  </si>
  <si>
    <t>Cybistax antisyphilitica</t>
  </si>
  <si>
    <t>carobinha</t>
  </si>
  <si>
    <t>Jacaranda obovata</t>
  </si>
  <si>
    <t>carobo, carobo miuda</t>
  </si>
  <si>
    <t>Jacaranda jasminoides</t>
  </si>
  <si>
    <t>Jacaranda copaia</t>
  </si>
  <si>
    <t>Jacaranda glabra</t>
  </si>
  <si>
    <t>Sparattosperma leucanthum</t>
  </si>
  <si>
    <t>Tecoma stans</t>
  </si>
  <si>
    <t>Spathodea campanulata</t>
  </si>
  <si>
    <t>caraiba, cinco folhas do campo, ipe, ipe-amarelo, pao d`arco, paratudo</t>
  </si>
  <si>
    <t>Tabebuia aurea</t>
  </si>
  <si>
    <t>ipê-branco</t>
  </si>
  <si>
    <t>Tabebuia roseoalba</t>
  </si>
  <si>
    <t>Tabebuia elliptica</t>
  </si>
  <si>
    <t>Ipê-do-cerrado, Piúva-cascuda, Piúva-cabeluda, Ipê-amarelo, Ipê-cascudo, Ipê-do-campo, Ipê-pardo, Tarumã</t>
  </si>
  <si>
    <t>Handroanthus ochraceus</t>
  </si>
  <si>
    <t>Ipê-roxo-de-bolo, Ipê-roxo, Pau-d`arco-roxo, Ipê-roxo-de-bola, Ipê-uma, Ipê-preto, Pau-cachorro, Ipê-de-minas, Ipê-roxo-grande, Piúna, Piúna-roxa, Piuva-da-mata, Piuva-da-folha-larga, Piuva-roxa, Piuva-preta</t>
  </si>
  <si>
    <t>Handroanthus impetiginosus</t>
  </si>
  <si>
    <t>Ipê-amarelo, Pau-d`arco-amarelo</t>
  </si>
  <si>
    <t>Handroanthus serratifolius</t>
  </si>
  <si>
    <t>Tabebuia insignis</t>
  </si>
  <si>
    <t>Ipê-dourado, Ipê-amarelo-cascudo, Ipê-do-morro, Ipê, Ipê-amarelo, Aipé, Ipê-tabaco, Ipê-amarelo-paulista, Pau-d`arco-amarelo</t>
  </si>
  <si>
    <t>Handroanthus chrysotrichus</t>
  </si>
  <si>
    <t>Ipe, Ipe-roxo, Ipe-roxo-de-sete-folhas, Ipe-preto, Ipe-rosa, Pau-d`arco-roxo, Piúva, Piúva-do-pantanal, Piúva-do-campo, Piúva-roxa, Peúva</t>
  </si>
  <si>
    <t>Handroanthus heptaphyllus</t>
  </si>
  <si>
    <t xml:space="preserve">Ipê-rosa </t>
  </si>
  <si>
    <t>Tabebuia rosea</t>
  </si>
  <si>
    <t>Ipê-amarelo</t>
  </si>
  <si>
    <t>Handroanthus albus</t>
  </si>
  <si>
    <t>Tabebuia obtusifolia</t>
  </si>
  <si>
    <t>Handroanthus selachidentatus</t>
  </si>
  <si>
    <t>Tabebuia nodosa</t>
  </si>
  <si>
    <t>buxo de boi, culhoes de bode, ipe branco</t>
  </si>
  <si>
    <t>Zeyheria tuberculosa</t>
  </si>
  <si>
    <t>Bixa arborea</t>
  </si>
  <si>
    <t>urucum, colorau</t>
  </si>
  <si>
    <t>Bixa orellana</t>
  </si>
  <si>
    <t>buxuxi de formiga, ovo de galo, pau de formiga</t>
  </si>
  <si>
    <t>Cordia nodosa</t>
  </si>
  <si>
    <t>cha de bugre</t>
  </si>
  <si>
    <t>Cordia ecalyculata</t>
  </si>
  <si>
    <t>freijó branco</t>
  </si>
  <si>
    <t>Cordia sellowiana</t>
  </si>
  <si>
    <t>freijó, freijó preto</t>
  </si>
  <si>
    <t>Cordia alliodora</t>
  </si>
  <si>
    <t>frei-jorge</t>
  </si>
  <si>
    <t>Cordia goeldiana</t>
  </si>
  <si>
    <t>Cordia exaltata</t>
  </si>
  <si>
    <t>Cordia incognita</t>
  </si>
  <si>
    <t>Cordia superba</t>
  </si>
  <si>
    <t>Cordia sagotii</t>
  </si>
  <si>
    <t>Cordia scabrifolia</t>
  </si>
  <si>
    <t>Cordia tetrandra</t>
  </si>
  <si>
    <t>Cordia bicolor</t>
  </si>
  <si>
    <t>Cordia glabrata</t>
  </si>
  <si>
    <t>Cordia trichotoma</t>
  </si>
  <si>
    <t>Cordia insignis</t>
  </si>
  <si>
    <t>Protium bahianum</t>
  </si>
  <si>
    <t>Protium widgrenii</t>
  </si>
  <si>
    <t>breu</t>
  </si>
  <si>
    <t>Protium amazonicum</t>
  </si>
  <si>
    <t>Protium hebetatum</t>
  </si>
  <si>
    <t>Protium unifoliolatum</t>
  </si>
  <si>
    <t>breu andirobinha</t>
  </si>
  <si>
    <t>Protium apiculatum</t>
  </si>
  <si>
    <t>breu, kandei`y tuwyr</t>
  </si>
  <si>
    <t>Protium spruceanum</t>
  </si>
  <si>
    <t>Protium warmingianum</t>
  </si>
  <si>
    <t>Protium brasiliense</t>
  </si>
  <si>
    <t>Protium macrophyllum</t>
  </si>
  <si>
    <t>Protium tenuifolium</t>
  </si>
  <si>
    <t>Protium icicariba</t>
  </si>
  <si>
    <t>Protium paniculatum</t>
  </si>
  <si>
    <t>Protium trifoliolatum</t>
  </si>
  <si>
    <t>Protium altissimum</t>
  </si>
  <si>
    <t>Protium opacum</t>
  </si>
  <si>
    <t>Protium robustum</t>
  </si>
  <si>
    <t>Protium sagotianum</t>
  </si>
  <si>
    <t>Commiphora leptophloeos</t>
  </si>
  <si>
    <t>Protium heptaphyllum</t>
  </si>
  <si>
    <t>Pilosocereus azulensis</t>
  </si>
  <si>
    <t>Criticamente em perigo.</t>
  </si>
  <si>
    <t>Facheiroa cephaliomelana</t>
  </si>
  <si>
    <t>Pilosocereus albisummus</t>
  </si>
  <si>
    <t>Pereskia grandifolia</t>
  </si>
  <si>
    <t>Pereskia violacea</t>
  </si>
  <si>
    <t>Caxacubri, Mandacaru-de-laço do Brasil</t>
  </si>
  <si>
    <t>Pilosocereus tuberculatus</t>
  </si>
  <si>
    <t>Facheiro, Facheiro-azul, Mandacaru-de-facho do Brasil</t>
  </si>
  <si>
    <t>Pilosocereus pachycladus</t>
  </si>
  <si>
    <t>Mandacaru, Mandacaru-de-boi, Mandacaru-facheiro, Mandacaru-de-faixo, Cardeiro, Jamacaru, Jamaracurú, Jumucurú, Jumarucú, Cumbeba, Urumbeba do Brasil</t>
  </si>
  <si>
    <t>Cereus jamacaru</t>
  </si>
  <si>
    <t>Coleocephalocereus goebelianus</t>
  </si>
  <si>
    <t>Pilosocereus densiareolatus</t>
  </si>
  <si>
    <t>Pilosocereus flavipulvinatus</t>
  </si>
  <si>
    <t>Pilosocereus catingicola</t>
  </si>
  <si>
    <t>Cereus saddianus</t>
  </si>
  <si>
    <t>Pilosocereus flexibilispinus</t>
  </si>
  <si>
    <t>Cereus hildmannianus</t>
  </si>
  <si>
    <t>Pilosocereus glaucochrous</t>
  </si>
  <si>
    <t>Leiteira</t>
  </si>
  <si>
    <t>Kielmeyera occhioniana</t>
  </si>
  <si>
    <t>Folha-santa, Malva-do-campo</t>
  </si>
  <si>
    <t>Kielmeyera speciosa</t>
  </si>
  <si>
    <t>Kielmeyera petiolaris</t>
  </si>
  <si>
    <t>Kielmeyera marauensis</t>
  </si>
  <si>
    <t>Kielmeyera albopunctata</t>
  </si>
  <si>
    <t>Breu, Rosa-do-campo</t>
  </si>
  <si>
    <t>Kielmeyera rubriflora</t>
  </si>
  <si>
    <t>Calophyllum brasiliense</t>
  </si>
  <si>
    <t>Pau-santo</t>
  </si>
  <si>
    <t>Kielmeyera lathrophyton</t>
  </si>
  <si>
    <t>Kielmeyera coriacea</t>
  </si>
  <si>
    <t>Caraipa densifolia</t>
  </si>
  <si>
    <t>pau-amargo, paratudo, pau-para-tudo, pimenteira</t>
  </si>
  <si>
    <t>Cinnamodendron dinisii</t>
  </si>
  <si>
    <t>candiúba, crindiúva</t>
  </si>
  <si>
    <t>Trema micrantha</t>
  </si>
  <si>
    <t>Celtis iguanaea</t>
  </si>
  <si>
    <t>Celtis brasiliensis</t>
  </si>
  <si>
    <t>capança, fruto de macaco, catauré, trapiá</t>
  </si>
  <si>
    <t>Crateva tapia</t>
  </si>
  <si>
    <t>Carne-de-vaca, Perobossu</t>
  </si>
  <si>
    <t>Citronella paniculata</t>
  </si>
  <si>
    <t>Congonha, Congonha-de-bugre, Congonha-do-sertão, Congonha-falsa, Erva-de-anta, Falso-mate, Inhanê, Yapon</t>
  </si>
  <si>
    <t>Citronella gongonha</t>
  </si>
  <si>
    <t>jaracatiá</t>
  </si>
  <si>
    <t>Jacaratia spinosa</t>
  </si>
  <si>
    <t>mamão, papaya</t>
  </si>
  <si>
    <t>Carica papaya</t>
  </si>
  <si>
    <t>Jacaratia heptaphylla</t>
  </si>
  <si>
    <t>pequi, Piquizeiro, piqui</t>
  </si>
  <si>
    <t>Caryocar brasiliense</t>
  </si>
  <si>
    <t>Imune</t>
  </si>
  <si>
    <t>Pequi branco</t>
  </si>
  <si>
    <t>Caryocar coriaceum</t>
  </si>
  <si>
    <t>Piqui</t>
  </si>
  <si>
    <t>Caryocar edule</t>
  </si>
  <si>
    <t>Piquia-ra, Piquia-ra de Varzea</t>
  </si>
  <si>
    <t>Caryocar microcarpum</t>
  </si>
  <si>
    <t>Piquizeiro</t>
  </si>
  <si>
    <t>Caryocar cuneatum</t>
  </si>
  <si>
    <t>Caryocar amygdaliferum</t>
  </si>
  <si>
    <t>cancã-queixo, tapoteira</t>
  </si>
  <si>
    <t>Salacia arborea</t>
  </si>
  <si>
    <t>Salacia crassifolia</t>
  </si>
  <si>
    <t>Salacia elliptica</t>
  </si>
  <si>
    <t>Cheiloclinium cognatum</t>
  </si>
  <si>
    <t>bom-nome, cabelo-de-nego, pau-de-colher</t>
  </si>
  <si>
    <t>Monteverdia rigida</t>
  </si>
  <si>
    <t>Marmeleiro, mangabara</t>
  </si>
  <si>
    <t>Plenckia populnea</t>
  </si>
  <si>
    <t>pau-vidro, pau-branco</t>
  </si>
  <si>
    <t>Fraunhofera multiflora</t>
  </si>
  <si>
    <t>Maytenus boaria</t>
  </si>
  <si>
    <t>Hedyosmum brasiliense</t>
  </si>
  <si>
    <t>oiti boi, milho torrado da folha larga</t>
  </si>
  <si>
    <t>Couepia schottii</t>
  </si>
  <si>
    <t>Hirtella insignis</t>
  </si>
  <si>
    <t>Licania belemii</t>
  </si>
  <si>
    <t>Parinari brasiliensis</t>
  </si>
  <si>
    <t>oiti, oiti da areia, oiti tivo, fruto de coruja</t>
  </si>
  <si>
    <t>Couepia ovalifolia</t>
  </si>
  <si>
    <t>Oiti, Oitizeiro, Oiti-coró</t>
  </si>
  <si>
    <t>Licania salzmannii</t>
  </si>
  <si>
    <t>oiti-coro, oiti-verdadeiro</t>
  </si>
  <si>
    <t>Couepia rufa</t>
  </si>
  <si>
    <t>Licania tomentosa</t>
  </si>
  <si>
    <t>Hirtella bahiensis</t>
  </si>
  <si>
    <t>Licania spicata</t>
  </si>
  <si>
    <t>Licania gardneri</t>
  </si>
  <si>
    <t>Hirtella racemosa</t>
  </si>
  <si>
    <t>caripé vermelho</t>
  </si>
  <si>
    <t>Licania sclerophylla</t>
  </si>
  <si>
    <t>caripé-preto, caripé, uchi-de-cotia</t>
  </si>
  <si>
    <t>Licania longistyla</t>
  </si>
  <si>
    <t>cinzeiro, pau-de-lixa</t>
  </si>
  <si>
    <t>Hirtella hebeclada</t>
  </si>
  <si>
    <t>fruta da ema, oiti, utira, farinha seca</t>
  </si>
  <si>
    <t>Couepia grandiflora</t>
  </si>
  <si>
    <t>Guajiru, Ajurú-branco</t>
  </si>
  <si>
    <t>Chrysobalanus icaco</t>
  </si>
  <si>
    <t>macucu chiador</t>
  </si>
  <si>
    <t>Licania canescens</t>
  </si>
  <si>
    <t>marmelito-do-campo</t>
  </si>
  <si>
    <t>Licania humilis</t>
  </si>
  <si>
    <t>pajurazinho, caraipe, pajura, oiti, uchira, umarira</t>
  </si>
  <si>
    <t>Couepia paraensis</t>
  </si>
  <si>
    <t>pateiro, acici, assissi, marmelada, oiti, oiti, uiti</t>
  </si>
  <si>
    <t>Couepia uiti</t>
  </si>
  <si>
    <t>pintadinha, macucú-farinha-seca</t>
  </si>
  <si>
    <t>Licania micrantha</t>
  </si>
  <si>
    <t>Uchira</t>
  </si>
  <si>
    <t>Parinari excelsa</t>
  </si>
  <si>
    <t>Hirtella martiana</t>
  </si>
  <si>
    <t>Exellodendron cordatum</t>
  </si>
  <si>
    <t>Licania nitida</t>
  </si>
  <si>
    <t>Licania littoralis</t>
  </si>
  <si>
    <t>Moquilea tomentosa</t>
  </si>
  <si>
    <t>Licania hypoleuca</t>
  </si>
  <si>
    <t>Licania octandra</t>
  </si>
  <si>
    <t>Hirtella piresii</t>
  </si>
  <si>
    <t>Licania caudata</t>
  </si>
  <si>
    <t>Licania parviflora</t>
  </si>
  <si>
    <t>Hirtella ciliata</t>
  </si>
  <si>
    <t>Licania blackii</t>
  </si>
  <si>
    <t>Hirtella eriandra</t>
  </si>
  <si>
    <t>Licania egleri</t>
  </si>
  <si>
    <t>Hirtella glandulosa</t>
  </si>
  <si>
    <t>Hirtella gracilipes</t>
  </si>
  <si>
    <t>Hirtella bicornis</t>
  </si>
  <si>
    <t>Hirtella triandra</t>
  </si>
  <si>
    <t>Licania hoehnei</t>
  </si>
  <si>
    <t>Licania kunthiana</t>
  </si>
  <si>
    <t>Hirtella sprucei</t>
  </si>
  <si>
    <t>milho torrado</t>
  </si>
  <si>
    <t>Couepia belemii</t>
  </si>
  <si>
    <t>Carne-de-vaca brasileira, Caujuja brasileira</t>
  </si>
  <si>
    <t>Clethra scabra</t>
  </si>
  <si>
    <t>Clusia hilariana</t>
  </si>
  <si>
    <t>Clusia fluminensis</t>
  </si>
  <si>
    <t>Tovomitopsis paniculata</t>
  </si>
  <si>
    <t>Clusia criuva</t>
  </si>
  <si>
    <t>Ani, aní, Guandi</t>
  </si>
  <si>
    <t>Symphonia globulifera</t>
  </si>
  <si>
    <t>Apuí, Ceboleira, Manga-brava, Mangue-branco, Mucugê-bravo, Orelha-de-burro</t>
  </si>
  <si>
    <t>Clusia nemorosa</t>
  </si>
  <si>
    <t>apuizinha, gameleira</t>
  </si>
  <si>
    <t>Clusia panapanari</t>
  </si>
  <si>
    <t>bacupari</t>
  </si>
  <si>
    <t>Garcinia gardneriana</t>
  </si>
  <si>
    <t>Platonia insignis</t>
  </si>
  <si>
    <t>Clusia rosea</t>
  </si>
  <si>
    <t>Mammea americana</t>
  </si>
  <si>
    <t>Tovomita choisyana</t>
  </si>
  <si>
    <t>capitão, mirindiba, capitão-da-mata</t>
  </si>
  <si>
    <t>Terminalia phaeocarpa</t>
  </si>
  <si>
    <t>Buchenavia hoehneana</t>
  </si>
  <si>
    <t>amendoeira-da-India, guarda-sol, amendoeira-da-praia, sombreiro, chapéu-de-sol, castanhola, castanha da praia, castanhola</t>
  </si>
  <si>
    <t>Terminalia catappa</t>
  </si>
  <si>
    <t>capitão-do-campo, cambiú, camaçari, pau-carvão, maçambê, pau-de-chapada, chapada, mussambé, caatinga-de-porco, pau-de-rato, piú, Cambiú, Camaçari, Pau-de-chapada, Chapada Mussambé, Caatinga-de-porco, Pau-de-rato</t>
  </si>
  <si>
    <t>Terminalia fagifolia</t>
  </si>
  <si>
    <t>capitãozinho, amarelinho, sarandi, dedal</t>
  </si>
  <si>
    <t>Terminalia triflora</t>
  </si>
  <si>
    <t>Carne de vaca, Vaqueta, Mofumboíba, Mufumo, Pente de macaco</t>
  </si>
  <si>
    <t>Combretum leprosum</t>
  </si>
  <si>
    <t>cinzeiro, quira</t>
  </si>
  <si>
    <t>Terminalia lucida</t>
  </si>
  <si>
    <t>mange-mariso, falso-mangue, mangue-preto, mangue-vermelho, tinteiro, mangue-do-brejo, mangue, mangue-amarelo, mangue-branco, mangue-de-sapateiro, mangue-manso</t>
  </si>
  <si>
    <t>Laguncularia racemosa</t>
  </si>
  <si>
    <t>mangue-de-botão, mangue-negro, amora-do-mar</t>
  </si>
  <si>
    <t>Conocarpus erectus</t>
  </si>
  <si>
    <t>maria-preta, garrote, pau-sangue, merindiba, erne-amarelo, Cerne-amarelo, Garrote, Pau-sangue</t>
  </si>
  <si>
    <t>Terminalia glabrescens</t>
  </si>
  <si>
    <t>tanebuco, cuiara, pebanheira, tanimbuca, migol, piá-banheira, mirindiba, merindiba, pau-pilão, imbuzeiro, miringiba, cambry, tarumara, biriba tarumã, piá-banheira, tanimbuca mirindiba, imbú-do-sertão</t>
  </si>
  <si>
    <t>Buchenavia tomentosa</t>
  </si>
  <si>
    <t>tanimbuca, mirindiba, cuia-ra, xurim</t>
  </si>
  <si>
    <t>Buchenavia grandis</t>
  </si>
  <si>
    <t>tanimbuca-amarela, Tocantins, Catinga de porca, Chapada, Chapada-lisa, Camaçari, Mussambé</t>
  </si>
  <si>
    <t>Terminalia actinophylla</t>
  </si>
  <si>
    <t>Buchenavia macrophylla</t>
  </si>
  <si>
    <t>Combretum duarteanum</t>
  </si>
  <si>
    <t>Buchenavia oxycarpa</t>
  </si>
  <si>
    <t>Terminalia dichotoma</t>
  </si>
  <si>
    <t>mameluco, pelada</t>
  </si>
  <si>
    <t>Terminalia mameluco</t>
  </si>
  <si>
    <t>Chapeudinha, Pau de porco,</t>
  </si>
  <si>
    <t>Rourea induta</t>
  </si>
  <si>
    <t>Connarus detersus</t>
  </si>
  <si>
    <t>Bernardinia fluminensis</t>
  </si>
  <si>
    <t>Lamanonia brasiliensis</t>
  </si>
  <si>
    <t>gramimunha-miuda</t>
  </si>
  <si>
    <t>Weinmannia humilis</t>
  </si>
  <si>
    <t>gramimunha-de-duas-cores</t>
  </si>
  <si>
    <t>Weinmannia discolor</t>
  </si>
  <si>
    <t>Lamanonia cuneata</t>
  </si>
  <si>
    <t>Lamanonia speciosa</t>
  </si>
  <si>
    <t>Lamanonia ternata</t>
  </si>
  <si>
    <t>Stephanopodium blanchetianum</t>
  </si>
  <si>
    <t>Tapura guianensis</t>
  </si>
  <si>
    <t>Tapura amazonica</t>
  </si>
  <si>
    <t>Lixeira, Lixa, Cajueiro-bravo, Caimbé, Cajueiro-bravo-do-campo, Pentieira, Sambaíba, Cajueiro-do-mato, Cambarba, Marajoara</t>
  </si>
  <si>
    <t>Curatella americana</t>
  </si>
  <si>
    <t>Davilla grandiflora</t>
  </si>
  <si>
    <t>fruta de jacú, marmelinho,</t>
  </si>
  <si>
    <t>Diospyros inconstans</t>
  </si>
  <si>
    <t>Marmelada-brava, Caquizeiro-do-cerrado, Sobro</t>
  </si>
  <si>
    <t>Diospyros lasiocalyx</t>
  </si>
  <si>
    <t>Cabuclo, macaqueira</t>
  </si>
  <si>
    <t>Diospyros sericea</t>
  </si>
  <si>
    <t>Diospyros kaki</t>
  </si>
  <si>
    <t>Sloanea obtusifolia</t>
  </si>
  <si>
    <t>Sloanea hirsuta</t>
  </si>
  <si>
    <t>urucura, urucura brava</t>
  </si>
  <si>
    <t>Sloanea garckeana</t>
  </si>
  <si>
    <t>urucura</t>
  </si>
  <si>
    <t>Sloanea guianensis</t>
  </si>
  <si>
    <t>Sloanea lasiocoma</t>
  </si>
  <si>
    <t>Sloanea robusta</t>
  </si>
  <si>
    <t>Sloanea floribunda</t>
  </si>
  <si>
    <t>Agarista revoluta</t>
  </si>
  <si>
    <t>arco-de-pipa, pau-chorão</t>
  </si>
  <si>
    <t>Erythroxylum pulchrum</t>
  </si>
  <si>
    <t>baga-de-pomba, cocão, concon, fruta-de-pomba</t>
  </si>
  <si>
    <t>Erythroxylum cuspidifolium</t>
  </si>
  <si>
    <t>fruta-de-pombo, fruta-de-pombinha</t>
  </si>
  <si>
    <t>Erythroxylum columbinum</t>
  </si>
  <si>
    <t>Erythroxylum hamigerum</t>
  </si>
  <si>
    <t>Erythroxylum nitidum</t>
  </si>
  <si>
    <t>baga-de-pomba, fruta-de-pomba, fruta-de-pombo, coca-de-índio, concon, cocão</t>
  </si>
  <si>
    <t>Erythroxylum myrsinites</t>
  </si>
  <si>
    <t>sessenta-e-um, gumirim, guaribalde, vaquinha, cocãoná, fruta-de-pomba, Paraná</t>
  </si>
  <si>
    <t>Erythroxylum pelleterianum</t>
  </si>
  <si>
    <t>arranca-estribo, candeia, estralador, rompe-gibão</t>
  </si>
  <si>
    <t>Erythroxylum pungens</t>
  </si>
  <si>
    <t>ata-de-cobra, arco-de-barril, joveve, marmeleiro-bravoná, baga-de-pomba, cocão, galinha-choca, guajujura, fruta-de-pomba, concon</t>
  </si>
  <si>
    <t>Erythroxylum deciduum</t>
  </si>
  <si>
    <t>baga-de-pomba, fruta-de-pomba, cocão, concon, coca-del-monte</t>
  </si>
  <si>
    <t>Erythroxylum cuneifolium</t>
  </si>
  <si>
    <t>chapadinho, fruta-de-tucano, mercúrio, pimenta,</t>
  </si>
  <si>
    <t>Erythroxylum daphnites</t>
  </si>
  <si>
    <t>Erythroxylum citrifolium</t>
  </si>
  <si>
    <t>galinha-chocaná, mercúrio-do-campo, sessenta-e-dois, azougue-do-campo, cabelo-de-negro</t>
  </si>
  <si>
    <t>Erythroxylum suberosum</t>
  </si>
  <si>
    <t>imbuzeiro-bravoíba, rompe-gibão</t>
  </si>
  <si>
    <t>Erythroxylum caatingae</t>
  </si>
  <si>
    <t>Erythroxylum polygonoides</t>
  </si>
  <si>
    <t>Erythroxylum amazonicum</t>
  </si>
  <si>
    <t>Erythroxylum tortuosum</t>
  </si>
  <si>
    <t>almécega vermelha, sangue de negro</t>
  </si>
  <si>
    <t>Pausandra morisiana</t>
  </si>
  <si>
    <t>cambraia, sangue-de-drago</t>
  </si>
  <si>
    <t>Croton salutaris</t>
  </si>
  <si>
    <t>Caxim, Canxim, Coaxim</t>
  </si>
  <si>
    <t>Ophthalmoblapton crassipes</t>
  </si>
  <si>
    <t>marmeleiro, necora, pau-de-sangue</t>
  </si>
  <si>
    <t>Croton celtidifolius</t>
  </si>
  <si>
    <t>Manihot glaziovii</t>
  </si>
  <si>
    <t>Croton echinocarpus</t>
  </si>
  <si>
    <t>Croton hemiargyreus</t>
  </si>
  <si>
    <t>Cutieira, Boleira</t>
  </si>
  <si>
    <t>Joannesia princeps</t>
  </si>
  <si>
    <t>Tetrorchidium rubrivenium</t>
  </si>
  <si>
    <t>arara-seringa, arraeira, breu branco, cavaqueiro de piranha, urucura</t>
  </si>
  <si>
    <t>Conceveiba guianensis</t>
  </si>
  <si>
    <t>Aparisthmium cordatum</t>
  </si>
  <si>
    <t>canudo-de-pito, canudeiro</t>
  </si>
  <si>
    <t>Mabea fistulifera</t>
  </si>
  <si>
    <t>casca-doce, iricura, lava-prato, pau-folheiro, tapiá, taipia-de-folhas-redondas, tapia-branca, canela-raposa, tanheiro, tanheiro-de-folha-redonda, boleironá</t>
  </si>
  <si>
    <t>Alchornea glandulosa subsp. iricurana</t>
  </si>
  <si>
    <t>Micrandra spruceana</t>
  </si>
  <si>
    <t>favela-de-cachorro</t>
  </si>
  <si>
    <t>Cnidoscolus quercifolius</t>
  </si>
  <si>
    <t>marassacaca, sacaca</t>
  </si>
  <si>
    <t>Croton cajucara</t>
  </si>
  <si>
    <t>Marmeleiro, Marmeleiro-da-caatinga</t>
  </si>
  <si>
    <t>Croton blanchetianus</t>
  </si>
  <si>
    <t>Croton urucurana</t>
  </si>
  <si>
    <t>pião branco, pinhão branco</t>
  </si>
  <si>
    <t>Jatropha curcas</t>
  </si>
  <si>
    <t>pinhão</t>
  </si>
  <si>
    <t>Jatropha mollissima</t>
  </si>
  <si>
    <t>seringaí</t>
  </si>
  <si>
    <t>Mabea paniculata</t>
  </si>
  <si>
    <t>seringara, leiteiro-branco, mamoninha</t>
  </si>
  <si>
    <t>Micrandra elata</t>
  </si>
  <si>
    <t>supiara, taquari</t>
  </si>
  <si>
    <t>Alchornea discolor</t>
  </si>
  <si>
    <t>tamanqueiro, tanheiro, ubicura, urmura, tamanqueiro, tanheiro, urucura, tapiá-guatuná, tapiá</t>
  </si>
  <si>
    <t>Alchornea sidifolia</t>
  </si>
  <si>
    <t>tapiá, tapiá-guaçu, tinteiro, tapiá, tapiá-mirim, tapiá-guaçu, boleiro, caixeta, tapiá, tapiá-guaçu, tapiá-mirim, tapiá, guaçatunga, amorãoná, tamanqueiro, pau-de-tamanco, pau-de-tanho, tapiá, tanheiro</t>
  </si>
  <si>
    <t>Alchornea triplinervia</t>
  </si>
  <si>
    <t>Sapium sceleratum</t>
  </si>
  <si>
    <t>Croton subacutus</t>
  </si>
  <si>
    <t>Cnidoscolus bahianus</t>
  </si>
  <si>
    <t>Omphalea brasiliensis</t>
  </si>
  <si>
    <t>Sapium obovatum</t>
  </si>
  <si>
    <t>Manihot caerulescens</t>
  </si>
  <si>
    <t>Mabea pohliana</t>
  </si>
  <si>
    <t>Alchornea glandulosa</t>
  </si>
  <si>
    <t>Maprounea guianensis</t>
  </si>
  <si>
    <t>Pachystroma longifolium</t>
  </si>
  <si>
    <t>Sapium haematospermum</t>
  </si>
  <si>
    <t>Croton floribundus</t>
  </si>
  <si>
    <t>Cnidoscolus pubescens</t>
  </si>
  <si>
    <t>Dimorphandra wilsonii</t>
  </si>
  <si>
    <t>Amargoso, Angelim-amargoso, Araroba, Pau-amargoso</t>
  </si>
  <si>
    <t>Vataireopsis araroba</t>
  </si>
  <si>
    <t>Vatairea heteroptera</t>
  </si>
  <si>
    <t>Arapati</t>
  </si>
  <si>
    <t>Arapatiella psilophylla</t>
  </si>
  <si>
    <t>Arruda-vermelha</t>
  </si>
  <si>
    <t>Swartzia euxylophora</t>
  </si>
  <si>
    <t>bracaatinga</t>
  </si>
  <si>
    <t>Mimosa scabrella</t>
  </si>
  <si>
    <t>Braú-preta, Faveca</t>
  </si>
  <si>
    <t>Moldenhawera blanchetiana</t>
  </si>
  <si>
    <t>embira-de-carrapato, pau-carrapato</t>
  </si>
  <si>
    <t>Deguelia costata</t>
  </si>
  <si>
    <t>Faveca, Guaraçaí</t>
  </si>
  <si>
    <t>Moldenhawera floribunda</t>
  </si>
  <si>
    <t>Guarabu, Guarabu roxo, Roxinho</t>
  </si>
  <si>
    <t>Peltogyne angustiflora</t>
  </si>
  <si>
    <t>Jacarandá-do-cerrado, Caviú-do-cerrado, Jacarandá-do-campo</t>
  </si>
  <si>
    <t>Dalbergia miscolobium</t>
  </si>
  <si>
    <t>Jacarandá-preto</t>
  </si>
  <si>
    <t>Machaerium nigrum</t>
  </si>
  <si>
    <t>Jacarandá-preto, Jacarandá-rosa</t>
  </si>
  <si>
    <t>Machaerium incorruptibile</t>
  </si>
  <si>
    <t>Jacarandá-tan</t>
  </si>
  <si>
    <t>Machaerium fulvovenosum</t>
  </si>
  <si>
    <t>Jatobá piloso, Jatobá verdadeiro</t>
  </si>
  <si>
    <t>Hymenaea aurea</t>
  </si>
  <si>
    <t>Jatobá, Tamarindo</t>
  </si>
  <si>
    <t>Hymenaea rubriflora</t>
  </si>
  <si>
    <t>Leptolobium tenuifolium</t>
  </si>
  <si>
    <t>murta, osso-de-burro</t>
  </si>
  <si>
    <t>Acosmium lentiscifolium</t>
  </si>
  <si>
    <t>pau-de-espinho, quebra-foice</t>
  </si>
  <si>
    <t>Mimosa laticifera</t>
  </si>
  <si>
    <t>Pau-dói, Podói</t>
  </si>
  <si>
    <t>Copaifera luetzelburgii</t>
  </si>
  <si>
    <t>Peroba-candeia</t>
  </si>
  <si>
    <t>Grazielodendron rio-docensis</t>
  </si>
  <si>
    <t>suinã, crista-de-galo</t>
  </si>
  <si>
    <t>Dahlstedtia pinnata</t>
  </si>
  <si>
    <t>Andira cordata</t>
  </si>
  <si>
    <t>Copaifera elliptica</t>
  </si>
  <si>
    <t>Abarema filamentosa</t>
  </si>
  <si>
    <t>Inga hispida</t>
  </si>
  <si>
    <t>Swartzia flaemingii</t>
  </si>
  <si>
    <t>Diplotropis incexis</t>
  </si>
  <si>
    <t>Andira nitida</t>
  </si>
  <si>
    <t>Hymenolobium alagoanum</t>
  </si>
  <si>
    <t>Dimorphandra jorgei</t>
  </si>
  <si>
    <t>Cassia leptophylla</t>
  </si>
  <si>
    <t>Macrolobium latifolium</t>
  </si>
  <si>
    <t>Ormosia nitida</t>
  </si>
  <si>
    <t>Chamaecrista aspleniifolia</t>
  </si>
  <si>
    <t>Inga subnuda</t>
  </si>
  <si>
    <t>Andira legalis</t>
  </si>
  <si>
    <t>Andira ormosioides</t>
  </si>
  <si>
    <t>Swartzia oblata</t>
  </si>
  <si>
    <t>Parapiptadenia pterosperma</t>
  </si>
  <si>
    <t>Copaifera lucens</t>
  </si>
  <si>
    <t>Poecilanthe falcata</t>
  </si>
  <si>
    <t>Exostyles venusta</t>
  </si>
  <si>
    <t>Deguelia hatschbachii</t>
  </si>
  <si>
    <t>Dimorphandra exaltata</t>
  </si>
  <si>
    <t>Pseudopiptadenia leptostachya</t>
  </si>
  <si>
    <t>Swartzia langsdorffii</t>
  </si>
  <si>
    <t>Angá</t>
  </si>
  <si>
    <t>Tachigali rugosa</t>
  </si>
  <si>
    <t>angelim rajado, angelim pintado, urubuzeiro</t>
  </si>
  <si>
    <t>Zygia racemosa</t>
  </si>
  <si>
    <t>Barbatimão, Barba-de-timão, Casca-da-virgindade, Faveira, Barbatimão-Branco</t>
  </si>
  <si>
    <t>Stryphnodendron adstringens</t>
  </si>
  <si>
    <t>Barbatimão, Bordão-de-velho</t>
  </si>
  <si>
    <t>Abarema cochliacarpos</t>
  </si>
  <si>
    <t>cabreúva, sapuvão</t>
  </si>
  <si>
    <t>Myrocarpus frondosus</t>
  </si>
  <si>
    <t>Inga laurina</t>
  </si>
  <si>
    <t>Jacarandá-bico-de-pato, Tapa-tripa</t>
  </si>
  <si>
    <t>Machaerium nyctitans</t>
  </si>
  <si>
    <t>Jacarandá-branco, Sapuvão</t>
  </si>
  <si>
    <t>Machaerium paraguariense</t>
  </si>
  <si>
    <t>Jacarandá-do-campo, Jacarandá-do-cerradão, Jacarandá-pardo, Jacarandá-preto</t>
  </si>
  <si>
    <t>Machaerium villosum</t>
  </si>
  <si>
    <t>jatobá</t>
  </si>
  <si>
    <t>Hymenaea courbaril</t>
  </si>
  <si>
    <t>madeira-nova, vilão</t>
  </si>
  <si>
    <t>Pterogyne nitens</t>
  </si>
  <si>
    <t>Quebra machado, Jatobá roxo, Guarabu roxo</t>
  </si>
  <si>
    <t>Peltogyne confertiflora</t>
  </si>
  <si>
    <t>unha-de-gato, sabiá</t>
  </si>
  <si>
    <t>Mimosa caesalpiniifolia</t>
  </si>
  <si>
    <t>Plathymenia reticulata</t>
  </si>
  <si>
    <t>Andira vermifuga</t>
  </si>
  <si>
    <t>Albizia niopoides</t>
  </si>
  <si>
    <t>Centrolobium tomentosum</t>
  </si>
  <si>
    <t>Centrolobium sclerophyllum</t>
  </si>
  <si>
    <t>Hymenaea martiana</t>
  </si>
  <si>
    <t>Swartzia acutifolia</t>
  </si>
  <si>
    <t>Myroxylon peruiferum</t>
  </si>
  <si>
    <t>Pau-jacaré, Pau De Toicinho, Angico, Angico-branco, Camboeteiro, Camoeteiro E Serreiro, Caniveteiro, Monjolo, Casco-de-jacaré, Icarapé, Jacaré, Jacarezeiro, Monjoleiro</t>
  </si>
  <si>
    <t>Piptadenia gonoacantha</t>
  </si>
  <si>
    <t>Zollernia glabra</t>
  </si>
  <si>
    <t>Swartzia simplex</t>
  </si>
  <si>
    <t>Acapura , Acapura de terra firme, Tento, Tento Miúdo</t>
  </si>
  <si>
    <t>Batesia floribunda</t>
  </si>
  <si>
    <t>Alecrim,| Alecrim-de-campis,</t>
  </si>
  <si>
    <t>Holocalyx balansae</t>
  </si>
  <si>
    <t>Amargo, Amargoso, Pau-roxo, Sucupira-amargosa, Sucupira-preta</t>
  </si>
  <si>
    <t>Vatairea macrocarpa</t>
  </si>
  <si>
    <t>Amargosa, Andiroba-amargosa, Angelim-amargoso</t>
  </si>
  <si>
    <t>Vatairea fusca</t>
  </si>
  <si>
    <t>amargozinho, perobinha</t>
  </si>
  <si>
    <t>Leptolobium dasycarpum</t>
  </si>
  <si>
    <t>Angelim, Angelim pedra</t>
  </si>
  <si>
    <t>Hymenolobium nitidum</t>
  </si>
  <si>
    <t>Angelim-da-folha-miúda, Pau-de-chapada, Pau-mocó, Pau-pedra</t>
  </si>
  <si>
    <t>Luetzelburgia auriculata</t>
  </si>
  <si>
    <t>Vatairea guianensis</t>
  </si>
  <si>
    <t>Faveira-de-chorão, Faveirao Angelim-rajado, Angelim-saia, Angelim-saião, Visgueiro, Faveira-bolota, Visgueiro, Arara-tucupi</t>
  </si>
  <si>
    <t>Parkia pendula</t>
  </si>
  <si>
    <t>Angiquinho, Espinheira-santa</t>
  </si>
  <si>
    <t>Machaerium eriocarpum</t>
  </si>
  <si>
    <t>Arabá-preto-Brasil</t>
  </si>
  <si>
    <t>Swartzia reticulata</t>
  </si>
  <si>
    <t>Arapiraca, Jurema-branca</t>
  </si>
  <si>
    <t>Chloroleucon dumosum</t>
  </si>
  <si>
    <t>Arranha-gato, Esporão</t>
  </si>
  <si>
    <t>Machaerium amplum</t>
  </si>
  <si>
    <t>Baginha ou Baguinha, Baginha-de-São-João, Paricá, Fava, Timbaúba, Timbó-da-mata, Timbora, Paricara, Camuzé, Favinha, Paricá, Muanza, Munzê, Juera, Juera-branca, Barbatimão, Tamba-em-pé, Taimbapé, Tambaipé, Tamanqueira, Cobi, Caubi</t>
  </si>
  <si>
    <t>Stryphnodendron pulcherrimum</t>
  </si>
  <si>
    <t>bandarra, pinho-cuiabano, paricá, paricá-grande</t>
  </si>
  <si>
    <t>Schizolobium parahyba amazonicum</t>
  </si>
  <si>
    <t>Luetzelburgia andrade-limae</t>
  </si>
  <si>
    <t>Barbatimão-da-folha-miúda</t>
  </si>
  <si>
    <t>Stryphnodendron rotundifolium</t>
  </si>
  <si>
    <t>Corticeira-da-serra, Bico de Pato, Boco de Papaguaio, Ceibo, Corticeira, Suinã</t>
  </si>
  <si>
    <t>Erythrina falcata</t>
  </si>
  <si>
    <t>burdão de velho</t>
  </si>
  <si>
    <t>Samanea saman</t>
  </si>
  <si>
    <t>Cacuricabra, Sapucaia</t>
  </si>
  <si>
    <t>Copaifera coriacea</t>
  </si>
  <si>
    <t>cafistula-verdadeira, chuva-de-ouro, cássia-imperial</t>
  </si>
  <si>
    <t>Cassia fistula</t>
  </si>
  <si>
    <t>calumbimi-árido</t>
  </si>
  <si>
    <t>Senegalia bahiensis</t>
  </si>
  <si>
    <t>Candeia-do-sertão, Jacarandá-caviú, Pau-ferro, Uruvaeiro</t>
  </si>
  <si>
    <t>Machaerium scleroxylon</t>
  </si>
  <si>
    <t>Luetzelburgia bahiensis</t>
  </si>
  <si>
    <t>catureíba, óleo pardo</t>
  </si>
  <si>
    <t>Myrocarpus fastigiatus</t>
  </si>
  <si>
    <t>cedrora</t>
  </si>
  <si>
    <t>Cedrelinga cateniformis</t>
  </si>
  <si>
    <t>Cina-Cina, Supresta, Turco, Espinho-de-turco, Espinho-de-jerusalém, Rosa-da-turquia</t>
  </si>
  <si>
    <t>Parkinsonia aculeata</t>
  </si>
  <si>
    <t>Copaíba, Copaíba-angelim, Copaíba-branca, Copaíba-rósea</t>
  </si>
  <si>
    <t>Copaifera multijuga</t>
  </si>
  <si>
    <t>Copaíba, Copaíba-branca</t>
  </si>
  <si>
    <t>Copaifera reticulata</t>
  </si>
  <si>
    <t>Copaifera langsdorffii</t>
  </si>
  <si>
    <t>Copaíba, Podói</t>
  </si>
  <si>
    <t>Copaifera duckei</t>
  </si>
  <si>
    <t>Corticeira, Ceibo</t>
  </si>
  <si>
    <t>Erythrina crista-galli</t>
  </si>
  <si>
    <t>Culhão de bode,</t>
  </si>
  <si>
    <t>Swartzia multijuga</t>
  </si>
  <si>
    <t>cumaru ferro</t>
  </si>
  <si>
    <t>Dipteryx odorata</t>
  </si>
  <si>
    <t>Fava-de-bolota</t>
  </si>
  <si>
    <t>Parkia platycephala</t>
  </si>
  <si>
    <t>Faveira</t>
  </si>
  <si>
    <t>Vataireopsis speciosa</t>
  </si>
  <si>
    <t>Faveira-amargosa, Sucupira, Sucupira-amarela, Sucupira-preta</t>
  </si>
  <si>
    <t>Vatairea sericea</t>
  </si>
  <si>
    <t>Faveira-branca</t>
  </si>
  <si>
    <t>Parkia multijuga</t>
  </si>
  <si>
    <t>Flamboyant</t>
  </si>
  <si>
    <t>Delonix regia</t>
  </si>
  <si>
    <t>Guarapiranga, Louro vermelha, Macacaúba</t>
  </si>
  <si>
    <t>Platymiscium trinitatis</t>
  </si>
  <si>
    <t>guarucaia, monjoleiro, paricá-ra, paricá-branco</t>
  </si>
  <si>
    <t>Senegalia polyphylla</t>
  </si>
  <si>
    <t>ingá</t>
  </si>
  <si>
    <t>Inga lateriflora</t>
  </si>
  <si>
    <t>Inga striata</t>
  </si>
  <si>
    <t>ingá bugiu, ingá banana</t>
  </si>
  <si>
    <t>Inga vulpina</t>
  </si>
  <si>
    <t>Inga barbata</t>
  </si>
  <si>
    <t>ingá chata, inga pena</t>
  </si>
  <si>
    <t>Inga macrophylla</t>
  </si>
  <si>
    <t>ingá de metro, ingá doce, ingá macarrão, ingá vermelho, ingá timbó, ingá rabo de mico</t>
  </si>
  <si>
    <t>Inga edulis</t>
  </si>
  <si>
    <t>ingá do baixo, ingá dura</t>
  </si>
  <si>
    <t>Zygia latifolia</t>
  </si>
  <si>
    <t>ingá feijão, ingá, ingá mirim</t>
  </si>
  <si>
    <t>Inga marginata</t>
  </si>
  <si>
    <t>ingá feijão, ingara, inga xixica, ingá branca</t>
  </si>
  <si>
    <t>Inga cylindrica</t>
  </si>
  <si>
    <t>ingá ferradura, ingá macaco</t>
  </si>
  <si>
    <t>Inga sessilis</t>
  </si>
  <si>
    <t>ingá pau</t>
  </si>
  <si>
    <t>Inga flagelliformis</t>
  </si>
  <si>
    <t>inga, ingá branca, ingá de veado, ingá dura, ingá facão, ingá ferro, ingá feijão ingá fava, kwaracua</t>
  </si>
  <si>
    <t>Inga capitata</t>
  </si>
  <si>
    <t>Inga ingoides</t>
  </si>
  <si>
    <t>Inga alba</t>
  </si>
  <si>
    <t>ingá, ingazinho, ingá xixica, ingá vermelha, ingá pacu</t>
  </si>
  <si>
    <t>Inga heterophylla</t>
  </si>
  <si>
    <t>Jacarandá-bico-de-pato, Jacarandá-de-espinho</t>
  </si>
  <si>
    <t>Machaerium hirtum</t>
  </si>
  <si>
    <t>Jacarandá-branco</t>
  </si>
  <si>
    <t>Swartzia macrostachya</t>
  </si>
  <si>
    <t>Jacarandá-branco, Timburí</t>
  </si>
  <si>
    <t>Platymiscium pubescens</t>
  </si>
  <si>
    <t>Machaerium brasiliense</t>
  </si>
  <si>
    <t>Jacarandá-de-espinho, Jacarandá-vermelho</t>
  </si>
  <si>
    <t>Machaerium leucopterum</t>
  </si>
  <si>
    <t>Dalbergia foliolosa</t>
  </si>
  <si>
    <t>Jacarandá-tan, Mucitaíba-amarela</t>
  </si>
  <si>
    <t>Machaerium pedicellatum</t>
  </si>
  <si>
    <t>jarandeua,</t>
  </si>
  <si>
    <t>Zygia inaequalis</t>
  </si>
  <si>
    <t>jurema, jurema-preta, Cárbon colorado, Tepescohuite</t>
  </si>
  <si>
    <t>Mimosa tenuiflora</t>
  </si>
  <si>
    <t>jurema-branca, jurema-de-caboclo</t>
  </si>
  <si>
    <t>Senegalia piauhiensis</t>
  </si>
  <si>
    <t>Dialium guianense</t>
  </si>
  <si>
    <t>Martiodendron elatum</t>
  </si>
  <si>
    <t>Laranjeira-do-mato, Mocitaiba, Mossetaiba, Pau-de-jantar, Pitomba-preta, Pau-santo,</t>
  </si>
  <si>
    <t>Zollernia ilicifolia</t>
  </si>
  <si>
    <t>leptolóbio, perobinha-do-campo</t>
  </si>
  <si>
    <t>Leptolobium elegans</t>
  </si>
  <si>
    <t>manduira</t>
  </si>
  <si>
    <t>Senna macranthera</t>
  </si>
  <si>
    <t>moirá jibóia preta</t>
  </si>
  <si>
    <t>Swartzia arborescens</t>
  </si>
  <si>
    <t>Muira Jibóia-Brasil</t>
  </si>
  <si>
    <t>Swartzia recurva</t>
  </si>
  <si>
    <t>mulungu</t>
  </si>
  <si>
    <t>Erythrina velutina</t>
  </si>
  <si>
    <t>Erythrina verna</t>
  </si>
  <si>
    <t>mulungu-do-litoral</t>
  </si>
  <si>
    <t>Erythrina speciosa</t>
  </si>
  <si>
    <t>orelinha</t>
  </si>
  <si>
    <t>Enterolobium schomburgkii</t>
  </si>
  <si>
    <t>pau sangue</t>
  </si>
  <si>
    <t>Pterocarpus rohrii</t>
  </si>
  <si>
    <t>Tipuana tipu</t>
  </si>
  <si>
    <t>Pau-santo, Orelha-de-negro</t>
  </si>
  <si>
    <t>Zollernia paraensis</t>
  </si>
  <si>
    <t>pintadinho</t>
  </si>
  <si>
    <t>Poeppigia procera</t>
  </si>
  <si>
    <t>Cassia ferruginea</t>
  </si>
  <si>
    <t>Sapuvá, Sapuvussu, Farinha-seca, Jacarandá-branco</t>
  </si>
  <si>
    <t>Machaerium stipitatum</t>
  </si>
  <si>
    <t>Sucupira-amarela, Sucupira-preta</t>
  </si>
  <si>
    <t>Sweetia fruticosa</t>
  </si>
  <si>
    <t>Chamaecrista bahiae</t>
  </si>
  <si>
    <t>suinã, sanduva, alecrim</t>
  </si>
  <si>
    <t>Erythrina fusca</t>
  </si>
  <si>
    <t>tamarindo</t>
  </si>
  <si>
    <t>Tamarindus indica</t>
  </si>
  <si>
    <t>Tarapirinria</t>
  </si>
  <si>
    <t>Stryphnodendron guianense</t>
  </si>
  <si>
    <t>taxi preto da folha miúda</t>
  </si>
  <si>
    <t>Cassia leiandra</t>
  </si>
  <si>
    <t>Machaerium floridum</t>
  </si>
  <si>
    <t>Hymenaea eriogyne</t>
  </si>
  <si>
    <t>Pterodon abruptus</t>
  </si>
  <si>
    <t>Machaerium opacum</t>
  </si>
  <si>
    <t>Pseudopiptadenia brenanii</t>
  </si>
  <si>
    <t>Machaerium mucronulatum</t>
  </si>
  <si>
    <t>Andira fraxinifolia</t>
  </si>
  <si>
    <t>Albizia polycephala</t>
  </si>
  <si>
    <t>Stryphnodendron polyphyllum</t>
  </si>
  <si>
    <t>Machaerium punctatum</t>
  </si>
  <si>
    <t>Poecilanthe grandiflora</t>
  </si>
  <si>
    <t>Goniorrhachis marginata</t>
  </si>
  <si>
    <t>Dalbergia decipularis</t>
  </si>
  <si>
    <t>Dalbergia cearensis</t>
  </si>
  <si>
    <t>Pityrocarpa moniliformis</t>
  </si>
  <si>
    <t>Andira anthelmia</t>
  </si>
  <si>
    <t>Swartzia psilonema</t>
  </si>
  <si>
    <t>Platycyamus regnellii</t>
  </si>
  <si>
    <t>Ormosia fastigiata</t>
  </si>
  <si>
    <t>Ormosia arborea</t>
  </si>
  <si>
    <t>Leucochloron incuriale</t>
  </si>
  <si>
    <t>Abarema villosa</t>
  </si>
  <si>
    <t>Dalbergia brasiliensis</t>
  </si>
  <si>
    <t>Pterodon apparicioi</t>
  </si>
  <si>
    <t>Cenostigma pyramidale</t>
  </si>
  <si>
    <t>Clitoria fairchildiana</t>
  </si>
  <si>
    <t>Heterostemon mimosoides</t>
  </si>
  <si>
    <t>Eperua oleifera</t>
  </si>
  <si>
    <t>Acacia plumosa</t>
  </si>
  <si>
    <t>Aeschynomene sensitiva</t>
  </si>
  <si>
    <t>Calliandra macrocalyx</t>
  </si>
  <si>
    <t>Machaerium acutifolium</t>
  </si>
  <si>
    <t>Machaerium macrophyllum</t>
  </si>
  <si>
    <t>Peltogyne catingae</t>
  </si>
  <si>
    <t>Peltogyne venosa</t>
  </si>
  <si>
    <t>Platymiscium floribundum</t>
  </si>
  <si>
    <t>Swartzia apetala</t>
  </si>
  <si>
    <t>Swartzia brachyrachis</t>
  </si>
  <si>
    <t>Swartzia racemosa</t>
  </si>
  <si>
    <t>Amphiodon effusus</t>
  </si>
  <si>
    <t>Brownea grandiceps</t>
  </si>
  <si>
    <t>Cassia spruceana</t>
  </si>
  <si>
    <t>Cynometra bauhiniaefolia</t>
  </si>
  <si>
    <t>Dimorphandra macrostachya</t>
  </si>
  <si>
    <t>Dinizia excelsa</t>
  </si>
  <si>
    <t>Diplotropis brasiliensis</t>
  </si>
  <si>
    <t>Diplotropis martiusii</t>
  </si>
  <si>
    <t>Diplotropis purpurea</t>
  </si>
  <si>
    <t>Diplotropis triloba</t>
  </si>
  <si>
    <t>Enterolobium maximum</t>
  </si>
  <si>
    <t>Hymenaea intermedia</t>
  </si>
  <si>
    <t>Hymenolobium pulcherrimum</t>
  </si>
  <si>
    <t>Ormosia holerythra</t>
  </si>
  <si>
    <t>Parkia ulei</t>
  </si>
  <si>
    <t>Parkia velutina</t>
  </si>
  <si>
    <t>Stryphnodendron microstachyum</t>
  </si>
  <si>
    <t>Tachigali paniculata</t>
  </si>
  <si>
    <t>Tachigali venusta</t>
  </si>
  <si>
    <t>Bauhinia brevipes</t>
  </si>
  <si>
    <t>Andira surinamensis</t>
  </si>
  <si>
    <t>Bauhinia pulchella</t>
  </si>
  <si>
    <t>Cenostigma macrophyllum</t>
  </si>
  <si>
    <t>Cenostigma pluviosum</t>
  </si>
  <si>
    <t>Gliricidia sepium</t>
  </si>
  <si>
    <t>Lonchocarpus sericeus</t>
  </si>
  <si>
    <t>Platypodium elegans</t>
  </si>
  <si>
    <t>Senna spectabilis</t>
  </si>
  <si>
    <t>Albizia inundata</t>
  </si>
  <si>
    <t>Senna silvestris</t>
  </si>
  <si>
    <t>Enterolobium timbouva</t>
  </si>
  <si>
    <t>Pterodon emarginatus</t>
  </si>
  <si>
    <t>Pterodon pubescens</t>
  </si>
  <si>
    <t>Inga nobilis</t>
  </si>
  <si>
    <t>Caesalpinia pulcherrima</t>
  </si>
  <si>
    <t>Albizia pedicellaris</t>
  </si>
  <si>
    <t>Chloroleucon tenuiflorum</t>
  </si>
  <si>
    <t>Cyclolobium brasiliense</t>
  </si>
  <si>
    <t>Cassia grandis</t>
  </si>
  <si>
    <t>Dimorphandra mollis</t>
  </si>
  <si>
    <t>Samanea tubulosa</t>
  </si>
  <si>
    <t>Schizolobium parahyba</t>
  </si>
  <si>
    <t>Dimorphandra gardneriana</t>
  </si>
  <si>
    <t>Geoffroea spinosa</t>
  </si>
  <si>
    <t>Hymenaea stigonocarpa</t>
  </si>
  <si>
    <t>Peltophorum dubium</t>
  </si>
  <si>
    <t>Angico</t>
  </si>
  <si>
    <t>Anadenanthera peregrina falcata</t>
  </si>
  <si>
    <t>Diptychandra aurantiaca</t>
  </si>
  <si>
    <t>Prosopis ruscifolia</t>
  </si>
  <si>
    <t>Dalbergia cuiabensis</t>
  </si>
  <si>
    <t>Erythrina mulungu</t>
  </si>
  <si>
    <t>Bauhinia rufa</t>
  </si>
  <si>
    <t>Dalbergia villosa</t>
  </si>
  <si>
    <t>Pau-bosta, Fede-fede, Borão</t>
  </si>
  <si>
    <t>Tachigali aurea</t>
  </si>
  <si>
    <t>tachi-branco, cachamorra, pau-pombo, velame, veludo, carvoeiro-do-cerrado, carvoeiro</t>
  </si>
  <si>
    <t>Tachigali subvelutina</t>
  </si>
  <si>
    <t>Bauhinia longifolia</t>
  </si>
  <si>
    <t>Mimosa flocculosa</t>
  </si>
  <si>
    <t>Mimosa glutinosa</t>
  </si>
  <si>
    <t>Ateleia glazioveana</t>
  </si>
  <si>
    <t>Centrolobium microchaete</t>
  </si>
  <si>
    <t>Centrolobium robustum</t>
  </si>
  <si>
    <t>Copaifera trapezifolia</t>
  </si>
  <si>
    <t>Prosopis juliflora</t>
  </si>
  <si>
    <t>Abarema jupunba</t>
  </si>
  <si>
    <t>Bauhinia forficata</t>
  </si>
  <si>
    <t>Cassia fastuosa</t>
  </si>
  <si>
    <t>Inga vera</t>
  </si>
  <si>
    <t>Senna multijuga</t>
  </si>
  <si>
    <t>Prosopis rubriflora</t>
  </si>
  <si>
    <t>Ormosia paraensis</t>
  </si>
  <si>
    <t>Hymenaea oblongifolia</t>
  </si>
  <si>
    <t>Swartzia laurifolia</t>
  </si>
  <si>
    <t>Dimorphandra parviflora</t>
  </si>
  <si>
    <t>Hymenolobium sericeum</t>
  </si>
  <si>
    <t>Tachigali prancei</t>
  </si>
  <si>
    <t>Cenostigma tocantinum</t>
  </si>
  <si>
    <t>Taxi-Branco, Carvoeiro</t>
  </si>
  <si>
    <t>Tachigali vulgaris</t>
  </si>
  <si>
    <t>Ormosia excelsa</t>
  </si>
  <si>
    <t>Enterolobium gummiferum</t>
  </si>
  <si>
    <t>Andira inermis</t>
  </si>
  <si>
    <t>Cenostigma bracteosum</t>
  </si>
  <si>
    <t xml:space="preserve">Cerejeira, Cumaru de cheiro, Amburana </t>
  </si>
  <si>
    <t>Amburana cearensis</t>
  </si>
  <si>
    <t>Baru, barú</t>
  </si>
  <si>
    <t>Dipteryx alata</t>
  </si>
  <si>
    <t>Angico Preto, Angico, Angico-do-campo, Angico-prego, Angico-pururuca, Angico-vermelho, Barbatimão, Monjoleiro</t>
  </si>
  <si>
    <t>Anadenanthera peregrina</t>
  </si>
  <si>
    <t>Piptadenia paniculata</t>
  </si>
  <si>
    <t>Angico-branco, Angico, Angico-branco-liso, Curupaí, Curupaíba, Angico-coco, Angico-escuro, Angico-liso, Angico-vermelho, Cambuí-angico</t>
  </si>
  <si>
    <t>Anadenanthera colubrina</t>
  </si>
  <si>
    <t>Sucupira-preta, Sucupira-do-campo, Sepifirme, Paricarana, Sucupira, Sucupira-mirim, Sucupira-verdadeira, Sapupura-do-campo, Sucupira-amarela, Sucupira-branca, Sucupira-parda, Sucupira-roxa, Sucupiruçu-branco, Sucupira-do-cerrado, Macanaíba, Macanaíba-parda, Macanaíba-pele-de-sapo</t>
  </si>
  <si>
    <t>Bowdichia virgilioides</t>
  </si>
  <si>
    <t>braúna, graúna, baraúna</t>
  </si>
  <si>
    <t>Melanoxylon brauna</t>
  </si>
  <si>
    <t>Apuleia leiocarpa</t>
  </si>
  <si>
    <t xml:space="preserve">Jacarandá-caviu, Jacarandá-da-Bahia, </t>
  </si>
  <si>
    <t>Dalbergia nigra</t>
  </si>
  <si>
    <t>Hymenaea parvifolia</t>
  </si>
  <si>
    <t>Peltogyne maranhensis</t>
  </si>
  <si>
    <t>Dalbergia elegans</t>
  </si>
  <si>
    <t>cupiuba, cupiúba, cupiúva, cupúba, cutiúba</t>
  </si>
  <si>
    <t>Goupia glabra</t>
  </si>
  <si>
    <t>uxi</t>
  </si>
  <si>
    <t>Endopleura uchi</t>
  </si>
  <si>
    <t>Humiria balsamifera</t>
  </si>
  <si>
    <t>Sacoglottis guianensis</t>
  </si>
  <si>
    <t>Sacoglottis mattogrossensis</t>
  </si>
  <si>
    <t>Vantanea compacta</t>
  </si>
  <si>
    <t>Vismia parviflora</t>
  </si>
  <si>
    <t>Lacre</t>
  </si>
  <si>
    <t>Vismia guianensis</t>
  </si>
  <si>
    <t>Ruão</t>
  </si>
  <si>
    <t>Vismia brasiliensis</t>
  </si>
  <si>
    <t>Vismia micrantha</t>
  </si>
  <si>
    <t>Vismia gracilis</t>
  </si>
  <si>
    <t>Vismia japurensis</t>
  </si>
  <si>
    <t>Lacistema aggregatum</t>
  </si>
  <si>
    <t>Lacistema hasslerianum</t>
  </si>
  <si>
    <t>Lacistema pubescens</t>
  </si>
  <si>
    <t>Aegiphila pernambucensis</t>
  </si>
  <si>
    <t>Vitex hypoleuca</t>
  </si>
  <si>
    <t>catinga-de-bode,</t>
  </si>
  <si>
    <t>Hyptidendron asperrimum</t>
  </si>
  <si>
    <t>tarumã</t>
  </si>
  <si>
    <t>Vitex triflora</t>
  </si>
  <si>
    <t>Eriope latifolia</t>
  </si>
  <si>
    <t>Aegiphila integrifolia</t>
  </si>
  <si>
    <t>Aegiphila verticillata</t>
  </si>
  <si>
    <t>Vitex cymosa</t>
  </si>
  <si>
    <t>Hyptidendron canum</t>
  </si>
  <si>
    <t>Vitex orinocensis</t>
  </si>
  <si>
    <t>Vitex megapotamica</t>
  </si>
  <si>
    <t>Vitex flavens</t>
  </si>
  <si>
    <t>Vitex polygama</t>
  </si>
  <si>
    <t>Vitex sellowiana</t>
  </si>
  <si>
    <t>Vitex vauthieri</t>
  </si>
  <si>
    <t>Vitex gardneriana</t>
  </si>
  <si>
    <t>canela sassafrás</t>
  </si>
  <si>
    <t>Ocotea odorifera</t>
  </si>
  <si>
    <t>Ocotea porosa</t>
  </si>
  <si>
    <t>Ocotea tabacifolia</t>
  </si>
  <si>
    <t>canela branca</t>
  </si>
  <si>
    <t>Nectandra leucantha</t>
  </si>
  <si>
    <t>canela-copaíba, canela-preta</t>
  </si>
  <si>
    <t>Ocotea silvestris</t>
  </si>
  <si>
    <t>canela-inhotinga, noz-moscada-do-brasil</t>
  </si>
  <si>
    <t>Cryptocarya mandioccana</t>
  </si>
  <si>
    <t>canela-jacuá, canela-pimenta</t>
  </si>
  <si>
    <t>Ocotea teleiandra</t>
  </si>
  <si>
    <t>Canelão</t>
  </si>
  <si>
    <t>Ocotea spixiana</t>
  </si>
  <si>
    <t>louro</t>
  </si>
  <si>
    <t>Nectandra warmingii</t>
  </si>
  <si>
    <t>Ocotea densiflora</t>
  </si>
  <si>
    <t>Persea splendens</t>
  </si>
  <si>
    <t>Persea fusca</t>
  </si>
  <si>
    <t>Ocotea daphnifolia</t>
  </si>
  <si>
    <t>Ocotea odorata</t>
  </si>
  <si>
    <t>Ocotea indecora</t>
  </si>
  <si>
    <t>Ocotea prolifera</t>
  </si>
  <si>
    <t>Ocotea divaricata</t>
  </si>
  <si>
    <t>Ocotea glauca</t>
  </si>
  <si>
    <t>Ocotea dispersa</t>
  </si>
  <si>
    <t>Ocotea tenuiflora</t>
  </si>
  <si>
    <t>canela</t>
  </si>
  <si>
    <t>Nectandra psammophila</t>
  </si>
  <si>
    <t>canela do brejo</t>
  </si>
  <si>
    <t>Ocotea tristis</t>
  </si>
  <si>
    <t>canela fedida</t>
  </si>
  <si>
    <t>Nectandra cissiflora</t>
  </si>
  <si>
    <t>canela, canela fedida</t>
  </si>
  <si>
    <t>Nectandra grandiflora</t>
  </si>
  <si>
    <t>canela-branca, canela-fedida</t>
  </si>
  <si>
    <t>Ocotea bicolor</t>
  </si>
  <si>
    <t>canela-preta, inhumirim</t>
  </si>
  <si>
    <t>Ocotea pulchella</t>
  </si>
  <si>
    <t>sassafrás</t>
  </si>
  <si>
    <t>Aiouea piauhyensis</t>
  </si>
  <si>
    <t>Aiouea trinervis</t>
  </si>
  <si>
    <t>Nectandra hihua</t>
  </si>
  <si>
    <t>Ocotea pomaderroides</t>
  </si>
  <si>
    <t>Nectandra angustifolia</t>
  </si>
  <si>
    <t>Ocotea lancifolia</t>
  </si>
  <si>
    <t>abacate-do-mato, massaranduba,</t>
  </si>
  <si>
    <t>Persea major</t>
  </si>
  <si>
    <t>caiaxio</t>
  </si>
  <si>
    <t>Cryptocarya guianensis</t>
  </si>
  <si>
    <t>canela amarela</t>
  </si>
  <si>
    <t>Nectandra nitidula</t>
  </si>
  <si>
    <t>Nectandra puberula</t>
  </si>
  <si>
    <t>Nectandra lanceolata</t>
  </si>
  <si>
    <t>Nectandra membranacea</t>
  </si>
  <si>
    <t>canela de corvo</t>
  </si>
  <si>
    <t>Ocotea corymbosa</t>
  </si>
  <si>
    <t>canela ferrugem</t>
  </si>
  <si>
    <t>canela frade, canela garuva</t>
  </si>
  <si>
    <t>Endlicheria paniculata</t>
  </si>
  <si>
    <t>canela jacú</t>
  </si>
  <si>
    <t>Nectandra reticulata</t>
  </si>
  <si>
    <t>canela-batalha, louro-precioso</t>
  </si>
  <si>
    <t>Cryptocarya moschata</t>
  </si>
  <si>
    <t>canelão seboso, louro preto</t>
  </si>
  <si>
    <t>Nectandra cuspidata</t>
  </si>
  <si>
    <t>canelão, louro-imuí</t>
  </si>
  <si>
    <t>Aniba canelilla</t>
  </si>
  <si>
    <t>canelinha</t>
  </si>
  <si>
    <t>Nectandra megapotamica</t>
  </si>
  <si>
    <t>itaúba, itaúba-abacate, itaúba-amarela</t>
  </si>
  <si>
    <t>Mezilaurus lindaviana</t>
  </si>
  <si>
    <t>Nectandra purpurea</t>
  </si>
  <si>
    <t>Nectandra globosa</t>
  </si>
  <si>
    <t>louro abacate</t>
  </si>
  <si>
    <t>Nectandra pulverulenta</t>
  </si>
  <si>
    <t>louro chumbo</t>
  </si>
  <si>
    <t>Aniba burchellii</t>
  </si>
  <si>
    <t>louro do igapó</t>
  </si>
  <si>
    <t>Nectandra amazonum</t>
  </si>
  <si>
    <t>louro seda, puchuri, puxuri</t>
  </si>
  <si>
    <t>Ocotea guianensis</t>
  </si>
  <si>
    <t>louro, louro-de-flor-amarela</t>
  </si>
  <si>
    <t>Licaria armeniaca</t>
  </si>
  <si>
    <t>louro-aritu, louro-cravo</t>
  </si>
  <si>
    <t>Licaria guianensis</t>
  </si>
  <si>
    <t>Louro-Itauba, Louro-pimenta</t>
  </si>
  <si>
    <t>Mezilaurus synandra</t>
  </si>
  <si>
    <t>louro-preto</t>
  </si>
  <si>
    <t>Ocotea nigrescens</t>
  </si>
  <si>
    <t>Ocotea glaziovii</t>
  </si>
  <si>
    <t>Ocotea velloziana</t>
  </si>
  <si>
    <t>Persea alba</t>
  </si>
  <si>
    <t>Ocotea notata</t>
  </si>
  <si>
    <t>Ocotea velutina</t>
  </si>
  <si>
    <t>Ocotea minarum</t>
  </si>
  <si>
    <t>Ocotea spectabilis</t>
  </si>
  <si>
    <t>Cinnamomum sellowianum</t>
  </si>
  <si>
    <t>Persea venosa</t>
  </si>
  <si>
    <t>Nectandra gardneri</t>
  </si>
  <si>
    <t>Persea americana</t>
  </si>
  <si>
    <t>Endlicheria sericea</t>
  </si>
  <si>
    <t>Ocotea amazonica</t>
  </si>
  <si>
    <t>Ocotea matogrossensis</t>
  </si>
  <si>
    <t>Ocotea neesiana</t>
  </si>
  <si>
    <t>Ocotea glomerata</t>
  </si>
  <si>
    <t>Nectandra turbacensis</t>
  </si>
  <si>
    <t>Ocotea cujumary</t>
  </si>
  <si>
    <t>Ocotea canaliculata</t>
  </si>
  <si>
    <t>Ocotea cernua</t>
  </si>
  <si>
    <t>Aiouea laevis</t>
  </si>
  <si>
    <t>Ocotea percurrens</t>
  </si>
  <si>
    <t>Ocotea acutifolia</t>
  </si>
  <si>
    <t>Ocotea diospyrifolia</t>
  </si>
  <si>
    <t>Aiouea saligna</t>
  </si>
  <si>
    <t>Aniba firmula</t>
  </si>
  <si>
    <t>cumbuca, cumbuquinha, canella-tapinhoam, tapinhoã</t>
  </si>
  <si>
    <t>Mezilaurus crassiramea</t>
  </si>
  <si>
    <t>louro, louro-abacate, canela-gosmenta, canela-babosa</t>
  </si>
  <si>
    <t>Ocotea puberula</t>
  </si>
  <si>
    <t>Ocotea aciphylla</t>
  </si>
  <si>
    <t>itaúba</t>
  </si>
  <si>
    <t>Mezilaurus itauba</t>
  </si>
  <si>
    <t>Ocotea catharinensis</t>
  </si>
  <si>
    <t>Cariniana legalis</t>
  </si>
  <si>
    <t>sapucaia, sapucaiú</t>
  </si>
  <si>
    <t>Lecythis marcgraaviana</t>
  </si>
  <si>
    <t>Lecythis lanceolata</t>
  </si>
  <si>
    <t>castanha de macaco, coité de macaco, cuiara, cuieira da mata, bola de canhão</t>
  </si>
  <si>
    <t>Couroupita guianensis</t>
  </si>
  <si>
    <t>Inhaiba, inhaiba-gigante, jarana</t>
  </si>
  <si>
    <t>Lecythis lurida</t>
  </si>
  <si>
    <t>Abiura, castanha fedorenta, envira fedorenta, Hicodi, jenipara, Lalouch, mata fome, mata matá, matamataica</t>
  </si>
  <si>
    <t>Gustavia hexapetala</t>
  </si>
  <si>
    <t>bingueiro, cachimbeiro, coatingua, currimboque, estopa, estopeira, jequitibá, jequitibá-branco, jequitibá-rei, jequitibá-rosa, mussambê, pau-de-cachimbo, pau-estopa</t>
  </si>
  <si>
    <t>Cariniana estrellensis</t>
  </si>
  <si>
    <t>biriba, biriba-branca, biriba-preta, tauari-sinho</t>
  </si>
  <si>
    <t>Eschweilera ovata</t>
  </si>
  <si>
    <t>cachimbeira, cachimbo de macaco, jequitibtá</t>
  </si>
  <si>
    <t>Cariniana rubra</t>
  </si>
  <si>
    <t>cachimbeira, currimboque vermelho, jequitibá</t>
  </si>
  <si>
    <t>Cariniana domestica</t>
  </si>
  <si>
    <t>castanha fedorenta, jenipapara, jenipara, mata-matá branco</t>
  </si>
  <si>
    <t>Gustavia augusta</t>
  </si>
  <si>
    <t>castanheira de sapucaia, sapucaia</t>
  </si>
  <si>
    <t>Lecythis pisonis</t>
  </si>
  <si>
    <t>Couratari macrosperma</t>
  </si>
  <si>
    <t>espinho da várzea</t>
  </si>
  <si>
    <t>Eschweilera albiflora</t>
  </si>
  <si>
    <t>mata-matá, matamatá branco, matamatá roxa</t>
  </si>
  <si>
    <t>Eschweilera pedicellata</t>
  </si>
  <si>
    <t>mata-matá, mata-matá branco, mata-matá rôxo</t>
  </si>
  <si>
    <t>Eschweilera coriacea</t>
  </si>
  <si>
    <t>tauari amarelo, tauari branco</t>
  </si>
  <si>
    <t>Couratari multiflora</t>
  </si>
  <si>
    <t>tucari do campo</t>
  </si>
  <si>
    <t>Eschweilera nana</t>
  </si>
  <si>
    <t>Couratari oblongifolia</t>
  </si>
  <si>
    <t>Couratari stellata</t>
  </si>
  <si>
    <t>Bertholletia excelsa</t>
  </si>
  <si>
    <t>Strychnos rubiginosa</t>
  </si>
  <si>
    <t>Antonia ovata</t>
  </si>
  <si>
    <t>Quina, Quina-do-cerrado, Quina-grossa</t>
  </si>
  <si>
    <t>Strychnos pseudoquina</t>
  </si>
  <si>
    <t>Lafoensia glyptocarpa</t>
  </si>
  <si>
    <t>Dedaleira-amarela, Candeia-de-caju, Mangaba-brava, Pacari, Pacari-do-mato, Pacari-do-sertão</t>
  </si>
  <si>
    <t>Lafoensia pacari</t>
  </si>
  <si>
    <t>Grão-de-porco, Cega-machado, Pau-de-rosa, Itaúba de capoeira</t>
  </si>
  <si>
    <t>Physocalymma scaberrimum</t>
  </si>
  <si>
    <t>Roma, Piqui-amarelo, Loro, Pau-de-bicho, Dedalinho, Dedaleira-amarela, Louro-da-serra, Mangabeira-brava, Louro-de-São-Paulo, Mirindiba-bagre, Mirindiba-rosa</t>
  </si>
  <si>
    <t>Lafoensia vandelliana</t>
  </si>
  <si>
    <t>Magnolia ovata</t>
  </si>
  <si>
    <t>Acá</t>
  </si>
  <si>
    <t>Byrsonima cacaophila</t>
  </si>
  <si>
    <t>murici</t>
  </si>
  <si>
    <t>Byrsonima basiloba</t>
  </si>
  <si>
    <t>Byrsonima affinis</t>
  </si>
  <si>
    <t>Murici-macho</t>
  </si>
  <si>
    <t>Heteropterys byrsonimiifolia</t>
  </si>
  <si>
    <t>Banisteriopsis latifolia</t>
  </si>
  <si>
    <t>Byrsonima lancifolia</t>
  </si>
  <si>
    <t>Byrsonima salzmanniana</t>
  </si>
  <si>
    <t>Byrsonima ligustrifolia</t>
  </si>
  <si>
    <t>Byrsonima coccolobifolia</t>
  </si>
  <si>
    <t>Byrsonima crispa</t>
  </si>
  <si>
    <t>Heteropterys umbellata</t>
  </si>
  <si>
    <t>Byrsonima laxiflora</t>
  </si>
  <si>
    <t>Byrsonima sericea</t>
  </si>
  <si>
    <t>Byrsonima verbascifolia</t>
  </si>
  <si>
    <t>Byrsonima crassifolia</t>
  </si>
  <si>
    <t>Byrsonima pachyphylla</t>
  </si>
  <si>
    <t>Byrsonima spicata</t>
  </si>
  <si>
    <t>Byrsonima chrysophylla</t>
  </si>
  <si>
    <t>Byrsonima stipulacea</t>
  </si>
  <si>
    <t>Malpighia punicifolia</t>
  </si>
  <si>
    <t>Byrsonima umbellata</t>
  </si>
  <si>
    <t>algodãozinho</t>
  </si>
  <si>
    <t>Eriotheca macrophylla</t>
  </si>
  <si>
    <t>Luehea crispa</t>
  </si>
  <si>
    <t>Pseudobombax grandiflorum</t>
  </si>
  <si>
    <t>Pachira endecaphylla</t>
  </si>
  <si>
    <t>Hydrogaster trinervis</t>
  </si>
  <si>
    <t>Pterygota brasiliensis</t>
  </si>
  <si>
    <t>Paineira-do-cerrado, Embiruçu, Embiruçu-peludo, Colher-de-vaqueiro</t>
  </si>
  <si>
    <t>Eriotheca pubescens</t>
  </si>
  <si>
    <t>embiruçu, imbiruçu, mamoara</t>
  </si>
  <si>
    <t>Pseudobombax tomentosum</t>
  </si>
  <si>
    <t>Pseudobombax marginatum</t>
  </si>
  <si>
    <t>Luehea candicans</t>
  </si>
  <si>
    <t>açoita cavalo</t>
  </si>
  <si>
    <t>Lueheopsis rosea</t>
  </si>
  <si>
    <t>açoita-cavalo, fruta-de-cavalo</t>
  </si>
  <si>
    <t>Luehea grandiflora</t>
  </si>
  <si>
    <t>amendoim-do-campo, chichá-do-cerrado</t>
  </si>
  <si>
    <t>Sterculia striata</t>
  </si>
  <si>
    <t>araticum-bravo, cabeça-de-negro, mutamba</t>
  </si>
  <si>
    <t>Guazuma ulmifolia</t>
  </si>
  <si>
    <t>cacau, cacau da mata</t>
  </si>
  <si>
    <t>Theobroma cacao</t>
  </si>
  <si>
    <t>cacau-branco</t>
  </si>
  <si>
    <t>Theobroma bicolor</t>
  </si>
  <si>
    <t>castanha</t>
  </si>
  <si>
    <t>Pachira retusa</t>
  </si>
  <si>
    <t>cupuaçu da mata, cupuí</t>
  </si>
  <si>
    <t>Theobroma subincanum</t>
  </si>
  <si>
    <t>currimboque, munguba da mata</t>
  </si>
  <si>
    <t>Huberodendron swietenioides</t>
  </si>
  <si>
    <t>Gargaúba</t>
  </si>
  <si>
    <t>Christiana africana</t>
  </si>
  <si>
    <t>jangada, malva pente de macaco, pente de macaco</t>
  </si>
  <si>
    <t>Apeiba tibourbou</t>
  </si>
  <si>
    <t>jangada-brava</t>
  </si>
  <si>
    <t>Bastardiopsis densiflora</t>
  </si>
  <si>
    <t>mamora de terra firme, mungubinha</t>
  </si>
  <si>
    <t>Eriotheca globosa</t>
  </si>
  <si>
    <t>mutamba</t>
  </si>
  <si>
    <t>Guazuma crinita</t>
  </si>
  <si>
    <t>nuní</t>
  </si>
  <si>
    <t>Pachira insignis</t>
  </si>
  <si>
    <t>paineira</t>
  </si>
  <si>
    <t>Ceiba speciosa</t>
  </si>
  <si>
    <t>paineira-da-praia</t>
  </si>
  <si>
    <t>Ceiba erianthos</t>
  </si>
  <si>
    <t xml:space="preserve"> Imbiru, Binguinha, Bingueiro, Embira, Embira-de-folhas-lisas, Paineira-do-campo, Paineirinha</t>
  </si>
  <si>
    <t>Eriotheca gracilipes</t>
  </si>
  <si>
    <t>pau-de-jangada, pente-de-macaco, jangada</t>
  </si>
  <si>
    <t>Apeiba albiflora</t>
  </si>
  <si>
    <t>samaúma</t>
  </si>
  <si>
    <t>Ceiba pentandra</t>
  </si>
  <si>
    <t>xixá da casca grossa</t>
  </si>
  <si>
    <t>Sterculia apeibophylla</t>
  </si>
  <si>
    <t>Pseudobombax simplicifolium</t>
  </si>
  <si>
    <t>Eriotheca candolleana</t>
  </si>
  <si>
    <t>Luehea rufescens</t>
  </si>
  <si>
    <t>Heliocarpus americanus</t>
  </si>
  <si>
    <t>Apeiba echinata</t>
  </si>
  <si>
    <t>Pachira aquatica</t>
  </si>
  <si>
    <t>Sterculia pruriens</t>
  </si>
  <si>
    <t>Luehea ochrophylla</t>
  </si>
  <si>
    <t>Luehea paniculata</t>
  </si>
  <si>
    <t>Helicteres brevispira</t>
  </si>
  <si>
    <t>Ceiba samauma</t>
  </si>
  <si>
    <t>Mollia lepidota</t>
  </si>
  <si>
    <t>Sterculia apetala</t>
  </si>
  <si>
    <t>Luehea speciosa</t>
  </si>
  <si>
    <t>Ceiba pubiflora</t>
  </si>
  <si>
    <t>Pseudobombax longiflorum</t>
  </si>
  <si>
    <t>Luehea divaricata</t>
  </si>
  <si>
    <t>Sterculia excelsa</t>
  </si>
  <si>
    <t>Miconia leucocarpa</t>
  </si>
  <si>
    <t>Miconia pepericarpa</t>
  </si>
  <si>
    <t>Mouriri elliptica</t>
  </si>
  <si>
    <t>Miconia burchellii</t>
  </si>
  <si>
    <t>Miconia cinnamomifolia</t>
  </si>
  <si>
    <t>Mouriri chamissoana</t>
  </si>
  <si>
    <t>Miconia brunnea</t>
  </si>
  <si>
    <t>Miconia brasiliensis</t>
  </si>
  <si>
    <t>Tibouchina estrellensis</t>
  </si>
  <si>
    <t>Tibouchina sellowiana</t>
  </si>
  <si>
    <t>Pleroma candolleanum</t>
  </si>
  <si>
    <t>araçá, gurguí</t>
  </si>
  <si>
    <t>Mouriri grandiflora</t>
  </si>
  <si>
    <t>araçá-de-anta, goiaba-de-anta</t>
  </si>
  <si>
    <t>Bellucia grossularioides</t>
  </si>
  <si>
    <t>cambará-do-mato, pixirica</t>
  </si>
  <si>
    <t>Leandra melastomoides</t>
  </si>
  <si>
    <t>gurguí</t>
  </si>
  <si>
    <t>Mouriri apiranga</t>
  </si>
  <si>
    <t>quaresma, pexirica</t>
  </si>
  <si>
    <t>Leandra aurea</t>
  </si>
  <si>
    <t>Miconia ligustroides</t>
  </si>
  <si>
    <t>Miconia hirtella</t>
  </si>
  <si>
    <t>Mouriri glazioviana</t>
  </si>
  <si>
    <t>Miconia chartacea</t>
  </si>
  <si>
    <t>Miconia cubatanensis</t>
  </si>
  <si>
    <t>Miconia sellowiana</t>
  </si>
  <si>
    <t>Miconia punctata</t>
  </si>
  <si>
    <t>Miconia ferruginata</t>
  </si>
  <si>
    <t>Clidemia hirta</t>
  </si>
  <si>
    <t>Miconia albicans</t>
  </si>
  <si>
    <t>Miconia minutiflora</t>
  </si>
  <si>
    <t>Miconia prasina</t>
  </si>
  <si>
    <t>Miconia mirabilis</t>
  </si>
  <si>
    <t>Henriettea succosa</t>
  </si>
  <si>
    <t>Miconia dodecandra</t>
  </si>
  <si>
    <t>Miconia holosericea</t>
  </si>
  <si>
    <t>Miconia cuspidata</t>
  </si>
  <si>
    <t>Miconia lepidota</t>
  </si>
  <si>
    <t>Miconia chamissois</t>
  </si>
  <si>
    <t>Miconia hyemalis</t>
  </si>
  <si>
    <t>Miconia theaezans</t>
  </si>
  <si>
    <t>Miconia petropolitana</t>
  </si>
  <si>
    <t>Miconia tristis</t>
  </si>
  <si>
    <t>Miconia cinerascens</t>
  </si>
  <si>
    <t>Mouriri pusa</t>
  </si>
  <si>
    <t>Miconia nervosa</t>
  </si>
  <si>
    <t>Miconia elegans</t>
  </si>
  <si>
    <t>Guarea pendula</t>
  </si>
  <si>
    <t>Trichilia lepidota</t>
  </si>
  <si>
    <t>Trichilia hirta</t>
  </si>
  <si>
    <t>Trichilia emarginata</t>
  </si>
  <si>
    <t>Trichilia casaretti</t>
  </si>
  <si>
    <t>breu maxixe, maraximbé branca, maraximbé branco, murici preto</t>
  </si>
  <si>
    <t>Trichilia quadrijuga</t>
  </si>
  <si>
    <t>Guarea macrophylla</t>
  </si>
  <si>
    <t>carrapeta graúda, cedro bravo, gitó de terra firme, jitó, jitó branco, jitó preto, mancore, peloteira</t>
  </si>
  <si>
    <t>Guarea kunthiana</t>
  </si>
  <si>
    <t>carrapeta, gitó, jatuauba, marinheiro</t>
  </si>
  <si>
    <t>Guarea guidonia</t>
  </si>
  <si>
    <t>Catigua</t>
  </si>
  <si>
    <t>Trichilia catigua</t>
  </si>
  <si>
    <t>jatuauba</t>
  </si>
  <si>
    <t>Guarea purusana</t>
  </si>
  <si>
    <t>maxixe</t>
  </si>
  <si>
    <t>Trichilia rubra</t>
  </si>
  <si>
    <t>Trichilia pallida</t>
  </si>
  <si>
    <t>simomo, amargoseira</t>
  </si>
  <si>
    <t>Melia azedarach</t>
  </si>
  <si>
    <t>Azadirachta indica</t>
  </si>
  <si>
    <t>Swietenia mahagoni</t>
  </si>
  <si>
    <t>Guarea carinata</t>
  </si>
  <si>
    <t>Cabralea canjerana</t>
  </si>
  <si>
    <t>Toona ciliata</t>
  </si>
  <si>
    <t>Trichilia elegans</t>
  </si>
  <si>
    <t>Cedro, cedro branco, cedro rosa, cedro vermelho</t>
  </si>
  <si>
    <t>Cedrela odorata</t>
  </si>
  <si>
    <t>Mogno</t>
  </si>
  <si>
    <t>Swietenia macrophylla</t>
  </si>
  <si>
    <t>Cedro-branco, Acaiaca, Acaiacatinga, Acaja-catinga, Acajatinga, Acaju, Acaju-caatinga, Capiuva</t>
  </si>
  <si>
    <t>Cedrela fissilis</t>
  </si>
  <si>
    <t>Aderno, Pe, Aderno da Praia, Louro da Caatinga</t>
  </si>
  <si>
    <t>Emmotum affine</t>
  </si>
  <si>
    <t>Cafera, Pau-de-cubiú</t>
  </si>
  <si>
    <t>Dendrobangia boliviana</t>
  </si>
  <si>
    <t>Pau-sobre, Faia, Pau-de-sobre, Sobre, Cabriteiro, Bapeba-preta, Fruta-de-anta, Aderno</t>
  </si>
  <si>
    <t>Emmotum nitens</t>
  </si>
  <si>
    <t>Espinheira-santa</t>
  </si>
  <si>
    <t>Mollinedia schottiana</t>
  </si>
  <si>
    <t>pau-de-espeto</t>
  </si>
  <si>
    <t>Mollinedia triflora</t>
  </si>
  <si>
    <t>Mollinedia oligantha</t>
  </si>
  <si>
    <t>Macropeplus ligustrinus</t>
  </si>
  <si>
    <t>Mollinedia widgrenii</t>
  </si>
  <si>
    <t>Ficus hirsuta</t>
  </si>
  <si>
    <t>Ficus cestrifolia</t>
  </si>
  <si>
    <t>Ficus longifolia</t>
  </si>
  <si>
    <t>Ficus vermifuga</t>
  </si>
  <si>
    <t>Ficus organensis</t>
  </si>
  <si>
    <t>bainha-de-espada</t>
  </si>
  <si>
    <t>Sorocea guilleminiana</t>
  </si>
  <si>
    <t>inharé, manitê, manixí, mururé, leiteira, muiratinga</t>
  </si>
  <si>
    <t>Brosimum lactescens</t>
  </si>
  <si>
    <t>inharé, pama, pama branca, pama caucho, inharé-folha-peluda, inharé-paina</t>
  </si>
  <si>
    <t>Helicostylis tomentosa</t>
  </si>
  <si>
    <t>Ficus castellviana</t>
  </si>
  <si>
    <t>Ficus luschnathiana</t>
  </si>
  <si>
    <t>Ficus broadwayi</t>
  </si>
  <si>
    <t>Ficus eximia</t>
  </si>
  <si>
    <t>Ficus catappifolia</t>
  </si>
  <si>
    <t>Ficus pakkensis</t>
  </si>
  <si>
    <t>Ficus pulchella</t>
  </si>
  <si>
    <t>Ficus mexiae</t>
  </si>
  <si>
    <t>Ficus calyptroceras</t>
  </si>
  <si>
    <t>amapá, guariúba-da-folha-miúda</t>
  </si>
  <si>
    <t>Brosimum potabile</t>
  </si>
  <si>
    <t>amapá-doce</t>
  </si>
  <si>
    <t>Brosimum parinarioides</t>
  </si>
  <si>
    <t>apui</t>
  </si>
  <si>
    <t>Ficus donnell-smithii</t>
  </si>
  <si>
    <t>apuí</t>
  </si>
  <si>
    <t>Ficus nymphaeifolia</t>
  </si>
  <si>
    <t>Ficus obtusifolia</t>
  </si>
  <si>
    <t>Ficus pertusa</t>
  </si>
  <si>
    <t>apuí preto</t>
  </si>
  <si>
    <t>Ficus gomelleira</t>
  </si>
  <si>
    <t>apuí, apuí amarelo, apuí branco, apuí de formiga</t>
  </si>
  <si>
    <t>Ficus paraensis</t>
  </si>
  <si>
    <t>apuí, apuí amarelo, apuí preto</t>
  </si>
  <si>
    <t>Ficus trigona</t>
  </si>
  <si>
    <t>apuí, caxinguba, caxinguba do igapó, gameleira, ofé</t>
  </si>
  <si>
    <t>Ficus maxima</t>
  </si>
  <si>
    <t>caucho</t>
  </si>
  <si>
    <t>Castilla ulei</t>
  </si>
  <si>
    <t>envireira</t>
  </si>
  <si>
    <t>Maquira coriacea</t>
  </si>
  <si>
    <t>folha-de-serra</t>
  </si>
  <si>
    <t>Clarisia ilicifolia</t>
  </si>
  <si>
    <t>fruta-pão</t>
  </si>
  <si>
    <t>Artocarpus altilis</t>
  </si>
  <si>
    <t>garrote, pau-rainha</t>
  </si>
  <si>
    <t>Brosimum rubescens</t>
  </si>
  <si>
    <t>guariúba branca, mururé</t>
  </si>
  <si>
    <t>Batocarpus amazonicus</t>
  </si>
  <si>
    <t>inharé mole, Pau-rainha-roxo</t>
  </si>
  <si>
    <t>Brosimum guianense</t>
  </si>
  <si>
    <t>leiteira</t>
  </si>
  <si>
    <t>Brosimum utile</t>
  </si>
  <si>
    <t>Mama-cadela, Mamica-de-cadela, Conduru</t>
  </si>
  <si>
    <t>Brosimum gaudichaudii</t>
  </si>
  <si>
    <t>Muiratinga, Pau-tanino</t>
  </si>
  <si>
    <t>Maquira sclerophylla</t>
  </si>
  <si>
    <t>Muiratinga-da-folha-miúda</t>
  </si>
  <si>
    <t>Maquira guianensis</t>
  </si>
  <si>
    <t>pama, pama amarela, pama caucho, pama ferro, pama peque, pama preta, Inharé da folha miúda, Muiratinga</t>
  </si>
  <si>
    <t>Pseudolmedia laevis</t>
  </si>
  <si>
    <t>Sorocaba, Soroco</t>
  </si>
  <si>
    <t>Sorocea bonplandii</t>
  </si>
  <si>
    <t>Tatajuba</t>
  </si>
  <si>
    <t>Maclura tinctoria</t>
  </si>
  <si>
    <t>Ficus enormis</t>
  </si>
  <si>
    <t>Ficus bahiensis</t>
  </si>
  <si>
    <t>Sorocea hilarii</t>
  </si>
  <si>
    <t>Morus alba</t>
  </si>
  <si>
    <t>Brosimum acutifolium</t>
  </si>
  <si>
    <t>Ficus caballina</t>
  </si>
  <si>
    <t>Naucleopsis macrophylla</t>
  </si>
  <si>
    <t>Perebea mollis</t>
  </si>
  <si>
    <t>Ficus obtusiuscula</t>
  </si>
  <si>
    <t>Ficus tomentella</t>
  </si>
  <si>
    <t>Pseudolmedia laevigata</t>
  </si>
  <si>
    <t>Bagassa guianensis</t>
  </si>
  <si>
    <t>Helicostylis pedunculata</t>
  </si>
  <si>
    <t>Ficus guaranitica</t>
  </si>
  <si>
    <t>Ficus carica</t>
  </si>
  <si>
    <t>Ficus auriculata</t>
  </si>
  <si>
    <t>Ficus religiosa</t>
  </si>
  <si>
    <t>Ficus clusiifolia</t>
  </si>
  <si>
    <t>Ficus malacocarpa</t>
  </si>
  <si>
    <t>Virola officinalis</t>
  </si>
  <si>
    <t>Virola gardneri</t>
  </si>
  <si>
    <t>Virola urbaniana</t>
  </si>
  <si>
    <t>bicuyba-preta, tawa, ucuúba, ucuúba-preta, ucuuba-punã</t>
  </si>
  <si>
    <t>Virola sebifera</t>
  </si>
  <si>
    <t>casca-de-vidro, ucuuba-preta</t>
  </si>
  <si>
    <t>Virola michelii</t>
  </si>
  <si>
    <t>ixowahi, ucuuba-chico-de assis, ucuúba-de-banda, ucuubara</t>
  </si>
  <si>
    <t>Osteophloeum platyspermum</t>
  </si>
  <si>
    <t>Lacre-amarelo</t>
  </si>
  <si>
    <t>Virola malmei</t>
  </si>
  <si>
    <t>sacodi, ucuúba, ucuúba-do-igapó, uiqui</t>
  </si>
  <si>
    <t>Virola elongata</t>
  </si>
  <si>
    <t>sangue-de-boi, ucuuba-da-terra-firme, ucuúba-punã, ucuúba-sangue</t>
  </si>
  <si>
    <t>Iryanthera juruensis</t>
  </si>
  <si>
    <t>ucuuba, ucuuba-branca-do-baixio</t>
  </si>
  <si>
    <t>Virola pavonis</t>
  </si>
  <si>
    <t>Ucuuba, Ucuuba-vermelha</t>
  </si>
  <si>
    <t>Virola minutiflora</t>
  </si>
  <si>
    <t>ucuúba, ucuuba-vermelha</t>
  </si>
  <si>
    <t>Virola mollissima</t>
  </si>
  <si>
    <t>Ucuuba-branca, Ucuuba-da-mata</t>
  </si>
  <si>
    <t>Virola venosa</t>
  </si>
  <si>
    <t>ucuubara</t>
  </si>
  <si>
    <t>Iryanthera paradoxa</t>
  </si>
  <si>
    <t>Ucuuba-vermelha, Ucuub-punã</t>
  </si>
  <si>
    <t>Iryanthera grandis</t>
  </si>
  <si>
    <t>Ucuuba-vermelhato-Grosso</t>
  </si>
  <si>
    <t>Iryanthera macrophylla</t>
  </si>
  <si>
    <t>Iryanthera tessmannii</t>
  </si>
  <si>
    <t>Iryanthera ulei</t>
  </si>
  <si>
    <t>Iryanthera elliptica</t>
  </si>
  <si>
    <t>Iryanthera hostmannii</t>
  </si>
  <si>
    <t>Iryanthera paraensis</t>
  </si>
  <si>
    <t>Virola albidiflora</t>
  </si>
  <si>
    <t>Virola calophylla</t>
  </si>
  <si>
    <t>Virola carinata</t>
  </si>
  <si>
    <t>Virola multicostata</t>
  </si>
  <si>
    <t>Virola surinamensis</t>
  </si>
  <si>
    <t>Araçá</t>
  </si>
  <si>
    <t>Psidium bahianum</t>
  </si>
  <si>
    <t>Myrcia pubipetala</t>
  </si>
  <si>
    <t>Eugenia brasiliensis</t>
  </si>
  <si>
    <t>Campomanesia laurifolia</t>
  </si>
  <si>
    <t>Eugenia bahiensis</t>
  </si>
  <si>
    <t>Campomanesia phaea</t>
  </si>
  <si>
    <t>Myrciaria ferruginea</t>
  </si>
  <si>
    <t>Myrciaria strigipes</t>
  </si>
  <si>
    <t>Eugenia supraaxillaris</t>
  </si>
  <si>
    <t>Eugenia macrantha</t>
  </si>
  <si>
    <t>Myrcia reticulata</t>
  </si>
  <si>
    <t>Neomitranthes warmingiana</t>
  </si>
  <si>
    <t>Eugenia moonioides</t>
  </si>
  <si>
    <t>Gabiroba</t>
  </si>
  <si>
    <t>Campomanesia xanthocarpa</t>
  </si>
  <si>
    <t>goiabinha</t>
  </si>
  <si>
    <t>Psidium sartorianum</t>
  </si>
  <si>
    <t>Myrciaria floribunda</t>
  </si>
  <si>
    <t>Campomanesia aromatica</t>
  </si>
  <si>
    <t>Myrcia oblongata</t>
  </si>
  <si>
    <t>Eugenia florida</t>
  </si>
  <si>
    <t>guamirim-branco, guamirim, cambuí</t>
  </si>
  <si>
    <t>Myrcia guianensis</t>
  </si>
  <si>
    <t>Campomanesia eugenioides</t>
  </si>
  <si>
    <t>Campomanesia sessiliflora</t>
  </si>
  <si>
    <t>Campomanesia pubescens</t>
  </si>
  <si>
    <t>Eugenia cerasiflora</t>
  </si>
  <si>
    <t>Blepharocalyx salicifolius</t>
  </si>
  <si>
    <t>Myrcia venulosa</t>
  </si>
  <si>
    <t>Myrcia variabilis</t>
  </si>
  <si>
    <t>Siphoneugena densiflora</t>
  </si>
  <si>
    <t>Myrcianthes pungens</t>
  </si>
  <si>
    <t>Campomanesia rufa</t>
  </si>
  <si>
    <t>araçá, araçá-boi, araçá-goiaba, goiabara</t>
  </si>
  <si>
    <t>Psidium acutangulum</t>
  </si>
  <si>
    <t>araçá-da-praia, araçá-mirim, goiabinha</t>
  </si>
  <si>
    <t>Psidium guineense</t>
  </si>
  <si>
    <t>Araçá-de-raposa</t>
  </si>
  <si>
    <t>Psidium riparium</t>
  </si>
  <si>
    <t>araçá-pedra</t>
  </si>
  <si>
    <t>Psidium brownianum</t>
  </si>
  <si>
    <t>Cagaita, Cagaiteira</t>
  </si>
  <si>
    <t>Eugenia dysenterica</t>
  </si>
  <si>
    <t>goiaba</t>
  </si>
  <si>
    <t>Psidium guajava</t>
  </si>
  <si>
    <t>Myrciaria guaquiea</t>
  </si>
  <si>
    <t>Psidium myrsinites</t>
  </si>
  <si>
    <t>Eugenia vetula</t>
  </si>
  <si>
    <t>Eugenia candolleana</t>
  </si>
  <si>
    <t>Psidium myrtoides</t>
  </si>
  <si>
    <t>Campomanesia velutina</t>
  </si>
  <si>
    <t>Eugenia sonderiana</t>
  </si>
  <si>
    <t>Myrcia polyantha</t>
  </si>
  <si>
    <t>Myrcia mutabilis</t>
  </si>
  <si>
    <t>Eugenia luschnathiana</t>
  </si>
  <si>
    <t>Psidium rufum</t>
  </si>
  <si>
    <t>Pimenta pseudocaryophyllus</t>
  </si>
  <si>
    <t>Myrciaria glanduliflora</t>
  </si>
  <si>
    <t>Eugenia modesta</t>
  </si>
  <si>
    <t>Eugenia patrisii</t>
  </si>
  <si>
    <t>Myrcia paivae</t>
  </si>
  <si>
    <t>Myrcia multiflora</t>
  </si>
  <si>
    <t>Eugenia ligustrina</t>
  </si>
  <si>
    <t>Myrcia tomentosa</t>
  </si>
  <si>
    <t>Plinia rivularis</t>
  </si>
  <si>
    <t>Eugenia lambertiana</t>
  </si>
  <si>
    <t>Myrcia bracteata</t>
  </si>
  <si>
    <t>Myrcia deflexa</t>
  </si>
  <si>
    <t>Syzygium cumini</t>
  </si>
  <si>
    <t>Calyptranthes lucida</t>
  </si>
  <si>
    <t>Eugenia bimarginata</t>
  </si>
  <si>
    <t>Campomanesia guazumifolia</t>
  </si>
  <si>
    <t>Myrcia bella</t>
  </si>
  <si>
    <t>Eugenia myrcianthes</t>
  </si>
  <si>
    <t>Eugenia involucrata</t>
  </si>
  <si>
    <t>Eugenia pyriformis</t>
  </si>
  <si>
    <t>Myrcia fenzliana</t>
  </si>
  <si>
    <t>Myrciaria tenella</t>
  </si>
  <si>
    <t>Guapira noxia</t>
  </si>
  <si>
    <t>perema, tapacirica, tapaciriba, mulher pobre, cabelo de negro</t>
  </si>
  <si>
    <t>Andradea floribunda</t>
  </si>
  <si>
    <t>ticica, paudalho macho, ganha saia, siriba de flores grandes</t>
  </si>
  <si>
    <t>Ramisia brasiliensis</t>
  </si>
  <si>
    <t>caixeta</t>
  </si>
  <si>
    <t>Guapira hirsuta</t>
  </si>
  <si>
    <t>maria mole, maria faceira</t>
  </si>
  <si>
    <t>Pisonia ambigua</t>
  </si>
  <si>
    <t>caparrosa, caparrosa-do-campo</t>
  </si>
  <si>
    <t>Neea theifera</t>
  </si>
  <si>
    <t>Neea oppositifolia</t>
  </si>
  <si>
    <t>Neea macrophylla</t>
  </si>
  <si>
    <t>João-mole, João-mole-vermelho</t>
  </si>
  <si>
    <t>Neea madeirana</t>
  </si>
  <si>
    <t>Guapira areolata</t>
  </si>
  <si>
    <t>juvú, três-marias, primavera, buganvilia</t>
  </si>
  <si>
    <t>Bougainvillea glabra</t>
  </si>
  <si>
    <t>maria mole, farinha-seca, ciriba, pau-piranha, cebola</t>
  </si>
  <si>
    <t>Guapira opposita</t>
  </si>
  <si>
    <t>pau-piranha</t>
  </si>
  <si>
    <t>Guapira graciliflora</t>
  </si>
  <si>
    <t>Ouratea parviflora</t>
  </si>
  <si>
    <t>Ouratea spectabilis</t>
  </si>
  <si>
    <t>barba-de-bode, vassoura-de-bruxa</t>
  </si>
  <si>
    <t>Ouratea hexasperma</t>
  </si>
  <si>
    <t>farinha seca, mango do mato</t>
  </si>
  <si>
    <t>Ouratea castaneifolia</t>
  </si>
  <si>
    <t>Cespedesia spathulata</t>
  </si>
  <si>
    <t>Ouratea fieldingiana</t>
  </si>
  <si>
    <t>Ouratea polygyna</t>
  </si>
  <si>
    <t>acariquara, aquariquara, aquariquara roxa</t>
  </si>
  <si>
    <t>Minquartia guianensis</t>
  </si>
  <si>
    <t>castanha de cutia</t>
  </si>
  <si>
    <t>Aptandra tubicina</t>
  </si>
  <si>
    <t>itaubara</t>
  </si>
  <si>
    <t>Heisteria ovata</t>
  </si>
  <si>
    <t>Heisteria silvianii</t>
  </si>
  <si>
    <t>Ximenia americana</t>
  </si>
  <si>
    <t>Chaunochiton kappleri</t>
  </si>
  <si>
    <t>Heisteria citrifolia</t>
  </si>
  <si>
    <t>Chionanthus crassifolius</t>
  </si>
  <si>
    <t>Priogymnanthus hasslerianus</t>
  </si>
  <si>
    <t>Chionanthus trichotomus</t>
  </si>
  <si>
    <t>Agonandra brasiliensis</t>
  </si>
  <si>
    <t>carambola</t>
  </si>
  <si>
    <t>Averrhoa carambola</t>
  </si>
  <si>
    <t>Averrhoa bilimbi</t>
  </si>
  <si>
    <t>Ternstroemia brasiliensis</t>
  </si>
  <si>
    <t>Ternstroemia alnifolia</t>
  </si>
  <si>
    <t>acapori, amarelinho, aracaporé, miratuarama, pau-amarelo</t>
  </si>
  <si>
    <t>Pogonophora schomburgkiana</t>
  </si>
  <si>
    <t>Sete-capa</t>
  </si>
  <si>
    <t>Pera anisotricha</t>
  </si>
  <si>
    <t>Pera bicolor</t>
  </si>
  <si>
    <t>Margaritaria nobilis</t>
  </si>
  <si>
    <t>Savia dictyocarpa</t>
  </si>
  <si>
    <t>canudinho, mamoninha</t>
  </si>
  <si>
    <t>Amanoa glaucophylla</t>
  </si>
  <si>
    <t>côco-anta, jitaí-amarelo, carrapatinho, sapupeminha</t>
  </si>
  <si>
    <t>Amanoa guianensis</t>
  </si>
  <si>
    <t>para tudo</t>
  </si>
  <si>
    <t>Phyllanthus acuminatus</t>
  </si>
  <si>
    <t>Richeria grandis</t>
  </si>
  <si>
    <t>Astrocasia jacobinensis</t>
  </si>
  <si>
    <t>Seguieria langsdorffii</t>
  </si>
  <si>
    <t>Maria Mole,  Peúdo, Umbú</t>
  </si>
  <si>
    <t>Phytolacca dioica</t>
  </si>
  <si>
    <t>Gallesia integrifolia</t>
  </si>
  <si>
    <t>cedrico, cedrinho, cafezinho-do-mato</t>
  </si>
  <si>
    <t>Picramnia parvifolia</t>
  </si>
  <si>
    <t>gogóia</t>
  </si>
  <si>
    <t>Picramnia sellowii</t>
  </si>
  <si>
    <t>camboatã, camboitá</t>
  </si>
  <si>
    <t>Picramnia ramiflora</t>
  </si>
  <si>
    <t>pau-pereira-falso, tariri</t>
  </si>
  <si>
    <t>Picramnia ciliata</t>
  </si>
  <si>
    <t>piranheira</t>
  </si>
  <si>
    <t>Piranhea trifoliata</t>
  </si>
  <si>
    <t>aua hatu nixpu</t>
  </si>
  <si>
    <t>Piper crassinervium</t>
  </si>
  <si>
    <t>barin pakex kabia</t>
  </si>
  <si>
    <t>Piper arboreum</t>
  </si>
  <si>
    <t>pimenta longa, ti nixpu Kaxiwá</t>
  </si>
  <si>
    <t>Piper aduncum</t>
  </si>
  <si>
    <t>Piper cernuum</t>
  </si>
  <si>
    <t>incenso, pau-de-incenso</t>
  </si>
  <si>
    <t>Pittosporum undulatum</t>
  </si>
  <si>
    <t>Chapelão, pajeú</t>
  </si>
  <si>
    <t>Coccoloba rosea</t>
  </si>
  <si>
    <t>Cassu preto, Caneleira, Cabeça de macaco</t>
  </si>
  <si>
    <t>Coccoloba latifolia</t>
  </si>
  <si>
    <t>coaçu, Folha larga, Novateiro, Pajeú, pau-jaú</t>
  </si>
  <si>
    <t>Coccoloba mollis</t>
  </si>
  <si>
    <t>Formigueiro, Pau formiga, Pajaú, Pajeú, Pau jaú</t>
  </si>
  <si>
    <t>Triplaris gardneriana</t>
  </si>
  <si>
    <t>pau-de-estalo, cabuçu</t>
  </si>
  <si>
    <t>Coccoloba alnifolia</t>
  </si>
  <si>
    <t>Triplaris americana</t>
  </si>
  <si>
    <t>Symmeria paniculata</t>
  </si>
  <si>
    <t>Ruprechtia laxiflora</t>
  </si>
  <si>
    <t>Ruprechtia exploratricis</t>
  </si>
  <si>
    <t>capororoquinha</t>
  </si>
  <si>
    <t>Myrsine coriacea</t>
  </si>
  <si>
    <t>Cybianthus glaber</t>
  </si>
  <si>
    <t>Clavija nutans</t>
  </si>
  <si>
    <t>Myrsine guianensis</t>
  </si>
  <si>
    <t>Myrsine umbellata</t>
  </si>
  <si>
    <t>Cybianthus gardneri</t>
  </si>
  <si>
    <t>Cybianthus detergens</t>
  </si>
  <si>
    <t>Panopsis multiflora</t>
  </si>
  <si>
    <t>carne de vaca</t>
  </si>
  <si>
    <t>Roupala longepetiolata</t>
  </si>
  <si>
    <t>gaia vermelha, pau malheira</t>
  </si>
  <si>
    <t>Panopsis rubescens</t>
  </si>
  <si>
    <t>carne de vaca, carvalho vermelha</t>
  </si>
  <si>
    <t>Roupala montana</t>
  </si>
  <si>
    <t>fruto de morcego, mijo de guara</t>
  </si>
  <si>
    <t>Euplassa inaequalis</t>
  </si>
  <si>
    <t>Tambu do cerrado</t>
  </si>
  <si>
    <t>Euplassa rufa</t>
  </si>
  <si>
    <t>carvalho do Brasil</t>
  </si>
  <si>
    <t>Euplassa incana</t>
  </si>
  <si>
    <t>Drypetes variabilis</t>
  </si>
  <si>
    <t>Colubrina glandulosa</t>
  </si>
  <si>
    <t>Cafezinho, Saguragi amarelo</t>
  </si>
  <si>
    <t>Rhamnidium elaeocarpum</t>
  </si>
  <si>
    <t>Joazeiro, Juazeiro</t>
  </si>
  <si>
    <t>Ziziphus joazeiro</t>
  </si>
  <si>
    <t>Rhamnidium glabrum</t>
  </si>
  <si>
    <t>ameixa do Brasil, folha-de-serra do Brasil, serrinha do Brasil</t>
  </si>
  <si>
    <t>Paradrypetes ilicifolia</t>
  </si>
  <si>
    <t>Sterigmapetalum obovatum</t>
  </si>
  <si>
    <t>Rhizophora mangle</t>
  </si>
  <si>
    <t>Prunus chamissoana</t>
  </si>
  <si>
    <t>Prunus myrtifolia</t>
  </si>
  <si>
    <t>Prunus brasiliensis</t>
  </si>
  <si>
    <t>Damasqueiro, Damasco</t>
  </si>
  <si>
    <t>Prunus armeniaca</t>
  </si>
  <si>
    <t>marmeleiro, marmeleiro-da-europa, pereira-do-japão</t>
  </si>
  <si>
    <t>Cydonia oblonga</t>
  </si>
  <si>
    <t>Nêspera, Ameixa-japonesa</t>
  </si>
  <si>
    <t>Eriobotrya japonica</t>
  </si>
  <si>
    <t>Pereira</t>
  </si>
  <si>
    <t>Pyrus communis</t>
  </si>
  <si>
    <t>pessegueiro</t>
  </si>
  <si>
    <t>Prunus persica</t>
  </si>
  <si>
    <t>Prunus avium</t>
  </si>
  <si>
    <t>Arariba</t>
  </si>
  <si>
    <t>Simira grazielae</t>
  </si>
  <si>
    <t>arapoca, pau-de-dóia, peroba d`agua, corticeira-da-mata</t>
  </si>
  <si>
    <t>Rudgea gardenioides</t>
  </si>
  <si>
    <t>pesquim, saco de mono</t>
  </si>
  <si>
    <t>Molopanthera paniculata</t>
  </si>
  <si>
    <t>quina-da-serra, pau-de-colher, quina-da-serra, autupara, folha-larga</t>
  </si>
  <si>
    <t>Bathysa stipulata</t>
  </si>
  <si>
    <t>Chomelia pohliana</t>
  </si>
  <si>
    <t>Rudgea burchelliana</t>
  </si>
  <si>
    <t>Ladenbergia chapadensis</t>
  </si>
  <si>
    <t>Simira glaziovii</t>
  </si>
  <si>
    <t>Posoqueria acutifolia</t>
  </si>
  <si>
    <t>Simira viridiflora</t>
  </si>
  <si>
    <t>genipapo, Jenipapo, Jenipapeiro</t>
  </si>
  <si>
    <t>Genipa americana</t>
  </si>
  <si>
    <t>pau-de-colher, quina-do-mato, fumão, araribão, cauassu, quina-do-Paraná, macuqueiro</t>
  </si>
  <si>
    <t>Bathysa australis</t>
  </si>
  <si>
    <t>quina-do-rio</t>
  </si>
  <si>
    <t>Ladenbergia hexandra</t>
  </si>
  <si>
    <t>Posoqueria latifolia</t>
  </si>
  <si>
    <t>Alseis floribunda</t>
  </si>
  <si>
    <t>amor-dobrado, arapaçu-caa, coraci, coracy, curaci, curacy, genipora, marapua, pica-pau, rabo-de-arara</t>
  </si>
  <si>
    <t>Warszewiczia coccinea</t>
  </si>
  <si>
    <t>apuruí</t>
  </si>
  <si>
    <t>Psychotria mapourioides</t>
  </si>
  <si>
    <t>apuruizinho do mato, canela de veado, cedro bravo</t>
  </si>
  <si>
    <t>Amaioua guianensis</t>
  </si>
  <si>
    <t>caapeba, sobrasil</t>
  </si>
  <si>
    <t>Rustia formosa</t>
  </si>
  <si>
    <t>capança vermelha, capiro</t>
  </si>
  <si>
    <t>Coutarea hexandra</t>
  </si>
  <si>
    <t>chacro, rainha</t>
  </si>
  <si>
    <t>Psychotria carthagenensis</t>
  </si>
  <si>
    <t>congonha-de-bugre, douradão</t>
  </si>
  <si>
    <t>Rudgea viburnoides</t>
  </si>
  <si>
    <t>escorrega macaco, mamalu, mamaluco, mamaluco escorrega macaco, mulateiro scorrega-macaco, pau mulato da terra firme, per de moça</t>
  </si>
  <si>
    <t>Capirona decorticans</t>
  </si>
  <si>
    <t>espinho de judeu, esporão de galo</t>
  </si>
  <si>
    <t>Randia armata</t>
  </si>
  <si>
    <t>jambo de mata</t>
  </si>
  <si>
    <t>Isertia hypoleuca</t>
  </si>
  <si>
    <t>marmelada-de-cachorro</t>
  </si>
  <si>
    <t>Cordiera macrophylla</t>
  </si>
  <si>
    <t>Cordiera sessilis</t>
  </si>
  <si>
    <t>Hamelia patens</t>
  </si>
  <si>
    <t>Noni</t>
  </si>
  <si>
    <t>Morinda citrifolia</t>
  </si>
  <si>
    <t>pau brasil, pau brasil do Acre</t>
  </si>
  <si>
    <t>Simira rubescens</t>
  </si>
  <si>
    <t>puruy-grande</t>
  </si>
  <si>
    <t>Duroia macrophylla</t>
  </si>
  <si>
    <t>veludo, veludo-vermelho</t>
  </si>
  <si>
    <t>Guettarda pohliana</t>
  </si>
  <si>
    <t>vick</t>
  </si>
  <si>
    <t>Faramea corymbosa</t>
  </si>
  <si>
    <t>Palicourea blanchetiana</t>
  </si>
  <si>
    <t>Simira sampaioana</t>
  </si>
  <si>
    <t>Simira hexandra</t>
  </si>
  <si>
    <t>Dialypetalanthus fuscescens</t>
  </si>
  <si>
    <t>Tocoyena foetida</t>
  </si>
  <si>
    <t>Coussarea paniculata</t>
  </si>
  <si>
    <t>Ferdinandusa elliptica</t>
  </si>
  <si>
    <t>Psychotria colorata</t>
  </si>
  <si>
    <t>Chomelia obtusa</t>
  </si>
  <si>
    <t>Guettarda viburnoides</t>
  </si>
  <si>
    <t>Pagamea guianensis</t>
  </si>
  <si>
    <t>Ferdinandusa speciosa</t>
  </si>
  <si>
    <t>Psychotria deflexa</t>
  </si>
  <si>
    <t>Posoqueria longiflora</t>
  </si>
  <si>
    <t>Calycophyllum multiflorum</t>
  </si>
  <si>
    <t>Cordiera elliptica</t>
  </si>
  <si>
    <t>Tocoyena brasiliensis</t>
  </si>
  <si>
    <t>Guettarda angelica</t>
  </si>
  <si>
    <t>amarelão, pau amarelo</t>
  </si>
  <si>
    <t>Euxylophora paraensis</t>
  </si>
  <si>
    <t>arapoca, arapoca branca, arapoca verdadeira, banha-de-galinha, mucanga, sucanga</t>
  </si>
  <si>
    <t>Neoraputia alba</t>
  </si>
  <si>
    <t>guarantã, guarataiá-vermelha</t>
  </si>
  <si>
    <t>Esenbeckia leiocarpa</t>
  </si>
  <si>
    <t>macá, macá-do-cerrado</t>
  </si>
  <si>
    <t>Spiranthera odoratissima</t>
  </si>
  <si>
    <t>amarelinho, canela-de-veado cun-cun, osso-de-burro</t>
  </si>
  <si>
    <t>Helietta apiculata</t>
  </si>
  <si>
    <t>arco-de-pipa, caputu, cataguá, laranjeira-do-mato, limoeira-do-mato</t>
  </si>
  <si>
    <t>Metrodorea stipularis</t>
  </si>
  <si>
    <t>ardente, brauninha, cetim-amargoso, pau-de-urubu, pau-vidro, piolho-de-urubu, sabugueiro-da-mata</t>
  </si>
  <si>
    <t>Dictyoloma vandellianum</t>
  </si>
  <si>
    <t>Metrodorea flavida</t>
  </si>
  <si>
    <t>carne-de-anta, espinho-de-vintém, juva, juvevê, laranjeira-brava, laranjinha, limãozinho, mamica-de-cadela, mamica-de-porca, pau-de-cachorro, tamanqueira-de-espinho, tamanqueira-limão, tamanqueiro(a), tambatarão, tembetaru, teta-de-cadela, tinguaciba</t>
  </si>
  <si>
    <t>Zanthoxylum rhoifolium</t>
  </si>
  <si>
    <t>carrapateiro, chupa-ferro, guamixinga, jasmim-do-mato, mamoninha, qui-de-três-folhas, qui-falsa, qui-qui, ticoró, três folhas, três-folhas-do-mato</t>
  </si>
  <si>
    <t>Galipea jasminiflora</t>
  </si>
  <si>
    <t>carrapateiro, chupa-ferro, pitaguará, vira-sarerê</t>
  </si>
  <si>
    <t>Metrodorea nigra</t>
  </si>
  <si>
    <t>chupa-ferro, guaxipita, guaxupita, mamora, pitaguará-amarelo</t>
  </si>
  <si>
    <t>Esenbeckia grandiflora</t>
  </si>
  <si>
    <t>crista-de-peru, cutianá, cutia-branca, guatambuná, guaximbiriçuná, jaborandiná, pau-de-cutianá</t>
  </si>
  <si>
    <t>Pilocarpus pennatifolius</t>
  </si>
  <si>
    <t>folha-miúda, mucambo, pau-marfim, pereiro-preto</t>
  </si>
  <si>
    <t>Balfourodendron molle</t>
  </si>
  <si>
    <t>laranjeira</t>
  </si>
  <si>
    <t>Zanthoxylum tingoassuiba</t>
  </si>
  <si>
    <t>laranjeira-brava, limãozinho, limãozinho branco, mama-de-porca, mamicão, mamonilha-de-porca, tamanquaré</t>
  </si>
  <si>
    <t>Zanthoxylum riedelianum</t>
  </si>
  <si>
    <t>laranjeira-do-mato, mamoninha, três-folhas, três-folhas-do-mato</t>
  </si>
  <si>
    <t>Esenbeckia febrifuga</t>
  </si>
  <si>
    <t>mamica-de-porca do Sul, maminha-de-porca do Sul</t>
  </si>
  <si>
    <t>Zanthoxylum rigidum</t>
  </si>
  <si>
    <t>coronel, laranjinha, lima d`anta, paratudo-vermelho, pratudo</t>
  </si>
  <si>
    <t>Hortia brasiliana</t>
  </si>
  <si>
    <t>embira, farinha-seca, gramixinga, guamixinga, guamuxinga, guarataia, guataia, guatambu, marfim, pau-cetim, pau-liso, pau-marfim, pequiá-mamo</t>
  </si>
  <si>
    <t>Balfourodendron riedelianum</t>
  </si>
  <si>
    <t>Canela-balão, canela-caju, pau-ferndes</t>
  </si>
  <si>
    <t>Meliosma sellowii</t>
  </si>
  <si>
    <t>Banara brasiliensis</t>
  </si>
  <si>
    <t>laranjinha, pau-de-espeto, vidro</t>
  </si>
  <si>
    <t>Casearia gossypiosperma</t>
  </si>
  <si>
    <t>louro-da-várzea, oura, salseiro</t>
  </si>
  <si>
    <t>Salix humboldtiana</t>
  </si>
  <si>
    <t>Casearia lasiophylla</t>
  </si>
  <si>
    <t>aroara, catuabinha, jitozinho, shua bata</t>
  </si>
  <si>
    <t>Hasseltia floribunda</t>
  </si>
  <si>
    <t>assucará, espinho-de-agulha, coroa de cristo</t>
  </si>
  <si>
    <t>Xylosma ciliatifolia</t>
  </si>
  <si>
    <t>azulão cafera</t>
  </si>
  <si>
    <t>Casearia ulmifolia</t>
  </si>
  <si>
    <t>Casearia decandra</t>
  </si>
  <si>
    <t>camarão-branco, rama-branca, capança-braba, boieira, língua-de-velho, pindaíba, língua-de-cão, folha-de-carne, chá-de-frade, erva-de-lagarto, espeteiro, pau-prego, pau-de-olaria, muirapuama, carniceiroíba, erva-de-lagarto, imbuí-amarelo, folha-de-carne, puleiro-de-pombo, língua -de-tiú</t>
  </si>
  <si>
    <t>Casearia arborea</t>
  </si>
  <si>
    <t>capança, mata calado, mutamba brava</t>
  </si>
  <si>
    <t>Casearia javitensis</t>
  </si>
  <si>
    <t>Casearia commersoniana</t>
  </si>
  <si>
    <t>guaçatonga, pau-de-lagarto</t>
  </si>
  <si>
    <t>Casearia sylvestris</t>
  </si>
  <si>
    <t>Casearia eichleriana</t>
  </si>
  <si>
    <t>Populus alba</t>
  </si>
  <si>
    <t>Populus nigra</t>
  </si>
  <si>
    <t>Ryania speciosa</t>
  </si>
  <si>
    <t>Casearia grandiflora</t>
  </si>
  <si>
    <t>Prockia crucis</t>
  </si>
  <si>
    <t>Homalium guianense</t>
  </si>
  <si>
    <t>Xylosma benthamii</t>
  </si>
  <si>
    <t>Laetia procera</t>
  </si>
  <si>
    <t>Casearia guianensis</t>
  </si>
  <si>
    <t>Banara arguta</t>
  </si>
  <si>
    <t>Xylosma prockia</t>
  </si>
  <si>
    <t>Casearia rupestris</t>
  </si>
  <si>
    <t>Casearia obliqua</t>
  </si>
  <si>
    <t>sombra-de-touro</t>
  </si>
  <si>
    <t>Acanthosyris spinescens</t>
  </si>
  <si>
    <t>Acanthosyris paulo-alvinii</t>
  </si>
  <si>
    <t>Melicoccus espiritosantensis</t>
  </si>
  <si>
    <t>camboatá</t>
  </si>
  <si>
    <t>Cupania emarginata</t>
  </si>
  <si>
    <t>Tripterodendron filicifolium</t>
  </si>
  <si>
    <t>timbó-do-cerrado, tingui</t>
  </si>
  <si>
    <t>Magonia pubescens</t>
  </si>
  <si>
    <t>Maria-pobre, Farinha-seca, Mamona-pobre, Maria-mole, Puta-pobre, Pau-pobre</t>
  </si>
  <si>
    <t>Dilodendron bipinnatum</t>
  </si>
  <si>
    <t>arco-de-barril, rabo-de-bugio</t>
  </si>
  <si>
    <t>Cupania vernalis</t>
  </si>
  <si>
    <t>Matayba guianensis</t>
  </si>
  <si>
    <t>camboatá, camboatá-de-folha-larga</t>
  </si>
  <si>
    <t>Cupania oblongifolia</t>
  </si>
  <si>
    <t>cambotá da folha grande, pitomba, pitomba brava, pitombinha, breu-pitomba</t>
  </si>
  <si>
    <t>Talisia cerasina</t>
  </si>
  <si>
    <t>cuvantã, mataiba, miguel-pintado, pau-de-pombo, aroeira-branca, camboatá, camboatá-branco, craguatã, crangoatã, crangoatá-branco</t>
  </si>
  <si>
    <t>Matayba elaeagnoides</t>
  </si>
  <si>
    <t>espetura-liso</t>
  </si>
  <si>
    <t>Matayba arborescens</t>
  </si>
  <si>
    <t>farinha-seca</t>
  </si>
  <si>
    <t>Diplokeleba floribunda</t>
  </si>
  <si>
    <t>fruta de paraó, vacum, baga-de-morcego, três-folhas-do-mato, murta-vermelha, murici-brava, chal-chal, perta-cu, fruto-do-rei, vacunzinho, fruto-de-pombo, canhou</t>
  </si>
  <si>
    <t>Allophylus edulis</t>
  </si>
  <si>
    <t>pitomba, pitombeira, feijao-cru, pitomba-da-mata, pitomba-de-macaco, olhio-de-boi</t>
  </si>
  <si>
    <t>Talisia esculenta</t>
  </si>
  <si>
    <t>sabão-de-mico, saboeiro, saboneteira, sabonetinho</t>
  </si>
  <si>
    <t>Sapindus saponaria</t>
  </si>
  <si>
    <t>Cupania racemosa</t>
  </si>
  <si>
    <t>Cupania rugosa</t>
  </si>
  <si>
    <t>Toulicia laevigata</t>
  </si>
  <si>
    <t>Toulicia guianensis</t>
  </si>
  <si>
    <t>Dodonaea viscosa</t>
  </si>
  <si>
    <t>Cupania rubiginosa</t>
  </si>
  <si>
    <t>Matayba purgans</t>
  </si>
  <si>
    <t>Talisia coriacea</t>
  </si>
  <si>
    <t>Talisia cupularis</t>
  </si>
  <si>
    <t>Diatenopteryx sorbifolia</t>
  </si>
  <si>
    <t>Melicoccus lepidopetalus</t>
  </si>
  <si>
    <t>cancudo</t>
  </si>
  <si>
    <t>Talisia subalbens</t>
  </si>
  <si>
    <t>cupão, fruta-de-manteiga, pão-do-mato</t>
  </si>
  <si>
    <t>Pouteria butyrocarpa</t>
  </si>
  <si>
    <t>buranhém, casca-doce,</t>
  </si>
  <si>
    <t>Pradosia kuhlmannii</t>
  </si>
  <si>
    <t>bacubicha, bacumacha, bacumixa, bacumixa-branca, curubixa grumixava</t>
  </si>
  <si>
    <t>Micropholis crassipedicellata</t>
  </si>
  <si>
    <t>bapeba, bapeba-pedrim, língua-de-vaca</t>
  </si>
  <si>
    <t>Chrysophyllum splendens</t>
  </si>
  <si>
    <t>bunhanhém, pau-de-remo, pau-doce, guaranhém, buranhém, cacau-de-caboclo, marmixa, abiu-do-mato, abiu-de-macaco, buranhém</t>
  </si>
  <si>
    <t>Pradosia lactescens</t>
  </si>
  <si>
    <t>cacheta, caixeta, caxeta, caixeta-amarela, caxeta-amarela, massaranduba, aguaí</t>
  </si>
  <si>
    <t>Chrysophyllum viride</t>
  </si>
  <si>
    <t>murta</t>
  </si>
  <si>
    <t>Chrysophyllum inornatum</t>
  </si>
  <si>
    <t>Pradosia glaziovii</t>
  </si>
  <si>
    <t>Pouteria grandiflora</t>
  </si>
  <si>
    <t>Chrysophyllum flexuosum</t>
  </si>
  <si>
    <t>Manilkara longifolia</t>
  </si>
  <si>
    <t>abiora, abiora-do-igapó, abiura</t>
  </si>
  <si>
    <t>Pouteria glomerata</t>
  </si>
  <si>
    <t>abiora, abiora-preta, abiu, abiu-da-várzea, guapeba, pau-pereira</t>
  </si>
  <si>
    <t>Pouteria reticulata</t>
  </si>
  <si>
    <t>Pouteria torta</t>
  </si>
  <si>
    <t>Maçaranduba</t>
  </si>
  <si>
    <t>Manilkara rufula</t>
  </si>
  <si>
    <t>Sideroxylon obtusifolium</t>
  </si>
  <si>
    <t>abio, abiora-peluda, abiu, abiura, abiu-da-restinga, abiura-do-carazal, abiura-vermelha, gema-de-ovo, guapeva, guapeva-carvão, guapeva-mirim,</t>
  </si>
  <si>
    <t>Pouteria caimito</t>
  </si>
  <si>
    <t>Pouteria filipes</t>
  </si>
  <si>
    <t>abiora, abiu-rosadinha, aspeba, bapeba bapeba-de-casca-preta, guaracica, maparajuba-branca, Leiteiro</t>
  </si>
  <si>
    <t>Pouteria bangii</t>
  </si>
  <si>
    <t>abiora-abiu, abiu-fofo, acá, acá-preto, bapeba-preta, coquira-braba-grande, coquira-brava, fruta-ba, uacá,</t>
  </si>
  <si>
    <t>Ecclinusa ramiflora</t>
  </si>
  <si>
    <t>abiu, abiura,</t>
  </si>
  <si>
    <t>Pouteria oblanceolata</t>
  </si>
  <si>
    <t>abiura</t>
  </si>
  <si>
    <t>Pouteria bilocularis</t>
  </si>
  <si>
    <t>abiura, abiura-gigante, guajara, guapeba,</t>
  </si>
  <si>
    <t>Pouteria guianensis</t>
  </si>
  <si>
    <t>abiura, llombrigueira, pau-de-rato</t>
  </si>
  <si>
    <t>Elaeoluma glabrescens</t>
  </si>
  <si>
    <t>aguaí, aguaí-da-serra, bapeba, cutite-branco, guatambu-de-leitená</t>
  </si>
  <si>
    <t>Chrysophyllum gonocarpum</t>
  </si>
  <si>
    <t>aguai, cuti-guaçu</t>
  </si>
  <si>
    <t>Pouteria gardneriana</t>
  </si>
  <si>
    <t>cambuca, guajara-do-igapó</t>
  </si>
  <si>
    <t>Sarcaulus brasiliensis</t>
  </si>
  <si>
    <t>catuaba</t>
  </si>
  <si>
    <t>Micropholis gardneriana</t>
  </si>
  <si>
    <t>cururu</t>
  </si>
  <si>
    <t>Pouteria egregia</t>
  </si>
  <si>
    <t>fruta-do-veado, louco, massaranduba, maçaranduba, pessegueiro-do-cerrado, pitomba-de-leite, abiu-cutite</t>
  </si>
  <si>
    <t>Pouteria ramiflora</t>
  </si>
  <si>
    <t>guacá-de-leite</t>
  </si>
  <si>
    <t>Pouteria venosa</t>
  </si>
  <si>
    <t>maçaranduba, maparajuba, massaranduba</t>
  </si>
  <si>
    <t>Manilkara inundata</t>
  </si>
  <si>
    <t>maçarandubara</t>
  </si>
  <si>
    <t>Manilkara triflora</t>
  </si>
  <si>
    <t>maparajuba, maparajuba-vermelha, massaranduba,</t>
  </si>
  <si>
    <t>Pouteria procera</t>
  </si>
  <si>
    <t>Sapoti</t>
  </si>
  <si>
    <t>Manilkara zapota</t>
  </si>
  <si>
    <t>Chrysophyllum sanguinolentum</t>
  </si>
  <si>
    <t>Micropholis guyanensis</t>
  </si>
  <si>
    <t>Pouteria cuspidata</t>
  </si>
  <si>
    <t>Cutite</t>
  </si>
  <si>
    <t>Pouteria macrophylla</t>
  </si>
  <si>
    <t>Chrysophyllum lucentifolium</t>
  </si>
  <si>
    <t>Diploon cuspidatum</t>
  </si>
  <si>
    <t>Pouteria durlandii</t>
  </si>
  <si>
    <t>Chrysophyllum marginatum</t>
  </si>
  <si>
    <t>Mimusops coriacea</t>
  </si>
  <si>
    <t>Manilkara excelsa</t>
  </si>
  <si>
    <t>Manilkara elata</t>
  </si>
  <si>
    <t>abiora-branca, abiura,</t>
  </si>
  <si>
    <t>Pouteria franciscana</t>
  </si>
  <si>
    <t>abiura-vermelha</t>
  </si>
  <si>
    <t>Pouteria platyphylla</t>
  </si>
  <si>
    <t>massaranduba</t>
  </si>
  <si>
    <t>Pouteria andarahiensis</t>
  </si>
  <si>
    <t>prejuí</t>
  </si>
  <si>
    <t>Micropholis gnaphaloclados</t>
  </si>
  <si>
    <t>abiu-grande, abiura</t>
  </si>
  <si>
    <t>Pouteria macrocarpa</t>
  </si>
  <si>
    <t>imbiridiba-preta, leitero-folha-miuda, massaranduba-vermelha, sapotinha</t>
  </si>
  <si>
    <t>Pouteria gardneri</t>
  </si>
  <si>
    <t>Pouteria pachycalyx</t>
  </si>
  <si>
    <t>Schoepfia brasiliensis</t>
  </si>
  <si>
    <t>pau-amargo, pau-tenente, tenente-josé</t>
  </si>
  <si>
    <t>Picrasma crenata</t>
  </si>
  <si>
    <t>amarelinho, marupá, marupá preto</t>
  </si>
  <si>
    <t>Simarouba amara</t>
  </si>
  <si>
    <t>cajura</t>
  </si>
  <si>
    <t>Simaba guianensis</t>
  </si>
  <si>
    <t>mata-cachorro, paraíba</t>
  </si>
  <si>
    <t>Simarouba versicolor</t>
  </si>
  <si>
    <t>amarelinho, quariquara branca, quariquara de igapó</t>
  </si>
  <si>
    <t>Siparuna decipiens</t>
  </si>
  <si>
    <t>Capitiú, Negrami, Caápitiú, Limão-bravo</t>
  </si>
  <si>
    <t>Siparuna guianensis</t>
  </si>
  <si>
    <t>Siparuna sarmentosa</t>
  </si>
  <si>
    <t>Sessea brasiliensis</t>
  </si>
  <si>
    <t>Fruta-do-lobo</t>
  </si>
  <si>
    <t>Solanum lycocarpum</t>
  </si>
  <si>
    <t>Solanum cernuum</t>
  </si>
  <si>
    <t>Brunfelsia uniflora</t>
  </si>
  <si>
    <t>Solanum paniculatum</t>
  </si>
  <si>
    <t>Solanum crinitum</t>
  </si>
  <si>
    <t>Cestrum axillare</t>
  </si>
  <si>
    <t>Brugmansia suaveolens</t>
  </si>
  <si>
    <t>Solanum rugosum</t>
  </si>
  <si>
    <t>Solanum swartzianum</t>
  </si>
  <si>
    <t>Solanum mauritianum</t>
  </si>
  <si>
    <t>Solanum variabile</t>
  </si>
  <si>
    <t>ivaí, pombinho</t>
  </si>
  <si>
    <t>Discophora guianensis</t>
  </si>
  <si>
    <t>Styrax latifolius</t>
  </si>
  <si>
    <t>Styrax martii</t>
  </si>
  <si>
    <t>Styrax pohlii</t>
  </si>
  <si>
    <t>Styrax camporum</t>
  </si>
  <si>
    <t>Styrax ferrugineus</t>
  </si>
  <si>
    <t>Symplocos rhamnifolia</t>
  </si>
  <si>
    <t>beira-mato-da-flor-branca, cangalha, cao, caujuja, caú, caú-do-mato, caverú, cinzeira, coa, congonhaná, congonha-falsa, congonha-miúda, jasmim-do-mato, kaa-vera, laranjeira-do-mato, laranjinha-do-mato, maria-molená, maria-mole-branca, maria-mole-de-flor-branca, maria-mole-de-flor-rosa, maria-mole-do-banhadoná, pau, pau-cangalha, pau-de-cangalha, sete-sangriasná, sete-sangrias-do-banhado</t>
  </si>
  <si>
    <t>Symplocos uniflora</t>
  </si>
  <si>
    <t>Symplocos celastrinea</t>
  </si>
  <si>
    <t>cinzeira-do-mato, congonha-do-campo, fruta-de-jacu, laranjinha, laranjinha-arroz-doce, pau-de-cinza,</t>
  </si>
  <si>
    <t>Symplocos pubescens</t>
  </si>
  <si>
    <t>Symplocos platyphylla</t>
  </si>
  <si>
    <t>Symplocos nitens</t>
  </si>
  <si>
    <t>Laplacea fruticosa</t>
  </si>
  <si>
    <t>Embira-amarela, Embira-toicinheira</t>
  </si>
  <si>
    <t>Daphnopsis brasiliensis</t>
  </si>
  <si>
    <t>Embira-branca, Embira-de-sapo</t>
  </si>
  <si>
    <t>Daphnopsis fasciculata</t>
  </si>
  <si>
    <t>Embira-de-sapo, Embira-pimenta</t>
  </si>
  <si>
    <t>Daphnopsis racemosa</t>
  </si>
  <si>
    <t>envira iodo, sardinheira</t>
  </si>
  <si>
    <t>Ampelocera ruizii</t>
  </si>
  <si>
    <t>embaúba-vermelha</t>
  </si>
  <si>
    <t>Cecropia glaziovii Snethl</t>
  </si>
  <si>
    <t>embaúba, embaúba-branca</t>
  </si>
  <si>
    <t>Cecropia ficifolia</t>
  </si>
  <si>
    <t>Cecropia pachystachya</t>
  </si>
  <si>
    <t>embaúba-branca, embaubaçu</t>
  </si>
  <si>
    <t>Cecropia hololeuca</t>
  </si>
  <si>
    <t>embaúba-da-mata</t>
  </si>
  <si>
    <t>Pourouma tomentosa</t>
  </si>
  <si>
    <t>imbaúba-branca</t>
  </si>
  <si>
    <t>Cecropia concolor</t>
  </si>
  <si>
    <t>Cecropia obtusa</t>
  </si>
  <si>
    <t>imbaúba-branca, embaúba-da-pedra</t>
  </si>
  <si>
    <t>Cecropia saxatilis</t>
  </si>
  <si>
    <t>imbaúba-gigante, imbaubão</t>
  </si>
  <si>
    <t>Cecropia sciadophylla</t>
  </si>
  <si>
    <t>imbaúbara, imbaúba, tamaoquare, mapatira</t>
  </si>
  <si>
    <t>Pourouma bicolor</t>
  </si>
  <si>
    <t>imbaúbara, mapatira</t>
  </si>
  <si>
    <t>Pourouma velutina</t>
  </si>
  <si>
    <t>imbaúba-vermelha, imbaúba-da-mata</t>
  </si>
  <si>
    <t>Cecropia distachya</t>
  </si>
  <si>
    <t>mata-pau</t>
  </si>
  <si>
    <t>Coussapoa microcarpa</t>
  </si>
  <si>
    <t>torém, imbaúba-branca, imbaúba-vermelha, galamarte, capeira</t>
  </si>
  <si>
    <t>Cecropia palmata</t>
  </si>
  <si>
    <t>torém, torém abacate, mapatira, embaubarama, puruma, tourém, imbaubara, caramuri</t>
  </si>
  <si>
    <t>Pourouma minor</t>
  </si>
  <si>
    <t>torém-folha-de-lixa, embaúba, imbaubara, tararanga-branca, uva-de-macaco, imbaubara, uva-da-mata, mapatira, mapati, embaubaraná, pau-de-jacuná, embauba-da-mata, amapati, pitinga</t>
  </si>
  <si>
    <t>Pourouma guianensis</t>
  </si>
  <si>
    <t>uva-de-macaco, imbaubara-vermelha, imbaúba, tararanga, tararanga-vermelha, itararanga, uva-de-macaco, amapara, imbaúbara-vermelha, mapatira</t>
  </si>
  <si>
    <t>Pourouma mollis</t>
  </si>
  <si>
    <t>camara</t>
  </si>
  <si>
    <t>Lantana camara</t>
  </si>
  <si>
    <t>Lantana fucata</t>
  </si>
  <si>
    <t>Citharexylum myrianthum</t>
  </si>
  <si>
    <t>Aloysia virgata</t>
  </si>
  <si>
    <t>Paypayrola blanchetiana</t>
  </si>
  <si>
    <t>Rinorea bahiensis</t>
  </si>
  <si>
    <t>canela de garça</t>
  </si>
  <si>
    <t>Rinorea flavescens</t>
  </si>
  <si>
    <t>Leonia glycycarpa</t>
  </si>
  <si>
    <t>Paypayrola grandiflora</t>
  </si>
  <si>
    <t>Rinorea guianensis</t>
  </si>
  <si>
    <t>Vochysia gummifera</t>
  </si>
  <si>
    <t>canela santa, Muricy, muruci-da-serra, murici-rosa</t>
  </si>
  <si>
    <t>Vochysia saldanhana</t>
  </si>
  <si>
    <t>Vochysia oppugnata</t>
  </si>
  <si>
    <t>Gomeira, Goma arábica, Cachoeiro do campo, Araripe, Pau de vinho, Cangira, Caixeta, Caixeto, Vinheiro do Mato, Pau Doce, Congonha, Resineira, Pau de Tucano, Cinzeiro, Cambara</t>
  </si>
  <si>
    <t>Vochysia thyrsoidea</t>
  </si>
  <si>
    <t>Mucerengue, Musserengue, Pau-de-rato, Tapiroroca, Tapororoca</t>
  </si>
  <si>
    <t>Vochysia lucida</t>
  </si>
  <si>
    <t>murici doce</t>
  </si>
  <si>
    <t>Vochysia pruinosa</t>
  </si>
  <si>
    <t>Pau Novo, Pau-Joséná, Pau-de-vinhoná</t>
  </si>
  <si>
    <t>Vochysia magnifica</t>
  </si>
  <si>
    <t>Pau-Doce,</t>
  </si>
  <si>
    <t>Vochysia elliptica</t>
  </si>
  <si>
    <t>Vochysia gardneri</t>
  </si>
  <si>
    <t>Qualea megalocarpa</t>
  </si>
  <si>
    <t>folha-larga, bananeira-do-campo</t>
  </si>
  <si>
    <t>Salvertia convallariodora</t>
  </si>
  <si>
    <t>bruto, quarubara</t>
  </si>
  <si>
    <t>Erisma uncinatum</t>
  </si>
  <si>
    <t>Cambará</t>
  </si>
  <si>
    <t>Vochysia divergens</t>
  </si>
  <si>
    <t>Carvão Branco, Cravo, Jacaré, Tinto Chico</t>
  </si>
  <si>
    <t>Callisthene fasciculata</t>
  </si>
  <si>
    <t>Vochysia ferruginea</t>
  </si>
  <si>
    <t>Jacaré, Pau Terra do Mato,</t>
  </si>
  <si>
    <t>Callisthene major</t>
  </si>
  <si>
    <t>Marapauba, Pau mulato, Cambara, Killu-sisa</t>
  </si>
  <si>
    <t>Vochysia haenkeana</t>
  </si>
  <si>
    <t>Maueira, Maueira roxa</t>
  </si>
  <si>
    <t>Erisma bicolor</t>
  </si>
  <si>
    <t>Pau de Pilão</t>
  </si>
  <si>
    <t>Callisthene minor</t>
  </si>
  <si>
    <t>Pau de Tucano</t>
  </si>
  <si>
    <t>Vochysia tucanorum</t>
  </si>
  <si>
    <t>pau terra de folha larga</t>
  </si>
  <si>
    <t>Qualea grandiflora</t>
  </si>
  <si>
    <t>Quaruba</t>
  </si>
  <si>
    <t>Vochysia floribunda</t>
  </si>
  <si>
    <t>Quaruba, Salado</t>
  </si>
  <si>
    <t>Vochysia obscura</t>
  </si>
  <si>
    <t>Vochysia pyramidalis</t>
  </si>
  <si>
    <t>Qualea dichotoma</t>
  </si>
  <si>
    <t>Qualea cryptantha</t>
  </si>
  <si>
    <t>Vochysia laurifolia</t>
  </si>
  <si>
    <t>Vochysia emarginata</t>
  </si>
  <si>
    <t>Vochysia cinnamomea</t>
  </si>
  <si>
    <t>Qualea multiflora</t>
  </si>
  <si>
    <t>Vochysia grandis</t>
  </si>
  <si>
    <t>Pau-doce</t>
  </si>
  <si>
    <t>Vochysia rufa</t>
  </si>
  <si>
    <t>Qualea acuminata</t>
  </si>
  <si>
    <t>Qualea paraensis</t>
  </si>
  <si>
    <t>Vochysia citrifolia</t>
  </si>
  <si>
    <t>Qualea parviflora</t>
  </si>
  <si>
    <t>Qualea cordata</t>
  </si>
  <si>
    <t>Vochysia obidensis</t>
  </si>
  <si>
    <t>Drimys brasiliensis</t>
  </si>
  <si>
    <t>Pequi, Piquia</t>
  </si>
  <si>
    <t>Caryocar villosum</t>
  </si>
  <si>
    <t>Rabo-de-camaleão</t>
  </si>
  <si>
    <t>Caryocar glabrum</t>
  </si>
  <si>
    <t xml:space="preserve">Rapa-canela, Jucuri, Espinheiro-bravo, Cega-olho, Calumbi-preto </t>
  </si>
  <si>
    <t>Piptadenia adiantoides</t>
  </si>
  <si>
    <t xml:space="preserve">Attalea phalerata </t>
  </si>
  <si>
    <t>Eucalyptus urophylla</t>
  </si>
  <si>
    <t>Cordiera concolor</t>
  </si>
  <si>
    <t>Davilla elliptica</t>
  </si>
  <si>
    <t>araçá-cascudo</t>
  </si>
  <si>
    <t>Psidium laruotteanum</t>
  </si>
  <si>
    <t>catinga-de-porco, tanibuca, muçambé, cuiarana, tanimbuca, chapada, merindiba</t>
  </si>
  <si>
    <t>Terminalia tetraphylla</t>
  </si>
  <si>
    <t>Heteropterys argyrophaea</t>
  </si>
  <si>
    <t>Canela-de-ema</t>
  </si>
  <si>
    <t>Vellozia squamata</t>
  </si>
  <si>
    <t>gameleira</t>
  </si>
  <si>
    <t>Ficus killipii</t>
  </si>
  <si>
    <t>Cipó de São João, Flor de São João</t>
  </si>
  <si>
    <t>Pyrostegia venusta</t>
  </si>
  <si>
    <t>id</t>
  </si>
  <si>
    <t>descrição</t>
  </si>
  <si>
    <t>Unidade de Medida</t>
  </si>
  <si>
    <t xml:space="preserve">Escoramento </t>
  </si>
  <si>
    <t>m³</t>
  </si>
  <si>
    <t>Estacas</t>
  </si>
  <si>
    <t>Mourões</t>
  </si>
  <si>
    <t>Tora</t>
  </si>
  <si>
    <t>Toretes</t>
  </si>
  <si>
    <t>Lascas</t>
  </si>
  <si>
    <t>ST</t>
  </si>
  <si>
    <t>Palmito in Natura</t>
  </si>
  <si>
    <t>ESTIRPE</t>
  </si>
  <si>
    <t>Óleos Essenciais</t>
  </si>
  <si>
    <t>L</t>
  </si>
  <si>
    <t xml:space="preserve">Óleos Essenciais </t>
  </si>
  <si>
    <t>kg</t>
  </si>
  <si>
    <t>Planta Viva</t>
  </si>
  <si>
    <t>UN</t>
  </si>
  <si>
    <t>especie_id</t>
  </si>
  <si>
    <t>latitude</t>
  </si>
  <si>
    <t>longitude</t>
  </si>
  <si>
    <t>produto_id</t>
  </si>
  <si>
    <t>volume</t>
  </si>
  <si>
    <r>
      <t xml:space="preserve">2.2.1 </t>
    </r>
    <r>
      <rPr>
        <sz val="11"/>
        <rFont val="Roboto"/>
      </rPr>
      <t xml:space="preserve">Padrão de Preenchimento da Latitude e Longitude: Preencha as coordenadas geográficas em grau, minuto e segundo e utilize o sistema de referência oficial SIRGAS 2000.
</t>
    </r>
  </si>
  <si>
    <t>Esta aba está dividida em duas partes: Espécies e Dados a serem exportados.</t>
  </si>
  <si>
    <r>
      <t>2.2.2</t>
    </r>
    <r>
      <rPr>
        <sz val="11"/>
        <rFont val="Roboto"/>
      </rPr>
      <t xml:space="preserve"> Padrão de preenchimento do tipo de Produto: Consulte a aba 4 - LISTA DOS TIPOS DE PRODUTOS para obter o ID correspondente ao produto desejado </t>
    </r>
  </si>
  <si>
    <t>Exemplo Latitude: -16°44'20.00</t>
  </si>
  <si>
    <t>Exemplo Longitude: -49°05'43.10</t>
  </si>
  <si>
    <t>Obs: As coordenadas não podem se repetir, pois não é possível ter mais de um indivíduo na mesma localização. Entretanto, se um único indivíduo produzir mais de um tipo de produto, somente nesse caso é permitida a repetição das coordenadas para aquele indivíduo.</t>
  </si>
  <si>
    <t>• A parte dados a serem exportados são as informações que serão exportadas para o sistema.</t>
  </si>
  <si>
    <t xml:space="preserve">do usuário. Entretanto, é essa aba que deverá ser convertida em CSV para upload no sistema. Recomenda-se verificar se os dados inseridos foram corretamente </t>
  </si>
  <si>
    <t>transferidos para esta aba.</t>
  </si>
  <si>
    <t xml:space="preserve">ATENÇÃO: A aba '5 - RESULTADO PARA EXPORTAÇÃO' deve ser salva no formato csv. </t>
  </si>
  <si>
    <t>Xaxim</t>
  </si>
  <si>
    <r>
      <t xml:space="preserve">2.2.3 </t>
    </r>
    <r>
      <rPr>
        <sz val="11"/>
        <rFont val="Roboto"/>
      </rPr>
      <t>Padrão de preenchimento de Volume: Insira o valor correspondente ao volume, respeitando a unidade de medida apropriada.</t>
    </r>
    <r>
      <rPr>
        <b/>
        <sz val="11"/>
        <rFont val="Roboto"/>
      </rPr>
      <t xml:space="preserve"> </t>
    </r>
    <r>
      <rPr>
        <sz val="11"/>
        <rFont val="Roboto"/>
      </rPr>
      <t xml:space="preserve">Deve ser usado 'ponto', </t>
    </r>
  </si>
  <si>
    <r>
      <t>exemplo: 34</t>
    </r>
    <r>
      <rPr>
        <b/>
        <sz val="11"/>
        <color rgb="FFFF0000"/>
        <rFont val="Roboto"/>
      </rPr>
      <t>.</t>
    </r>
    <r>
      <rPr>
        <sz val="11"/>
        <rFont val="Roboto"/>
      </rPr>
      <t>5 m³</t>
    </r>
  </si>
  <si>
    <t>Goiabeira-serrana</t>
  </si>
  <si>
    <t>Acca sellowiana</t>
  </si>
  <si>
    <t>Tento-carolina</t>
  </si>
  <si>
    <t>Adenanthera pavonina</t>
  </si>
  <si>
    <t>Ébano-europeu</t>
  </si>
  <si>
    <t>Albizia lebbeck</t>
  </si>
  <si>
    <t>Coração-de-negro</t>
  </si>
  <si>
    <t>Ébano-oriental</t>
  </si>
  <si>
    <t>Amargoso</t>
  </si>
  <si>
    <t>Aspidosperma spruceanum</t>
  </si>
  <si>
    <t>Araracanga</t>
  </si>
  <si>
    <t>indaia, babassu, catolé</t>
  </si>
  <si>
    <t>Attalea compta</t>
  </si>
  <si>
    <t>Árvore-de-São-thomaz</t>
  </si>
  <si>
    <t>Vinagreiro</t>
  </si>
  <si>
    <t>Camama, Castanha-de-cutia, Camará, Oiti-do-pará</t>
  </si>
  <si>
    <t>Couepia guianensis</t>
  </si>
  <si>
    <t>Jambo</t>
  </si>
  <si>
    <t>Eugenia jambos</t>
  </si>
  <si>
    <t>Pitanga</t>
  </si>
  <si>
    <t>Eugenia uniflora</t>
  </si>
  <si>
    <t>Caxinguba</t>
  </si>
  <si>
    <t>Ficus guianensis</t>
  </si>
  <si>
    <t>Saco-de-boi</t>
  </si>
  <si>
    <t>Kielmeyera variabilis</t>
  </si>
  <si>
    <t>Pau-de-São-João</t>
  </si>
  <si>
    <t>Folha-santa</t>
  </si>
  <si>
    <t>Jacarandá-de-espinho, escada-de-macaco</t>
  </si>
  <si>
    <t>Jacarandá-bico-de-pato</t>
  </si>
  <si>
    <t>Machaerium nictitans</t>
  </si>
  <si>
    <t>Acerola</t>
  </si>
  <si>
    <t>Malpighia emarginata</t>
  </si>
  <si>
    <t>Pau-de-balsa</t>
  </si>
  <si>
    <t>Ochroma pyramidale</t>
  </si>
  <si>
    <t>Queresmeira</t>
  </si>
  <si>
    <t>Pleroma granulosum</t>
  </si>
  <si>
    <t>Coração</t>
  </si>
  <si>
    <t>Poecilanthe parviflora</t>
  </si>
  <si>
    <t>Psidium grandifolium</t>
  </si>
  <si>
    <t>cafezinho</t>
  </si>
  <si>
    <t>Psidium pohlianum</t>
  </si>
  <si>
    <t>Cajarana</t>
  </si>
  <si>
    <t>Spondias dulcis</t>
  </si>
  <si>
    <t>Taperebá-açu</t>
  </si>
  <si>
    <t>Cajá-açu</t>
  </si>
  <si>
    <t>Cajá-manga</t>
  </si>
  <si>
    <t>Taboca</t>
  </si>
  <si>
    <t>Sterculia pilosa</t>
  </si>
  <si>
    <t>Cachaporra-do-gentio , Capitão-do-mato, Caxapora-do-gentio, Pau-garrote, Capitão-do-campo, Mirindiba, Cinzeiro, Tanibuca, Capitão, Cuia</t>
  </si>
  <si>
    <t>Flor-de-quaresma, Quaresma, Quaresmão, Quaresmeira, Cuiupeva</t>
  </si>
  <si>
    <t>Tibouchina stenocarpa</t>
  </si>
  <si>
    <t>Catiguá</t>
  </si>
  <si>
    <t>Trichilia claussenii</t>
  </si>
  <si>
    <t>caju-do-cerrado, cajuzinho-do-cerrado, caju-anão, caju-do-campo, cajuí­, cajuhy, caju-mirim, caju-rasteiro, cajuzinho, cajuzinho-do-campo</t>
  </si>
  <si>
    <t xml:space="preserve">Gonçalo Alves, Gonçalo, Aroeira-d'água, Brito, Ubatan </t>
  </si>
  <si>
    <t>Pimenta-de-macaco, Imbiriba, Envireira, Begerecum, Imbiriba E Pimentinha, Pimenta-de-bugre, Envira-preta, Pindaíba, Pachinhos, Pimenta, Pimenta-de-gentio, Pimenta-de-macaco, Pimenta-de-negro, Pimenteira, Pindaíba-do-campo, Envireira, PindaÃ­va, Bananinha, Cedro-do-campo, Pimenteira, Pindaíba-do-cerrado</t>
  </si>
  <si>
    <t>Annona emarginata</t>
  </si>
  <si>
    <t>carapaúba, carapaúba branca, carapaúba legÃ­tima</t>
  </si>
  <si>
    <t>Congonha, Catuaba-do-mato</t>
  </si>
  <si>
    <t>Dendropanax cuneatus</t>
  </si>
  <si>
    <t>Didymopanax macrocarpus</t>
  </si>
  <si>
    <t>Açaí­ chumbo, Açai da mata, Açaí­da-terra-firme</t>
  </si>
  <si>
    <t>Açaí­, Açaí­-do-pará¡, Açaizeiro, Palmito-açaí­, Uaçaí­</t>
  </si>
  <si>
    <t>Buriti, Miritirana, Buritirana, Caraná-do-mato, Caraná</t>
  </si>
  <si>
    <t>alecrim, alecrim-do-mato</t>
  </si>
  <si>
    <t>Baccharis montana</t>
  </si>
  <si>
    <t>Malolõ, Canela-branca</t>
  </si>
  <si>
    <t>caroba, pará¡ parai guazú</t>
  </si>
  <si>
    <t>ipe de flor roxa</t>
  </si>
  <si>
    <t>Tabebuia reticulata</t>
  </si>
  <si>
    <t>Caraiba, Cinco Folhas do Campo, Ipê, Ipê-amarelo, Pão D'arco, Paratudo</t>
  </si>
  <si>
    <t>Handroanthus diamantinensis</t>
  </si>
  <si>
    <t>Handroanthus grandiflorus</t>
  </si>
  <si>
    <t>Tabebuia stenocalyx</t>
  </si>
  <si>
    <t>Ipê-amarelo-do-brejo</t>
  </si>
  <si>
    <t>Handroanthus umbellatus</t>
  </si>
  <si>
    <t>Handroanthus parviflorus</t>
  </si>
  <si>
    <t>Handroanthus vellosoi</t>
  </si>
  <si>
    <t>buxixão</t>
  </si>
  <si>
    <t>Cochlospermum orinocense</t>
  </si>
  <si>
    <t>Grão de galo</t>
  </si>
  <si>
    <t>Pau-santo, Pau-de-São-João, Pau-louro, Pau-louro-d`anta</t>
  </si>
  <si>
    <t>Guandi, jacaréuba, Jacaréuba, Landim</t>
  </si>
  <si>
    <t>Cipó farinha seca, Cipó laranjinha, Grão de galo, Gumbixava</t>
  </si>
  <si>
    <t>Monteverdia floribunda</t>
  </si>
  <si>
    <t>bacopará­, bacupará­, sapota-de-guará</t>
  </si>
  <si>
    <t>bacuparí, laranjinha-do-mato, sete-capas, SIPUTÃ</t>
  </si>
  <si>
    <t>bacupará­, pitombinha</t>
  </si>
  <si>
    <t>Monteverdia gonoclada</t>
  </si>
  <si>
    <t>bafo-de-vaca</t>
  </si>
  <si>
    <t>macucu</t>
  </si>
  <si>
    <t>Leptobalanus apetalus</t>
  </si>
  <si>
    <t>Leptobalanus octandrus</t>
  </si>
  <si>
    <t>gameleira do Brasil</t>
  </si>
  <si>
    <t>Clusia burchellii</t>
  </si>
  <si>
    <t>pequi-izaias, piquÃ­-doce, piuna</t>
  </si>
  <si>
    <t>Cachaporra-do-gentio	, Capitão-do-mato, Caxapora-do-gentio, Pau-garrote, Capitão-do-campo, 	Mirindiba,  Cinzeiro, Tanibuca, Capitão, Cuia</t>
  </si>
  <si>
    <t>cocara-do-cerrado, cumixÃ¡, guarda-orvalho, pimentinha</t>
  </si>
  <si>
    <t>arique queimosa/pará¡, marmelo/Acre, marmeleiroazos, morocototóazos, tapiá-branco/Ma, tapiá-guaçu/Ma, ara-ky y/Ma, lava-prato-branco/Bahia, velame/Bahia, marmeleira/Mato Grosso, pau-de-facho/Santa Catari</t>
  </si>
  <si>
    <t>cunurÃ­, momofi</t>
  </si>
  <si>
    <t>Pau-de-sangue, sangra-D'agua, urucura</t>
  </si>
  <si>
    <t>taquarira</t>
  </si>
  <si>
    <t>Mabea piriri</t>
  </si>
  <si>
    <t>juru, sucupira-da-beira-d'água</t>
  </si>
  <si>
    <t>Bauhinia holophylla</t>
  </si>
  <si>
    <t>macanaiba-marreta, sucupira, sucupira-açu, sucupira-açu, sucupira-mirim, macanaíba-marreta</t>
  </si>
  <si>
    <t>ingá mirim, ingá feijão, ingá lagarta, ingá pequenoÃ­ba, ingá branco, ingá da praia, ingá chichi, ingá chichica, ingá cururu, ingaí</t>
  </si>
  <si>
    <t>Vinhático-do-cerrado, Vinhático-do-campo, Vinhático, Amarelinho, Vinhático-testa-de-boi, Candeia, Pau-de-candeia, Oiteira, Vinhático-castanho, Pau-amarelo, Amarelo, Acende-candeia, Vinhático-branco, VinhÃ¡tivo-rajado</t>
  </si>
  <si>
    <t>Angelim-do-igapó, Fava-bolacha, Fava-de-impigem, Faveira-do-igapó, guáboa Marupa del bajo</t>
  </si>
  <si>
    <t>Banha-de-galinha, Carne-d'anta, Pau-d'anta</t>
  </si>
  <si>
    <t>Carne-d'anta, Moela-de-galinha, Pau-de-ema, Pau-mocó</t>
  </si>
  <si>
    <t>Copaíba, Pau-d'óleo</t>
  </si>
  <si>
    <t>Embira-de-sapo, Envira-piaca, Rabo-de-bugiu, Mal-casado, Falso-timbó</t>
  </si>
  <si>
    <t>Lonchocarpus cultratus</t>
  </si>
  <si>
    <t>ingá banana, ingá caixão, ingá facão, ingá banana, ingá branco, ingá de quatro quina</t>
  </si>
  <si>
    <t>ingá cabeludo, ingá peludo, ingá</t>
  </si>
  <si>
    <t>ingá, ingá Cipó, rabo de mico</t>
  </si>
  <si>
    <t>ingá, ingá ferro, ingá vermelha, ingá, Ingaí, ingá branca, ingá xixi</t>
  </si>
  <si>
    <t>Jacarandá-Cipó, Jacarandá-sangue</t>
  </si>
  <si>
    <t>jureminha, jurema-branca, jurema-de-imbirra</t>
  </si>
  <si>
    <t>Mimosa ophthalmocentra</t>
  </si>
  <si>
    <t>JutaÃ­, JutaÃ­, pororoca, Jutaicica, Cururu, Quebra-machado, Durinho, Ironwood, Jitai-preto, Jataipeba, Roxinho, Pau-ferro, Tamari, Cinzeiro</t>
  </si>
  <si>
    <t>JutaÃ­-cica</t>
  </si>
  <si>
    <t>São-João-preto</t>
  </si>
  <si>
    <t>sucupira-preta, Coração-de-negro</t>
  </si>
  <si>
    <t>Chamaecrista orbiculata</t>
  </si>
  <si>
    <t>Mimosa claussenii</t>
  </si>
  <si>
    <t>Fava, Fava-de-sucupira, Faveira, Faveiro-amarelo, Faveiro-azul, Faveiro-vermelho, Sucupira, Sucupira-branca, Sucupira-lisa</t>
  </si>
  <si>
    <t>Faveira, Sucupira-branca, Sucupira-peluda</t>
  </si>
  <si>
    <t>Calumbi</t>
  </si>
  <si>
    <t>Piptadenia killipii</t>
  </si>
  <si>
    <t>Swartzia parvipetala</t>
  </si>
  <si>
    <t>Jacarandá¡, Faveira-de-espinho, Faveira, Braúna-branca, Angico-de-espinho, Angico-brabo</t>
  </si>
  <si>
    <t>Angico-branco, Angico, Angico-branco-liso, CurupaÃ­, Curupaíba, Angico-coco, Angico-escuro, Angico-liso, Angico-vermelho, Cambuí-angico</t>
  </si>
  <si>
    <t>cumaru cetim, mitaroÃ¡, Garapa, Amarelão, Grapia</t>
  </si>
  <si>
    <t>jutaÃ­</t>
  </si>
  <si>
    <t>embiramapÃ­rto Santo, tauari, toari</t>
  </si>
  <si>
    <t>castanha do Brasil, castanha-do-pará¡, castanheira, castaña</t>
  </si>
  <si>
    <t>Murici D'anta</t>
  </si>
  <si>
    <t>Byrsonima intermedia</t>
  </si>
  <si>
    <t>imbiratanha do Brasil, imbiriçuú do Brasil</t>
  </si>
  <si>
    <t>chichá</t>
  </si>
  <si>
    <t>Sterculia curiosa</t>
  </si>
  <si>
    <t>Norantea goyazensis</t>
  </si>
  <si>
    <t>Café bravo, Café do mato, camboatá, catigua branca, gitó</t>
  </si>
  <si>
    <t>Jaca</t>
  </si>
  <si>
    <t>Artocarpus heterophyllus</t>
  </si>
  <si>
    <t>Exótica (Não se aplica)</t>
  </si>
  <si>
    <t>Ficus adhatodifolia</t>
  </si>
  <si>
    <t>Bicuhyba-vermelha, BicuÃ­ba-redonda, Bocuva</t>
  </si>
  <si>
    <t>BicuÃ­ba-açu, BicuÃ­ba-da-folha-larga, Bicuibuçu, Bocuva-fêmea</t>
  </si>
  <si>
    <t>mucuí­ra, ucuúba, ucuuba-de-baixio, ucuúba-de -igapó</t>
  </si>
  <si>
    <t>Myrcia spectabilis</t>
  </si>
  <si>
    <t>araçá</t>
  </si>
  <si>
    <t>Myrcia amazonica</t>
  </si>
  <si>
    <t>Guaquica, Ibá-cuÃ­ca</t>
  </si>
  <si>
    <t>Myrcia racemosa</t>
  </si>
  <si>
    <t>Myrcia eximia</t>
  </si>
  <si>
    <t>Eugenia francavilleana</t>
  </si>
  <si>
    <t>Myrcia retorta</t>
  </si>
  <si>
    <t>pau-judeo, João-mole, João-mole-do-campo, capa-rosa, pau-lepra</t>
  </si>
  <si>
    <t>João-mole, castanha-de-arara</t>
  </si>
  <si>
    <t>João-mole, João-mole</t>
  </si>
  <si>
    <t>juÃ¡-mole</t>
  </si>
  <si>
    <t>Coração-de-bugre-vermelho, quatinga</t>
  </si>
  <si>
    <t>amarelão, cervejinha, imbu d'anta, kangwaruhumyra, Tupi-Guarani, marfim, marfim de veado, páo, pau, pao marfim, páo / pau d'alho do campo, perobinha, qui de veado, qui dôce, pau-marfim-do-Pará, pau-marfim-do-cerrado, pau-d`alho-do-cerrado, cagaita do Sul, marfim-de-espinho, pau-marfim-do-campo, cerveja-de-pobre, pau-marfim-da-mata</t>
  </si>
  <si>
    <t>Agonandra excelsa</t>
  </si>
  <si>
    <t>botãozinho, cabelo de cotia, Café bravo, fruto de jacamin</t>
  </si>
  <si>
    <t>Geissanthus ambiguus</t>
  </si>
  <si>
    <t>Coração-de-negro, pessegueiro-bravo</t>
  </si>
  <si>
    <t>Coussarea hydrangeaefolia</t>
  </si>
  <si>
    <t>alma-da-serra, qui-de-São-paulo, tarumã</t>
  </si>
  <si>
    <t>mato-de-oreçuão, valmoura</t>
  </si>
  <si>
    <t>Alibertia edulis var. edulis</t>
  </si>
  <si>
    <t>arrudaná, cera cozida do Sul, espinheiro-preto, limãozinho preto, maminha preta do Sul, mamiqueira-fedorenta, pau-de-barrão, tabatinga, tamanqueira</t>
  </si>
  <si>
    <t>Zanthoxylum caribaeum</t>
  </si>
  <si>
    <t>Café-bravo, casca grossa, pau d'arquinho, pirarara, pirarara branca</t>
  </si>
  <si>
    <t>cabelo de cotia, brogotó, pau-vidro, cocão-branco, pau-vidro-branco, espeto, espeto-vermelho, guaçatonga, cafera, limão, andorinha, Cambroé, guassatunga, guaçatonga-branca, pau-de-laná, carrapatinhorassa-leitão, assa-peixe, chá-de-bugre, guassatonga, Café-do-mato,guaçatonga, cafezeiro-do-mato, cambroé, guaçatunga, pau-de-espeto, vidro, avinga</t>
  </si>
  <si>
    <t xml:space="preserve">carapauba-Ã­, aderninho-de-capoeira, pau-de-espeto, quebra-facão, cabatão, canela-de-viado, flor-da-noiva, mourão, pa-de-carne, assa-leitão, erva-de-tiú, pau-de-espeto, Café-bravo, farinha-seca, pimentinha, cafezinho-do-mato, sapucainha, Tomimrinke </t>
  </si>
  <si>
    <t>brazeiro, camboatã, canela-de-negro, camboatá-branco, olho-de-cotia, mataiba, batabaiba, jatuÃ¡-uba, jatuÃ¡-iba, atou-aou, pau-da-digestão</t>
  </si>
  <si>
    <t>rambutã, rambutan, rambutão</t>
  </si>
  <si>
    <t>Nephelium lappaceum</t>
  </si>
  <si>
    <t>Grão-de-galo, guapeva</t>
  </si>
  <si>
    <t>abiora, abiura, acÃ¡, avio,</t>
  </si>
  <si>
    <t>caa-vera, chá-de-bugre, congonha, caapoã, congonha-de-bugre, jabãozinho, k`á verá, mate-falso, peroba d'águaná</t>
  </si>
  <si>
    <t>Coração de negro, gogó de guariba, trapiá</t>
  </si>
  <si>
    <t>árvore-da-goma-arábica, árvore-do-vinho, cabeluda-roxa, gomeira, gomeira-de-mis, pau-d`Ã¡gua, pau-de-vinho, pelado, vinheiro-do-campo</t>
  </si>
  <si>
    <t>Bico-de-papagaio</t>
  </si>
  <si>
    <t>Callisthene mollissima</t>
  </si>
  <si>
    <t>canela-santa, cinzeiro, congonha-do-campo, congonheiro, guaruba, jacatirão-branco, louro-d'Água, murici, murici-barrigad'Água, murici-branco, muricica, pau-de-brincos, pau-de-cinza, pau-de-lágrima, rabo-de-arara, rabo-de-tucano</t>
  </si>
  <si>
    <t>Cedro Rana, IutaÃ­ mirim</t>
  </si>
  <si>
    <t xml:space="preserve">Piptadenia killipii </t>
  </si>
  <si>
    <t>Espinheiro</t>
  </si>
  <si>
    <t xml:space="preserve">Piptadenia santosii </t>
  </si>
  <si>
    <t xml:space="preserve">Calumbi, Unha-de-gato, Espinheiro-branco </t>
  </si>
  <si>
    <t>Piptadenia retusa</t>
  </si>
  <si>
    <t>Handroanthus coronatus</t>
  </si>
  <si>
    <t>bacuri, aricuri, uricuri, uricurã-vermelho</t>
  </si>
  <si>
    <t>Palicourea sessilis</t>
  </si>
  <si>
    <t>cambuy, pau-pilão, mirindiba, mijol, cuiarana, tarumarana, merindiba, piá-banheira, pebanheira, biriba, miringiba, imbuzeiro</t>
  </si>
  <si>
    <t>Terminalia corrugata</t>
  </si>
  <si>
    <t>Murta-branca</t>
  </si>
  <si>
    <t>Myrcia selloi</t>
  </si>
  <si>
    <t>unha-de-bode</t>
  </si>
  <si>
    <t>Bauhinia curvula</t>
  </si>
  <si>
    <t>Eugenia sellowiana</t>
  </si>
  <si>
    <t>algodão-do-campo, algodãozinho-do-campo, algodão-bravo</t>
  </si>
  <si>
    <t>Cochlospermum regium</t>
  </si>
  <si>
    <t>graxuma, mutamba, saca-rolha, pimenta-de-mocó</t>
  </si>
  <si>
    <t>Helicteres muscosa</t>
  </si>
  <si>
    <t>Poecilanthe goiasana</t>
  </si>
  <si>
    <t>Aspidosperma brasiliense</t>
  </si>
  <si>
    <t>MYRSINE PARVIFOLIA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</si>
</sst>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3" x14ac:knownFonts="1">
    <font>
      <sz val="11"/>
      <color rgb="FF000000"/>
      <name val="Calibri"/>
      <family val="2"/>
      <charset val="1"/>
    </font>
    <font>
      <sz val="11"/>
      <name val="Roboto"/>
    </font>
    <font>
      <b/>
      <sz val="14"/>
      <color rgb="FFFFFFFF"/>
      <name val="Roboto"/>
    </font>
    <font>
      <sz val="10"/>
      <color rgb="FFFFFFFF"/>
      <name val="Roboto"/>
    </font>
    <font>
      <b/>
      <sz val="11"/>
      <color rgb="FF000000"/>
      <name val="Roboto"/>
    </font>
    <font>
      <sz val="11"/>
      <color rgb="FFFFFFFF"/>
      <name val="Roboto"/>
    </font>
    <font>
      <b/>
      <sz val="11"/>
      <name val="Roboto"/>
    </font>
    <font>
      <b/>
      <sz val="11"/>
      <color rgb="FFFFFFFF"/>
      <name val="Calibri"/>
      <family val="2"/>
      <charset val="1"/>
    </font>
    <font>
      <b/>
      <sz val="11"/>
      <color rgb="FF000000"/>
      <name val="Calibri"/>
      <family val="2"/>
      <charset val="1"/>
    </font>
    <font>
      <sz val="11"/>
      <color rgb="FFFFFFFF"/>
      <name val="Calibri"/>
      <family val="2"/>
      <charset val="1"/>
    </font>
    <font>
      <b/>
      <sz val="11"/>
      <name val="Roboto"/>
    </font>
    <font>
      <sz val="11"/>
      <name val="Roboto"/>
    </font>
    <font>
      <b/>
      <sz val="11"/>
      <color rgb="FFFF0000"/>
      <name val="Roboto"/>
    </font>
  </fonts>
  <fills count="12">
    <fill>
      <patternFill patternType="none"/>
    </fill>
    <fill>
      <patternFill patternType="gray125"/>
    </fill>
    <fill>
      <patternFill patternType="solid">
        <fgColor rgb="FFFFFFFF"/>
        <bgColor rgb="FFE2F2DA"/>
      </patternFill>
    </fill>
    <fill>
      <patternFill patternType="solid">
        <fgColor rgb="FF01911D"/>
        <bgColor rgb="FF008080"/>
      </patternFill>
    </fill>
    <fill>
      <patternFill patternType="solid">
        <fgColor rgb="FF9CCC82"/>
        <bgColor rgb="FF99CCFF"/>
      </patternFill>
    </fill>
    <fill>
      <patternFill patternType="solid">
        <fgColor rgb="FFE2F2DA"/>
        <bgColor rgb="FFE7E6E6"/>
      </patternFill>
    </fill>
    <fill>
      <patternFill patternType="solid">
        <fgColor rgb="FF017B91"/>
        <bgColor rgb="FF008080"/>
      </patternFill>
    </fill>
    <fill>
      <patternFill patternType="solid">
        <fgColor rgb="FFE77839"/>
        <bgColor rgb="FFFF8080"/>
      </patternFill>
    </fill>
    <fill>
      <patternFill patternType="solid">
        <fgColor rgb="FFD5B927"/>
        <bgColor rgb="FFFF9900"/>
      </patternFill>
    </fill>
    <fill>
      <patternFill patternType="solid">
        <fgColor rgb="FF714938"/>
        <bgColor rgb="FF993366"/>
      </patternFill>
    </fill>
    <fill>
      <patternFill patternType="solid">
        <fgColor rgb="FFE7E6E6"/>
        <bgColor rgb="FFE2F2DA"/>
      </patternFill>
    </fill>
    <fill>
      <patternFill patternType="solid">
        <fgColor rgb="FFD9D9D9"/>
        <bgColor rgb="FFE7E6E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0">
    <xf numFmtId="0" fontId="0" fillId="0" borderId="0" xfId="0"/>
    <xf numFmtId="0" fontId="1" fillId="5" borderId="0" xfId="0" applyFont="1" applyFill="1" applyAlignment="1">
      <alignment horizontal="left"/>
    </xf>
    <xf numFmtId="0" fontId="1" fillId="2" borderId="0" xfId="0" applyFont="1" applyFill="1"/>
    <xf numFmtId="0" fontId="5" fillId="5" borderId="0" xfId="0" applyFont="1" applyFill="1" applyAlignment="1">
      <alignment horizontal="left"/>
    </xf>
    <xf numFmtId="0" fontId="1" fillId="5" borderId="0" xfId="0" applyFont="1" applyFill="1"/>
    <xf numFmtId="0" fontId="6" fillId="5" borderId="0" xfId="0" applyFont="1" applyFill="1"/>
    <xf numFmtId="0" fontId="5" fillId="7" borderId="0" xfId="0" applyFont="1" applyFill="1"/>
    <xf numFmtId="0" fontId="1" fillId="7" borderId="0" xfId="0" applyFont="1" applyFill="1"/>
    <xf numFmtId="0" fontId="5" fillId="5" borderId="0" xfId="0" applyFont="1" applyFill="1"/>
    <xf numFmtId="0" fontId="5" fillId="8" borderId="0" xfId="0" applyFont="1" applyFill="1"/>
    <xf numFmtId="0" fontId="1" fillId="8" borderId="0" xfId="0" applyFont="1" applyFill="1"/>
    <xf numFmtId="0" fontId="5" fillId="9" borderId="0" xfId="0" applyFont="1" applyFill="1"/>
    <xf numFmtId="0" fontId="1" fillId="9" borderId="0" xfId="0" applyFont="1" applyFill="1"/>
    <xf numFmtId="0" fontId="0" fillId="0" borderId="0" xfId="0" applyProtection="1">
      <protection locked="0"/>
    </xf>
    <xf numFmtId="0" fontId="0" fillId="0" borderId="0" xfId="0" applyAlignment="1" applyProtection="1">
      <alignment horizontal="center"/>
      <protection locked="0"/>
    </xf>
    <xf numFmtId="164" fontId="0" fillId="0" borderId="0" xfId="0" applyNumberFormat="1" applyAlignment="1" applyProtection="1">
      <alignment horizontal="center"/>
      <protection locked="0"/>
    </xf>
    <xf numFmtId="0" fontId="8" fillId="10" borderId="1" xfId="0" applyFont="1" applyFill="1" applyBorder="1" applyAlignment="1" applyProtection="1">
      <alignment horizontal="center" vertical="center" wrapText="1"/>
      <protection locked="0"/>
    </xf>
    <xf numFmtId="0" fontId="0" fillId="0" borderId="0" xfId="0" applyAlignment="1" applyProtection="1">
      <alignment vertical="center" wrapText="1"/>
      <protection locked="0"/>
    </xf>
    <xf numFmtId="0" fontId="8" fillId="10" borderId="1" xfId="0" applyFont="1" applyFill="1" applyBorder="1" applyAlignment="1">
      <alignment horizontal="center" vertical="center" wrapText="1"/>
    </xf>
    <xf numFmtId="0" fontId="8" fillId="0" borderId="0" xfId="0" applyFont="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pplyProtection="1">
      <alignment horizontal="center" vertical="center"/>
      <protection locked="0"/>
    </xf>
    <xf numFmtId="0" fontId="0" fillId="11" borderId="0" xfId="0" applyFill="1"/>
    <xf numFmtId="0" fontId="9" fillId="7" borderId="0" xfId="0" applyFont="1" applyFill="1"/>
    <xf numFmtId="0" fontId="0" fillId="0" borderId="0" xfId="0" applyAlignment="1">
      <alignment horizontal="center" vertical="center"/>
    </xf>
    <xf numFmtId="0" fontId="2" fillId="2" borderId="0" xfId="0" applyFont="1" applyFill="1" applyAlignment="1">
      <alignment vertical="center"/>
    </xf>
    <xf numFmtId="0" fontId="9" fillId="8" borderId="0" xfId="0" applyFont="1" applyFill="1" applyAlignment="1">
      <alignment horizontal="center" vertical="center"/>
    </xf>
    <xf numFmtId="0" fontId="9" fillId="2" borderId="0" xfId="0" applyFont="1" applyFill="1"/>
    <xf numFmtId="0" fontId="0" fillId="2" borderId="0" xfId="0" applyFill="1"/>
    <xf numFmtId="164" fontId="0" fillId="0" borderId="0" xfId="0" applyNumberFormat="1" applyAlignment="1">
      <alignment horizontal="center" vertical="center"/>
    </xf>
    <xf numFmtId="0" fontId="9" fillId="9" borderId="0" xfId="0" applyFont="1" applyFill="1" applyAlignment="1">
      <alignment horizontal="center" vertical="center"/>
    </xf>
    <xf numFmtId="164" fontId="9" fillId="9" borderId="0" xfId="0" applyNumberFormat="1" applyFont="1" applyFill="1" applyAlignment="1">
      <alignment horizontal="center" vertical="center"/>
    </xf>
    <xf numFmtId="0" fontId="10" fillId="5" borderId="0" xfId="0" applyFont="1" applyFill="1"/>
    <xf numFmtId="0" fontId="11" fillId="5" borderId="0" xfId="0" applyFont="1" applyFill="1"/>
    <xf numFmtId="0" fontId="11" fillId="5" borderId="0" xfId="0" applyFont="1" applyFill="1" applyAlignment="1">
      <alignment horizontal="left"/>
    </xf>
    <xf numFmtId="0" fontId="10" fillId="5" borderId="0" xfId="0" applyFont="1" applyFill="1" applyAlignment="1">
      <alignment vertical="center" wrapText="1"/>
    </xf>
    <xf numFmtId="0" fontId="10" fillId="5" borderId="0" xfId="0" applyFont="1" applyFill="1" applyAlignment="1">
      <alignment wrapText="1"/>
    </xf>
    <xf numFmtId="0" fontId="12" fillId="5" borderId="0" xfId="0" applyFont="1" applyFill="1" applyAlignment="1">
      <alignment horizontal="left"/>
    </xf>
    <xf numFmtId="0" fontId="0" fillId="11" borderId="0" xfId="0" applyFill="1" applyAlignment="1">
      <alignment horizontal="left"/>
    </xf>
    <xf numFmtId="0" fontId="9" fillId="7" borderId="0" xfId="0" applyFont="1" applyFill="1" applyAlignment="1">
      <alignment horizontal="left"/>
    </xf>
    <xf numFmtId="0" fontId="11" fillId="5" borderId="0" xfId="0" applyFont="1" applyFill="1" applyAlignment="1">
      <alignment horizontal="left"/>
    </xf>
    <xf numFmtId="0" fontId="1" fillId="5" borderId="0" xfId="0" applyFont="1" applyFill="1" applyAlignment="1">
      <alignment horizontal="left"/>
    </xf>
    <xf numFmtId="0" fontId="2" fillId="3" borderId="0" xfId="0" applyFont="1" applyFill="1" applyAlignment="1">
      <alignment horizontal="center" vertical="center"/>
    </xf>
    <xf numFmtId="0" fontId="3" fillId="4" borderId="0" xfId="0" applyFont="1" applyFill="1" applyAlignment="1">
      <alignment horizontal="center" vertical="center" wrapText="1"/>
    </xf>
    <xf numFmtId="0" fontId="4" fillId="5" borderId="0" xfId="0" applyFont="1" applyFill="1" applyAlignment="1">
      <alignment horizontal="center" vertical="center"/>
    </xf>
    <xf numFmtId="0" fontId="5" fillId="6" borderId="0" xfId="0" applyFont="1" applyFill="1" applyAlignment="1">
      <alignment horizontal="left"/>
    </xf>
    <xf numFmtId="0" fontId="2" fillId="3" borderId="0" xfId="0" applyFont="1" applyFill="1" applyAlignment="1" applyProtection="1">
      <alignment horizontal="center" vertical="center"/>
      <protection locked="0"/>
    </xf>
    <xf numFmtId="0" fontId="7" fillId="6" borderId="1" xfId="0" applyFont="1" applyFill="1" applyBorder="1" applyAlignment="1" applyProtection="1">
      <alignment horizontal="center"/>
      <protection locked="0"/>
    </xf>
  </cellXfs>
  <cellStyles count="1">
    <cellStyle name="Normal" xfId="0" builtinId="0"/>
  </cellStyles>
  <dxfs count="2">
    <dxf>
      <alignment horizontal="left" vertical="bottom" textRotation="0" wrapText="0" indent="0" justifyLastLine="0" shrinkToFit="0" readingOrder="0"/>
    </dxf>
    <dxf>
      <alignment horizontal="left"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1911D"/>
      <rgbColor rgb="FF000080"/>
      <rgbColor rgb="FF808000"/>
      <rgbColor rgb="FF800080"/>
      <rgbColor rgb="FF017B91"/>
      <rgbColor rgb="FF9CCC82"/>
      <rgbColor rgb="FF808080"/>
      <rgbColor rgb="FF9999FF"/>
      <rgbColor rgb="FF714938"/>
      <rgbColor rgb="FFE7E6E6"/>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2DA"/>
      <rgbColor rgb="FFFFFF99"/>
      <rgbColor rgb="FF99CCFF"/>
      <rgbColor rgb="FFFF99CC"/>
      <rgbColor rgb="FFCC99FF"/>
      <rgbColor rgb="FFFFCC99"/>
      <rgbColor rgb="FF3366FF"/>
      <rgbColor rgb="FF33CCCC"/>
      <rgbColor rgb="FF99CC00"/>
      <rgbColor rgb="FFD5B927"/>
      <rgbColor rgb="FFFF9900"/>
      <rgbColor rgb="FFE77839"/>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714938"/>
      <color rgb="FFD5B927"/>
      <color rgb="FFE77839"/>
      <color rgb="FF0191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species_ativa_codibama" displayName="especies_ativa_codibama" ref="A4:H1807" totalsRowShown="0">
  <autoFilter ref="A4:H1807" xr:uid="{00000000-0009-0000-0100-000001000000}"/>
  <tableColumns count="8">
    <tableColumn id="1" xr3:uid="{00000000-0010-0000-0000-000001000000}" name="Código"/>
    <tableColumn id="2" xr3:uid="{00000000-0010-0000-0000-000002000000}" name="Nome popular"/>
    <tableColumn id="3" xr3:uid="{00000000-0010-0000-0000-000003000000}" name="Nome científico"/>
    <tableColumn id="4" xr3:uid="{00000000-0010-0000-0000-000004000000}" name="Classificação"/>
    <tableColumn id="5" xr3:uid="{00000000-0010-0000-0000-000005000000}" name="Código Ibama"/>
    <tableColumn id="6" xr3:uid="{00000000-0010-0000-0000-000006000000}" name="Cópia Código"/>
    <tableColumn id="7" xr3:uid="{00000000-0010-0000-0000-000007000000}" name="Cópia Nome popular" dataDxfId="1">
      <calculatedColumnFormula>especies_ativa_codibama[[#This Row],[Nome popular]]</calculatedColumnFormula>
    </tableColumn>
    <tableColumn id="8" xr3:uid="{00000000-0010-0000-0000-000008000000}" name="Cópia Nome científico" dataDxfId="0">
      <calculatedColumnFormula>especies_ativa_codibama[[#This Row],[Nome científico]]</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tos" displayName="produtos" ref="A4:C21" totalsRowShown="0">
  <autoFilter ref="A4:C21" xr:uid="{00000000-0009-0000-0100-000002000000}"/>
  <tableColumns count="3">
    <tableColumn id="1" xr3:uid="{00000000-0010-0000-0100-000001000000}" name="id"/>
    <tableColumn id="3" xr3:uid="{00000000-0010-0000-0100-000003000000}" name="descrição"/>
    <tableColumn id="4" xr3:uid="{00000000-0010-0000-0100-000004000000}" name="Unidade de Medida"/>
  </tableColumns>
  <tableStyleInfo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911D"/>
  </sheetPr>
  <dimension ref="E1:F45"/>
  <sheetViews>
    <sheetView topLeftCell="A13" zoomScaleNormal="100" workbookViewId="0">
      <selection activeCell="F23" sqref="F23"/>
    </sheetView>
  </sheetViews>
  <sheetFormatPr defaultColWidth="9.140625" defaultRowHeight="15" x14ac:dyDescent="0.25"/>
  <cols>
    <col min="1" max="4" width="9.140625" style="2"/>
    <col min="5" max="5" width="6.28515625" style="2" customWidth="1"/>
    <col min="6" max="6" width="151.42578125" style="2" customWidth="1"/>
    <col min="7" max="16384" width="9.140625" style="2"/>
  </cols>
  <sheetData>
    <row r="1" spans="5:6" ht="42" customHeight="1" x14ac:dyDescent="0.25">
      <c r="E1" s="44" t="s">
        <v>0</v>
      </c>
      <c r="F1" s="44"/>
    </row>
    <row r="2" spans="5:6" ht="15" customHeight="1" x14ac:dyDescent="0.25">
      <c r="E2" s="45" t="s">
        <v>1</v>
      </c>
      <c r="F2" s="45"/>
    </row>
    <row r="3" spans="5:6" x14ac:dyDescent="0.25">
      <c r="E3" s="45"/>
      <c r="F3" s="45"/>
    </row>
    <row r="4" spans="5:6" x14ac:dyDescent="0.25">
      <c r="E4" s="46" t="s">
        <v>2</v>
      </c>
      <c r="F4" s="46"/>
    </row>
    <row r="5" spans="5:6" x14ac:dyDescent="0.25">
      <c r="E5" s="46"/>
      <c r="F5" s="46"/>
    </row>
    <row r="6" spans="5:6" x14ac:dyDescent="0.25">
      <c r="E6" s="47" t="s">
        <v>3</v>
      </c>
      <c r="F6" s="47"/>
    </row>
    <row r="7" spans="5:6" x14ac:dyDescent="0.25">
      <c r="E7" s="3"/>
      <c r="F7" s="3"/>
    </row>
    <row r="8" spans="5:6" x14ac:dyDescent="0.25">
      <c r="E8" s="35" t="s">
        <v>2540</v>
      </c>
      <c r="F8" s="4"/>
    </row>
    <row r="9" spans="5:6" x14ac:dyDescent="0.25">
      <c r="E9" s="4"/>
      <c r="F9" s="4"/>
    </row>
    <row r="10" spans="5:6" x14ac:dyDescent="0.25">
      <c r="E10" s="5" t="s">
        <v>4</v>
      </c>
      <c r="F10" s="4"/>
    </row>
    <row r="11" spans="5:6" x14ac:dyDescent="0.25">
      <c r="E11" s="4"/>
      <c r="F11" s="4" t="s">
        <v>5</v>
      </c>
    </row>
    <row r="12" spans="5:6" x14ac:dyDescent="0.25">
      <c r="E12" s="4"/>
      <c r="F12" s="4" t="s">
        <v>6</v>
      </c>
    </row>
    <row r="13" spans="5:6" x14ac:dyDescent="0.25">
      <c r="E13" s="4"/>
      <c r="F13" s="4" t="s">
        <v>7</v>
      </c>
    </row>
    <row r="14" spans="5:6" x14ac:dyDescent="0.25">
      <c r="E14" s="4"/>
      <c r="F14" s="4"/>
    </row>
    <row r="15" spans="5:6" x14ac:dyDescent="0.25">
      <c r="E15" s="5" t="s">
        <v>8</v>
      </c>
      <c r="F15" s="4"/>
    </row>
    <row r="16" spans="5:6" x14ac:dyDescent="0.25">
      <c r="E16" s="4"/>
      <c r="F16" s="4" t="s">
        <v>2545</v>
      </c>
    </row>
    <row r="17" spans="5:6" x14ac:dyDescent="0.25">
      <c r="E17" s="4"/>
      <c r="F17" s="4" t="s">
        <v>9</v>
      </c>
    </row>
    <row r="18" spans="5:6" x14ac:dyDescent="0.25">
      <c r="E18" s="4"/>
      <c r="F18" s="4" t="s">
        <v>10</v>
      </c>
    </row>
    <row r="19" spans="5:6" x14ac:dyDescent="0.25">
      <c r="E19" s="4"/>
      <c r="F19" s="4"/>
    </row>
    <row r="20" spans="5:6" ht="45" x14ac:dyDescent="0.25">
      <c r="E20" s="4"/>
      <c r="F20" s="38" t="s">
        <v>2539</v>
      </c>
    </row>
    <row r="21" spans="5:6" x14ac:dyDescent="0.25">
      <c r="E21" s="4"/>
      <c r="F21" s="35" t="s">
        <v>2542</v>
      </c>
    </row>
    <row r="22" spans="5:6" x14ac:dyDescent="0.25">
      <c r="E22" s="4"/>
      <c r="F22" s="35" t="s">
        <v>2543</v>
      </c>
    </row>
    <row r="23" spans="5:6" ht="30" x14ac:dyDescent="0.25">
      <c r="E23" s="4"/>
      <c r="F23" s="37" t="s">
        <v>2544</v>
      </c>
    </row>
    <row r="24" spans="5:6" x14ac:dyDescent="0.25">
      <c r="E24" s="4"/>
      <c r="F24" s="4"/>
    </row>
    <row r="25" spans="5:6" x14ac:dyDescent="0.25">
      <c r="E25" s="4"/>
      <c r="F25" s="34" t="s">
        <v>2541</v>
      </c>
    </row>
    <row r="26" spans="5:6" x14ac:dyDescent="0.25">
      <c r="E26" s="4"/>
      <c r="F26" s="35" t="s">
        <v>11</v>
      </c>
    </row>
    <row r="27" spans="5:6" x14ac:dyDescent="0.25">
      <c r="E27" s="4"/>
      <c r="F27" s="4"/>
    </row>
    <row r="28" spans="5:6" x14ac:dyDescent="0.25">
      <c r="E28" s="4" t="s">
        <v>12</v>
      </c>
      <c r="F28" s="34" t="s">
        <v>2550</v>
      </c>
    </row>
    <row r="29" spans="5:6" x14ac:dyDescent="0.25">
      <c r="E29" s="4"/>
      <c r="F29" s="35" t="s">
        <v>2551</v>
      </c>
    </row>
    <row r="30" spans="5:6" x14ac:dyDescent="0.25">
      <c r="E30" s="4"/>
      <c r="F30" s="4"/>
    </row>
    <row r="31" spans="5:6" x14ac:dyDescent="0.25">
      <c r="E31" s="6" t="s">
        <v>13</v>
      </c>
      <c r="F31" s="7"/>
    </row>
    <row r="32" spans="5:6" x14ac:dyDescent="0.25">
      <c r="E32" s="8"/>
      <c r="F32" s="4"/>
    </row>
    <row r="33" spans="5:6" x14ac:dyDescent="0.25">
      <c r="E33" s="4" t="s">
        <v>14</v>
      </c>
      <c r="F33" s="4"/>
    </row>
    <row r="34" spans="5:6" x14ac:dyDescent="0.25">
      <c r="E34" s="4"/>
      <c r="F34" s="4"/>
    </row>
    <row r="35" spans="5:6" x14ac:dyDescent="0.25">
      <c r="E35" s="9" t="s">
        <v>15</v>
      </c>
      <c r="F35" s="10"/>
    </row>
    <row r="36" spans="5:6" x14ac:dyDescent="0.25">
      <c r="E36" s="4"/>
      <c r="F36" s="4"/>
    </row>
    <row r="37" spans="5:6" x14ac:dyDescent="0.25">
      <c r="E37" s="43" t="s">
        <v>16</v>
      </c>
      <c r="F37" s="43"/>
    </row>
    <row r="38" spans="5:6" x14ac:dyDescent="0.25">
      <c r="E38" s="4"/>
      <c r="F38" s="4"/>
    </row>
    <row r="39" spans="5:6" x14ac:dyDescent="0.25">
      <c r="E39" s="11" t="s">
        <v>17</v>
      </c>
      <c r="F39" s="12"/>
    </row>
    <row r="40" spans="5:6" x14ac:dyDescent="0.25">
      <c r="E40" s="8"/>
      <c r="F40" s="4"/>
    </row>
    <row r="41" spans="5:6" x14ac:dyDescent="0.25">
      <c r="E41" s="42" t="s">
        <v>18</v>
      </c>
      <c r="F41" s="43"/>
    </row>
    <row r="42" spans="5:6" x14ac:dyDescent="0.25">
      <c r="E42" s="36" t="s">
        <v>2546</v>
      </c>
      <c r="F42" s="1"/>
    </row>
    <row r="43" spans="5:6" x14ac:dyDescent="0.25">
      <c r="E43" s="36" t="s">
        <v>2547</v>
      </c>
      <c r="F43" s="1"/>
    </row>
    <row r="44" spans="5:6" x14ac:dyDescent="0.25">
      <c r="E44" s="1"/>
      <c r="F44" s="1"/>
    </row>
    <row r="45" spans="5:6" x14ac:dyDescent="0.25">
      <c r="E45" s="39" t="s">
        <v>2548</v>
      </c>
      <c r="F45" s="4"/>
    </row>
  </sheetData>
  <sheetProtection algorithmName="SHA-512" hashValue="KZ0SK8l1Itugcqorg61l2nFYFmg/ERk0CGmYMDE3ygS0uk4N83iucEhS9PEkA2OSfRQCC8SoWkjR1Vs7JT2DcA==" saltValue="x0rW1UrJWRTj0flAo3lKIA==" spinCount="100000" sheet="1" objects="1" scenarios="1"/>
  <mergeCells count="6">
    <mergeCell ref="E41:F41"/>
    <mergeCell ref="E1:F1"/>
    <mergeCell ref="E2:F3"/>
    <mergeCell ref="E4:F5"/>
    <mergeCell ref="E6:F6"/>
    <mergeCell ref="E37:F37"/>
  </mergeCells>
  <pageMargins left="0.51180555555555596" right="0.51180555555555596" top="0.78749999999999998" bottom="0.78749999999999998"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17B91"/>
  </sheetPr>
  <dimension ref="A1:M1005"/>
  <sheetViews>
    <sheetView showGridLines="0" tabSelected="1" topLeftCell="A933" zoomScaleNormal="100" workbookViewId="0">
      <selection activeCell="A999" sqref="A999:C999"/>
    </sheetView>
  </sheetViews>
  <sheetFormatPr defaultColWidth="8.42578125" defaultRowHeight="15" x14ac:dyDescent="0.25"/>
  <cols>
    <col min="1" max="1" width="10.42578125" style="13" customWidth="1"/>
    <col min="2" max="2" width="15.42578125" style="13" customWidth="1"/>
    <col min="3" max="3" width="24.42578125" style="13" customWidth="1"/>
    <col min="4" max="4" width="8.42578125" style="13"/>
    <col min="5" max="5" width="11.42578125" style="13" customWidth="1"/>
    <col min="6" max="6" width="41" style="14" customWidth="1"/>
    <col min="7" max="7" width="24.42578125" style="14" customWidth="1"/>
    <col min="8" max="8" width="20.85546875" style="14" customWidth="1"/>
    <col min="9" max="9" width="13.140625" style="14" customWidth="1"/>
    <col min="10" max="10" width="14.140625" style="15" customWidth="1"/>
    <col min="11" max="11" width="13" style="15" customWidth="1"/>
    <col min="12" max="12" width="8.140625" style="13" customWidth="1"/>
    <col min="13" max="13" width="8" style="13" customWidth="1"/>
    <col min="14" max="16384" width="8.42578125" style="13"/>
  </cols>
  <sheetData>
    <row r="1" spans="1:13" ht="18.75" customHeight="1" x14ac:dyDescent="0.25">
      <c r="A1" s="48" t="s">
        <v>19</v>
      </c>
      <c r="B1" s="48"/>
      <c r="C1" s="48"/>
      <c r="D1" s="48"/>
      <c r="E1" s="48"/>
      <c r="F1" s="48"/>
      <c r="G1" s="48"/>
      <c r="H1" s="48"/>
      <c r="I1" s="48"/>
      <c r="J1" s="48"/>
      <c r="K1" s="48"/>
      <c r="L1" s="48"/>
      <c r="M1" s="48"/>
    </row>
    <row r="2" spans="1:13" ht="15" customHeight="1" x14ac:dyDescent="0.25">
      <c r="A2" s="48"/>
      <c r="B2" s="48"/>
      <c r="C2" s="48"/>
      <c r="D2" s="48"/>
      <c r="E2" s="48"/>
      <c r="F2" s="48"/>
      <c r="G2" s="48"/>
      <c r="H2" s="48"/>
      <c r="I2" s="48"/>
      <c r="J2" s="48"/>
      <c r="K2" s="48"/>
      <c r="L2" s="48"/>
      <c r="M2" s="48"/>
    </row>
    <row r="3" spans="1:13" ht="15" customHeight="1" x14ac:dyDescent="0.25">
      <c r="A3" s="48"/>
      <c r="B3" s="48"/>
      <c r="C3" s="48"/>
      <c r="D3" s="48"/>
      <c r="E3" s="48"/>
      <c r="F3" s="48"/>
      <c r="G3" s="48"/>
      <c r="H3" s="48"/>
      <c r="I3" s="48"/>
      <c r="J3" s="48"/>
      <c r="K3" s="48"/>
      <c r="L3" s="48"/>
      <c r="M3" s="48"/>
    </row>
    <row r="4" spans="1:13" x14ac:dyDescent="0.25">
      <c r="A4" s="49" t="s">
        <v>20</v>
      </c>
      <c r="B4" s="49"/>
      <c r="C4" s="49"/>
      <c r="E4" s="49" t="s">
        <v>21</v>
      </c>
      <c r="F4" s="49"/>
      <c r="G4" s="49"/>
      <c r="H4" s="49"/>
      <c r="I4" s="49"/>
      <c r="J4" s="49"/>
      <c r="K4" s="49"/>
      <c r="L4" s="49"/>
      <c r="M4" s="49"/>
    </row>
    <row r="5" spans="1:13" s="19" customFormat="1" x14ac:dyDescent="0.25">
      <c r="A5" s="16" t="s">
        <v>22</v>
      </c>
      <c r="B5" s="16" t="s">
        <v>23</v>
      </c>
      <c r="C5" s="16" t="s">
        <v>24</v>
      </c>
      <c r="D5" s="17"/>
      <c r="E5" s="18" t="s">
        <v>22</v>
      </c>
      <c r="F5" s="18" t="s">
        <v>23</v>
      </c>
      <c r="G5" s="18" t="s">
        <v>24</v>
      </c>
      <c r="H5" s="18" t="s">
        <v>25</v>
      </c>
      <c r="I5" s="18" t="s">
        <v>26</v>
      </c>
      <c r="J5" s="16" t="s">
        <v>27</v>
      </c>
      <c r="K5" s="16" t="s">
        <v>28</v>
      </c>
      <c r="L5" s="16" t="s">
        <v>29</v>
      </c>
      <c r="M5" s="16" t="s">
        <v>30</v>
      </c>
    </row>
    <row r="6" spans="1:13" x14ac:dyDescent="0.25">
      <c r="A6" s="20"/>
      <c r="B6" s="20"/>
      <c r="C6" s="20"/>
      <c r="E6" s="21" t="b">
        <f>IF(AND(A6&lt;&gt;0,B6=0,C6=0),VLOOKUP(A6,'3 - LISTA DE ESPÉCIES'!A:H,1,FALSE()),IF(AND(A6=0,B6&lt;&gt;0,C6=0),VLOOKUP(B6,'3 - LISTA DE ESPÉCIES'!B:H,5,FALSE()),IF(AND(A6=0,B6=0,C6&lt;&gt;0),VLOOKUP(C6,'3 - LISTA DE ESPÉCIES'!C:H,4,FALSE()))))</f>
        <v>0</v>
      </c>
      <c r="F6" s="22" t="b">
        <f>IF(AND(A6&lt;&gt;0,B6=0,C6=0),VLOOKUP(A6,'3 - LISTA DE ESPÉCIES'!A:H,2,FALSE()),IF(AND(A6=0,B6&lt;&gt;0,C6=0),VLOOKUP(B6,'3 - LISTA DE ESPÉCIES'!B:H,6,FALSE()),IF(AND(A6=0,B6=0,C6&lt;&gt;0),VLOOKUP(C6,'3 - LISTA DE ESPÉCIES'!C:H,5,FALSE()))))</f>
        <v>0</v>
      </c>
      <c r="G6" s="21" t="b">
        <f>IF(AND(A6&lt;&gt;0,B6=0,C6=0),VLOOKUP(A6,'3 - LISTA DE ESPÉCIES'!A:H,3,FALSE()),IF(AND(A6=0,B6&lt;&gt;0,C6=0),VLOOKUP(B6,'3 - LISTA DE ESPÉCIES'!B:H,7,FALSE()),IF(AND(A6=0,B6=0,C6&lt;&gt;0),VLOOKUP(C6,'3 - LISTA DE ESPÉCIES'!C:H,6,FALSE()))))</f>
        <v>0</v>
      </c>
      <c r="H6" s="21" t="b">
        <f>IF(AND(A6&lt;&gt;0,B6=0,C6=0),VLOOKUP(A6,'3 - LISTA DE ESPÉCIES'!A:H,4,FALSE()),IF(AND(A6=0,B6&lt;&gt;0,C6=0),VLOOKUP(B6,'3 - LISTA DE ESPÉCIES'!B:H,3,FALSE()),IF(AND(A6=0,B6=0,C6&lt;&gt;0),VLOOKUP(C6,'3 - LISTA DE ESPÉCIES'!C:H,2,FALSE()))))</f>
        <v>0</v>
      </c>
      <c r="I6" s="21" t="b">
        <f>IF(AND(A6&lt;&gt;0,B6=0,C6=0),VLOOKUP(A6,'3 - LISTA DE ESPÉCIES'!A:H,5,FALSE()),IF(AND(A6=0,B6&lt;&gt;0,C6=0),VLOOKUP(B6,'3 - LISTA DE ESPÉCIES'!B:H,4,FALSE()),IF(AND(A6=0,B6=0,C6&lt;&gt;0),VLOOKUP(C6,'3 - LISTA DE ESPÉCIES'!C:H,3,FALSE()))))</f>
        <v>0</v>
      </c>
      <c r="J6" s="23"/>
      <c r="K6" s="23"/>
      <c r="L6" s="20"/>
      <c r="M6" s="20"/>
    </row>
    <row r="7" spans="1:13" x14ac:dyDescent="0.25">
      <c r="A7" s="20"/>
      <c r="B7" s="20"/>
      <c r="C7" s="20"/>
      <c r="E7" s="21" t="b">
        <f>IF(AND(A7&lt;&gt;0,B7=0,C7=0),VLOOKUP(A7,'3 - LISTA DE ESPÉCIES'!A:H,1,FALSE()),IF(AND(A7=0,B7&lt;&gt;0,C7=0),VLOOKUP(B7,'3 - LISTA DE ESPÉCIES'!B:H,5,FALSE()),IF(AND(A7=0,B7=0,C7&lt;&gt;0),VLOOKUP(C7,'3 - LISTA DE ESPÉCIES'!C:H,4,FALSE()))))</f>
        <v>0</v>
      </c>
      <c r="F7" s="21" t="b">
        <f>IF(AND(A7&lt;&gt;0,B7=0,C7=0),VLOOKUP(A7,'3 - LISTA DE ESPÉCIES'!A:H,2,FALSE()),IF(AND(A7=0,B7&lt;&gt;0,C7=0),VLOOKUP(B7,'3 - LISTA DE ESPÉCIES'!B:H,6,FALSE()),IF(AND(A7=0,B7=0,C7&lt;&gt;0),VLOOKUP(C7,'3 - LISTA DE ESPÉCIES'!C:H,5,FALSE()))))</f>
        <v>0</v>
      </c>
      <c r="G7" s="21" t="b">
        <f>IF(AND(A7&lt;&gt;0,B7=0,C7=0),VLOOKUP(A7,'3 - LISTA DE ESPÉCIES'!A:H,3,FALSE()),IF(AND(A7=0,B7&lt;&gt;0,C7=0),VLOOKUP(B7,'3 - LISTA DE ESPÉCIES'!B:H,7,FALSE()),IF(AND(A7=0,B7=0,C7&lt;&gt;0),VLOOKUP(C7,'3 - LISTA DE ESPÉCIES'!C:H,6,FALSE()))))</f>
        <v>0</v>
      </c>
      <c r="H7" s="21" t="b">
        <f>IF(AND(A7&lt;&gt;0,B7=0,C7=0),VLOOKUP(A7,'3 - LISTA DE ESPÉCIES'!A:H,4,FALSE()),IF(AND(A7=0,B7&lt;&gt;0,C7=0),VLOOKUP(B7,'3 - LISTA DE ESPÉCIES'!B:H,3,FALSE()),IF(AND(A7=0,B7=0,C7&lt;&gt;0),VLOOKUP(C7,'3 - LISTA DE ESPÉCIES'!C:H,2,FALSE()))))</f>
        <v>0</v>
      </c>
      <c r="I7" s="21" t="b">
        <f>IF(AND(A7&lt;&gt;0,B7=0,C7=0),VLOOKUP(A7,'3 - LISTA DE ESPÉCIES'!A:H,5,FALSE()),IF(AND(A7=0,B7&lt;&gt;0,C7=0),VLOOKUP(B7,'3 - LISTA DE ESPÉCIES'!B:H,4,FALSE()),IF(AND(A7=0,B7=0,C7&lt;&gt;0),VLOOKUP(C7,'3 - LISTA DE ESPÉCIES'!C:H,3,FALSE()))))</f>
        <v>0</v>
      </c>
      <c r="J7" s="23"/>
      <c r="K7" s="23"/>
      <c r="L7" s="20"/>
      <c r="M7" s="20"/>
    </row>
    <row r="8" spans="1:13" x14ac:dyDescent="0.25">
      <c r="A8" s="20"/>
      <c r="B8" s="20"/>
      <c r="C8" s="20"/>
      <c r="E8" s="21" t="b">
        <f>IF(AND(A8&lt;&gt;0,B8=0,C8=0),VLOOKUP(A8,'3 - LISTA DE ESPÉCIES'!A:H,1,FALSE()),IF(AND(A8=0,B8&lt;&gt;0,C8=0),VLOOKUP(B8,'3 - LISTA DE ESPÉCIES'!B:H,5,FALSE()),IF(AND(A8=0,B8=0,C8&lt;&gt;0),VLOOKUP(C8,'3 - LISTA DE ESPÉCIES'!C:H,4,FALSE()))))</f>
        <v>0</v>
      </c>
      <c r="F8" s="21" t="b">
        <f>IF(AND(A8&lt;&gt;0,B8=0,C8=0),VLOOKUP(A8,'3 - LISTA DE ESPÉCIES'!A:H,2,FALSE()),IF(AND(A8=0,B8&lt;&gt;0,C8=0),VLOOKUP(B8,'3 - LISTA DE ESPÉCIES'!B:H,6,FALSE()),IF(AND(A8=0,B8=0,C8&lt;&gt;0),VLOOKUP(C8,'3 - LISTA DE ESPÉCIES'!C:H,5,FALSE()))))</f>
        <v>0</v>
      </c>
      <c r="G8" s="21" t="b">
        <f>IF(AND(A8&lt;&gt;0,B8=0,C8=0),VLOOKUP(A8,'3 - LISTA DE ESPÉCIES'!A:H,3,FALSE()),IF(AND(A8=0,B8&lt;&gt;0,C8=0),VLOOKUP(B8,'3 - LISTA DE ESPÉCIES'!B:H,7,FALSE()),IF(AND(A8=0,B8=0,C8&lt;&gt;0),VLOOKUP(C8,'3 - LISTA DE ESPÉCIES'!C:H,6,FALSE()))))</f>
        <v>0</v>
      </c>
      <c r="H8" s="21" t="b">
        <f>IF(AND(A8&lt;&gt;0,B8=0,C8=0),VLOOKUP(A8,'3 - LISTA DE ESPÉCIES'!A:H,4,FALSE()),IF(AND(A8=0,B8&lt;&gt;0,C8=0),VLOOKUP(B8,'3 - LISTA DE ESPÉCIES'!B:H,3,FALSE()),IF(AND(A8=0,B8=0,C8&lt;&gt;0),VLOOKUP(C8,'3 - LISTA DE ESPÉCIES'!C:H,2,FALSE()))))</f>
        <v>0</v>
      </c>
      <c r="I8" s="21" t="b">
        <f>IF(AND(A8&lt;&gt;0,B8=0,C8=0),VLOOKUP(A8,'3 - LISTA DE ESPÉCIES'!A:H,5,FALSE()),IF(AND(A8=0,B8&lt;&gt;0,C8=0),VLOOKUP(B8,'3 - LISTA DE ESPÉCIES'!B:H,4,FALSE()),IF(AND(A8=0,B8=0,C8&lt;&gt;0),VLOOKUP(C8,'3 - LISTA DE ESPÉCIES'!C:H,3,FALSE()))))</f>
        <v>0</v>
      </c>
      <c r="J8" s="23"/>
      <c r="K8" s="23"/>
      <c r="L8" s="20"/>
      <c r="M8" s="20"/>
    </row>
    <row r="9" spans="1:13" x14ac:dyDescent="0.25">
      <c r="A9" s="20"/>
      <c r="B9" s="20"/>
      <c r="C9" s="20"/>
      <c r="E9" s="21" t="b">
        <f>IF(AND(A9&lt;&gt;0,B9=0,C9=0),VLOOKUP(A9,'3 - LISTA DE ESPÉCIES'!A:H,1,FALSE()),IF(AND(A9=0,B9&lt;&gt;0,C9=0),VLOOKUP(B9,'3 - LISTA DE ESPÉCIES'!B:H,5,FALSE()),IF(AND(A9=0,B9=0,C9&lt;&gt;0),VLOOKUP(C9,'3 - LISTA DE ESPÉCIES'!C:H,4,FALSE()))))</f>
        <v>0</v>
      </c>
      <c r="F9" s="21" t="b">
        <f>IF(AND(A9&lt;&gt;0,B9=0,C9=0),VLOOKUP(A9,'3 - LISTA DE ESPÉCIES'!A:H,2,FALSE()),IF(AND(A9=0,B9&lt;&gt;0,C9=0),VLOOKUP(B9,'3 - LISTA DE ESPÉCIES'!B:H,6,FALSE()),IF(AND(A9=0,B9=0,C9&lt;&gt;0),VLOOKUP(C9,'3 - LISTA DE ESPÉCIES'!C:H,5,FALSE()))))</f>
        <v>0</v>
      </c>
      <c r="G9" s="21" t="b">
        <f>IF(AND(A9&lt;&gt;0,B9=0,C9=0),VLOOKUP(A9,'3 - LISTA DE ESPÉCIES'!A:H,3,FALSE()),IF(AND(A9=0,B9&lt;&gt;0,C9=0),VLOOKUP(B9,'3 - LISTA DE ESPÉCIES'!B:H,7,FALSE()),IF(AND(A9=0,B9=0,C9&lt;&gt;0),VLOOKUP(C9,'3 - LISTA DE ESPÉCIES'!C:H,6,FALSE()))))</f>
        <v>0</v>
      </c>
      <c r="H9" s="21" t="b">
        <f>IF(AND(A9&lt;&gt;0,B9=0,C9=0),VLOOKUP(A9,'3 - LISTA DE ESPÉCIES'!A:H,4,FALSE()),IF(AND(A9=0,B9&lt;&gt;0,C9=0),VLOOKUP(B9,'3 - LISTA DE ESPÉCIES'!B:H,3,FALSE()),IF(AND(A9=0,B9=0,C9&lt;&gt;0),VLOOKUP(C9,'3 - LISTA DE ESPÉCIES'!C:H,2,FALSE()))))</f>
        <v>0</v>
      </c>
      <c r="I9" s="21" t="b">
        <f>IF(AND(A9&lt;&gt;0,B9=0,C9=0),VLOOKUP(A9,'3 - LISTA DE ESPÉCIES'!A:H,5,FALSE()),IF(AND(A9=0,B9&lt;&gt;0,C9=0),VLOOKUP(B9,'3 - LISTA DE ESPÉCIES'!B:H,4,FALSE()),IF(AND(A9=0,B9=0,C9&lt;&gt;0),VLOOKUP(C9,'3 - LISTA DE ESPÉCIES'!C:H,3,FALSE()))))</f>
        <v>0</v>
      </c>
      <c r="J9" s="23"/>
      <c r="K9" s="23"/>
      <c r="L9" s="20"/>
      <c r="M9" s="20"/>
    </row>
    <row r="10" spans="1:13" x14ac:dyDescent="0.25">
      <c r="A10" s="20"/>
      <c r="B10" s="20"/>
      <c r="C10" s="20"/>
      <c r="E10" s="21" t="b">
        <f>IF(AND(A10&lt;&gt;0,B10=0,C10=0),VLOOKUP(A10,'3 - LISTA DE ESPÉCIES'!A:H,1,FALSE()),IF(AND(A10=0,B10&lt;&gt;0,C10=0),VLOOKUP(B10,'3 - LISTA DE ESPÉCIES'!B:H,5,FALSE()),IF(AND(A10=0,B10=0,C10&lt;&gt;0),VLOOKUP(C10,'3 - LISTA DE ESPÉCIES'!C:H,4,FALSE()))))</f>
        <v>0</v>
      </c>
      <c r="F10" s="21" t="b">
        <f>IF(AND(A10&lt;&gt;0,B10=0,C10=0),VLOOKUP(A10,'3 - LISTA DE ESPÉCIES'!A:H,2,FALSE()),IF(AND(A10=0,B10&lt;&gt;0,C10=0),VLOOKUP(B10,'3 - LISTA DE ESPÉCIES'!B:H,6,FALSE()),IF(AND(A10=0,B10=0,C10&lt;&gt;0),VLOOKUP(C10,'3 - LISTA DE ESPÉCIES'!C:H,5,FALSE()))))</f>
        <v>0</v>
      </c>
      <c r="G10" s="21" t="b">
        <f>IF(AND(A10&lt;&gt;0,B10=0,C10=0),VLOOKUP(A10,'3 - LISTA DE ESPÉCIES'!A:H,3,FALSE()),IF(AND(A10=0,B10&lt;&gt;0,C10=0),VLOOKUP(B10,'3 - LISTA DE ESPÉCIES'!B:H,7,FALSE()),IF(AND(A10=0,B10=0,C10&lt;&gt;0),VLOOKUP(C10,'3 - LISTA DE ESPÉCIES'!C:H,6,FALSE()))))</f>
        <v>0</v>
      </c>
      <c r="H10" s="21" t="b">
        <f>IF(AND(A10&lt;&gt;0,B10=0,C10=0),VLOOKUP(A10,'3 - LISTA DE ESPÉCIES'!A:H,4,FALSE()),IF(AND(A10=0,B10&lt;&gt;0,C10=0),VLOOKUP(B10,'3 - LISTA DE ESPÉCIES'!B:H,3,FALSE()),IF(AND(A10=0,B10=0,C10&lt;&gt;0),VLOOKUP(C10,'3 - LISTA DE ESPÉCIES'!C:H,2,FALSE()))))</f>
        <v>0</v>
      </c>
      <c r="I10" s="21" t="b">
        <f>IF(AND(A10&lt;&gt;0,B10=0,C10=0),VLOOKUP(A10,'3 - LISTA DE ESPÉCIES'!A:H,5,FALSE()),IF(AND(A10=0,B10&lt;&gt;0,C10=0),VLOOKUP(B10,'3 - LISTA DE ESPÉCIES'!B:H,4,FALSE()),IF(AND(A10=0,B10=0,C10&lt;&gt;0),VLOOKUP(C10,'3 - LISTA DE ESPÉCIES'!C:H,3,FALSE()))))</f>
        <v>0</v>
      </c>
      <c r="J10" s="23"/>
      <c r="K10" s="23"/>
      <c r="L10" s="20"/>
      <c r="M10" s="20"/>
    </row>
    <row r="11" spans="1:13" x14ac:dyDescent="0.25">
      <c r="A11" s="20"/>
      <c r="B11" s="20"/>
      <c r="C11" s="20"/>
      <c r="E11" s="21" t="b">
        <f>IF(AND(A11&lt;&gt;0,B11=0,C11=0),VLOOKUP(A11,'3 - LISTA DE ESPÉCIES'!A:H,1,FALSE()),IF(AND(A11=0,B11&lt;&gt;0,C11=0),VLOOKUP(B11,'3 - LISTA DE ESPÉCIES'!B:H,5,FALSE()),IF(AND(A11=0,B11=0,C11&lt;&gt;0),VLOOKUP(C11,'3 - LISTA DE ESPÉCIES'!C:H,4,FALSE()))))</f>
        <v>0</v>
      </c>
      <c r="F11" s="21" t="b">
        <f>IF(AND(A11&lt;&gt;0,B11=0,C11=0),VLOOKUP(A11,'3 - LISTA DE ESPÉCIES'!A:H,2,FALSE()),IF(AND(A11=0,B11&lt;&gt;0,C11=0),VLOOKUP(B11,'3 - LISTA DE ESPÉCIES'!B:H,6,FALSE()),IF(AND(A11=0,B11=0,C11&lt;&gt;0),VLOOKUP(C11,'3 - LISTA DE ESPÉCIES'!C:H,5,FALSE()))))</f>
        <v>0</v>
      </c>
      <c r="G11" s="21" t="b">
        <f>IF(AND(A11&lt;&gt;0,B11=0,C11=0),VLOOKUP(A11,'3 - LISTA DE ESPÉCIES'!A:H,3,FALSE()),IF(AND(A11=0,B11&lt;&gt;0,C11=0),VLOOKUP(B11,'3 - LISTA DE ESPÉCIES'!B:H,7,FALSE()),IF(AND(A11=0,B11=0,C11&lt;&gt;0),VLOOKUP(C11,'3 - LISTA DE ESPÉCIES'!C:H,6,FALSE()))))</f>
        <v>0</v>
      </c>
      <c r="H11" s="21" t="b">
        <f>IF(AND(A11&lt;&gt;0,B11=0,C11=0),VLOOKUP(A11,'3 - LISTA DE ESPÉCIES'!A:H,4,FALSE()),IF(AND(A11=0,B11&lt;&gt;0,C11=0),VLOOKUP(B11,'3 - LISTA DE ESPÉCIES'!B:H,3,FALSE()),IF(AND(A11=0,B11=0,C11&lt;&gt;0),VLOOKUP(C11,'3 - LISTA DE ESPÉCIES'!C:H,2,FALSE()))))</f>
        <v>0</v>
      </c>
      <c r="I11" s="21" t="b">
        <f>IF(AND(A11&lt;&gt;0,B11=0,C11=0),VLOOKUP(A11,'3 - LISTA DE ESPÉCIES'!A:H,5,FALSE()),IF(AND(A11=0,B11&lt;&gt;0,C11=0),VLOOKUP(B11,'3 - LISTA DE ESPÉCIES'!B:H,4,FALSE()),IF(AND(A11=0,B11=0,C11&lt;&gt;0),VLOOKUP(C11,'3 - LISTA DE ESPÉCIES'!C:H,3,FALSE()))))</f>
        <v>0</v>
      </c>
      <c r="J11" s="23"/>
      <c r="K11" s="23"/>
      <c r="L11" s="20"/>
      <c r="M11" s="20"/>
    </row>
    <row r="12" spans="1:13" x14ac:dyDescent="0.25">
      <c r="A12" s="20"/>
      <c r="B12" s="20"/>
      <c r="C12" s="20"/>
      <c r="E12" s="21" t="b">
        <f>IF(AND(A12&lt;&gt;0,B12=0,C12=0),VLOOKUP(A12,'3 - LISTA DE ESPÉCIES'!A:H,1,FALSE()),IF(AND(A12=0,B12&lt;&gt;0,C12=0),VLOOKUP(B12,'3 - LISTA DE ESPÉCIES'!B:H,5,FALSE()),IF(AND(A12=0,B12=0,C12&lt;&gt;0),VLOOKUP(C12,'3 - LISTA DE ESPÉCIES'!C:H,4,FALSE()))))</f>
        <v>0</v>
      </c>
      <c r="F12" s="21" t="b">
        <f>IF(AND(A12&lt;&gt;0,B12=0,C12=0),VLOOKUP(A12,'3 - LISTA DE ESPÉCIES'!A:H,2,FALSE()),IF(AND(A12=0,B12&lt;&gt;0,C12=0),VLOOKUP(B12,'3 - LISTA DE ESPÉCIES'!B:H,6,FALSE()),IF(AND(A12=0,B12=0,C12&lt;&gt;0),VLOOKUP(C12,'3 - LISTA DE ESPÉCIES'!C:H,5,FALSE()))))</f>
        <v>0</v>
      </c>
      <c r="G12" s="21" t="b">
        <f>IF(AND(A12&lt;&gt;0,B12=0,C12=0),VLOOKUP(A12,'3 - LISTA DE ESPÉCIES'!A:H,3,FALSE()),IF(AND(A12=0,B12&lt;&gt;0,C12=0),VLOOKUP(B12,'3 - LISTA DE ESPÉCIES'!B:H,7,FALSE()),IF(AND(A12=0,B12=0,C12&lt;&gt;0),VLOOKUP(C12,'3 - LISTA DE ESPÉCIES'!C:H,6,FALSE()))))</f>
        <v>0</v>
      </c>
      <c r="H12" s="21" t="b">
        <f>IF(AND(A12&lt;&gt;0,B12=0,C12=0),VLOOKUP(A12,'3 - LISTA DE ESPÉCIES'!A:H,4,FALSE()),IF(AND(A12=0,B12&lt;&gt;0,C12=0),VLOOKUP(B12,'3 - LISTA DE ESPÉCIES'!B:H,3,FALSE()),IF(AND(A12=0,B12=0,C12&lt;&gt;0),VLOOKUP(C12,'3 - LISTA DE ESPÉCIES'!C:H,2,FALSE()))))</f>
        <v>0</v>
      </c>
      <c r="I12" s="21" t="b">
        <f>IF(AND(A12&lt;&gt;0,B12=0,C12=0),VLOOKUP(A12,'3 - LISTA DE ESPÉCIES'!A:H,5,FALSE()),IF(AND(A12=0,B12&lt;&gt;0,C12=0),VLOOKUP(B12,'3 - LISTA DE ESPÉCIES'!B:H,4,FALSE()),IF(AND(A12=0,B12=0,C12&lt;&gt;0),VLOOKUP(C12,'3 - LISTA DE ESPÉCIES'!C:H,3,FALSE()))))</f>
        <v>0</v>
      </c>
      <c r="J12" s="23"/>
      <c r="K12" s="23"/>
      <c r="L12" s="20"/>
      <c r="M12" s="20"/>
    </row>
    <row r="13" spans="1:13" x14ac:dyDescent="0.25">
      <c r="A13" s="20"/>
      <c r="B13" s="20"/>
      <c r="C13" s="20"/>
      <c r="E13" s="21" t="b">
        <f>IF(AND(A13&lt;&gt;0,B13=0,C13=0),VLOOKUP(A13,'3 - LISTA DE ESPÉCIES'!A:H,1,FALSE()),IF(AND(A13=0,B13&lt;&gt;0,C13=0),VLOOKUP(B13,'3 - LISTA DE ESPÉCIES'!B:H,5,FALSE()),IF(AND(A13=0,B13=0,C13&lt;&gt;0),VLOOKUP(C13,'3 - LISTA DE ESPÉCIES'!C:H,4,FALSE()))))</f>
        <v>0</v>
      </c>
      <c r="F13" s="21" t="b">
        <f>IF(AND(A13&lt;&gt;0,B13=0,C13=0),VLOOKUP(A13,'3 - LISTA DE ESPÉCIES'!A:H,2,FALSE()),IF(AND(A13=0,B13&lt;&gt;0,C13=0),VLOOKUP(B13,'3 - LISTA DE ESPÉCIES'!B:H,6,FALSE()),IF(AND(A13=0,B13=0,C13&lt;&gt;0),VLOOKUP(C13,'3 - LISTA DE ESPÉCIES'!C:H,5,FALSE()))))</f>
        <v>0</v>
      </c>
      <c r="G13" s="21" t="b">
        <f>IF(AND(A13&lt;&gt;0,B13=0,C13=0),VLOOKUP(A13,'3 - LISTA DE ESPÉCIES'!A:H,3,FALSE()),IF(AND(A13=0,B13&lt;&gt;0,C13=0),VLOOKUP(B13,'3 - LISTA DE ESPÉCIES'!B:H,7,FALSE()),IF(AND(A13=0,B13=0,C13&lt;&gt;0),VLOOKUP(C13,'3 - LISTA DE ESPÉCIES'!C:H,6,FALSE()))))</f>
        <v>0</v>
      </c>
      <c r="H13" s="21" t="b">
        <f>IF(AND(A13&lt;&gt;0,B13=0,C13=0),VLOOKUP(A13,'3 - LISTA DE ESPÉCIES'!A:H,4,FALSE()),IF(AND(A13=0,B13&lt;&gt;0,C13=0),VLOOKUP(B13,'3 - LISTA DE ESPÉCIES'!B:H,3,FALSE()),IF(AND(A13=0,B13=0,C13&lt;&gt;0),VLOOKUP(C13,'3 - LISTA DE ESPÉCIES'!C:H,2,FALSE()))))</f>
        <v>0</v>
      </c>
      <c r="I13" s="21" t="b">
        <f>IF(AND(A13&lt;&gt;0,B13=0,C13=0),VLOOKUP(A13,'3 - LISTA DE ESPÉCIES'!A:H,5,FALSE()),IF(AND(A13=0,B13&lt;&gt;0,C13=0),VLOOKUP(B13,'3 - LISTA DE ESPÉCIES'!B:H,4,FALSE()),IF(AND(A13=0,B13=0,C13&lt;&gt;0),VLOOKUP(C13,'3 - LISTA DE ESPÉCIES'!C:H,3,FALSE()))))</f>
        <v>0</v>
      </c>
      <c r="J13" s="23"/>
      <c r="K13" s="23"/>
      <c r="L13" s="20"/>
      <c r="M13" s="20"/>
    </row>
    <row r="14" spans="1:13" x14ac:dyDescent="0.25">
      <c r="A14" s="20"/>
      <c r="B14" s="20"/>
      <c r="C14" s="20"/>
      <c r="E14" s="21" t="b">
        <f>IF(AND(A14&lt;&gt;0,B14=0,C14=0),VLOOKUP(A14,'3 - LISTA DE ESPÉCIES'!A:H,1,FALSE()),IF(AND(A14=0,B14&lt;&gt;0,C14=0),VLOOKUP(B14,'3 - LISTA DE ESPÉCIES'!B:H,5,FALSE()),IF(AND(A14=0,B14=0,C14&lt;&gt;0),VLOOKUP(C14,'3 - LISTA DE ESPÉCIES'!C:H,4,FALSE()))))</f>
        <v>0</v>
      </c>
      <c r="F14" s="21" t="b">
        <f>IF(AND(A14&lt;&gt;0,B14=0,C14=0),VLOOKUP(A14,'3 - LISTA DE ESPÉCIES'!A:H,2,FALSE()),IF(AND(A14=0,B14&lt;&gt;0,C14=0),VLOOKUP(B14,'3 - LISTA DE ESPÉCIES'!B:H,6,FALSE()),IF(AND(A14=0,B14=0,C14&lt;&gt;0),VLOOKUP(C14,'3 - LISTA DE ESPÉCIES'!C:H,5,FALSE()))))</f>
        <v>0</v>
      </c>
      <c r="G14" s="21" t="b">
        <f>IF(AND(A14&lt;&gt;0,B14=0,C14=0),VLOOKUP(A14,'3 - LISTA DE ESPÉCIES'!A:H,3,FALSE()),IF(AND(A14=0,B14&lt;&gt;0,C14=0),VLOOKUP(B14,'3 - LISTA DE ESPÉCIES'!B:H,7,FALSE()),IF(AND(A14=0,B14=0,C14&lt;&gt;0),VLOOKUP(C14,'3 - LISTA DE ESPÉCIES'!C:H,6,FALSE()))))</f>
        <v>0</v>
      </c>
      <c r="H14" s="21" t="b">
        <f>IF(AND(A14&lt;&gt;0,B14=0,C14=0),VLOOKUP(A14,'3 - LISTA DE ESPÉCIES'!A:H,4,FALSE()),IF(AND(A14=0,B14&lt;&gt;0,C14=0),VLOOKUP(B14,'3 - LISTA DE ESPÉCIES'!B:H,3,FALSE()),IF(AND(A14=0,B14=0,C14&lt;&gt;0),VLOOKUP(C14,'3 - LISTA DE ESPÉCIES'!C:H,2,FALSE()))))</f>
        <v>0</v>
      </c>
      <c r="I14" s="21" t="b">
        <f>IF(AND(A14&lt;&gt;0,B14=0,C14=0),VLOOKUP(A14,'3 - LISTA DE ESPÉCIES'!A:H,5,FALSE()),IF(AND(A14=0,B14&lt;&gt;0,C14=0),VLOOKUP(B14,'3 - LISTA DE ESPÉCIES'!B:H,4,FALSE()),IF(AND(A14=0,B14=0,C14&lt;&gt;0),VLOOKUP(C14,'3 - LISTA DE ESPÉCIES'!C:H,3,FALSE()))))</f>
        <v>0</v>
      </c>
      <c r="J14" s="23"/>
      <c r="K14" s="23"/>
      <c r="L14" s="20"/>
      <c r="M14" s="20"/>
    </row>
    <row r="15" spans="1:13" x14ac:dyDescent="0.25">
      <c r="A15" s="20"/>
      <c r="B15" s="20"/>
      <c r="C15" s="20"/>
      <c r="E15" s="21" t="b">
        <f>IF(AND(A15&lt;&gt;0,B15=0,C15=0),VLOOKUP(A15,'3 - LISTA DE ESPÉCIES'!A:H,1,FALSE()),IF(AND(A15=0,B15&lt;&gt;0,C15=0),VLOOKUP(B15,'3 - LISTA DE ESPÉCIES'!B:H,5,FALSE()),IF(AND(A15=0,B15=0,C15&lt;&gt;0),VLOOKUP(C15,'3 - LISTA DE ESPÉCIES'!C:H,4,FALSE()))))</f>
        <v>0</v>
      </c>
      <c r="F15" s="21" t="b">
        <f>IF(AND(A15&lt;&gt;0,B15=0,C15=0),VLOOKUP(A15,'3 - LISTA DE ESPÉCIES'!A:H,2,FALSE()),IF(AND(A15=0,B15&lt;&gt;0,C15=0),VLOOKUP(B15,'3 - LISTA DE ESPÉCIES'!B:H,6,FALSE()),IF(AND(A15=0,B15=0,C15&lt;&gt;0),VLOOKUP(C15,'3 - LISTA DE ESPÉCIES'!C:H,5,FALSE()))))</f>
        <v>0</v>
      </c>
      <c r="G15" s="21" t="b">
        <f>IF(AND(A15&lt;&gt;0,B15=0,C15=0),VLOOKUP(A15,'3 - LISTA DE ESPÉCIES'!A:H,3,FALSE()),IF(AND(A15=0,B15&lt;&gt;0,C15=0),VLOOKUP(B15,'3 - LISTA DE ESPÉCIES'!B:H,7,FALSE()),IF(AND(A15=0,B15=0,C15&lt;&gt;0),VLOOKUP(C15,'3 - LISTA DE ESPÉCIES'!C:H,6,FALSE()))))</f>
        <v>0</v>
      </c>
      <c r="H15" s="21" t="b">
        <f>IF(AND(A15&lt;&gt;0,B15=0,C15=0),VLOOKUP(A15,'3 - LISTA DE ESPÉCIES'!A:H,4,FALSE()),IF(AND(A15=0,B15&lt;&gt;0,C15=0),VLOOKUP(B15,'3 - LISTA DE ESPÉCIES'!B:H,3,FALSE()),IF(AND(A15=0,B15=0,C15&lt;&gt;0),VLOOKUP(C15,'3 - LISTA DE ESPÉCIES'!C:H,2,FALSE()))))</f>
        <v>0</v>
      </c>
      <c r="I15" s="21" t="b">
        <f>IF(AND(A15&lt;&gt;0,B15=0,C15=0),VLOOKUP(A15,'3 - LISTA DE ESPÉCIES'!A:H,5,FALSE()),IF(AND(A15=0,B15&lt;&gt;0,C15=0),VLOOKUP(B15,'3 - LISTA DE ESPÉCIES'!B:H,4,FALSE()),IF(AND(A15=0,B15=0,C15&lt;&gt;0),VLOOKUP(C15,'3 - LISTA DE ESPÉCIES'!C:H,3,FALSE()))))</f>
        <v>0</v>
      </c>
      <c r="J15" s="23"/>
      <c r="K15" s="23"/>
      <c r="L15" s="20"/>
      <c r="M15" s="20"/>
    </row>
    <row r="16" spans="1:13" x14ac:dyDescent="0.25">
      <c r="A16" s="20"/>
      <c r="B16" s="20"/>
      <c r="C16" s="20"/>
      <c r="E16" s="21" t="b">
        <f>IF(AND(A16&lt;&gt;0,B16=0,C16=0),VLOOKUP(A16,'3 - LISTA DE ESPÉCIES'!A:H,1,FALSE()),IF(AND(A16=0,B16&lt;&gt;0,C16=0),VLOOKUP(B16,'3 - LISTA DE ESPÉCIES'!B:H,5,FALSE()),IF(AND(A16=0,B16=0,C16&lt;&gt;0),VLOOKUP(C16,'3 - LISTA DE ESPÉCIES'!C:H,4,FALSE()))))</f>
        <v>0</v>
      </c>
      <c r="F16" s="21" t="b">
        <f>IF(AND(A16&lt;&gt;0,B16=0,C16=0),VLOOKUP(A16,'3 - LISTA DE ESPÉCIES'!A:H,2,FALSE()),IF(AND(A16=0,B16&lt;&gt;0,C16=0),VLOOKUP(B16,'3 - LISTA DE ESPÉCIES'!B:H,6,FALSE()),IF(AND(A16=0,B16=0,C16&lt;&gt;0),VLOOKUP(C16,'3 - LISTA DE ESPÉCIES'!C:H,5,FALSE()))))</f>
        <v>0</v>
      </c>
      <c r="G16" s="21" t="b">
        <f>IF(AND(A16&lt;&gt;0,B16=0,C16=0),VLOOKUP(A16,'3 - LISTA DE ESPÉCIES'!A:H,3,FALSE()),IF(AND(A16=0,B16&lt;&gt;0,C16=0),VLOOKUP(B16,'3 - LISTA DE ESPÉCIES'!B:H,7,FALSE()),IF(AND(A16=0,B16=0,C16&lt;&gt;0),VLOOKUP(C16,'3 - LISTA DE ESPÉCIES'!C:H,6,FALSE()))))</f>
        <v>0</v>
      </c>
      <c r="H16" s="21" t="b">
        <f>IF(AND(A16&lt;&gt;0,B16=0,C16=0),VLOOKUP(A16,'3 - LISTA DE ESPÉCIES'!A:H,4,FALSE()),IF(AND(A16=0,B16&lt;&gt;0,C16=0),VLOOKUP(B16,'3 - LISTA DE ESPÉCIES'!B:H,3,FALSE()),IF(AND(A16=0,B16=0,C16&lt;&gt;0),VLOOKUP(C16,'3 - LISTA DE ESPÉCIES'!C:H,2,FALSE()))))</f>
        <v>0</v>
      </c>
      <c r="I16" s="21" t="b">
        <f>IF(AND(A16&lt;&gt;0,B16=0,C16=0),VLOOKUP(A16,'3 - LISTA DE ESPÉCIES'!A:H,5,FALSE()),IF(AND(A16=0,B16&lt;&gt;0,C16=0),VLOOKUP(B16,'3 - LISTA DE ESPÉCIES'!B:H,4,FALSE()),IF(AND(A16=0,B16=0,C16&lt;&gt;0),VLOOKUP(C16,'3 - LISTA DE ESPÉCIES'!C:H,3,FALSE()))))</f>
        <v>0</v>
      </c>
      <c r="J16" s="23"/>
      <c r="K16" s="23"/>
      <c r="L16" s="20"/>
      <c r="M16" s="20"/>
    </row>
    <row r="17" spans="1:13" x14ac:dyDescent="0.25">
      <c r="A17" s="20"/>
      <c r="B17" s="20"/>
      <c r="C17" s="20"/>
      <c r="E17" s="21" t="b">
        <f>IF(AND(A17&lt;&gt;0,B17=0,C17=0),VLOOKUP(A17,'3 - LISTA DE ESPÉCIES'!A:H,1,FALSE()),IF(AND(A17=0,B17&lt;&gt;0,C17=0),VLOOKUP(B17,'3 - LISTA DE ESPÉCIES'!B:H,5,FALSE()),IF(AND(A17=0,B17=0,C17&lt;&gt;0),VLOOKUP(C17,'3 - LISTA DE ESPÉCIES'!C:H,4,FALSE()))))</f>
        <v>0</v>
      </c>
      <c r="F17" s="21" t="b">
        <f>IF(AND(A17&lt;&gt;0,B17=0,C17=0),VLOOKUP(A17,'3 - LISTA DE ESPÉCIES'!A:H,2,FALSE()),IF(AND(A17=0,B17&lt;&gt;0,C17=0),VLOOKUP(B17,'3 - LISTA DE ESPÉCIES'!B:H,6,FALSE()),IF(AND(A17=0,B17=0,C17&lt;&gt;0),VLOOKUP(C17,'3 - LISTA DE ESPÉCIES'!C:H,5,FALSE()))))</f>
        <v>0</v>
      </c>
      <c r="G17" s="21" t="b">
        <f>IF(AND(A17&lt;&gt;0,B17=0,C17=0),VLOOKUP(A17,'3 - LISTA DE ESPÉCIES'!A:H,3,FALSE()),IF(AND(A17=0,B17&lt;&gt;0,C17=0),VLOOKUP(B17,'3 - LISTA DE ESPÉCIES'!B:H,7,FALSE()),IF(AND(A17=0,B17=0,C17&lt;&gt;0),VLOOKUP(C17,'3 - LISTA DE ESPÉCIES'!C:H,6,FALSE()))))</f>
        <v>0</v>
      </c>
      <c r="H17" s="21" t="b">
        <f>IF(AND(A17&lt;&gt;0,B17=0,C17=0),VLOOKUP(A17,'3 - LISTA DE ESPÉCIES'!A:H,4,FALSE()),IF(AND(A17=0,B17&lt;&gt;0,C17=0),VLOOKUP(B17,'3 - LISTA DE ESPÉCIES'!B:H,3,FALSE()),IF(AND(A17=0,B17=0,C17&lt;&gt;0),VLOOKUP(C17,'3 - LISTA DE ESPÉCIES'!C:H,2,FALSE()))))</f>
        <v>0</v>
      </c>
      <c r="I17" s="21" t="b">
        <f>IF(AND(A17&lt;&gt;0,B17=0,C17=0),VLOOKUP(A17,'3 - LISTA DE ESPÉCIES'!A:H,5,FALSE()),IF(AND(A17=0,B17&lt;&gt;0,C17=0),VLOOKUP(B17,'3 - LISTA DE ESPÉCIES'!B:H,4,FALSE()),IF(AND(A17=0,B17=0,C17&lt;&gt;0),VLOOKUP(C17,'3 - LISTA DE ESPÉCIES'!C:H,3,FALSE()))))</f>
        <v>0</v>
      </c>
      <c r="J17" s="23"/>
      <c r="K17" s="23"/>
      <c r="L17" s="20"/>
      <c r="M17" s="20"/>
    </row>
    <row r="18" spans="1:13" x14ac:dyDescent="0.25">
      <c r="A18" s="20"/>
      <c r="B18" s="20"/>
      <c r="C18" s="20"/>
      <c r="E18" s="21" t="b">
        <f>IF(AND(A18&lt;&gt;0,B18=0,C18=0),VLOOKUP(A18,'3 - LISTA DE ESPÉCIES'!A:H,1,FALSE()),IF(AND(A18=0,B18&lt;&gt;0,C18=0),VLOOKUP(B18,'3 - LISTA DE ESPÉCIES'!B:H,5,FALSE()),IF(AND(A18=0,B18=0,C18&lt;&gt;0),VLOOKUP(C18,'3 - LISTA DE ESPÉCIES'!C:H,4,FALSE()))))</f>
        <v>0</v>
      </c>
      <c r="F18" s="21" t="b">
        <f>IF(AND(A18&lt;&gt;0,B18=0,C18=0),VLOOKUP(A18,'3 - LISTA DE ESPÉCIES'!A:H,2,FALSE()),IF(AND(A18=0,B18&lt;&gt;0,C18=0),VLOOKUP(B18,'3 - LISTA DE ESPÉCIES'!B:H,6,FALSE()),IF(AND(A18=0,B18=0,C18&lt;&gt;0),VLOOKUP(C18,'3 - LISTA DE ESPÉCIES'!C:H,5,FALSE()))))</f>
        <v>0</v>
      </c>
      <c r="G18" s="21" t="b">
        <f>IF(AND(A18&lt;&gt;0,B18=0,C18=0),VLOOKUP(A18,'3 - LISTA DE ESPÉCIES'!A:H,3,FALSE()),IF(AND(A18=0,B18&lt;&gt;0,C18=0),VLOOKUP(B18,'3 - LISTA DE ESPÉCIES'!B:H,7,FALSE()),IF(AND(A18=0,B18=0,C18&lt;&gt;0),VLOOKUP(C18,'3 - LISTA DE ESPÉCIES'!C:H,6,FALSE()))))</f>
        <v>0</v>
      </c>
      <c r="H18" s="21" t="b">
        <f>IF(AND(A18&lt;&gt;0,B18=0,C18=0),VLOOKUP(A18,'3 - LISTA DE ESPÉCIES'!A:H,4,FALSE()),IF(AND(A18=0,B18&lt;&gt;0,C18=0),VLOOKUP(B18,'3 - LISTA DE ESPÉCIES'!B:H,3,FALSE()),IF(AND(A18=0,B18=0,C18&lt;&gt;0),VLOOKUP(C18,'3 - LISTA DE ESPÉCIES'!C:H,2,FALSE()))))</f>
        <v>0</v>
      </c>
      <c r="I18" s="21" t="b">
        <f>IF(AND(A18&lt;&gt;0,B18=0,C18=0),VLOOKUP(A18,'3 - LISTA DE ESPÉCIES'!A:H,5,FALSE()),IF(AND(A18=0,B18&lt;&gt;0,C18=0),VLOOKUP(B18,'3 - LISTA DE ESPÉCIES'!B:H,4,FALSE()),IF(AND(A18=0,B18=0,C18&lt;&gt;0),VLOOKUP(C18,'3 - LISTA DE ESPÉCIES'!C:H,3,FALSE()))))</f>
        <v>0</v>
      </c>
      <c r="J18" s="23"/>
      <c r="K18" s="23"/>
      <c r="L18" s="20"/>
      <c r="M18" s="20"/>
    </row>
    <row r="19" spans="1:13" x14ac:dyDescent="0.25">
      <c r="A19" s="20"/>
      <c r="B19" s="20"/>
      <c r="C19" s="20"/>
      <c r="E19" s="21" t="b">
        <f>IF(AND(A19&lt;&gt;0,B19=0,C19=0),VLOOKUP(A19,'3 - LISTA DE ESPÉCIES'!A:H,1,FALSE()),IF(AND(A19=0,B19&lt;&gt;0,C19=0),VLOOKUP(B19,'3 - LISTA DE ESPÉCIES'!B:H,5,FALSE()),IF(AND(A19=0,B19=0,C19&lt;&gt;0),VLOOKUP(C19,'3 - LISTA DE ESPÉCIES'!C:H,4,FALSE()))))</f>
        <v>0</v>
      </c>
      <c r="F19" s="21" t="b">
        <f>IF(AND(A19&lt;&gt;0,B19=0,C19=0),VLOOKUP(A19,'3 - LISTA DE ESPÉCIES'!A:H,2,FALSE()),IF(AND(A19=0,B19&lt;&gt;0,C19=0),VLOOKUP(B19,'3 - LISTA DE ESPÉCIES'!B:H,6,FALSE()),IF(AND(A19=0,B19=0,C19&lt;&gt;0),VLOOKUP(C19,'3 - LISTA DE ESPÉCIES'!C:H,5,FALSE()))))</f>
        <v>0</v>
      </c>
      <c r="G19" s="21" t="b">
        <f>IF(AND(A19&lt;&gt;0,B19=0,C19=0),VLOOKUP(A19,'3 - LISTA DE ESPÉCIES'!A:H,3,FALSE()),IF(AND(A19=0,B19&lt;&gt;0,C19=0),VLOOKUP(B19,'3 - LISTA DE ESPÉCIES'!B:H,7,FALSE()),IF(AND(A19=0,B19=0,C19&lt;&gt;0),VLOOKUP(C19,'3 - LISTA DE ESPÉCIES'!C:H,6,FALSE()))))</f>
        <v>0</v>
      </c>
      <c r="H19" s="21" t="b">
        <f>IF(AND(A19&lt;&gt;0,B19=0,C19=0),VLOOKUP(A19,'3 - LISTA DE ESPÉCIES'!A:H,4,FALSE()),IF(AND(A19=0,B19&lt;&gt;0,C19=0),VLOOKUP(B19,'3 - LISTA DE ESPÉCIES'!B:H,3,FALSE()),IF(AND(A19=0,B19=0,C19&lt;&gt;0),VLOOKUP(C19,'3 - LISTA DE ESPÉCIES'!C:H,2,FALSE()))))</f>
        <v>0</v>
      </c>
      <c r="I19" s="21" t="b">
        <f>IF(AND(A19&lt;&gt;0,B19=0,C19=0),VLOOKUP(A19,'3 - LISTA DE ESPÉCIES'!A:H,5,FALSE()),IF(AND(A19=0,B19&lt;&gt;0,C19=0),VLOOKUP(B19,'3 - LISTA DE ESPÉCIES'!B:H,4,FALSE()),IF(AND(A19=0,B19=0,C19&lt;&gt;0),VLOOKUP(C19,'3 - LISTA DE ESPÉCIES'!C:H,3,FALSE()))))</f>
        <v>0</v>
      </c>
      <c r="J19" s="23"/>
      <c r="K19" s="23"/>
      <c r="L19" s="20"/>
      <c r="M19" s="20"/>
    </row>
    <row r="20" spans="1:13" x14ac:dyDescent="0.25">
      <c r="A20" s="20"/>
      <c r="B20" s="20"/>
      <c r="C20" s="20"/>
      <c r="E20" s="21" t="b">
        <f>IF(AND(A20&lt;&gt;0,B20=0,C20=0),VLOOKUP(A20,'3 - LISTA DE ESPÉCIES'!A:H,1,FALSE()),IF(AND(A20=0,B20&lt;&gt;0,C20=0),VLOOKUP(B20,'3 - LISTA DE ESPÉCIES'!B:H,5,FALSE()),IF(AND(A20=0,B20=0,C20&lt;&gt;0),VLOOKUP(C20,'3 - LISTA DE ESPÉCIES'!C:H,4,FALSE()))))</f>
        <v>0</v>
      </c>
      <c r="F20" s="21" t="b">
        <f>IF(AND(A20&lt;&gt;0,B20=0,C20=0),VLOOKUP(A20,'3 - LISTA DE ESPÉCIES'!A:H,2,FALSE()),IF(AND(A20=0,B20&lt;&gt;0,C20=0),VLOOKUP(B20,'3 - LISTA DE ESPÉCIES'!B:H,6,FALSE()),IF(AND(A20=0,B20=0,C20&lt;&gt;0),VLOOKUP(C20,'3 - LISTA DE ESPÉCIES'!C:H,5,FALSE()))))</f>
        <v>0</v>
      </c>
      <c r="G20" s="21" t="b">
        <f>IF(AND(A20&lt;&gt;0,B20=0,C20=0),VLOOKUP(A20,'3 - LISTA DE ESPÉCIES'!A:H,3,FALSE()),IF(AND(A20=0,B20&lt;&gt;0,C20=0),VLOOKUP(B20,'3 - LISTA DE ESPÉCIES'!B:H,7,FALSE()),IF(AND(A20=0,B20=0,C20&lt;&gt;0),VLOOKUP(C20,'3 - LISTA DE ESPÉCIES'!C:H,6,FALSE()))))</f>
        <v>0</v>
      </c>
      <c r="H20" s="21" t="b">
        <f>IF(AND(A20&lt;&gt;0,B20=0,C20=0),VLOOKUP(A20,'3 - LISTA DE ESPÉCIES'!A:H,4,FALSE()),IF(AND(A20=0,B20&lt;&gt;0,C20=0),VLOOKUP(B20,'3 - LISTA DE ESPÉCIES'!B:H,3,FALSE()),IF(AND(A20=0,B20=0,C20&lt;&gt;0),VLOOKUP(C20,'3 - LISTA DE ESPÉCIES'!C:H,2,FALSE()))))</f>
        <v>0</v>
      </c>
      <c r="I20" s="21" t="b">
        <f>IF(AND(A20&lt;&gt;0,B20=0,C20=0),VLOOKUP(A20,'3 - LISTA DE ESPÉCIES'!A:H,5,FALSE()),IF(AND(A20=0,B20&lt;&gt;0,C20=0),VLOOKUP(B20,'3 - LISTA DE ESPÉCIES'!B:H,4,FALSE()),IF(AND(A20=0,B20=0,C20&lt;&gt;0),VLOOKUP(C20,'3 - LISTA DE ESPÉCIES'!C:H,3,FALSE()))))</f>
        <v>0</v>
      </c>
      <c r="J20" s="23"/>
      <c r="K20" s="23"/>
      <c r="L20" s="20"/>
      <c r="M20" s="20"/>
    </row>
    <row r="21" spans="1:13" x14ac:dyDescent="0.25">
      <c r="A21" s="20"/>
      <c r="B21" s="20"/>
      <c r="C21" s="20"/>
      <c r="E21" s="21" t="b">
        <f>IF(AND(A21&lt;&gt;0,B21=0,C21=0),VLOOKUP(A21,'3 - LISTA DE ESPÉCIES'!A:H,1,FALSE()),IF(AND(A21=0,B21&lt;&gt;0,C21=0),VLOOKUP(B21,'3 - LISTA DE ESPÉCIES'!B:H,5,FALSE()),IF(AND(A21=0,B21=0,C21&lt;&gt;0),VLOOKUP(C21,'3 - LISTA DE ESPÉCIES'!C:H,4,FALSE()))))</f>
        <v>0</v>
      </c>
      <c r="F21" s="21" t="b">
        <f>IF(AND(A21&lt;&gt;0,B21=0,C21=0),VLOOKUP(A21,'3 - LISTA DE ESPÉCIES'!A:H,2,FALSE()),IF(AND(A21=0,B21&lt;&gt;0,C21=0),VLOOKUP(B21,'3 - LISTA DE ESPÉCIES'!B:H,6,FALSE()),IF(AND(A21=0,B21=0,C21&lt;&gt;0),VLOOKUP(C21,'3 - LISTA DE ESPÉCIES'!C:H,5,FALSE()))))</f>
        <v>0</v>
      </c>
      <c r="G21" s="21" t="b">
        <f>IF(AND(A21&lt;&gt;0,B21=0,C21=0),VLOOKUP(A21,'3 - LISTA DE ESPÉCIES'!A:H,3,FALSE()),IF(AND(A21=0,B21&lt;&gt;0,C21=0),VLOOKUP(B21,'3 - LISTA DE ESPÉCIES'!B:H,7,FALSE()),IF(AND(A21=0,B21=0,C21&lt;&gt;0),VLOOKUP(C21,'3 - LISTA DE ESPÉCIES'!C:H,6,FALSE()))))</f>
        <v>0</v>
      </c>
      <c r="H21" s="21" t="b">
        <f>IF(AND(A21&lt;&gt;0,B21=0,C21=0),VLOOKUP(A21,'3 - LISTA DE ESPÉCIES'!A:H,4,FALSE()),IF(AND(A21=0,B21&lt;&gt;0,C21=0),VLOOKUP(B21,'3 - LISTA DE ESPÉCIES'!B:H,3,FALSE()),IF(AND(A21=0,B21=0,C21&lt;&gt;0),VLOOKUP(C21,'3 - LISTA DE ESPÉCIES'!C:H,2,FALSE()))))</f>
        <v>0</v>
      </c>
      <c r="I21" s="21" t="b">
        <f>IF(AND(A21&lt;&gt;0,B21=0,C21=0),VLOOKUP(A21,'3 - LISTA DE ESPÉCIES'!A:H,5,FALSE()),IF(AND(A21=0,B21&lt;&gt;0,C21=0),VLOOKUP(B21,'3 - LISTA DE ESPÉCIES'!B:H,4,FALSE()),IF(AND(A21=0,B21=0,C21&lt;&gt;0),VLOOKUP(C21,'3 - LISTA DE ESPÉCIES'!C:H,3,FALSE()))))</f>
        <v>0</v>
      </c>
      <c r="J21" s="23"/>
      <c r="K21" s="23"/>
      <c r="L21" s="20"/>
      <c r="M21" s="20"/>
    </row>
    <row r="22" spans="1:13" x14ac:dyDescent="0.25">
      <c r="A22" s="20"/>
      <c r="B22" s="20"/>
      <c r="C22" s="20"/>
      <c r="E22" s="21" t="b">
        <f>IF(AND(A22&lt;&gt;0,B22=0,C22=0),VLOOKUP(A22,'3 - LISTA DE ESPÉCIES'!A:H,1,FALSE()),IF(AND(A22=0,B22&lt;&gt;0,C22=0),VLOOKUP(B22,'3 - LISTA DE ESPÉCIES'!B:H,5,FALSE()),IF(AND(A22=0,B22=0,C22&lt;&gt;0),VLOOKUP(C22,'3 - LISTA DE ESPÉCIES'!C:H,4,FALSE()))))</f>
        <v>0</v>
      </c>
      <c r="F22" s="21" t="b">
        <f>IF(AND(A22&lt;&gt;0,B22=0,C22=0),VLOOKUP(A22,'3 - LISTA DE ESPÉCIES'!A:H,2,FALSE()),IF(AND(A22=0,B22&lt;&gt;0,C22=0),VLOOKUP(B22,'3 - LISTA DE ESPÉCIES'!B:H,6,FALSE()),IF(AND(A22=0,B22=0,C22&lt;&gt;0),VLOOKUP(C22,'3 - LISTA DE ESPÉCIES'!C:H,5,FALSE()))))</f>
        <v>0</v>
      </c>
      <c r="G22" s="21" t="b">
        <f>IF(AND(A22&lt;&gt;0,B22=0,C22=0),VLOOKUP(A22,'3 - LISTA DE ESPÉCIES'!A:H,3,FALSE()),IF(AND(A22=0,B22&lt;&gt;0,C22=0),VLOOKUP(B22,'3 - LISTA DE ESPÉCIES'!B:H,7,FALSE()),IF(AND(A22=0,B22=0,C22&lt;&gt;0),VLOOKUP(C22,'3 - LISTA DE ESPÉCIES'!C:H,6,FALSE()))))</f>
        <v>0</v>
      </c>
      <c r="H22" s="21" t="b">
        <f>IF(AND(A22&lt;&gt;0,B22=0,C22=0),VLOOKUP(A22,'3 - LISTA DE ESPÉCIES'!A:H,4,FALSE()),IF(AND(A22=0,B22&lt;&gt;0,C22=0),VLOOKUP(B22,'3 - LISTA DE ESPÉCIES'!B:H,3,FALSE()),IF(AND(A22=0,B22=0,C22&lt;&gt;0),VLOOKUP(C22,'3 - LISTA DE ESPÉCIES'!C:H,2,FALSE()))))</f>
        <v>0</v>
      </c>
      <c r="I22" s="21" t="b">
        <f>IF(AND(A22&lt;&gt;0,B22=0,C22=0),VLOOKUP(A22,'3 - LISTA DE ESPÉCIES'!A:H,5,FALSE()),IF(AND(A22=0,B22&lt;&gt;0,C22=0),VLOOKUP(B22,'3 - LISTA DE ESPÉCIES'!B:H,4,FALSE()),IF(AND(A22=0,B22=0,C22&lt;&gt;0),VLOOKUP(C22,'3 - LISTA DE ESPÉCIES'!C:H,3,FALSE()))))</f>
        <v>0</v>
      </c>
      <c r="J22" s="23"/>
      <c r="K22" s="23"/>
      <c r="L22" s="20"/>
      <c r="M22" s="20"/>
    </row>
    <row r="23" spans="1:13" x14ac:dyDescent="0.25">
      <c r="A23" s="20"/>
      <c r="B23" s="20"/>
      <c r="C23" s="20"/>
      <c r="E23" s="21" t="b">
        <f>IF(AND(A23&lt;&gt;0,B23=0,C23=0),VLOOKUP(A23,'3 - LISTA DE ESPÉCIES'!A:H,1,FALSE()),IF(AND(A23=0,B23&lt;&gt;0,C23=0),VLOOKUP(B23,'3 - LISTA DE ESPÉCIES'!B:H,5,FALSE()),IF(AND(A23=0,B23=0,C23&lt;&gt;0),VLOOKUP(C23,'3 - LISTA DE ESPÉCIES'!C:H,4,FALSE()))))</f>
        <v>0</v>
      </c>
      <c r="F23" s="21" t="b">
        <f>IF(AND(A23&lt;&gt;0,B23=0,C23=0),VLOOKUP(A23,'3 - LISTA DE ESPÉCIES'!A:H,2,FALSE()),IF(AND(A23=0,B23&lt;&gt;0,C23=0),VLOOKUP(B23,'3 - LISTA DE ESPÉCIES'!B:H,6,FALSE()),IF(AND(A23=0,B23=0,C23&lt;&gt;0),VLOOKUP(C23,'3 - LISTA DE ESPÉCIES'!C:H,5,FALSE()))))</f>
        <v>0</v>
      </c>
      <c r="G23" s="21" t="b">
        <f>IF(AND(A23&lt;&gt;0,B23=0,C23=0),VLOOKUP(A23,'3 - LISTA DE ESPÉCIES'!A:H,3,FALSE()),IF(AND(A23=0,B23&lt;&gt;0,C23=0),VLOOKUP(B23,'3 - LISTA DE ESPÉCIES'!B:H,7,FALSE()),IF(AND(A23=0,B23=0,C23&lt;&gt;0),VLOOKUP(C23,'3 - LISTA DE ESPÉCIES'!C:H,6,FALSE()))))</f>
        <v>0</v>
      </c>
      <c r="H23" s="21" t="b">
        <f>IF(AND(A23&lt;&gt;0,B23=0,C23=0),VLOOKUP(A23,'3 - LISTA DE ESPÉCIES'!A:H,4,FALSE()),IF(AND(A23=0,B23&lt;&gt;0,C23=0),VLOOKUP(B23,'3 - LISTA DE ESPÉCIES'!B:H,3,FALSE()),IF(AND(A23=0,B23=0,C23&lt;&gt;0),VLOOKUP(C23,'3 - LISTA DE ESPÉCIES'!C:H,2,FALSE()))))</f>
        <v>0</v>
      </c>
      <c r="I23" s="21" t="b">
        <f>IF(AND(A23&lt;&gt;0,B23=0,C23=0),VLOOKUP(A23,'3 - LISTA DE ESPÉCIES'!A:H,5,FALSE()),IF(AND(A23=0,B23&lt;&gt;0,C23=0),VLOOKUP(B23,'3 - LISTA DE ESPÉCIES'!B:H,4,FALSE()),IF(AND(A23=0,B23=0,C23&lt;&gt;0),VLOOKUP(C23,'3 - LISTA DE ESPÉCIES'!C:H,3,FALSE()))))</f>
        <v>0</v>
      </c>
      <c r="J23" s="23"/>
      <c r="K23" s="23"/>
      <c r="L23" s="20"/>
      <c r="M23" s="20"/>
    </row>
    <row r="24" spans="1:13" x14ac:dyDescent="0.25">
      <c r="A24" s="20"/>
      <c r="B24" s="20"/>
      <c r="C24" s="20"/>
      <c r="E24" s="21" t="b">
        <f>IF(AND(A24&lt;&gt;0,B24=0,C24=0),VLOOKUP(A24,'3 - LISTA DE ESPÉCIES'!A:H,1,FALSE()),IF(AND(A24=0,B24&lt;&gt;0,C24=0),VLOOKUP(B24,'3 - LISTA DE ESPÉCIES'!B:H,5,FALSE()),IF(AND(A24=0,B24=0,C24&lt;&gt;0),VLOOKUP(C24,'3 - LISTA DE ESPÉCIES'!C:H,4,FALSE()))))</f>
        <v>0</v>
      </c>
      <c r="F24" s="21" t="b">
        <f>IF(AND(A24&lt;&gt;0,B24=0,C24=0),VLOOKUP(A24,'3 - LISTA DE ESPÉCIES'!A:H,2,FALSE()),IF(AND(A24=0,B24&lt;&gt;0,C24=0),VLOOKUP(B24,'3 - LISTA DE ESPÉCIES'!B:H,6,FALSE()),IF(AND(A24=0,B24=0,C24&lt;&gt;0),VLOOKUP(C24,'3 - LISTA DE ESPÉCIES'!C:H,5,FALSE()))))</f>
        <v>0</v>
      </c>
      <c r="G24" s="21" t="b">
        <f>IF(AND(A24&lt;&gt;0,B24=0,C24=0),VLOOKUP(A24,'3 - LISTA DE ESPÉCIES'!A:H,3,FALSE()),IF(AND(A24=0,B24&lt;&gt;0,C24=0),VLOOKUP(B24,'3 - LISTA DE ESPÉCIES'!B:H,7,FALSE()),IF(AND(A24=0,B24=0,C24&lt;&gt;0),VLOOKUP(C24,'3 - LISTA DE ESPÉCIES'!C:H,6,FALSE()))))</f>
        <v>0</v>
      </c>
      <c r="H24" s="21" t="b">
        <f>IF(AND(A24&lt;&gt;0,B24=0,C24=0),VLOOKUP(A24,'3 - LISTA DE ESPÉCIES'!A:H,4,FALSE()),IF(AND(A24=0,B24&lt;&gt;0,C24=0),VLOOKUP(B24,'3 - LISTA DE ESPÉCIES'!B:H,3,FALSE()),IF(AND(A24=0,B24=0,C24&lt;&gt;0),VLOOKUP(C24,'3 - LISTA DE ESPÉCIES'!C:H,2,FALSE()))))</f>
        <v>0</v>
      </c>
      <c r="I24" s="21" t="b">
        <f>IF(AND(A24&lt;&gt;0,B24=0,C24=0),VLOOKUP(A24,'3 - LISTA DE ESPÉCIES'!A:H,5,FALSE()),IF(AND(A24=0,B24&lt;&gt;0,C24=0),VLOOKUP(B24,'3 - LISTA DE ESPÉCIES'!B:H,4,FALSE()),IF(AND(A24=0,B24=0,C24&lt;&gt;0),VLOOKUP(C24,'3 - LISTA DE ESPÉCIES'!C:H,3,FALSE()))))</f>
        <v>0</v>
      </c>
      <c r="J24" s="23"/>
      <c r="K24" s="23"/>
      <c r="L24" s="20"/>
      <c r="M24" s="20"/>
    </row>
    <row r="25" spans="1:13" x14ac:dyDescent="0.25">
      <c r="A25" s="20"/>
      <c r="B25" s="20"/>
      <c r="C25" s="20"/>
      <c r="E25" s="21" t="b">
        <f>IF(AND(A25&lt;&gt;0,B25=0,C25=0),VLOOKUP(A25,'3 - LISTA DE ESPÉCIES'!A:H,1,FALSE()),IF(AND(A25=0,B25&lt;&gt;0,C25=0),VLOOKUP(B25,'3 - LISTA DE ESPÉCIES'!B:H,5,FALSE()),IF(AND(A25=0,B25=0,C25&lt;&gt;0),VLOOKUP(C25,'3 - LISTA DE ESPÉCIES'!C:H,4,FALSE()))))</f>
        <v>0</v>
      </c>
      <c r="F25" s="21" t="b">
        <f>IF(AND(A25&lt;&gt;0,B25=0,C25=0),VLOOKUP(A25,'3 - LISTA DE ESPÉCIES'!A:H,2,FALSE()),IF(AND(A25=0,B25&lt;&gt;0,C25=0),VLOOKUP(B25,'3 - LISTA DE ESPÉCIES'!B:H,6,FALSE()),IF(AND(A25=0,B25=0,C25&lt;&gt;0),VLOOKUP(C25,'3 - LISTA DE ESPÉCIES'!C:H,5,FALSE()))))</f>
        <v>0</v>
      </c>
      <c r="G25" s="21" t="b">
        <f>IF(AND(A25&lt;&gt;0,B25=0,C25=0),VLOOKUP(A25,'3 - LISTA DE ESPÉCIES'!A:H,3,FALSE()),IF(AND(A25=0,B25&lt;&gt;0,C25=0),VLOOKUP(B25,'3 - LISTA DE ESPÉCIES'!B:H,7,FALSE()),IF(AND(A25=0,B25=0,C25&lt;&gt;0),VLOOKUP(C25,'3 - LISTA DE ESPÉCIES'!C:H,6,FALSE()))))</f>
        <v>0</v>
      </c>
      <c r="H25" s="21" t="b">
        <f>IF(AND(A25&lt;&gt;0,B25=0,C25=0),VLOOKUP(A25,'3 - LISTA DE ESPÉCIES'!A:H,4,FALSE()),IF(AND(A25=0,B25&lt;&gt;0,C25=0),VLOOKUP(B25,'3 - LISTA DE ESPÉCIES'!B:H,3,FALSE()),IF(AND(A25=0,B25=0,C25&lt;&gt;0),VLOOKUP(C25,'3 - LISTA DE ESPÉCIES'!C:H,2,FALSE()))))</f>
        <v>0</v>
      </c>
      <c r="I25" s="21" t="b">
        <f>IF(AND(A25&lt;&gt;0,B25=0,C25=0),VLOOKUP(A25,'3 - LISTA DE ESPÉCIES'!A:H,5,FALSE()),IF(AND(A25=0,B25&lt;&gt;0,C25=0),VLOOKUP(B25,'3 - LISTA DE ESPÉCIES'!B:H,4,FALSE()),IF(AND(A25=0,B25=0,C25&lt;&gt;0),VLOOKUP(C25,'3 - LISTA DE ESPÉCIES'!C:H,3,FALSE()))))</f>
        <v>0</v>
      </c>
      <c r="J25" s="23"/>
      <c r="K25" s="23"/>
      <c r="L25" s="20"/>
      <c r="M25" s="20"/>
    </row>
    <row r="26" spans="1:13" x14ac:dyDescent="0.25">
      <c r="A26" s="20"/>
      <c r="B26" s="20"/>
      <c r="C26" s="20"/>
      <c r="E26" s="21" t="b">
        <f>IF(AND(A26&lt;&gt;0,B26=0,C26=0),VLOOKUP(A26,'3 - LISTA DE ESPÉCIES'!A:H,1,FALSE()),IF(AND(A26=0,B26&lt;&gt;0,C26=0),VLOOKUP(B26,'3 - LISTA DE ESPÉCIES'!B:H,5,FALSE()),IF(AND(A26=0,B26=0,C26&lt;&gt;0),VLOOKUP(C26,'3 - LISTA DE ESPÉCIES'!C:H,4,FALSE()))))</f>
        <v>0</v>
      </c>
      <c r="F26" s="21" t="b">
        <f>IF(AND(A26&lt;&gt;0,B26=0,C26=0),VLOOKUP(A26,'3 - LISTA DE ESPÉCIES'!A:H,2,FALSE()),IF(AND(A26=0,B26&lt;&gt;0,C26=0),VLOOKUP(B26,'3 - LISTA DE ESPÉCIES'!B:H,6,FALSE()),IF(AND(A26=0,B26=0,C26&lt;&gt;0),VLOOKUP(C26,'3 - LISTA DE ESPÉCIES'!C:H,5,FALSE()))))</f>
        <v>0</v>
      </c>
      <c r="G26" s="21" t="b">
        <f>IF(AND(A26&lt;&gt;0,B26=0,C26=0),VLOOKUP(A26,'3 - LISTA DE ESPÉCIES'!A:H,3,FALSE()),IF(AND(A26=0,B26&lt;&gt;0,C26=0),VLOOKUP(B26,'3 - LISTA DE ESPÉCIES'!B:H,7,FALSE()),IF(AND(A26=0,B26=0,C26&lt;&gt;0),VLOOKUP(C26,'3 - LISTA DE ESPÉCIES'!C:H,6,FALSE()))))</f>
        <v>0</v>
      </c>
      <c r="H26" s="21" t="b">
        <f>IF(AND(A26&lt;&gt;0,B26=0,C26=0),VLOOKUP(A26,'3 - LISTA DE ESPÉCIES'!A:H,4,FALSE()),IF(AND(A26=0,B26&lt;&gt;0,C26=0),VLOOKUP(B26,'3 - LISTA DE ESPÉCIES'!B:H,3,FALSE()),IF(AND(A26=0,B26=0,C26&lt;&gt;0),VLOOKUP(C26,'3 - LISTA DE ESPÉCIES'!C:H,2,FALSE()))))</f>
        <v>0</v>
      </c>
      <c r="I26" s="21" t="b">
        <f>IF(AND(A26&lt;&gt;0,B26=0,C26=0),VLOOKUP(A26,'3 - LISTA DE ESPÉCIES'!A:H,5,FALSE()),IF(AND(A26=0,B26&lt;&gt;0,C26=0),VLOOKUP(B26,'3 - LISTA DE ESPÉCIES'!B:H,4,FALSE()),IF(AND(A26=0,B26=0,C26&lt;&gt;0),VLOOKUP(C26,'3 - LISTA DE ESPÉCIES'!C:H,3,FALSE()))))</f>
        <v>0</v>
      </c>
      <c r="J26" s="23"/>
      <c r="K26" s="23"/>
      <c r="L26" s="20"/>
      <c r="M26" s="20"/>
    </row>
    <row r="27" spans="1:13" x14ac:dyDescent="0.25">
      <c r="A27" s="20"/>
      <c r="B27" s="20"/>
      <c r="C27" s="20"/>
      <c r="E27" s="21" t="b">
        <f>IF(AND(A27&lt;&gt;0,B27=0,C27=0),VLOOKUP(A27,'3 - LISTA DE ESPÉCIES'!A:H,1,FALSE()),IF(AND(A27=0,B27&lt;&gt;0,C27=0),VLOOKUP(B27,'3 - LISTA DE ESPÉCIES'!B:H,5,FALSE()),IF(AND(A27=0,B27=0,C27&lt;&gt;0),VLOOKUP(C27,'3 - LISTA DE ESPÉCIES'!C:H,4,FALSE()))))</f>
        <v>0</v>
      </c>
      <c r="F27" s="21" t="b">
        <f>IF(AND(A27&lt;&gt;0,B27=0,C27=0),VLOOKUP(A27,'3 - LISTA DE ESPÉCIES'!A:H,2,FALSE()),IF(AND(A27=0,B27&lt;&gt;0,C27=0),VLOOKUP(B27,'3 - LISTA DE ESPÉCIES'!B:H,6,FALSE()),IF(AND(A27=0,B27=0,C27&lt;&gt;0),VLOOKUP(C27,'3 - LISTA DE ESPÉCIES'!C:H,5,FALSE()))))</f>
        <v>0</v>
      </c>
      <c r="G27" s="21" t="b">
        <f>IF(AND(A27&lt;&gt;0,B27=0,C27=0),VLOOKUP(A27,'3 - LISTA DE ESPÉCIES'!A:H,3,FALSE()),IF(AND(A27=0,B27&lt;&gt;0,C27=0),VLOOKUP(B27,'3 - LISTA DE ESPÉCIES'!B:H,7,FALSE()),IF(AND(A27=0,B27=0,C27&lt;&gt;0),VLOOKUP(C27,'3 - LISTA DE ESPÉCIES'!C:H,6,FALSE()))))</f>
        <v>0</v>
      </c>
      <c r="H27" s="21" t="b">
        <f>IF(AND(A27&lt;&gt;0,B27=0,C27=0),VLOOKUP(A27,'3 - LISTA DE ESPÉCIES'!A:H,4,FALSE()),IF(AND(A27=0,B27&lt;&gt;0,C27=0),VLOOKUP(B27,'3 - LISTA DE ESPÉCIES'!B:H,3,FALSE()),IF(AND(A27=0,B27=0,C27&lt;&gt;0),VLOOKUP(C27,'3 - LISTA DE ESPÉCIES'!C:H,2,FALSE()))))</f>
        <v>0</v>
      </c>
      <c r="I27" s="21" t="b">
        <f>IF(AND(A27&lt;&gt;0,B27=0,C27=0),VLOOKUP(A27,'3 - LISTA DE ESPÉCIES'!A:H,5,FALSE()),IF(AND(A27=0,B27&lt;&gt;0,C27=0),VLOOKUP(B27,'3 - LISTA DE ESPÉCIES'!B:H,4,FALSE()),IF(AND(A27=0,B27=0,C27&lt;&gt;0),VLOOKUP(C27,'3 - LISTA DE ESPÉCIES'!C:H,3,FALSE()))))</f>
        <v>0</v>
      </c>
      <c r="J27" s="23"/>
      <c r="K27" s="23"/>
      <c r="L27" s="20"/>
      <c r="M27" s="20"/>
    </row>
    <row r="28" spans="1:13" x14ac:dyDescent="0.25">
      <c r="A28" s="20"/>
      <c r="B28" s="20"/>
      <c r="C28" s="20"/>
      <c r="E28" s="21" t="b">
        <f>IF(AND(A28&lt;&gt;0,B28=0,C28=0),VLOOKUP(A28,'3 - LISTA DE ESPÉCIES'!A:H,1,FALSE()),IF(AND(A28=0,B28&lt;&gt;0,C28=0),VLOOKUP(B28,'3 - LISTA DE ESPÉCIES'!B:H,5,FALSE()),IF(AND(A28=0,B28=0,C28&lt;&gt;0),VLOOKUP(C28,'3 - LISTA DE ESPÉCIES'!C:H,4,FALSE()))))</f>
        <v>0</v>
      </c>
      <c r="F28" s="21" t="b">
        <f>IF(AND(A28&lt;&gt;0,B28=0,C28=0),VLOOKUP(A28,'3 - LISTA DE ESPÉCIES'!A:H,2,FALSE()),IF(AND(A28=0,B28&lt;&gt;0,C28=0),VLOOKUP(B28,'3 - LISTA DE ESPÉCIES'!B:H,6,FALSE()),IF(AND(A28=0,B28=0,C28&lt;&gt;0),VLOOKUP(C28,'3 - LISTA DE ESPÉCIES'!C:H,5,FALSE()))))</f>
        <v>0</v>
      </c>
      <c r="G28" s="21" t="b">
        <f>IF(AND(A28&lt;&gt;0,B28=0,C28=0),VLOOKUP(A28,'3 - LISTA DE ESPÉCIES'!A:H,3,FALSE()),IF(AND(A28=0,B28&lt;&gt;0,C28=0),VLOOKUP(B28,'3 - LISTA DE ESPÉCIES'!B:H,7,FALSE()),IF(AND(A28=0,B28=0,C28&lt;&gt;0),VLOOKUP(C28,'3 - LISTA DE ESPÉCIES'!C:H,6,FALSE()))))</f>
        <v>0</v>
      </c>
      <c r="H28" s="21" t="b">
        <f>IF(AND(A28&lt;&gt;0,B28=0,C28=0),VLOOKUP(A28,'3 - LISTA DE ESPÉCIES'!A:H,4,FALSE()),IF(AND(A28=0,B28&lt;&gt;0,C28=0),VLOOKUP(B28,'3 - LISTA DE ESPÉCIES'!B:H,3,FALSE()),IF(AND(A28=0,B28=0,C28&lt;&gt;0),VLOOKUP(C28,'3 - LISTA DE ESPÉCIES'!C:H,2,FALSE()))))</f>
        <v>0</v>
      </c>
      <c r="I28" s="21" t="b">
        <f>IF(AND(A28&lt;&gt;0,B28=0,C28=0),VLOOKUP(A28,'3 - LISTA DE ESPÉCIES'!A:H,5,FALSE()),IF(AND(A28=0,B28&lt;&gt;0,C28=0),VLOOKUP(B28,'3 - LISTA DE ESPÉCIES'!B:H,4,FALSE()),IF(AND(A28=0,B28=0,C28&lt;&gt;0),VLOOKUP(C28,'3 - LISTA DE ESPÉCIES'!C:H,3,FALSE()))))</f>
        <v>0</v>
      </c>
      <c r="J28" s="23"/>
      <c r="K28" s="23"/>
      <c r="L28" s="20"/>
      <c r="M28" s="20"/>
    </row>
    <row r="29" spans="1:13" x14ac:dyDescent="0.25">
      <c r="A29" s="20"/>
      <c r="B29" s="20"/>
      <c r="C29" s="20"/>
      <c r="E29" s="21" t="b">
        <f>IF(AND(A29&lt;&gt;0,B29=0,C29=0),VLOOKUP(A29,'3 - LISTA DE ESPÉCIES'!A:H,1,FALSE()),IF(AND(A29=0,B29&lt;&gt;0,C29=0),VLOOKUP(B29,'3 - LISTA DE ESPÉCIES'!B:H,5,FALSE()),IF(AND(A29=0,B29=0,C29&lt;&gt;0),VLOOKUP(C29,'3 - LISTA DE ESPÉCIES'!C:H,4,FALSE()))))</f>
        <v>0</v>
      </c>
      <c r="F29" s="21" t="b">
        <f>IF(AND(A29&lt;&gt;0,B29=0,C29=0),VLOOKUP(A29,'3 - LISTA DE ESPÉCIES'!A:H,2,FALSE()),IF(AND(A29=0,B29&lt;&gt;0,C29=0),VLOOKUP(B29,'3 - LISTA DE ESPÉCIES'!B:H,6,FALSE()),IF(AND(A29=0,B29=0,C29&lt;&gt;0),VLOOKUP(C29,'3 - LISTA DE ESPÉCIES'!C:H,5,FALSE()))))</f>
        <v>0</v>
      </c>
      <c r="G29" s="21" t="b">
        <f>IF(AND(A29&lt;&gt;0,B29=0,C29=0),VLOOKUP(A29,'3 - LISTA DE ESPÉCIES'!A:H,3,FALSE()),IF(AND(A29=0,B29&lt;&gt;0,C29=0),VLOOKUP(B29,'3 - LISTA DE ESPÉCIES'!B:H,7,FALSE()),IF(AND(A29=0,B29=0,C29&lt;&gt;0),VLOOKUP(C29,'3 - LISTA DE ESPÉCIES'!C:H,6,FALSE()))))</f>
        <v>0</v>
      </c>
      <c r="H29" s="21" t="b">
        <f>IF(AND(A29&lt;&gt;0,B29=0,C29=0),VLOOKUP(A29,'3 - LISTA DE ESPÉCIES'!A:H,4,FALSE()),IF(AND(A29=0,B29&lt;&gt;0,C29=0),VLOOKUP(B29,'3 - LISTA DE ESPÉCIES'!B:H,3,FALSE()),IF(AND(A29=0,B29=0,C29&lt;&gt;0),VLOOKUP(C29,'3 - LISTA DE ESPÉCIES'!C:H,2,FALSE()))))</f>
        <v>0</v>
      </c>
      <c r="I29" s="21" t="b">
        <f>IF(AND(A29&lt;&gt;0,B29=0,C29=0),VLOOKUP(A29,'3 - LISTA DE ESPÉCIES'!A:H,5,FALSE()),IF(AND(A29=0,B29&lt;&gt;0,C29=0),VLOOKUP(B29,'3 - LISTA DE ESPÉCIES'!B:H,4,FALSE()),IF(AND(A29=0,B29=0,C29&lt;&gt;0),VLOOKUP(C29,'3 - LISTA DE ESPÉCIES'!C:H,3,FALSE()))))</f>
        <v>0</v>
      </c>
      <c r="J29" s="23"/>
      <c r="K29" s="23"/>
      <c r="L29" s="20"/>
      <c r="M29" s="20"/>
    </row>
    <row r="30" spans="1:13" x14ac:dyDescent="0.25">
      <c r="A30" s="20"/>
      <c r="B30" s="20"/>
      <c r="C30" s="20"/>
      <c r="E30" s="21" t="b">
        <f>IF(AND(A30&lt;&gt;0,B30=0,C30=0),VLOOKUP(A30,'3 - LISTA DE ESPÉCIES'!A:H,1,FALSE()),IF(AND(A30=0,B30&lt;&gt;0,C30=0),VLOOKUP(B30,'3 - LISTA DE ESPÉCIES'!B:H,5,FALSE()),IF(AND(A30=0,B30=0,C30&lt;&gt;0),VLOOKUP(C30,'3 - LISTA DE ESPÉCIES'!C:H,4,FALSE()))))</f>
        <v>0</v>
      </c>
      <c r="F30" s="21" t="b">
        <f>IF(AND(A30&lt;&gt;0,B30=0,C30=0),VLOOKUP(A30,'3 - LISTA DE ESPÉCIES'!A:H,2,FALSE()),IF(AND(A30=0,B30&lt;&gt;0,C30=0),VLOOKUP(B30,'3 - LISTA DE ESPÉCIES'!B:H,6,FALSE()),IF(AND(A30=0,B30=0,C30&lt;&gt;0),VLOOKUP(C30,'3 - LISTA DE ESPÉCIES'!C:H,5,FALSE()))))</f>
        <v>0</v>
      </c>
      <c r="G30" s="21" t="b">
        <f>IF(AND(A30&lt;&gt;0,B30=0,C30=0),VLOOKUP(A30,'3 - LISTA DE ESPÉCIES'!A:H,3,FALSE()),IF(AND(A30=0,B30&lt;&gt;0,C30=0),VLOOKUP(B30,'3 - LISTA DE ESPÉCIES'!B:H,7,FALSE()),IF(AND(A30=0,B30=0,C30&lt;&gt;0),VLOOKUP(C30,'3 - LISTA DE ESPÉCIES'!C:H,6,FALSE()))))</f>
        <v>0</v>
      </c>
      <c r="H30" s="21" t="b">
        <f>IF(AND(A30&lt;&gt;0,B30=0,C30=0),VLOOKUP(A30,'3 - LISTA DE ESPÉCIES'!A:H,4,FALSE()),IF(AND(A30=0,B30&lt;&gt;0,C30=0),VLOOKUP(B30,'3 - LISTA DE ESPÉCIES'!B:H,3,FALSE()),IF(AND(A30=0,B30=0,C30&lt;&gt;0),VLOOKUP(C30,'3 - LISTA DE ESPÉCIES'!C:H,2,FALSE()))))</f>
        <v>0</v>
      </c>
      <c r="I30" s="21" t="b">
        <f>IF(AND(A30&lt;&gt;0,B30=0,C30=0),VLOOKUP(A30,'3 - LISTA DE ESPÉCIES'!A:H,5,FALSE()),IF(AND(A30=0,B30&lt;&gt;0,C30=0),VLOOKUP(B30,'3 - LISTA DE ESPÉCIES'!B:H,4,FALSE()),IF(AND(A30=0,B30=0,C30&lt;&gt;0),VLOOKUP(C30,'3 - LISTA DE ESPÉCIES'!C:H,3,FALSE()))))</f>
        <v>0</v>
      </c>
      <c r="J30" s="23"/>
      <c r="K30" s="23"/>
      <c r="L30" s="20"/>
      <c r="M30" s="20"/>
    </row>
    <row r="31" spans="1:13" x14ac:dyDescent="0.25">
      <c r="A31" s="20"/>
      <c r="B31" s="20"/>
      <c r="C31" s="20"/>
      <c r="E31" s="21" t="b">
        <f>IF(AND(A31&lt;&gt;0,B31=0,C31=0),VLOOKUP(A31,'3 - LISTA DE ESPÉCIES'!A:H,1,FALSE()),IF(AND(A31=0,B31&lt;&gt;0,C31=0),VLOOKUP(B31,'3 - LISTA DE ESPÉCIES'!B:H,5,FALSE()),IF(AND(A31=0,B31=0,C31&lt;&gt;0),VLOOKUP(C31,'3 - LISTA DE ESPÉCIES'!C:H,4,FALSE()))))</f>
        <v>0</v>
      </c>
      <c r="F31" s="21" t="b">
        <f>IF(AND(A31&lt;&gt;0,B31=0,C31=0),VLOOKUP(A31,'3 - LISTA DE ESPÉCIES'!A:H,2,FALSE()),IF(AND(A31=0,B31&lt;&gt;0,C31=0),VLOOKUP(B31,'3 - LISTA DE ESPÉCIES'!B:H,6,FALSE()),IF(AND(A31=0,B31=0,C31&lt;&gt;0),VLOOKUP(C31,'3 - LISTA DE ESPÉCIES'!C:H,5,FALSE()))))</f>
        <v>0</v>
      </c>
      <c r="G31" s="21" t="b">
        <f>IF(AND(A31&lt;&gt;0,B31=0,C31=0),VLOOKUP(A31,'3 - LISTA DE ESPÉCIES'!A:H,3,FALSE()),IF(AND(A31=0,B31&lt;&gt;0,C31=0),VLOOKUP(B31,'3 - LISTA DE ESPÉCIES'!B:H,7,FALSE()),IF(AND(A31=0,B31=0,C31&lt;&gt;0),VLOOKUP(C31,'3 - LISTA DE ESPÉCIES'!C:H,6,FALSE()))))</f>
        <v>0</v>
      </c>
      <c r="H31" s="21" t="b">
        <f>IF(AND(A31&lt;&gt;0,B31=0,C31=0),VLOOKUP(A31,'3 - LISTA DE ESPÉCIES'!A:H,4,FALSE()),IF(AND(A31=0,B31&lt;&gt;0,C31=0),VLOOKUP(B31,'3 - LISTA DE ESPÉCIES'!B:H,3,FALSE()),IF(AND(A31=0,B31=0,C31&lt;&gt;0),VLOOKUP(C31,'3 - LISTA DE ESPÉCIES'!C:H,2,FALSE()))))</f>
        <v>0</v>
      </c>
      <c r="I31" s="21" t="b">
        <f>IF(AND(A31&lt;&gt;0,B31=0,C31=0),VLOOKUP(A31,'3 - LISTA DE ESPÉCIES'!A:H,5,FALSE()),IF(AND(A31=0,B31&lt;&gt;0,C31=0),VLOOKUP(B31,'3 - LISTA DE ESPÉCIES'!B:H,4,FALSE()),IF(AND(A31=0,B31=0,C31&lt;&gt;0),VLOOKUP(C31,'3 - LISTA DE ESPÉCIES'!C:H,3,FALSE()))))</f>
        <v>0</v>
      </c>
      <c r="J31" s="23"/>
      <c r="K31" s="23"/>
      <c r="L31" s="20"/>
      <c r="M31" s="20"/>
    </row>
    <row r="32" spans="1:13" x14ac:dyDescent="0.25">
      <c r="A32" s="20"/>
      <c r="B32" s="20"/>
      <c r="C32" s="20"/>
      <c r="E32" s="21" t="b">
        <f>IF(AND(A32&lt;&gt;0,B32=0,C32=0),VLOOKUP(A32,'3 - LISTA DE ESPÉCIES'!A:H,1,FALSE()),IF(AND(A32=0,B32&lt;&gt;0,C32=0),VLOOKUP(B32,'3 - LISTA DE ESPÉCIES'!B:H,5,FALSE()),IF(AND(A32=0,B32=0,C32&lt;&gt;0),VLOOKUP(C32,'3 - LISTA DE ESPÉCIES'!C:H,4,FALSE()))))</f>
        <v>0</v>
      </c>
      <c r="F32" s="21" t="b">
        <f>IF(AND(A32&lt;&gt;0,B32=0,C32=0),VLOOKUP(A32,'3 - LISTA DE ESPÉCIES'!A:H,2,FALSE()),IF(AND(A32=0,B32&lt;&gt;0,C32=0),VLOOKUP(B32,'3 - LISTA DE ESPÉCIES'!B:H,6,FALSE()),IF(AND(A32=0,B32=0,C32&lt;&gt;0),VLOOKUP(C32,'3 - LISTA DE ESPÉCIES'!C:H,5,FALSE()))))</f>
        <v>0</v>
      </c>
      <c r="G32" s="21" t="b">
        <f>IF(AND(A32&lt;&gt;0,B32=0,C32=0),VLOOKUP(A32,'3 - LISTA DE ESPÉCIES'!A:H,3,FALSE()),IF(AND(A32=0,B32&lt;&gt;0,C32=0),VLOOKUP(B32,'3 - LISTA DE ESPÉCIES'!B:H,7,FALSE()),IF(AND(A32=0,B32=0,C32&lt;&gt;0),VLOOKUP(C32,'3 - LISTA DE ESPÉCIES'!C:H,6,FALSE()))))</f>
        <v>0</v>
      </c>
      <c r="H32" s="21" t="b">
        <f>IF(AND(A32&lt;&gt;0,B32=0,C32=0),VLOOKUP(A32,'3 - LISTA DE ESPÉCIES'!A:H,4,FALSE()),IF(AND(A32=0,B32&lt;&gt;0,C32=0),VLOOKUP(B32,'3 - LISTA DE ESPÉCIES'!B:H,3,FALSE()),IF(AND(A32=0,B32=0,C32&lt;&gt;0),VLOOKUP(C32,'3 - LISTA DE ESPÉCIES'!C:H,2,FALSE()))))</f>
        <v>0</v>
      </c>
      <c r="I32" s="21" t="b">
        <f>IF(AND(A32&lt;&gt;0,B32=0,C32=0),VLOOKUP(A32,'3 - LISTA DE ESPÉCIES'!A:H,5,FALSE()),IF(AND(A32=0,B32&lt;&gt;0,C32=0),VLOOKUP(B32,'3 - LISTA DE ESPÉCIES'!B:H,4,FALSE()),IF(AND(A32=0,B32=0,C32&lt;&gt;0),VLOOKUP(C32,'3 - LISTA DE ESPÉCIES'!C:H,3,FALSE()))))</f>
        <v>0</v>
      </c>
      <c r="J32" s="23"/>
      <c r="K32" s="23"/>
      <c r="L32" s="20"/>
      <c r="M32" s="20"/>
    </row>
    <row r="33" spans="1:13" x14ac:dyDescent="0.25">
      <c r="A33" s="20"/>
      <c r="B33" s="20"/>
      <c r="C33" s="20"/>
      <c r="E33" s="21" t="b">
        <f>IF(AND(A33&lt;&gt;0,B33=0,C33=0),VLOOKUP(A33,'3 - LISTA DE ESPÉCIES'!A:H,1,FALSE()),IF(AND(A33=0,B33&lt;&gt;0,C33=0),VLOOKUP(B33,'3 - LISTA DE ESPÉCIES'!B:H,5,FALSE()),IF(AND(A33=0,B33=0,C33&lt;&gt;0),VLOOKUP(C33,'3 - LISTA DE ESPÉCIES'!C:H,4,FALSE()))))</f>
        <v>0</v>
      </c>
      <c r="F33" s="21" t="b">
        <f>IF(AND(A33&lt;&gt;0,B33=0,C33=0),VLOOKUP(A33,'3 - LISTA DE ESPÉCIES'!A:H,2,FALSE()),IF(AND(A33=0,B33&lt;&gt;0,C33=0),VLOOKUP(B33,'3 - LISTA DE ESPÉCIES'!B:H,6,FALSE()),IF(AND(A33=0,B33=0,C33&lt;&gt;0),VLOOKUP(C33,'3 - LISTA DE ESPÉCIES'!C:H,5,FALSE()))))</f>
        <v>0</v>
      </c>
      <c r="G33" s="21" t="b">
        <f>IF(AND(A33&lt;&gt;0,B33=0,C33=0),VLOOKUP(A33,'3 - LISTA DE ESPÉCIES'!A:H,3,FALSE()),IF(AND(A33=0,B33&lt;&gt;0,C33=0),VLOOKUP(B33,'3 - LISTA DE ESPÉCIES'!B:H,7,FALSE()),IF(AND(A33=0,B33=0,C33&lt;&gt;0),VLOOKUP(C33,'3 - LISTA DE ESPÉCIES'!C:H,6,FALSE()))))</f>
        <v>0</v>
      </c>
      <c r="H33" s="21" t="b">
        <f>IF(AND(A33&lt;&gt;0,B33=0,C33=0),VLOOKUP(A33,'3 - LISTA DE ESPÉCIES'!A:H,4,FALSE()),IF(AND(A33=0,B33&lt;&gt;0,C33=0),VLOOKUP(B33,'3 - LISTA DE ESPÉCIES'!B:H,3,FALSE()),IF(AND(A33=0,B33=0,C33&lt;&gt;0),VLOOKUP(C33,'3 - LISTA DE ESPÉCIES'!C:H,2,FALSE()))))</f>
        <v>0</v>
      </c>
      <c r="I33" s="21" t="b">
        <f>IF(AND(A33&lt;&gt;0,B33=0,C33=0),VLOOKUP(A33,'3 - LISTA DE ESPÉCIES'!A:H,5,FALSE()),IF(AND(A33=0,B33&lt;&gt;0,C33=0),VLOOKUP(B33,'3 - LISTA DE ESPÉCIES'!B:H,4,FALSE()),IF(AND(A33=0,B33=0,C33&lt;&gt;0),VLOOKUP(C33,'3 - LISTA DE ESPÉCIES'!C:H,3,FALSE()))))</f>
        <v>0</v>
      </c>
      <c r="J33" s="23"/>
      <c r="K33" s="23"/>
      <c r="L33" s="20"/>
      <c r="M33" s="20"/>
    </row>
    <row r="34" spans="1:13" x14ac:dyDescent="0.25">
      <c r="A34" s="20"/>
      <c r="B34" s="20"/>
      <c r="C34" s="20"/>
      <c r="E34" s="21" t="b">
        <f>IF(AND(A34&lt;&gt;0,B34=0,C34=0),VLOOKUP(A34,'3 - LISTA DE ESPÉCIES'!A:H,1,FALSE()),IF(AND(A34=0,B34&lt;&gt;0,C34=0),VLOOKUP(B34,'3 - LISTA DE ESPÉCIES'!B:H,5,FALSE()),IF(AND(A34=0,B34=0,C34&lt;&gt;0),VLOOKUP(C34,'3 - LISTA DE ESPÉCIES'!C:H,4,FALSE()))))</f>
        <v>0</v>
      </c>
      <c r="F34" s="21" t="b">
        <f>IF(AND(A34&lt;&gt;0,B34=0,C34=0),VLOOKUP(A34,'3 - LISTA DE ESPÉCIES'!A:H,2,FALSE()),IF(AND(A34=0,B34&lt;&gt;0,C34=0),VLOOKUP(B34,'3 - LISTA DE ESPÉCIES'!B:H,6,FALSE()),IF(AND(A34=0,B34=0,C34&lt;&gt;0),VLOOKUP(C34,'3 - LISTA DE ESPÉCIES'!C:H,5,FALSE()))))</f>
        <v>0</v>
      </c>
      <c r="G34" s="21" t="b">
        <f>IF(AND(A34&lt;&gt;0,B34=0,C34=0),VLOOKUP(A34,'3 - LISTA DE ESPÉCIES'!A:H,3,FALSE()),IF(AND(A34=0,B34&lt;&gt;0,C34=0),VLOOKUP(B34,'3 - LISTA DE ESPÉCIES'!B:H,7,FALSE()),IF(AND(A34=0,B34=0,C34&lt;&gt;0),VLOOKUP(C34,'3 - LISTA DE ESPÉCIES'!C:H,6,FALSE()))))</f>
        <v>0</v>
      </c>
      <c r="H34" s="21" t="b">
        <f>IF(AND(A34&lt;&gt;0,B34=0,C34=0),VLOOKUP(A34,'3 - LISTA DE ESPÉCIES'!A:H,4,FALSE()),IF(AND(A34=0,B34&lt;&gt;0,C34=0),VLOOKUP(B34,'3 - LISTA DE ESPÉCIES'!B:H,3,FALSE()),IF(AND(A34=0,B34=0,C34&lt;&gt;0),VLOOKUP(C34,'3 - LISTA DE ESPÉCIES'!C:H,2,FALSE()))))</f>
        <v>0</v>
      </c>
      <c r="I34" s="21" t="b">
        <f>IF(AND(A34&lt;&gt;0,B34=0,C34=0),VLOOKUP(A34,'3 - LISTA DE ESPÉCIES'!A:H,5,FALSE()),IF(AND(A34=0,B34&lt;&gt;0,C34=0),VLOOKUP(B34,'3 - LISTA DE ESPÉCIES'!B:H,4,FALSE()),IF(AND(A34=0,B34=0,C34&lt;&gt;0),VLOOKUP(C34,'3 - LISTA DE ESPÉCIES'!C:H,3,FALSE()))))</f>
        <v>0</v>
      </c>
      <c r="J34" s="23"/>
      <c r="K34" s="23"/>
      <c r="L34" s="20"/>
      <c r="M34" s="20"/>
    </row>
    <row r="35" spans="1:13" x14ac:dyDescent="0.25">
      <c r="A35" s="20"/>
      <c r="B35" s="20"/>
      <c r="C35" s="20"/>
      <c r="E35" s="21" t="b">
        <f>IF(AND(A35&lt;&gt;0,B35=0,C35=0),VLOOKUP(A35,'3 - LISTA DE ESPÉCIES'!A:H,1,FALSE()),IF(AND(A35=0,B35&lt;&gt;0,C35=0),VLOOKUP(B35,'3 - LISTA DE ESPÉCIES'!B:H,5,FALSE()),IF(AND(A35=0,B35=0,C35&lt;&gt;0),VLOOKUP(C35,'3 - LISTA DE ESPÉCIES'!C:H,4,FALSE()))))</f>
        <v>0</v>
      </c>
      <c r="F35" s="21" t="b">
        <f>IF(AND(A35&lt;&gt;0,B35=0,C35=0),VLOOKUP(A35,'3 - LISTA DE ESPÉCIES'!A:H,2,FALSE()),IF(AND(A35=0,B35&lt;&gt;0,C35=0),VLOOKUP(B35,'3 - LISTA DE ESPÉCIES'!B:H,6,FALSE()),IF(AND(A35=0,B35=0,C35&lt;&gt;0),VLOOKUP(C35,'3 - LISTA DE ESPÉCIES'!C:H,5,FALSE()))))</f>
        <v>0</v>
      </c>
      <c r="G35" s="21" t="b">
        <f>IF(AND(A35&lt;&gt;0,B35=0,C35=0),VLOOKUP(A35,'3 - LISTA DE ESPÉCIES'!A:H,3,FALSE()),IF(AND(A35=0,B35&lt;&gt;0,C35=0),VLOOKUP(B35,'3 - LISTA DE ESPÉCIES'!B:H,7,FALSE()),IF(AND(A35=0,B35=0,C35&lt;&gt;0),VLOOKUP(C35,'3 - LISTA DE ESPÉCIES'!C:H,6,FALSE()))))</f>
        <v>0</v>
      </c>
      <c r="H35" s="21" t="b">
        <f>IF(AND(A35&lt;&gt;0,B35=0,C35=0),VLOOKUP(A35,'3 - LISTA DE ESPÉCIES'!A:H,4,FALSE()),IF(AND(A35=0,B35&lt;&gt;0,C35=0),VLOOKUP(B35,'3 - LISTA DE ESPÉCIES'!B:H,3,FALSE()),IF(AND(A35=0,B35=0,C35&lt;&gt;0),VLOOKUP(C35,'3 - LISTA DE ESPÉCIES'!C:H,2,FALSE()))))</f>
        <v>0</v>
      </c>
      <c r="I35" s="21" t="b">
        <f>IF(AND(A35&lt;&gt;0,B35=0,C35=0),VLOOKUP(A35,'3 - LISTA DE ESPÉCIES'!A:H,5,FALSE()),IF(AND(A35=0,B35&lt;&gt;0,C35=0),VLOOKUP(B35,'3 - LISTA DE ESPÉCIES'!B:H,4,FALSE()),IF(AND(A35=0,B35=0,C35&lt;&gt;0),VLOOKUP(C35,'3 - LISTA DE ESPÉCIES'!C:H,3,FALSE()))))</f>
        <v>0</v>
      </c>
      <c r="J35" s="23"/>
      <c r="K35" s="23"/>
      <c r="L35" s="20"/>
      <c r="M35" s="20"/>
    </row>
    <row r="36" spans="1:13" x14ac:dyDescent="0.25">
      <c r="A36" s="20"/>
      <c r="B36" s="20"/>
      <c r="C36" s="20"/>
      <c r="E36" s="21" t="b">
        <f>IF(AND(A36&lt;&gt;0,B36=0,C36=0),VLOOKUP(A36,'3 - LISTA DE ESPÉCIES'!A:H,1,FALSE()),IF(AND(A36=0,B36&lt;&gt;0,C36=0),VLOOKUP(B36,'3 - LISTA DE ESPÉCIES'!B:H,5,FALSE()),IF(AND(A36=0,B36=0,C36&lt;&gt;0),VLOOKUP(C36,'3 - LISTA DE ESPÉCIES'!C:H,4,FALSE()))))</f>
        <v>0</v>
      </c>
      <c r="F36" s="21" t="b">
        <f>IF(AND(A36&lt;&gt;0,B36=0,C36=0),VLOOKUP(A36,'3 - LISTA DE ESPÉCIES'!A:H,2,FALSE()),IF(AND(A36=0,B36&lt;&gt;0,C36=0),VLOOKUP(B36,'3 - LISTA DE ESPÉCIES'!B:H,6,FALSE()),IF(AND(A36=0,B36=0,C36&lt;&gt;0),VLOOKUP(C36,'3 - LISTA DE ESPÉCIES'!C:H,5,FALSE()))))</f>
        <v>0</v>
      </c>
      <c r="G36" s="21" t="b">
        <f>IF(AND(A36&lt;&gt;0,B36=0,C36=0),VLOOKUP(A36,'3 - LISTA DE ESPÉCIES'!A:H,3,FALSE()),IF(AND(A36=0,B36&lt;&gt;0,C36=0),VLOOKUP(B36,'3 - LISTA DE ESPÉCIES'!B:H,7,FALSE()),IF(AND(A36=0,B36=0,C36&lt;&gt;0),VLOOKUP(C36,'3 - LISTA DE ESPÉCIES'!C:H,6,FALSE()))))</f>
        <v>0</v>
      </c>
      <c r="H36" s="21" t="b">
        <f>IF(AND(A36&lt;&gt;0,B36=0,C36=0),VLOOKUP(A36,'3 - LISTA DE ESPÉCIES'!A:H,4,FALSE()),IF(AND(A36=0,B36&lt;&gt;0,C36=0),VLOOKUP(B36,'3 - LISTA DE ESPÉCIES'!B:H,3,FALSE()),IF(AND(A36=0,B36=0,C36&lt;&gt;0),VLOOKUP(C36,'3 - LISTA DE ESPÉCIES'!C:H,2,FALSE()))))</f>
        <v>0</v>
      </c>
      <c r="I36" s="21" t="b">
        <f>IF(AND(A36&lt;&gt;0,B36=0,C36=0),VLOOKUP(A36,'3 - LISTA DE ESPÉCIES'!A:H,5,FALSE()),IF(AND(A36=0,B36&lt;&gt;0,C36=0),VLOOKUP(B36,'3 - LISTA DE ESPÉCIES'!B:H,4,FALSE()),IF(AND(A36=0,B36=0,C36&lt;&gt;0),VLOOKUP(C36,'3 - LISTA DE ESPÉCIES'!C:H,3,FALSE()))))</f>
        <v>0</v>
      </c>
      <c r="J36" s="23"/>
      <c r="K36" s="23"/>
      <c r="L36" s="20"/>
      <c r="M36" s="20"/>
    </row>
    <row r="37" spans="1:13" x14ac:dyDescent="0.25">
      <c r="A37" s="20"/>
      <c r="B37" s="20"/>
      <c r="C37" s="20"/>
      <c r="E37" s="21" t="b">
        <f>IF(AND(A37&lt;&gt;0,B37=0,C37=0),VLOOKUP(A37,'3 - LISTA DE ESPÉCIES'!A:H,1,FALSE()),IF(AND(A37=0,B37&lt;&gt;0,C37=0),VLOOKUP(B37,'3 - LISTA DE ESPÉCIES'!B:H,5,FALSE()),IF(AND(A37=0,B37=0,C37&lt;&gt;0),VLOOKUP(C37,'3 - LISTA DE ESPÉCIES'!C:H,4,FALSE()))))</f>
        <v>0</v>
      </c>
      <c r="F37" s="21" t="b">
        <f>IF(AND(A37&lt;&gt;0,B37=0,C37=0),VLOOKUP(A37,'3 - LISTA DE ESPÉCIES'!A:H,2,FALSE()),IF(AND(A37=0,B37&lt;&gt;0,C37=0),VLOOKUP(B37,'3 - LISTA DE ESPÉCIES'!B:H,6,FALSE()),IF(AND(A37=0,B37=0,C37&lt;&gt;0),VLOOKUP(C37,'3 - LISTA DE ESPÉCIES'!C:H,5,FALSE()))))</f>
        <v>0</v>
      </c>
      <c r="G37" s="21" t="b">
        <f>IF(AND(A37&lt;&gt;0,B37=0,C37=0),VLOOKUP(A37,'3 - LISTA DE ESPÉCIES'!A:H,3,FALSE()),IF(AND(A37=0,B37&lt;&gt;0,C37=0),VLOOKUP(B37,'3 - LISTA DE ESPÉCIES'!B:H,7,FALSE()),IF(AND(A37=0,B37=0,C37&lt;&gt;0),VLOOKUP(C37,'3 - LISTA DE ESPÉCIES'!C:H,6,FALSE()))))</f>
        <v>0</v>
      </c>
      <c r="H37" s="21" t="b">
        <f>IF(AND(A37&lt;&gt;0,B37=0,C37=0),VLOOKUP(A37,'3 - LISTA DE ESPÉCIES'!A:H,4,FALSE()),IF(AND(A37=0,B37&lt;&gt;0,C37=0),VLOOKUP(B37,'3 - LISTA DE ESPÉCIES'!B:H,3,FALSE()),IF(AND(A37=0,B37=0,C37&lt;&gt;0),VLOOKUP(C37,'3 - LISTA DE ESPÉCIES'!C:H,2,FALSE()))))</f>
        <v>0</v>
      </c>
      <c r="I37" s="21" t="b">
        <f>IF(AND(A37&lt;&gt;0,B37=0,C37=0),VLOOKUP(A37,'3 - LISTA DE ESPÉCIES'!A:H,5,FALSE()),IF(AND(A37=0,B37&lt;&gt;0,C37=0),VLOOKUP(B37,'3 - LISTA DE ESPÉCIES'!B:H,4,FALSE()),IF(AND(A37=0,B37=0,C37&lt;&gt;0),VLOOKUP(C37,'3 - LISTA DE ESPÉCIES'!C:H,3,FALSE()))))</f>
        <v>0</v>
      </c>
      <c r="J37" s="23"/>
      <c r="K37" s="23"/>
      <c r="L37" s="20"/>
      <c r="M37" s="20"/>
    </row>
    <row r="38" spans="1:13" x14ac:dyDescent="0.25">
      <c r="A38" s="20"/>
      <c r="B38" s="20"/>
      <c r="C38" s="20"/>
      <c r="E38" s="21" t="b">
        <f>IF(AND(A38&lt;&gt;0,B38=0,C38=0),VLOOKUP(A38,'3 - LISTA DE ESPÉCIES'!A:H,1,FALSE()),IF(AND(A38=0,B38&lt;&gt;0,C38=0),VLOOKUP(B38,'3 - LISTA DE ESPÉCIES'!B:H,5,FALSE()),IF(AND(A38=0,B38=0,C38&lt;&gt;0),VLOOKUP(C38,'3 - LISTA DE ESPÉCIES'!C:H,4,FALSE()))))</f>
        <v>0</v>
      </c>
      <c r="F38" s="21" t="b">
        <f>IF(AND(A38&lt;&gt;0,B38=0,C38=0),VLOOKUP(A38,'3 - LISTA DE ESPÉCIES'!A:H,2,FALSE()),IF(AND(A38=0,B38&lt;&gt;0,C38=0),VLOOKUP(B38,'3 - LISTA DE ESPÉCIES'!B:H,6,FALSE()),IF(AND(A38=0,B38=0,C38&lt;&gt;0),VLOOKUP(C38,'3 - LISTA DE ESPÉCIES'!C:H,5,FALSE()))))</f>
        <v>0</v>
      </c>
      <c r="G38" s="21" t="b">
        <f>IF(AND(A38&lt;&gt;0,B38=0,C38=0),VLOOKUP(A38,'3 - LISTA DE ESPÉCIES'!A:H,3,FALSE()),IF(AND(A38=0,B38&lt;&gt;0,C38=0),VLOOKUP(B38,'3 - LISTA DE ESPÉCIES'!B:H,7,FALSE()),IF(AND(A38=0,B38=0,C38&lt;&gt;0),VLOOKUP(C38,'3 - LISTA DE ESPÉCIES'!C:H,6,FALSE()))))</f>
        <v>0</v>
      </c>
      <c r="H38" s="21" t="b">
        <f>IF(AND(A38&lt;&gt;0,B38=0,C38=0),VLOOKUP(A38,'3 - LISTA DE ESPÉCIES'!A:H,4,FALSE()),IF(AND(A38=0,B38&lt;&gt;0,C38=0),VLOOKUP(B38,'3 - LISTA DE ESPÉCIES'!B:H,3,FALSE()),IF(AND(A38=0,B38=0,C38&lt;&gt;0),VLOOKUP(C38,'3 - LISTA DE ESPÉCIES'!C:H,2,FALSE()))))</f>
        <v>0</v>
      </c>
      <c r="I38" s="21" t="b">
        <f>IF(AND(A38&lt;&gt;0,B38=0,C38=0),VLOOKUP(A38,'3 - LISTA DE ESPÉCIES'!A:H,5,FALSE()),IF(AND(A38=0,B38&lt;&gt;0,C38=0),VLOOKUP(B38,'3 - LISTA DE ESPÉCIES'!B:H,4,FALSE()),IF(AND(A38=0,B38=0,C38&lt;&gt;0),VLOOKUP(C38,'3 - LISTA DE ESPÉCIES'!C:H,3,FALSE()))))</f>
        <v>0</v>
      </c>
      <c r="J38" s="23"/>
      <c r="K38" s="23"/>
      <c r="L38" s="20"/>
      <c r="M38" s="20"/>
    </row>
    <row r="39" spans="1:13" x14ac:dyDescent="0.25">
      <c r="A39" s="20"/>
      <c r="B39" s="20"/>
      <c r="C39" s="20"/>
      <c r="E39" s="21" t="b">
        <f>IF(AND(A39&lt;&gt;0,B39=0,C39=0),VLOOKUP(A39,'3 - LISTA DE ESPÉCIES'!A:H,1,FALSE()),IF(AND(A39=0,B39&lt;&gt;0,C39=0),VLOOKUP(B39,'3 - LISTA DE ESPÉCIES'!B:H,5,FALSE()),IF(AND(A39=0,B39=0,C39&lt;&gt;0),VLOOKUP(C39,'3 - LISTA DE ESPÉCIES'!C:H,4,FALSE()))))</f>
        <v>0</v>
      </c>
      <c r="F39" s="21" t="b">
        <f>IF(AND(A39&lt;&gt;0,B39=0,C39=0),VLOOKUP(A39,'3 - LISTA DE ESPÉCIES'!A:H,2,FALSE()),IF(AND(A39=0,B39&lt;&gt;0,C39=0),VLOOKUP(B39,'3 - LISTA DE ESPÉCIES'!B:H,6,FALSE()),IF(AND(A39=0,B39=0,C39&lt;&gt;0),VLOOKUP(C39,'3 - LISTA DE ESPÉCIES'!C:H,5,FALSE()))))</f>
        <v>0</v>
      </c>
      <c r="G39" s="21" t="b">
        <f>IF(AND(A39&lt;&gt;0,B39=0,C39=0),VLOOKUP(A39,'3 - LISTA DE ESPÉCIES'!A:H,3,FALSE()),IF(AND(A39=0,B39&lt;&gt;0,C39=0),VLOOKUP(B39,'3 - LISTA DE ESPÉCIES'!B:H,7,FALSE()),IF(AND(A39=0,B39=0,C39&lt;&gt;0),VLOOKUP(C39,'3 - LISTA DE ESPÉCIES'!C:H,6,FALSE()))))</f>
        <v>0</v>
      </c>
      <c r="H39" s="21" t="b">
        <f>IF(AND(A39&lt;&gt;0,B39=0,C39=0),VLOOKUP(A39,'3 - LISTA DE ESPÉCIES'!A:H,4,FALSE()),IF(AND(A39=0,B39&lt;&gt;0,C39=0),VLOOKUP(B39,'3 - LISTA DE ESPÉCIES'!B:H,3,FALSE()),IF(AND(A39=0,B39=0,C39&lt;&gt;0),VLOOKUP(C39,'3 - LISTA DE ESPÉCIES'!C:H,2,FALSE()))))</f>
        <v>0</v>
      </c>
      <c r="I39" s="21" t="b">
        <f>IF(AND(A39&lt;&gt;0,B39=0,C39=0),VLOOKUP(A39,'3 - LISTA DE ESPÉCIES'!A:H,5,FALSE()),IF(AND(A39=0,B39&lt;&gt;0,C39=0),VLOOKUP(B39,'3 - LISTA DE ESPÉCIES'!B:H,4,FALSE()),IF(AND(A39=0,B39=0,C39&lt;&gt;0),VLOOKUP(C39,'3 - LISTA DE ESPÉCIES'!C:H,3,FALSE()))))</f>
        <v>0</v>
      </c>
      <c r="J39" s="23"/>
      <c r="K39" s="23"/>
      <c r="L39" s="20"/>
      <c r="M39" s="20"/>
    </row>
    <row r="40" spans="1:13" x14ac:dyDescent="0.25">
      <c r="A40" s="20"/>
      <c r="B40" s="20"/>
      <c r="C40" s="20"/>
      <c r="E40" s="21" t="b">
        <f>IF(AND(A40&lt;&gt;0,B40=0,C40=0),VLOOKUP(A40,'3 - LISTA DE ESPÉCIES'!A:H,1,FALSE()),IF(AND(A40=0,B40&lt;&gt;0,C40=0),VLOOKUP(B40,'3 - LISTA DE ESPÉCIES'!B:H,5,FALSE()),IF(AND(A40=0,B40=0,C40&lt;&gt;0),VLOOKUP(C40,'3 - LISTA DE ESPÉCIES'!C:H,4,FALSE()))))</f>
        <v>0</v>
      </c>
      <c r="F40" s="21" t="b">
        <f>IF(AND(A40&lt;&gt;0,B40=0,C40=0),VLOOKUP(A40,'3 - LISTA DE ESPÉCIES'!A:H,2,FALSE()),IF(AND(A40=0,B40&lt;&gt;0,C40=0),VLOOKUP(B40,'3 - LISTA DE ESPÉCIES'!B:H,6,FALSE()),IF(AND(A40=0,B40=0,C40&lt;&gt;0),VLOOKUP(C40,'3 - LISTA DE ESPÉCIES'!C:H,5,FALSE()))))</f>
        <v>0</v>
      </c>
      <c r="G40" s="21" t="b">
        <f>IF(AND(A40&lt;&gt;0,B40=0,C40=0),VLOOKUP(A40,'3 - LISTA DE ESPÉCIES'!A:H,3,FALSE()),IF(AND(A40=0,B40&lt;&gt;0,C40=0),VLOOKUP(B40,'3 - LISTA DE ESPÉCIES'!B:H,7,FALSE()),IF(AND(A40=0,B40=0,C40&lt;&gt;0),VLOOKUP(C40,'3 - LISTA DE ESPÉCIES'!C:H,6,FALSE()))))</f>
        <v>0</v>
      </c>
      <c r="H40" s="21" t="b">
        <f>IF(AND(A40&lt;&gt;0,B40=0,C40=0),VLOOKUP(A40,'3 - LISTA DE ESPÉCIES'!A:H,4,FALSE()),IF(AND(A40=0,B40&lt;&gt;0,C40=0),VLOOKUP(B40,'3 - LISTA DE ESPÉCIES'!B:H,3,FALSE()),IF(AND(A40=0,B40=0,C40&lt;&gt;0),VLOOKUP(C40,'3 - LISTA DE ESPÉCIES'!C:H,2,FALSE()))))</f>
        <v>0</v>
      </c>
      <c r="I40" s="21" t="b">
        <f>IF(AND(A40&lt;&gt;0,B40=0,C40=0),VLOOKUP(A40,'3 - LISTA DE ESPÉCIES'!A:H,5,FALSE()),IF(AND(A40=0,B40&lt;&gt;0,C40=0),VLOOKUP(B40,'3 - LISTA DE ESPÉCIES'!B:H,4,FALSE()),IF(AND(A40=0,B40=0,C40&lt;&gt;0),VLOOKUP(C40,'3 - LISTA DE ESPÉCIES'!C:H,3,FALSE()))))</f>
        <v>0</v>
      </c>
      <c r="J40" s="23"/>
      <c r="K40" s="23"/>
      <c r="L40" s="20"/>
      <c r="M40" s="20"/>
    </row>
    <row r="41" spans="1:13" x14ac:dyDescent="0.25">
      <c r="A41" s="20"/>
      <c r="B41" s="20"/>
      <c r="C41" s="20"/>
      <c r="E41" s="21" t="b">
        <f>IF(AND(A41&lt;&gt;0,B41=0,C41=0),VLOOKUP(A41,'3 - LISTA DE ESPÉCIES'!A:H,1,FALSE()),IF(AND(A41=0,B41&lt;&gt;0,C41=0),VLOOKUP(B41,'3 - LISTA DE ESPÉCIES'!B:H,5,FALSE()),IF(AND(A41=0,B41=0,C41&lt;&gt;0),VLOOKUP(C41,'3 - LISTA DE ESPÉCIES'!C:H,4,FALSE()))))</f>
        <v>0</v>
      </c>
      <c r="F41" s="21" t="b">
        <f>IF(AND(A41&lt;&gt;0,B41=0,C41=0),VLOOKUP(A41,'3 - LISTA DE ESPÉCIES'!A:H,2,FALSE()),IF(AND(A41=0,B41&lt;&gt;0,C41=0),VLOOKUP(B41,'3 - LISTA DE ESPÉCIES'!B:H,6,FALSE()),IF(AND(A41=0,B41=0,C41&lt;&gt;0),VLOOKUP(C41,'3 - LISTA DE ESPÉCIES'!C:H,5,FALSE()))))</f>
        <v>0</v>
      </c>
      <c r="G41" s="21" t="b">
        <f>IF(AND(A41&lt;&gt;0,B41=0,C41=0),VLOOKUP(A41,'3 - LISTA DE ESPÉCIES'!A:H,3,FALSE()),IF(AND(A41=0,B41&lt;&gt;0,C41=0),VLOOKUP(B41,'3 - LISTA DE ESPÉCIES'!B:H,7,FALSE()),IF(AND(A41=0,B41=0,C41&lt;&gt;0),VLOOKUP(C41,'3 - LISTA DE ESPÉCIES'!C:H,6,FALSE()))))</f>
        <v>0</v>
      </c>
      <c r="H41" s="21" t="b">
        <f>IF(AND(A41&lt;&gt;0,B41=0,C41=0),VLOOKUP(A41,'3 - LISTA DE ESPÉCIES'!A:H,4,FALSE()),IF(AND(A41=0,B41&lt;&gt;0,C41=0),VLOOKUP(B41,'3 - LISTA DE ESPÉCIES'!B:H,3,FALSE()),IF(AND(A41=0,B41=0,C41&lt;&gt;0),VLOOKUP(C41,'3 - LISTA DE ESPÉCIES'!C:H,2,FALSE()))))</f>
        <v>0</v>
      </c>
      <c r="I41" s="21" t="b">
        <f>IF(AND(A41&lt;&gt;0,B41=0,C41=0),VLOOKUP(A41,'3 - LISTA DE ESPÉCIES'!A:H,5,FALSE()),IF(AND(A41=0,B41&lt;&gt;0,C41=0),VLOOKUP(B41,'3 - LISTA DE ESPÉCIES'!B:H,4,FALSE()),IF(AND(A41=0,B41=0,C41&lt;&gt;0),VLOOKUP(C41,'3 - LISTA DE ESPÉCIES'!C:H,3,FALSE()))))</f>
        <v>0</v>
      </c>
      <c r="J41" s="23"/>
      <c r="K41" s="23"/>
      <c r="L41" s="20"/>
      <c r="M41" s="20"/>
    </row>
    <row r="42" spans="1:13" x14ac:dyDescent="0.25">
      <c r="A42" s="20"/>
      <c r="B42" s="20"/>
      <c r="C42" s="20"/>
      <c r="E42" s="21" t="b">
        <f>IF(AND(A42&lt;&gt;0,B42=0,C42=0),VLOOKUP(A42,'3 - LISTA DE ESPÉCIES'!A:H,1,FALSE()),IF(AND(A42=0,B42&lt;&gt;0,C42=0),VLOOKUP(B42,'3 - LISTA DE ESPÉCIES'!B:H,5,FALSE()),IF(AND(A42=0,B42=0,C42&lt;&gt;0),VLOOKUP(C42,'3 - LISTA DE ESPÉCIES'!C:H,4,FALSE()))))</f>
        <v>0</v>
      </c>
      <c r="F42" s="21" t="b">
        <f>IF(AND(A42&lt;&gt;0,B42=0,C42=0),VLOOKUP(A42,'3 - LISTA DE ESPÉCIES'!A:H,2,FALSE()),IF(AND(A42=0,B42&lt;&gt;0,C42=0),VLOOKUP(B42,'3 - LISTA DE ESPÉCIES'!B:H,6,FALSE()),IF(AND(A42=0,B42=0,C42&lt;&gt;0),VLOOKUP(C42,'3 - LISTA DE ESPÉCIES'!C:H,5,FALSE()))))</f>
        <v>0</v>
      </c>
      <c r="G42" s="21" t="b">
        <f>IF(AND(A42&lt;&gt;0,B42=0,C42=0),VLOOKUP(A42,'3 - LISTA DE ESPÉCIES'!A:H,3,FALSE()),IF(AND(A42=0,B42&lt;&gt;0,C42=0),VLOOKUP(B42,'3 - LISTA DE ESPÉCIES'!B:H,7,FALSE()),IF(AND(A42=0,B42=0,C42&lt;&gt;0),VLOOKUP(C42,'3 - LISTA DE ESPÉCIES'!C:H,6,FALSE()))))</f>
        <v>0</v>
      </c>
      <c r="H42" s="21" t="b">
        <f>IF(AND(A42&lt;&gt;0,B42=0,C42=0),VLOOKUP(A42,'3 - LISTA DE ESPÉCIES'!A:H,4,FALSE()),IF(AND(A42=0,B42&lt;&gt;0,C42=0),VLOOKUP(B42,'3 - LISTA DE ESPÉCIES'!B:H,3,FALSE()),IF(AND(A42=0,B42=0,C42&lt;&gt;0),VLOOKUP(C42,'3 - LISTA DE ESPÉCIES'!C:H,2,FALSE()))))</f>
        <v>0</v>
      </c>
      <c r="I42" s="21" t="b">
        <f>IF(AND(A42&lt;&gt;0,B42=0,C42=0),VLOOKUP(A42,'3 - LISTA DE ESPÉCIES'!A:H,5,FALSE()),IF(AND(A42=0,B42&lt;&gt;0,C42=0),VLOOKUP(B42,'3 - LISTA DE ESPÉCIES'!B:H,4,FALSE()),IF(AND(A42=0,B42=0,C42&lt;&gt;0),VLOOKUP(C42,'3 - LISTA DE ESPÉCIES'!C:H,3,FALSE()))))</f>
        <v>0</v>
      </c>
      <c r="J42" s="23"/>
      <c r="K42" s="23"/>
      <c r="L42" s="20"/>
      <c r="M42" s="20"/>
    </row>
    <row r="43" spans="1:13" x14ac:dyDescent="0.25">
      <c r="A43" s="20"/>
      <c r="B43" s="20"/>
      <c r="C43" s="20"/>
      <c r="E43" s="21" t="b">
        <f>IF(AND(A43&lt;&gt;0,B43=0,C43=0),VLOOKUP(A43,'3 - LISTA DE ESPÉCIES'!A:H,1,FALSE()),IF(AND(A43=0,B43&lt;&gt;0,C43=0),VLOOKUP(B43,'3 - LISTA DE ESPÉCIES'!B:H,5,FALSE()),IF(AND(A43=0,B43=0,C43&lt;&gt;0),VLOOKUP(C43,'3 - LISTA DE ESPÉCIES'!C:H,4,FALSE()))))</f>
        <v>0</v>
      </c>
      <c r="F43" s="21" t="b">
        <f>IF(AND(A43&lt;&gt;0,B43=0,C43=0),VLOOKUP(A43,'3 - LISTA DE ESPÉCIES'!A:H,2,FALSE()),IF(AND(A43=0,B43&lt;&gt;0,C43=0),VLOOKUP(B43,'3 - LISTA DE ESPÉCIES'!B:H,6,FALSE()),IF(AND(A43=0,B43=0,C43&lt;&gt;0),VLOOKUP(C43,'3 - LISTA DE ESPÉCIES'!C:H,5,FALSE()))))</f>
        <v>0</v>
      </c>
      <c r="G43" s="21" t="b">
        <f>IF(AND(A43&lt;&gt;0,B43=0,C43=0),VLOOKUP(A43,'3 - LISTA DE ESPÉCIES'!A:H,3,FALSE()),IF(AND(A43=0,B43&lt;&gt;0,C43=0),VLOOKUP(B43,'3 - LISTA DE ESPÉCIES'!B:H,7,FALSE()),IF(AND(A43=0,B43=0,C43&lt;&gt;0),VLOOKUP(C43,'3 - LISTA DE ESPÉCIES'!C:H,6,FALSE()))))</f>
        <v>0</v>
      </c>
      <c r="H43" s="21" t="b">
        <f>IF(AND(A43&lt;&gt;0,B43=0,C43=0),VLOOKUP(A43,'3 - LISTA DE ESPÉCIES'!A:H,4,FALSE()),IF(AND(A43=0,B43&lt;&gt;0,C43=0),VLOOKUP(B43,'3 - LISTA DE ESPÉCIES'!B:H,3,FALSE()),IF(AND(A43=0,B43=0,C43&lt;&gt;0),VLOOKUP(C43,'3 - LISTA DE ESPÉCIES'!C:H,2,FALSE()))))</f>
        <v>0</v>
      </c>
      <c r="I43" s="21" t="b">
        <f>IF(AND(A43&lt;&gt;0,B43=0,C43=0),VLOOKUP(A43,'3 - LISTA DE ESPÉCIES'!A:H,5,FALSE()),IF(AND(A43=0,B43&lt;&gt;0,C43=0),VLOOKUP(B43,'3 - LISTA DE ESPÉCIES'!B:H,4,FALSE()),IF(AND(A43=0,B43=0,C43&lt;&gt;0),VLOOKUP(C43,'3 - LISTA DE ESPÉCIES'!C:H,3,FALSE()))))</f>
        <v>0</v>
      </c>
      <c r="J43" s="23"/>
      <c r="K43" s="23"/>
      <c r="L43" s="20"/>
      <c r="M43" s="20"/>
    </row>
    <row r="44" spans="1:13" x14ac:dyDescent="0.25">
      <c r="A44" s="20"/>
      <c r="B44" s="20"/>
      <c r="C44" s="20"/>
      <c r="E44" s="21" t="b">
        <f>IF(AND(A44&lt;&gt;0,B44=0,C44=0),VLOOKUP(A44,'3 - LISTA DE ESPÉCIES'!A:H,1,FALSE()),IF(AND(A44=0,B44&lt;&gt;0,C44=0),VLOOKUP(B44,'3 - LISTA DE ESPÉCIES'!B:H,5,FALSE()),IF(AND(A44=0,B44=0,C44&lt;&gt;0),VLOOKUP(C44,'3 - LISTA DE ESPÉCIES'!C:H,4,FALSE()))))</f>
        <v>0</v>
      </c>
      <c r="F44" s="21" t="b">
        <f>IF(AND(A44&lt;&gt;0,B44=0,C44=0),VLOOKUP(A44,'3 - LISTA DE ESPÉCIES'!A:H,2,FALSE()),IF(AND(A44=0,B44&lt;&gt;0,C44=0),VLOOKUP(B44,'3 - LISTA DE ESPÉCIES'!B:H,6,FALSE()),IF(AND(A44=0,B44=0,C44&lt;&gt;0),VLOOKUP(C44,'3 - LISTA DE ESPÉCIES'!C:H,5,FALSE()))))</f>
        <v>0</v>
      </c>
      <c r="G44" s="21" t="b">
        <f>IF(AND(A44&lt;&gt;0,B44=0,C44=0),VLOOKUP(A44,'3 - LISTA DE ESPÉCIES'!A:H,3,FALSE()),IF(AND(A44=0,B44&lt;&gt;0,C44=0),VLOOKUP(B44,'3 - LISTA DE ESPÉCIES'!B:H,7,FALSE()),IF(AND(A44=0,B44=0,C44&lt;&gt;0),VLOOKUP(C44,'3 - LISTA DE ESPÉCIES'!C:H,6,FALSE()))))</f>
        <v>0</v>
      </c>
      <c r="H44" s="21" t="b">
        <f>IF(AND(A44&lt;&gt;0,B44=0,C44=0),VLOOKUP(A44,'3 - LISTA DE ESPÉCIES'!A:H,4,FALSE()),IF(AND(A44=0,B44&lt;&gt;0,C44=0),VLOOKUP(B44,'3 - LISTA DE ESPÉCIES'!B:H,3,FALSE()),IF(AND(A44=0,B44=0,C44&lt;&gt;0),VLOOKUP(C44,'3 - LISTA DE ESPÉCIES'!C:H,2,FALSE()))))</f>
        <v>0</v>
      </c>
      <c r="I44" s="21" t="b">
        <f>IF(AND(A44&lt;&gt;0,B44=0,C44=0),VLOOKUP(A44,'3 - LISTA DE ESPÉCIES'!A:H,5,FALSE()),IF(AND(A44=0,B44&lt;&gt;0,C44=0),VLOOKUP(B44,'3 - LISTA DE ESPÉCIES'!B:H,4,FALSE()),IF(AND(A44=0,B44=0,C44&lt;&gt;0),VLOOKUP(C44,'3 - LISTA DE ESPÉCIES'!C:H,3,FALSE()))))</f>
        <v>0</v>
      </c>
      <c r="J44" s="23"/>
      <c r="K44" s="23"/>
      <c r="L44" s="20"/>
      <c r="M44" s="20"/>
    </row>
    <row r="45" spans="1:13" x14ac:dyDescent="0.25">
      <c r="A45" s="20"/>
      <c r="B45" s="20"/>
      <c r="C45" s="20"/>
      <c r="E45" s="21" t="b">
        <f>IF(AND(A45&lt;&gt;0,B45=0,C45=0),VLOOKUP(A45,'3 - LISTA DE ESPÉCIES'!A:H,1,FALSE()),IF(AND(A45=0,B45&lt;&gt;0,C45=0),VLOOKUP(B45,'3 - LISTA DE ESPÉCIES'!B:H,5,FALSE()),IF(AND(A45=0,B45=0,C45&lt;&gt;0),VLOOKUP(C45,'3 - LISTA DE ESPÉCIES'!C:H,4,FALSE()))))</f>
        <v>0</v>
      </c>
      <c r="F45" s="21" t="b">
        <f>IF(AND(A45&lt;&gt;0,B45=0,C45=0),VLOOKUP(A45,'3 - LISTA DE ESPÉCIES'!A:H,2,FALSE()),IF(AND(A45=0,B45&lt;&gt;0,C45=0),VLOOKUP(B45,'3 - LISTA DE ESPÉCIES'!B:H,6,FALSE()),IF(AND(A45=0,B45=0,C45&lt;&gt;0),VLOOKUP(C45,'3 - LISTA DE ESPÉCIES'!C:H,5,FALSE()))))</f>
        <v>0</v>
      </c>
      <c r="G45" s="21" t="b">
        <f>IF(AND(A45&lt;&gt;0,B45=0,C45=0),VLOOKUP(A45,'3 - LISTA DE ESPÉCIES'!A:H,3,FALSE()),IF(AND(A45=0,B45&lt;&gt;0,C45=0),VLOOKUP(B45,'3 - LISTA DE ESPÉCIES'!B:H,7,FALSE()),IF(AND(A45=0,B45=0,C45&lt;&gt;0),VLOOKUP(C45,'3 - LISTA DE ESPÉCIES'!C:H,6,FALSE()))))</f>
        <v>0</v>
      </c>
      <c r="H45" s="21" t="b">
        <f>IF(AND(A45&lt;&gt;0,B45=0,C45=0),VLOOKUP(A45,'3 - LISTA DE ESPÉCIES'!A:H,4,FALSE()),IF(AND(A45=0,B45&lt;&gt;0,C45=0),VLOOKUP(B45,'3 - LISTA DE ESPÉCIES'!B:H,3,FALSE()),IF(AND(A45=0,B45=0,C45&lt;&gt;0),VLOOKUP(C45,'3 - LISTA DE ESPÉCIES'!C:H,2,FALSE()))))</f>
        <v>0</v>
      </c>
      <c r="I45" s="21" t="b">
        <f>IF(AND(A45&lt;&gt;0,B45=0,C45=0),VLOOKUP(A45,'3 - LISTA DE ESPÉCIES'!A:H,5,FALSE()),IF(AND(A45=0,B45&lt;&gt;0,C45=0),VLOOKUP(B45,'3 - LISTA DE ESPÉCIES'!B:H,4,FALSE()),IF(AND(A45=0,B45=0,C45&lt;&gt;0),VLOOKUP(C45,'3 - LISTA DE ESPÉCIES'!C:H,3,FALSE()))))</f>
        <v>0</v>
      </c>
      <c r="J45" s="23"/>
      <c r="K45" s="23"/>
      <c r="L45" s="20"/>
      <c r="M45" s="20"/>
    </row>
    <row r="46" spans="1:13" x14ac:dyDescent="0.25">
      <c r="A46" s="20"/>
      <c r="B46" s="20"/>
      <c r="C46" s="20"/>
      <c r="E46" s="21" t="b">
        <f>IF(AND(A46&lt;&gt;0,B46=0,C46=0),VLOOKUP(A46,'3 - LISTA DE ESPÉCIES'!A:H,1,FALSE()),IF(AND(A46=0,B46&lt;&gt;0,C46=0),VLOOKUP(B46,'3 - LISTA DE ESPÉCIES'!B:H,5,FALSE()),IF(AND(A46=0,B46=0,C46&lt;&gt;0),VLOOKUP(C46,'3 - LISTA DE ESPÉCIES'!C:H,4,FALSE()))))</f>
        <v>0</v>
      </c>
      <c r="F46" s="21" t="b">
        <f>IF(AND(A46&lt;&gt;0,B46=0,C46=0),VLOOKUP(A46,'3 - LISTA DE ESPÉCIES'!A:H,2,FALSE()),IF(AND(A46=0,B46&lt;&gt;0,C46=0),VLOOKUP(B46,'3 - LISTA DE ESPÉCIES'!B:H,6,FALSE()),IF(AND(A46=0,B46=0,C46&lt;&gt;0),VLOOKUP(C46,'3 - LISTA DE ESPÉCIES'!C:H,5,FALSE()))))</f>
        <v>0</v>
      </c>
      <c r="G46" s="21" t="b">
        <f>IF(AND(A46&lt;&gt;0,B46=0,C46=0),VLOOKUP(A46,'3 - LISTA DE ESPÉCIES'!A:H,3,FALSE()),IF(AND(A46=0,B46&lt;&gt;0,C46=0),VLOOKUP(B46,'3 - LISTA DE ESPÉCIES'!B:H,7,FALSE()),IF(AND(A46=0,B46=0,C46&lt;&gt;0),VLOOKUP(C46,'3 - LISTA DE ESPÉCIES'!C:H,6,FALSE()))))</f>
        <v>0</v>
      </c>
      <c r="H46" s="21" t="b">
        <f>IF(AND(A46&lt;&gt;0,B46=0,C46=0),VLOOKUP(A46,'3 - LISTA DE ESPÉCIES'!A:H,4,FALSE()),IF(AND(A46=0,B46&lt;&gt;0,C46=0),VLOOKUP(B46,'3 - LISTA DE ESPÉCIES'!B:H,3,FALSE()),IF(AND(A46=0,B46=0,C46&lt;&gt;0),VLOOKUP(C46,'3 - LISTA DE ESPÉCIES'!C:H,2,FALSE()))))</f>
        <v>0</v>
      </c>
      <c r="I46" s="21" t="b">
        <f>IF(AND(A46&lt;&gt;0,B46=0,C46=0),VLOOKUP(A46,'3 - LISTA DE ESPÉCIES'!A:H,5,FALSE()),IF(AND(A46=0,B46&lt;&gt;0,C46=0),VLOOKUP(B46,'3 - LISTA DE ESPÉCIES'!B:H,4,FALSE()),IF(AND(A46=0,B46=0,C46&lt;&gt;0),VLOOKUP(C46,'3 - LISTA DE ESPÉCIES'!C:H,3,FALSE()))))</f>
        <v>0</v>
      </c>
      <c r="J46" s="23"/>
      <c r="K46" s="23"/>
      <c r="L46" s="20"/>
      <c r="M46" s="20"/>
    </row>
    <row r="47" spans="1:13" x14ac:dyDescent="0.25">
      <c r="A47" s="20"/>
      <c r="B47" s="20"/>
      <c r="C47" s="20"/>
      <c r="E47" s="21" t="b">
        <f>IF(AND(A47&lt;&gt;0,B47=0,C47=0),VLOOKUP(A47,'3 - LISTA DE ESPÉCIES'!A:H,1,FALSE()),IF(AND(A47=0,B47&lt;&gt;0,C47=0),VLOOKUP(B47,'3 - LISTA DE ESPÉCIES'!B:H,5,FALSE()),IF(AND(A47=0,B47=0,C47&lt;&gt;0),VLOOKUP(C47,'3 - LISTA DE ESPÉCIES'!C:H,4,FALSE()))))</f>
        <v>0</v>
      </c>
      <c r="F47" s="21" t="b">
        <f>IF(AND(A47&lt;&gt;0,B47=0,C47=0),VLOOKUP(A47,'3 - LISTA DE ESPÉCIES'!A:H,2,FALSE()),IF(AND(A47=0,B47&lt;&gt;0,C47=0),VLOOKUP(B47,'3 - LISTA DE ESPÉCIES'!B:H,6,FALSE()),IF(AND(A47=0,B47=0,C47&lt;&gt;0),VLOOKUP(C47,'3 - LISTA DE ESPÉCIES'!C:H,5,FALSE()))))</f>
        <v>0</v>
      </c>
      <c r="G47" s="21" t="b">
        <f>IF(AND(A47&lt;&gt;0,B47=0,C47=0),VLOOKUP(A47,'3 - LISTA DE ESPÉCIES'!A:H,3,FALSE()),IF(AND(A47=0,B47&lt;&gt;0,C47=0),VLOOKUP(B47,'3 - LISTA DE ESPÉCIES'!B:H,7,FALSE()),IF(AND(A47=0,B47=0,C47&lt;&gt;0),VLOOKUP(C47,'3 - LISTA DE ESPÉCIES'!C:H,6,FALSE()))))</f>
        <v>0</v>
      </c>
      <c r="H47" s="21" t="b">
        <f>IF(AND(A47&lt;&gt;0,B47=0,C47=0),VLOOKUP(A47,'3 - LISTA DE ESPÉCIES'!A:H,4,FALSE()),IF(AND(A47=0,B47&lt;&gt;0,C47=0),VLOOKUP(B47,'3 - LISTA DE ESPÉCIES'!B:H,3,FALSE()),IF(AND(A47=0,B47=0,C47&lt;&gt;0),VLOOKUP(C47,'3 - LISTA DE ESPÉCIES'!C:H,2,FALSE()))))</f>
        <v>0</v>
      </c>
      <c r="I47" s="21" t="b">
        <f>IF(AND(A47&lt;&gt;0,B47=0,C47=0),VLOOKUP(A47,'3 - LISTA DE ESPÉCIES'!A:H,5,FALSE()),IF(AND(A47=0,B47&lt;&gt;0,C47=0),VLOOKUP(B47,'3 - LISTA DE ESPÉCIES'!B:H,4,FALSE()),IF(AND(A47=0,B47=0,C47&lt;&gt;0),VLOOKUP(C47,'3 - LISTA DE ESPÉCIES'!C:H,3,FALSE()))))</f>
        <v>0</v>
      </c>
      <c r="J47" s="23"/>
      <c r="K47" s="23"/>
      <c r="L47" s="20"/>
      <c r="M47" s="20"/>
    </row>
    <row r="48" spans="1:13" x14ac:dyDescent="0.25">
      <c r="A48" s="20"/>
      <c r="B48" s="20"/>
      <c r="C48" s="20"/>
      <c r="E48" s="21" t="b">
        <f>IF(AND(A48&lt;&gt;0,B48=0,C48=0),VLOOKUP(A48,'3 - LISTA DE ESPÉCIES'!A:H,1,FALSE()),IF(AND(A48=0,B48&lt;&gt;0,C48=0),VLOOKUP(B48,'3 - LISTA DE ESPÉCIES'!B:H,5,FALSE()),IF(AND(A48=0,B48=0,C48&lt;&gt;0),VLOOKUP(C48,'3 - LISTA DE ESPÉCIES'!C:H,4,FALSE()))))</f>
        <v>0</v>
      </c>
      <c r="F48" s="21" t="b">
        <f>IF(AND(A48&lt;&gt;0,B48=0,C48=0),VLOOKUP(A48,'3 - LISTA DE ESPÉCIES'!A:H,2,FALSE()),IF(AND(A48=0,B48&lt;&gt;0,C48=0),VLOOKUP(B48,'3 - LISTA DE ESPÉCIES'!B:H,6,FALSE()),IF(AND(A48=0,B48=0,C48&lt;&gt;0),VLOOKUP(C48,'3 - LISTA DE ESPÉCIES'!C:H,5,FALSE()))))</f>
        <v>0</v>
      </c>
      <c r="G48" s="21" t="b">
        <f>IF(AND(A48&lt;&gt;0,B48=0,C48=0),VLOOKUP(A48,'3 - LISTA DE ESPÉCIES'!A:H,3,FALSE()),IF(AND(A48=0,B48&lt;&gt;0,C48=0),VLOOKUP(B48,'3 - LISTA DE ESPÉCIES'!B:H,7,FALSE()),IF(AND(A48=0,B48=0,C48&lt;&gt;0),VLOOKUP(C48,'3 - LISTA DE ESPÉCIES'!C:H,6,FALSE()))))</f>
        <v>0</v>
      </c>
      <c r="H48" s="21" t="b">
        <f>IF(AND(A48&lt;&gt;0,B48=0,C48=0),VLOOKUP(A48,'3 - LISTA DE ESPÉCIES'!A:H,4,FALSE()),IF(AND(A48=0,B48&lt;&gt;0,C48=0),VLOOKUP(B48,'3 - LISTA DE ESPÉCIES'!B:H,3,FALSE()),IF(AND(A48=0,B48=0,C48&lt;&gt;0),VLOOKUP(C48,'3 - LISTA DE ESPÉCIES'!C:H,2,FALSE()))))</f>
        <v>0</v>
      </c>
      <c r="I48" s="21" t="b">
        <f>IF(AND(A48&lt;&gt;0,B48=0,C48=0),VLOOKUP(A48,'3 - LISTA DE ESPÉCIES'!A:H,5,FALSE()),IF(AND(A48=0,B48&lt;&gt;0,C48=0),VLOOKUP(B48,'3 - LISTA DE ESPÉCIES'!B:H,4,FALSE()),IF(AND(A48=0,B48=0,C48&lt;&gt;0),VLOOKUP(C48,'3 - LISTA DE ESPÉCIES'!C:H,3,FALSE()))))</f>
        <v>0</v>
      </c>
      <c r="J48" s="23"/>
      <c r="K48" s="23"/>
      <c r="L48" s="20"/>
      <c r="M48" s="20"/>
    </row>
    <row r="49" spans="1:13" x14ac:dyDescent="0.25">
      <c r="A49" s="20"/>
      <c r="B49" s="20"/>
      <c r="C49" s="20"/>
      <c r="E49" s="21" t="b">
        <f>IF(AND(A49&lt;&gt;0,B49=0,C49=0),VLOOKUP(A49,'3 - LISTA DE ESPÉCIES'!A:H,1,FALSE()),IF(AND(A49=0,B49&lt;&gt;0,C49=0),VLOOKUP(B49,'3 - LISTA DE ESPÉCIES'!B:H,5,FALSE()),IF(AND(A49=0,B49=0,C49&lt;&gt;0),VLOOKUP(C49,'3 - LISTA DE ESPÉCIES'!C:H,4,FALSE()))))</f>
        <v>0</v>
      </c>
      <c r="F49" s="21" t="b">
        <f>IF(AND(A49&lt;&gt;0,B49=0,C49=0),VLOOKUP(A49,'3 - LISTA DE ESPÉCIES'!A:H,2,FALSE()),IF(AND(A49=0,B49&lt;&gt;0,C49=0),VLOOKUP(B49,'3 - LISTA DE ESPÉCIES'!B:H,6,FALSE()),IF(AND(A49=0,B49=0,C49&lt;&gt;0),VLOOKUP(C49,'3 - LISTA DE ESPÉCIES'!C:H,5,FALSE()))))</f>
        <v>0</v>
      </c>
      <c r="G49" s="21" t="b">
        <f>IF(AND(A49&lt;&gt;0,B49=0,C49=0),VLOOKUP(A49,'3 - LISTA DE ESPÉCIES'!A:H,3,FALSE()),IF(AND(A49=0,B49&lt;&gt;0,C49=0),VLOOKUP(B49,'3 - LISTA DE ESPÉCIES'!B:H,7,FALSE()),IF(AND(A49=0,B49=0,C49&lt;&gt;0),VLOOKUP(C49,'3 - LISTA DE ESPÉCIES'!C:H,6,FALSE()))))</f>
        <v>0</v>
      </c>
      <c r="H49" s="21" t="b">
        <f>IF(AND(A49&lt;&gt;0,B49=0,C49=0),VLOOKUP(A49,'3 - LISTA DE ESPÉCIES'!A:H,4,FALSE()),IF(AND(A49=0,B49&lt;&gt;0,C49=0),VLOOKUP(B49,'3 - LISTA DE ESPÉCIES'!B:H,3,FALSE()),IF(AND(A49=0,B49=0,C49&lt;&gt;0),VLOOKUP(C49,'3 - LISTA DE ESPÉCIES'!C:H,2,FALSE()))))</f>
        <v>0</v>
      </c>
      <c r="I49" s="21" t="b">
        <f>IF(AND(A49&lt;&gt;0,B49=0,C49=0),VLOOKUP(A49,'3 - LISTA DE ESPÉCIES'!A:H,5,FALSE()),IF(AND(A49=0,B49&lt;&gt;0,C49=0),VLOOKUP(B49,'3 - LISTA DE ESPÉCIES'!B:H,4,FALSE()),IF(AND(A49=0,B49=0,C49&lt;&gt;0),VLOOKUP(C49,'3 - LISTA DE ESPÉCIES'!C:H,3,FALSE()))))</f>
        <v>0</v>
      </c>
      <c r="J49" s="23"/>
      <c r="K49" s="23"/>
      <c r="L49" s="20"/>
      <c r="M49" s="20"/>
    </row>
    <row r="50" spans="1:13" x14ac:dyDescent="0.25">
      <c r="A50" s="20"/>
      <c r="B50" s="20"/>
      <c r="C50" s="20"/>
      <c r="E50" s="21" t="b">
        <f>IF(AND(A50&lt;&gt;0,B50=0,C50=0),VLOOKUP(A50,'3 - LISTA DE ESPÉCIES'!A:H,1,FALSE()),IF(AND(A50=0,B50&lt;&gt;0,C50=0),VLOOKUP(B50,'3 - LISTA DE ESPÉCIES'!B:H,5,FALSE()),IF(AND(A50=0,B50=0,C50&lt;&gt;0),VLOOKUP(C50,'3 - LISTA DE ESPÉCIES'!C:H,4,FALSE()))))</f>
        <v>0</v>
      </c>
      <c r="F50" s="21" t="b">
        <f>IF(AND(A50&lt;&gt;0,B50=0,C50=0),VLOOKUP(A50,'3 - LISTA DE ESPÉCIES'!A:H,2,FALSE()),IF(AND(A50=0,B50&lt;&gt;0,C50=0),VLOOKUP(B50,'3 - LISTA DE ESPÉCIES'!B:H,6,FALSE()),IF(AND(A50=0,B50=0,C50&lt;&gt;0),VLOOKUP(C50,'3 - LISTA DE ESPÉCIES'!C:H,5,FALSE()))))</f>
        <v>0</v>
      </c>
      <c r="G50" s="21" t="b">
        <f>IF(AND(A50&lt;&gt;0,B50=0,C50=0),VLOOKUP(A50,'3 - LISTA DE ESPÉCIES'!A:H,3,FALSE()),IF(AND(A50=0,B50&lt;&gt;0,C50=0),VLOOKUP(B50,'3 - LISTA DE ESPÉCIES'!B:H,7,FALSE()),IF(AND(A50=0,B50=0,C50&lt;&gt;0),VLOOKUP(C50,'3 - LISTA DE ESPÉCIES'!C:H,6,FALSE()))))</f>
        <v>0</v>
      </c>
      <c r="H50" s="21" t="b">
        <f>IF(AND(A50&lt;&gt;0,B50=0,C50=0),VLOOKUP(A50,'3 - LISTA DE ESPÉCIES'!A:H,4,FALSE()),IF(AND(A50=0,B50&lt;&gt;0,C50=0),VLOOKUP(B50,'3 - LISTA DE ESPÉCIES'!B:H,3,FALSE()),IF(AND(A50=0,B50=0,C50&lt;&gt;0),VLOOKUP(C50,'3 - LISTA DE ESPÉCIES'!C:H,2,FALSE()))))</f>
        <v>0</v>
      </c>
      <c r="I50" s="21" t="b">
        <f>IF(AND(A50&lt;&gt;0,B50=0,C50=0),VLOOKUP(A50,'3 - LISTA DE ESPÉCIES'!A:H,5,FALSE()),IF(AND(A50=0,B50&lt;&gt;0,C50=0),VLOOKUP(B50,'3 - LISTA DE ESPÉCIES'!B:H,4,FALSE()),IF(AND(A50=0,B50=0,C50&lt;&gt;0),VLOOKUP(C50,'3 - LISTA DE ESPÉCIES'!C:H,3,FALSE()))))</f>
        <v>0</v>
      </c>
      <c r="J50" s="23"/>
      <c r="K50" s="23"/>
      <c r="L50" s="20"/>
      <c r="M50" s="20"/>
    </row>
    <row r="51" spans="1:13" x14ac:dyDescent="0.25">
      <c r="A51" s="20"/>
      <c r="B51" s="20"/>
      <c r="C51" s="20"/>
      <c r="E51" s="21" t="b">
        <f>IF(AND(A51&lt;&gt;0,B51=0,C51=0),VLOOKUP(A51,'3 - LISTA DE ESPÉCIES'!A:H,1,FALSE()),IF(AND(A51=0,B51&lt;&gt;0,C51=0),VLOOKUP(B51,'3 - LISTA DE ESPÉCIES'!B:H,5,FALSE()),IF(AND(A51=0,B51=0,C51&lt;&gt;0),VLOOKUP(C51,'3 - LISTA DE ESPÉCIES'!C:H,4,FALSE()))))</f>
        <v>0</v>
      </c>
      <c r="F51" s="21" t="b">
        <f>IF(AND(A51&lt;&gt;0,B51=0,C51=0),VLOOKUP(A51,'3 - LISTA DE ESPÉCIES'!A:H,2,FALSE()),IF(AND(A51=0,B51&lt;&gt;0,C51=0),VLOOKUP(B51,'3 - LISTA DE ESPÉCIES'!B:H,6,FALSE()),IF(AND(A51=0,B51=0,C51&lt;&gt;0),VLOOKUP(C51,'3 - LISTA DE ESPÉCIES'!C:H,5,FALSE()))))</f>
        <v>0</v>
      </c>
      <c r="G51" s="21" t="b">
        <f>IF(AND(A51&lt;&gt;0,B51=0,C51=0),VLOOKUP(A51,'3 - LISTA DE ESPÉCIES'!A:H,3,FALSE()),IF(AND(A51=0,B51&lt;&gt;0,C51=0),VLOOKUP(B51,'3 - LISTA DE ESPÉCIES'!B:H,7,FALSE()),IF(AND(A51=0,B51=0,C51&lt;&gt;0),VLOOKUP(C51,'3 - LISTA DE ESPÉCIES'!C:H,6,FALSE()))))</f>
        <v>0</v>
      </c>
      <c r="H51" s="21" t="b">
        <f>IF(AND(A51&lt;&gt;0,B51=0,C51=0),VLOOKUP(A51,'3 - LISTA DE ESPÉCIES'!A:H,4,FALSE()),IF(AND(A51=0,B51&lt;&gt;0,C51=0),VLOOKUP(B51,'3 - LISTA DE ESPÉCIES'!B:H,3,FALSE()),IF(AND(A51=0,B51=0,C51&lt;&gt;0),VLOOKUP(C51,'3 - LISTA DE ESPÉCIES'!C:H,2,FALSE()))))</f>
        <v>0</v>
      </c>
      <c r="I51" s="21" t="b">
        <f>IF(AND(A51&lt;&gt;0,B51=0,C51=0),VLOOKUP(A51,'3 - LISTA DE ESPÉCIES'!A:H,5,FALSE()),IF(AND(A51=0,B51&lt;&gt;0,C51=0),VLOOKUP(B51,'3 - LISTA DE ESPÉCIES'!B:H,4,FALSE()),IF(AND(A51=0,B51=0,C51&lt;&gt;0),VLOOKUP(C51,'3 - LISTA DE ESPÉCIES'!C:H,3,FALSE()))))</f>
        <v>0</v>
      </c>
      <c r="J51" s="23"/>
      <c r="K51" s="23"/>
      <c r="L51" s="20"/>
      <c r="M51" s="20"/>
    </row>
    <row r="52" spans="1:13" x14ac:dyDescent="0.25">
      <c r="A52" s="20"/>
      <c r="B52" s="20"/>
      <c r="C52" s="20"/>
      <c r="E52" s="21" t="b">
        <f>IF(AND(A52&lt;&gt;0,B52=0,C52=0),VLOOKUP(A52,'3 - LISTA DE ESPÉCIES'!A:H,1,FALSE()),IF(AND(A52=0,B52&lt;&gt;0,C52=0),VLOOKUP(B52,'3 - LISTA DE ESPÉCIES'!B:H,5,FALSE()),IF(AND(A52=0,B52=0,C52&lt;&gt;0),VLOOKUP(C52,'3 - LISTA DE ESPÉCIES'!C:H,4,FALSE()))))</f>
        <v>0</v>
      </c>
      <c r="F52" s="21" t="b">
        <f>IF(AND(A52&lt;&gt;0,B52=0,C52=0),VLOOKUP(A52,'3 - LISTA DE ESPÉCIES'!A:H,2,FALSE()),IF(AND(A52=0,B52&lt;&gt;0,C52=0),VLOOKUP(B52,'3 - LISTA DE ESPÉCIES'!B:H,6,FALSE()),IF(AND(A52=0,B52=0,C52&lt;&gt;0),VLOOKUP(C52,'3 - LISTA DE ESPÉCIES'!C:H,5,FALSE()))))</f>
        <v>0</v>
      </c>
      <c r="G52" s="21" t="b">
        <f>IF(AND(A52&lt;&gt;0,B52=0,C52=0),VLOOKUP(A52,'3 - LISTA DE ESPÉCIES'!A:H,3,FALSE()),IF(AND(A52=0,B52&lt;&gt;0,C52=0),VLOOKUP(B52,'3 - LISTA DE ESPÉCIES'!B:H,7,FALSE()),IF(AND(A52=0,B52=0,C52&lt;&gt;0),VLOOKUP(C52,'3 - LISTA DE ESPÉCIES'!C:H,6,FALSE()))))</f>
        <v>0</v>
      </c>
      <c r="H52" s="21" t="b">
        <f>IF(AND(A52&lt;&gt;0,B52=0,C52=0),VLOOKUP(A52,'3 - LISTA DE ESPÉCIES'!A:H,4,FALSE()),IF(AND(A52=0,B52&lt;&gt;0,C52=0),VLOOKUP(B52,'3 - LISTA DE ESPÉCIES'!B:H,3,FALSE()),IF(AND(A52=0,B52=0,C52&lt;&gt;0),VLOOKUP(C52,'3 - LISTA DE ESPÉCIES'!C:H,2,FALSE()))))</f>
        <v>0</v>
      </c>
      <c r="I52" s="21" t="b">
        <f>IF(AND(A52&lt;&gt;0,B52=0,C52=0),VLOOKUP(A52,'3 - LISTA DE ESPÉCIES'!A:H,5,FALSE()),IF(AND(A52=0,B52&lt;&gt;0,C52=0),VLOOKUP(B52,'3 - LISTA DE ESPÉCIES'!B:H,4,FALSE()),IF(AND(A52=0,B52=0,C52&lt;&gt;0),VLOOKUP(C52,'3 - LISTA DE ESPÉCIES'!C:H,3,FALSE()))))</f>
        <v>0</v>
      </c>
      <c r="J52" s="23"/>
      <c r="K52" s="23"/>
      <c r="L52" s="20"/>
      <c r="M52" s="20"/>
    </row>
    <row r="53" spans="1:13" x14ac:dyDescent="0.25">
      <c r="A53" s="20"/>
      <c r="B53" s="20"/>
      <c r="C53" s="20"/>
      <c r="E53" s="21" t="b">
        <f>IF(AND(A53&lt;&gt;0,B53=0,C53=0),VLOOKUP(A53,'3 - LISTA DE ESPÉCIES'!A:H,1,FALSE()),IF(AND(A53=0,B53&lt;&gt;0,C53=0),VLOOKUP(B53,'3 - LISTA DE ESPÉCIES'!B:H,5,FALSE()),IF(AND(A53=0,B53=0,C53&lt;&gt;0),VLOOKUP(C53,'3 - LISTA DE ESPÉCIES'!C:H,4,FALSE()))))</f>
        <v>0</v>
      </c>
      <c r="F53" s="21" t="b">
        <f>IF(AND(A53&lt;&gt;0,B53=0,C53=0),VLOOKUP(A53,'3 - LISTA DE ESPÉCIES'!A:H,2,FALSE()),IF(AND(A53=0,B53&lt;&gt;0,C53=0),VLOOKUP(B53,'3 - LISTA DE ESPÉCIES'!B:H,6,FALSE()),IF(AND(A53=0,B53=0,C53&lt;&gt;0),VLOOKUP(C53,'3 - LISTA DE ESPÉCIES'!C:H,5,FALSE()))))</f>
        <v>0</v>
      </c>
      <c r="G53" s="21" t="b">
        <f>IF(AND(A53&lt;&gt;0,B53=0,C53=0),VLOOKUP(A53,'3 - LISTA DE ESPÉCIES'!A:H,3,FALSE()),IF(AND(A53=0,B53&lt;&gt;0,C53=0),VLOOKUP(B53,'3 - LISTA DE ESPÉCIES'!B:H,7,FALSE()),IF(AND(A53=0,B53=0,C53&lt;&gt;0),VLOOKUP(C53,'3 - LISTA DE ESPÉCIES'!C:H,6,FALSE()))))</f>
        <v>0</v>
      </c>
      <c r="H53" s="21" t="b">
        <f>IF(AND(A53&lt;&gt;0,B53=0,C53=0),VLOOKUP(A53,'3 - LISTA DE ESPÉCIES'!A:H,4,FALSE()),IF(AND(A53=0,B53&lt;&gt;0,C53=0),VLOOKUP(B53,'3 - LISTA DE ESPÉCIES'!B:H,3,FALSE()),IF(AND(A53=0,B53=0,C53&lt;&gt;0),VLOOKUP(C53,'3 - LISTA DE ESPÉCIES'!C:H,2,FALSE()))))</f>
        <v>0</v>
      </c>
      <c r="I53" s="21" t="b">
        <f>IF(AND(A53&lt;&gt;0,B53=0,C53=0),VLOOKUP(A53,'3 - LISTA DE ESPÉCIES'!A:H,5,FALSE()),IF(AND(A53=0,B53&lt;&gt;0,C53=0),VLOOKUP(B53,'3 - LISTA DE ESPÉCIES'!B:H,4,FALSE()),IF(AND(A53=0,B53=0,C53&lt;&gt;0),VLOOKUP(C53,'3 - LISTA DE ESPÉCIES'!C:H,3,FALSE()))))</f>
        <v>0</v>
      </c>
      <c r="J53" s="23"/>
      <c r="K53" s="23"/>
      <c r="L53" s="20"/>
      <c r="M53" s="20"/>
    </row>
    <row r="54" spans="1:13" x14ac:dyDescent="0.25">
      <c r="A54" s="20"/>
      <c r="B54" s="20"/>
      <c r="C54" s="20"/>
      <c r="E54" s="21" t="b">
        <f>IF(AND(A54&lt;&gt;0,B54=0,C54=0),VLOOKUP(A54,'3 - LISTA DE ESPÉCIES'!A:H,1,FALSE()),IF(AND(A54=0,B54&lt;&gt;0,C54=0),VLOOKUP(B54,'3 - LISTA DE ESPÉCIES'!B:H,5,FALSE()),IF(AND(A54=0,B54=0,C54&lt;&gt;0),VLOOKUP(C54,'3 - LISTA DE ESPÉCIES'!C:H,4,FALSE()))))</f>
        <v>0</v>
      </c>
      <c r="F54" s="21" t="b">
        <f>IF(AND(A54&lt;&gt;0,B54=0,C54=0),VLOOKUP(A54,'3 - LISTA DE ESPÉCIES'!A:H,2,FALSE()),IF(AND(A54=0,B54&lt;&gt;0,C54=0),VLOOKUP(B54,'3 - LISTA DE ESPÉCIES'!B:H,6,FALSE()),IF(AND(A54=0,B54=0,C54&lt;&gt;0),VLOOKUP(C54,'3 - LISTA DE ESPÉCIES'!C:H,5,FALSE()))))</f>
        <v>0</v>
      </c>
      <c r="G54" s="21" t="b">
        <f>IF(AND(A54&lt;&gt;0,B54=0,C54=0),VLOOKUP(A54,'3 - LISTA DE ESPÉCIES'!A:H,3,FALSE()),IF(AND(A54=0,B54&lt;&gt;0,C54=0),VLOOKUP(B54,'3 - LISTA DE ESPÉCIES'!B:H,7,FALSE()),IF(AND(A54=0,B54=0,C54&lt;&gt;0),VLOOKUP(C54,'3 - LISTA DE ESPÉCIES'!C:H,6,FALSE()))))</f>
        <v>0</v>
      </c>
      <c r="H54" s="21" t="b">
        <f>IF(AND(A54&lt;&gt;0,B54=0,C54=0),VLOOKUP(A54,'3 - LISTA DE ESPÉCIES'!A:H,4,FALSE()),IF(AND(A54=0,B54&lt;&gt;0,C54=0),VLOOKUP(B54,'3 - LISTA DE ESPÉCIES'!B:H,3,FALSE()),IF(AND(A54=0,B54=0,C54&lt;&gt;0),VLOOKUP(C54,'3 - LISTA DE ESPÉCIES'!C:H,2,FALSE()))))</f>
        <v>0</v>
      </c>
      <c r="I54" s="21" t="b">
        <f>IF(AND(A54&lt;&gt;0,B54=0,C54=0),VLOOKUP(A54,'3 - LISTA DE ESPÉCIES'!A:H,5,FALSE()),IF(AND(A54=0,B54&lt;&gt;0,C54=0),VLOOKUP(B54,'3 - LISTA DE ESPÉCIES'!B:H,4,FALSE()),IF(AND(A54=0,B54=0,C54&lt;&gt;0),VLOOKUP(C54,'3 - LISTA DE ESPÉCIES'!C:H,3,FALSE()))))</f>
        <v>0</v>
      </c>
      <c r="J54" s="23"/>
      <c r="K54" s="23"/>
      <c r="L54" s="20"/>
      <c r="M54" s="20"/>
    </row>
    <row r="55" spans="1:13" x14ac:dyDescent="0.25">
      <c r="A55" s="20"/>
      <c r="B55" s="20"/>
      <c r="C55" s="20"/>
      <c r="E55" s="21" t="b">
        <f>IF(AND(A55&lt;&gt;0,B55=0,C55=0),VLOOKUP(A55,'3 - LISTA DE ESPÉCIES'!A:H,1,FALSE()),IF(AND(A55=0,B55&lt;&gt;0,C55=0),VLOOKUP(B55,'3 - LISTA DE ESPÉCIES'!B:H,5,FALSE()),IF(AND(A55=0,B55=0,C55&lt;&gt;0),VLOOKUP(C55,'3 - LISTA DE ESPÉCIES'!C:H,4,FALSE()))))</f>
        <v>0</v>
      </c>
      <c r="F55" s="21" t="b">
        <f>IF(AND(A55&lt;&gt;0,B55=0,C55=0),VLOOKUP(A55,'3 - LISTA DE ESPÉCIES'!A:H,2,FALSE()),IF(AND(A55=0,B55&lt;&gt;0,C55=0),VLOOKUP(B55,'3 - LISTA DE ESPÉCIES'!B:H,6,FALSE()),IF(AND(A55=0,B55=0,C55&lt;&gt;0),VLOOKUP(C55,'3 - LISTA DE ESPÉCIES'!C:H,5,FALSE()))))</f>
        <v>0</v>
      </c>
      <c r="G55" s="21" t="b">
        <f>IF(AND(A55&lt;&gt;0,B55=0,C55=0),VLOOKUP(A55,'3 - LISTA DE ESPÉCIES'!A:H,3,FALSE()),IF(AND(A55=0,B55&lt;&gt;0,C55=0),VLOOKUP(B55,'3 - LISTA DE ESPÉCIES'!B:H,7,FALSE()),IF(AND(A55=0,B55=0,C55&lt;&gt;0),VLOOKUP(C55,'3 - LISTA DE ESPÉCIES'!C:H,6,FALSE()))))</f>
        <v>0</v>
      </c>
      <c r="H55" s="21" t="b">
        <f>IF(AND(A55&lt;&gt;0,B55=0,C55=0),VLOOKUP(A55,'3 - LISTA DE ESPÉCIES'!A:H,4,FALSE()),IF(AND(A55=0,B55&lt;&gt;0,C55=0),VLOOKUP(B55,'3 - LISTA DE ESPÉCIES'!B:H,3,FALSE()),IF(AND(A55=0,B55=0,C55&lt;&gt;0),VLOOKUP(C55,'3 - LISTA DE ESPÉCIES'!C:H,2,FALSE()))))</f>
        <v>0</v>
      </c>
      <c r="I55" s="21" t="b">
        <f>IF(AND(A55&lt;&gt;0,B55=0,C55=0),VLOOKUP(A55,'3 - LISTA DE ESPÉCIES'!A:H,5,FALSE()),IF(AND(A55=0,B55&lt;&gt;0,C55=0),VLOOKUP(B55,'3 - LISTA DE ESPÉCIES'!B:H,4,FALSE()),IF(AND(A55=0,B55=0,C55&lt;&gt;0),VLOOKUP(C55,'3 - LISTA DE ESPÉCIES'!C:H,3,FALSE()))))</f>
        <v>0</v>
      </c>
      <c r="J55" s="23"/>
      <c r="K55" s="23"/>
      <c r="L55" s="20"/>
      <c r="M55" s="20"/>
    </row>
    <row r="56" spans="1:13" x14ac:dyDescent="0.25">
      <c r="A56" s="20"/>
      <c r="B56" s="20"/>
      <c r="C56" s="20"/>
      <c r="E56" s="21" t="b">
        <f>IF(AND(A56&lt;&gt;0,B56=0,C56=0),VLOOKUP(A56,'3 - LISTA DE ESPÉCIES'!A:H,1,FALSE()),IF(AND(A56=0,B56&lt;&gt;0,C56=0),VLOOKUP(B56,'3 - LISTA DE ESPÉCIES'!B:H,5,FALSE()),IF(AND(A56=0,B56=0,C56&lt;&gt;0),VLOOKUP(C56,'3 - LISTA DE ESPÉCIES'!C:H,4,FALSE()))))</f>
        <v>0</v>
      </c>
      <c r="F56" s="21" t="b">
        <f>IF(AND(A56&lt;&gt;0,B56=0,C56=0),VLOOKUP(A56,'3 - LISTA DE ESPÉCIES'!A:H,2,FALSE()),IF(AND(A56=0,B56&lt;&gt;0,C56=0),VLOOKUP(B56,'3 - LISTA DE ESPÉCIES'!B:H,6,FALSE()),IF(AND(A56=0,B56=0,C56&lt;&gt;0),VLOOKUP(C56,'3 - LISTA DE ESPÉCIES'!C:H,5,FALSE()))))</f>
        <v>0</v>
      </c>
      <c r="G56" s="21" t="b">
        <f>IF(AND(A56&lt;&gt;0,B56=0,C56=0),VLOOKUP(A56,'3 - LISTA DE ESPÉCIES'!A:H,3,FALSE()),IF(AND(A56=0,B56&lt;&gt;0,C56=0),VLOOKUP(B56,'3 - LISTA DE ESPÉCIES'!B:H,7,FALSE()),IF(AND(A56=0,B56=0,C56&lt;&gt;0),VLOOKUP(C56,'3 - LISTA DE ESPÉCIES'!C:H,6,FALSE()))))</f>
        <v>0</v>
      </c>
      <c r="H56" s="21" t="b">
        <f>IF(AND(A56&lt;&gt;0,B56=0,C56=0),VLOOKUP(A56,'3 - LISTA DE ESPÉCIES'!A:H,4,FALSE()),IF(AND(A56=0,B56&lt;&gt;0,C56=0),VLOOKUP(B56,'3 - LISTA DE ESPÉCIES'!B:H,3,FALSE()),IF(AND(A56=0,B56=0,C56&lt;&gt;0),VLOOKUP(C56,'3 - LISTA DE ESPÉCIES'!C:H,2,FALSE()))))</f>
        <v>0</v>
      </c>
      <c r="I56" s="21" t="b">
        <f>IF(AND(A56&lt;&gt;0,B56=0,C56=0),VLOOKUP(A56,'3 - LISTA DE ESPÉCIES'!A:H,5,FALSE()),IF(AND(A56=0,B56&lt;&gt;0,C56=0),VLOOKUP(B56,'3 - LISTA DE ESPÉCIES'!B:H,4,FALSE()),IF(AND(A56=0,B56=0,C56&lt;&gt;0),VLOOKUP(C56,'3 - LISTA DE ESPÉCIES'!C:H,3,FALSE()))))</f>
        <v>0</v>
      </c>
      <c r="J56" s="23"/>
      <c r="K56" s="23"/>
      <c r="L56" s="20"/>
      <c r="M56" s="20"/>
    </row>
    <row r="57" spans="1:13" x14ac:dyDescent="0.25">
      <c r="A57" s="20"/>
      <c r="B57" s="20"/>
      <c r="C57" s="20"/>
      <c r="E57" s="21" t="b">
        <f>IF(AND(A57&lt;&gt;0,B57=0,C57=0),VLOOKUP(A57,'3 - LISTA DE ESPÉCIES'!A:H,1,FALSE()),IF(AND(A57=0,B57&lt;&gt;0,C57=0),VLOOKUP(B57,'3 - LISTA DE ESPÉCIES'!B:H,5,FALSE()),IF(AND(A57=0,B57=0,C57&lt;&gt;0),VLOOKUP(C57,'3 - LISTA DE ESPÉCIES'!C:H,4,FALSE()))))</f>
        <v>0</v>
      </c>
      <c r="F57" s="21" t="b">
        <f>IF(AND(A57&lt;&gt;0,B57=0,C57=0),VLOOKUP(A57,'3 - LISTA DE ESPÉCIES'!A:H,2,FALSE()),IF(AND(A57=0,B57&lt;&gt;0,C57=0),VLOOKUP(B57,'3 - LISTA DE ESPÉCIES'!B:H,6,FALSE()),IF(AND(A57=0,B57=0,C57&lt;&gt;0),VLOOKUP(C57,'3 - LISTA DE ESPÉCIES'!C:H,5,FALSE()))))</f>
        <v>0</v>
      </c>
      <c r="G57" s="21" t="b">
        <f>IF(AND(A57&lt;&gt;0,B57=0,C57=0),VLOOKUP(A57,'3 - LISTA DE ESPÉCIES'!A:H,3,FALSE()),IF(AND(A57=0,B57&lt;&gt;0,C57=0),VLOOKUP(B57,'3 - LISTA DE ESPÉCIES'!B:H,7,FALSE()),IF(AND(A57=0,B57=0,C57&lt;&gt;0),VLOOKUP(C57,'3 - LISTA DE ESPÉCIES'!C:H,6,FALSE()))))</f>
        <v>0</v>
      </c>
      <c r="H57" s="21" t="b">
        <f>IF(AND(A57&lt;&gt;0,B57=0,C57=0),VLOOKUP(A57,'3 - LISTA DE ESPÉCIES'!A:H,4,FALSE()),IF(AND(A57=0,B57&lt;&gt;0,C57=0),VLOOKUP(B57,'3 - LISTA DE ESPÉCIES'!B:H,3,FALSE()),IF(AND(A57=0,B57=0,C57&lt;&gt;0),VLOOKUP(C57,'3 - LISTA DE ESPÉCIES'!C:H,2,FALSE()))))</f>
        <v>0</v>
      </c>
      <c r="I57" s="21" t="b">
        <f>IF(AND(A57&lt;&gt;0,B57=0,C57=0),VLOOKUP(A57,'3 - LISTA DE ESPÉCIES'!A:H,5,FALSE()),IF(AND(A57=0,B57&lt;&gt;0,C57=0),VLOOKUP(B57,'3 - LISTA DE ESPÉCIES'!B:H,4,FALSE()),IF(AND(A57=0,B57=0,C57&lt;&gt;0),VLOOKUP(C57,'3 - LISTA DE ESPÉCIES'!C:H,3,FALSE()))))</f>
        <v>0</v>
      </c>
      <c r="J57" s="23"/>
      <c r="K57" s="23"/>
      <c r="L57" s="20"/>
      <c r="M57" s="20"/>
    </row>
    <row r="58" spans="1:13" x14ac:dyDescent="0.25">
      <c r="A58" s="20"/>
      <c r="B58" s="20"/>
      <c r="C58" s="20"/>
      <c r="E58" s="21" t="b">
        <f>IF(AND(A58&lt;&gt;0,B58=0,C58=0),VLOOKUP(A58,'3 - LISTA DE ESPÉCIES'!A:H,1,FALSE()),IF(AND(A58=0,B58&lt;&gt;0,C58=0),VLOOKUP(B58,'3 - LISTA DE ESPÉCIES'!B:H,5,FALSE()),IF(AND(A58=0,B58=0,C58&lt;&gt;0),VLOOKUP(C58,'3 - LISTA DE ESPÉCIES'!C:H,4,FALSE()))))</f>
        <v>0</v>
      </c>
      <c r="F58" s="21" t="b">
        <f>IF(AND(A58&lt;&gt;0,B58=0,C58=0),VLOOKUP(A58,'3 - LISTA DE ESPÉCIES'!A:H,2,FALSE()),IF(AND(A58=0,B58&lt;&gt;0,C58=0),VLOOKUP(B58,'3 - LISTA DE ESPÉCIES'!B:H,6,FALSE()),IF(AND(A58=0,B58=0,C58&lt;&gt;0),VLOOKUP(C58,'3 - LISTA DE ESPÉCIES'!C:H,5,FALSE()))))</f>
        <v>0</v>
      </c>
      <c r="G58" s="21" t="b">
        <f>IF(AND(A58&lt;&gt;0,B58=0,C58=0),VLOOKUP(A58,'3 - LISTA DE ESPÉCIES'!A:H,3,FALSE()),IF(AND(A58=0,B58&lt;&gt;0,C58=0),VLOOKUP(B58,'3 - LISTA DE ESPÉCIES'!B:H,7,FALSE()),IF(AND(A58=0,B58=0,C58&lt;&gt;0),VLOOKUP(C58,'3 - LISTA DE ESPÉCIES'!C:H,6,FALSE()))))</f>
        <v>0</v>
      </c>
      <c r="H58" s="21" t="b">
        <f>IF(AND(A58&lt;&gt;0,B58=0,C58=0),VLOOKUP(A58,'3 - LISTA DE ESPÉCIES'!A:H,4,FALSE()),IF(AND(A58=0,B58&lt;&gt;0,C58=0),VLOOKUP(B58,'3 - LISTA DE ESPÉCIES'!B:H,3,FALSE()),IF(AND(A58=0,B58=0,C58&lt;&gt;0),VLOOKUP(C58,'3 - LISTA DE ESPÉCIES'!C:H,2,FALSE()))))</f>
        <v>0</v>
      </c>
      <c r="I58" s="21" t="b">
        <f>IF(AND(A58&lt;&gt;0,B58=0,C58=0),VLOOKUP(A58,'3 - LISTA DE ESPÉCIES'!A:H,5,FALSE()),IF(AND(A58=0,B58&lt;&gt;0,C58=0),VLOOKUP(B58,'3 - LISTA DE ESPÉCIES'!B:H,4,FALSE()),IF(AND(A58=0,B58=0,C58&lt;&gt;0),VLOOKUP(C58,'3 - LISTA DE ESPÉCIES'!C:H,3,FALSE()))))</f>
        <v>0</v>
      </c>
      <c r="J58" s="23"/>
      <c r="K58" s="23"/>
      <c r="L58" s="20"/>
      <c r="M58" s="20"/>
    </row>
    <row r="59" spans="1:13" x14ac:dyDescent="0.25">
      <c r="A59" s="20"/>
      <c r="B59" s="20"/>
      <c r="C59" s="20"/>
      <c r="E59" s="21" t="b">
        <f>IF(AND(A59&lt;&gt;0,B59=0,C59=0),VLOOKUP(A59,'3 - LISTA DE ESPÉCIES'!A:H,1,FALSE()),IF(AND(A59=0,B59&lt;&gt;0,C59=0),VLOOKUP(B59,'3 - LISTA DE ESPÉCIES'!B:H,5,FALSE()),IF(AND(A59=0,B59=0,C59&lt;&gt;0),VLOOKUP(C59,'3 - LISTA DE ESPÉCIES'!C:H,4,FALSE()))))</f>
        <v>0</v>
      </c>
      <c r="F59" s="21" t="b">
        <f>IF(AND(A59&lt;&gt;0,B59=0,C59=0),VLOOKUP(A59,'3 - LISTA DE ESPÉCIES'!A:H,2,FALSE()),IF(AND(A59=0,B59&lt;&gt;0,C59=0),VLOOKUP(B59,'3 - LISTA DE ESPÉCIES'!B:H,6,FALSE()),IF(AND(A59=0,B59=0,C59&lt;&gt;0),VLOOKUP(C59,'3 - LISTA DE ESPÉCIES'!C:H,5,FALSE()))))</f>
        <v>0</v>
      </c>
      <c r="G59" s="21" t="b">
        <f>IF(AND(A59&lt;&gt;0,B59=0,C59=0),VLOOKUP(A59,'3 - LISTA DE ESPÉCIES'!A:H,3,FALSE()),IF(AND(A59=0,B59&lt;&gt;0,C59=0),VLOOKUP(B59,'3 - LISTA DE ESPÉCIES'!B:H,7,FALSE()),IF(AND(A59=0,B59=0,C59&lt;&gt;0),VLOOKUP(C59,'3 - LISTA DE ESPÉCIES'!C:H,6,FALSE()))))</f>
        <v>0</v>
      </c>
      <c r="H59" s="21" t="b">
        <f>IF(AND(A59&lt;&gt;0,B59=0,C59=0),VLOOKUP(A59,'3 - LISTA DE ESPÉCIES'!A:H,4,FALSE()),IF(AND(A59=0,B59&lt;&gt;0,C59=0),VLOOKUP(B59,'3 - LISTA DE ESPÉCIES'!B:H,3,FALSE()),IF(AND(A59=0,B59=0,C59&lt;&gt;0),VLOOKUP(C59,'3 - LISTA DE ESPÉCIES'!C:H,2,FALSE()))))</f>
        <v>0</v>
      </c>
      <c r="I59" s="21" t="b">
        <f>IF(AND(A59&lt;&gt;0,B59=0,C59=0),VLOOKUP(A59,'3 - LISTA DE ESPÉCIES'!A:H,5,FALSE()),IF(AND(A59=0,B59&lt;&gt;0,C59=0),VLOOKUP(B59,'3 - LISTA DE ESPÉCIES'!B:H,4,FALSE()),IF(AND(A59=0,B59=0,C59&lt;&gt;0),VLOOKUP(C59,'3 - LISTA DE ESPÉCIES'!C:H,3,FALSE()))))</f>
        <v>0</v>
      </c>
      <c r="J59" s="23"/>
      <c r="K59" s="23"/>
      <c r="L59" s="20"/>
      <c r="M59" s="20"/>
    </row>
    <row r="60" spans="1:13" x14ac:dyDescent="0.25">
      <c r="A60" s="20"/>
      <c r="B60" s="20"/>
      <c r="C60" s="20"/>
      <c r="E60" s="21" t="b">
        <f>IF(AND(A60&lt;&gt;0,B60=0,C60=0),VLOOKUP(A60,'3 - LISTA DE ESPÉCIES'!A:H,1,FALSE()),IF(AND(A60=0,B60&lt;&gt;0,C60=0),VLOOKUP(B60,'3 - LISTA DE ESPÉCIES'!B:H,5,FALSE()),IF(AND(A60=0,B60=0,C60&lt;&gt;0),VLOOKUP(C60,'3 - LISTA DE ESPÉCIES'!C:H,4,FALSE()))))</f>
        <v>0</v>
      </c>
      <c r="F60" s="21" t="b">
        <f>IF(AND(A60&lt;&gt;0,B60=0,C60=0),VLOOKUP(A60,'3 - LISTA DE ESPÉCIES'!A:H,2,FALSE()),IF(AND(A60=0,B60&lt;&gt;0,C60=0),VLOOKUP(B60,'3 - LISTA DE ESPÉCIES'!B:H,6,FALSE()),IF(AND(A60=0,B60=0,C60&lt;&gt;0),VLOOKUP(C60,'3 - LISTA DE ESPÉCIES'!C:H,5,FALSE()))))</f>
        <v>0</v>
      </c>
      <c r="G60" s="21" t="b">
        <f>IF(AND(A60&lt;&gt;0,B60=0,C60=0),VLOOKUP(A60,'3 - LISTA DE ESPÉCIES'!A:H,3,FALSE()),IF(AND(A60=0,B60&lt;&gt;0,C60=0),VLOOKUP(B60,'3 - LISTA DE ESPÉCIES'!B:H,7,FALSE()),IF(AND(A60=0,B60=0,C60&lt;&gt;0),VLOOKUP(C60,'3 - LISTA DE ESPÉCIES'!C:H,6,FALSE()))))</f>
        <v>0</v>
      </c>
      <c r="H60" s="21" t="b">
        <f>IF(AND(A60&lt;&gt;0,B60=0,C60=0),VLOOKUP(A60,'3 - LISTA DE ESPÉCIES'!A:H,4,FALSE()),IF(AND(A60=0,B60&lt;&gt;0,C60=0),VLOOKUP(B60,'3 - LISTA DE ESPÉCIES'!B:H,3,FALSE()),IF(AND(A60=0,B60=0,C60&lt;&gt;0),VLOOKUP(C60,'3 - LISTA DE ESPÉCIES'!C:H,2,FALSE()))))</f>
        <v>0</v>
      </c>
      <c r="I60" s="21" t="b">
        <f>IF(AND(A60&lt;&gt;0,B60=0,C60=0),VLOOKUP(A60,'3 - LISTA DE ESPÉCIES'!A:H,5,FALSE()),IF(AND(A60=0,B60&lt;&gt;0,C60=0),VLOOKUP(B60,'3 - LISTA DE ESPÉCIES'!B:H,4,FALSE()),IF(AND(A60=0,B60=0,C60&lt;&gt;0),VLOOKUP(C60,'3 - LISTA DE ESPÉCIES'!C:H,3,FALSE()))))</f>
        <v>0</v>
      </c>
      <c r="J60" s="23"/>
      <c r="K60" s="23"/>
      <c r="L60" s="20"/>
      <c r="M60" s="20"/>
    </row>
    <row r="61" spans="1:13" x14ac:dyDescent="0.25">
      <c r="A61" s="20"/>
      <c r="B61" s="20"/>
      <c r="C61" s="20"/>
      <c r="E61" s="21" t="b">
        <f>IF(AND(A61&lt;&gt;0,B61=0,C61=0),VLOOKUP(A61,'3 - LISTA DE ESPÉCIES'!A:H,1,FALSE()),IF(AND(A61=0,B61&lt;&gt;0,C61=0),VLOOKUP(B61,'3 - LISTA DE ESPÉCIES'!B:H,5,FALSE()),IF(AND(A61=0,B61=0,C61&lt;&gt;0),VLOOKUP(C61,'3 - LISTA DE ESPÉCIES'!C:H,4,FALSE()))))</f>
        <v>0</v>
      </c>
      <c r="F61" s="21" t="b">
        <f>IF(AND(A61&lt;&gt;0,B61=0,C61=0),VLOOKUP(A61,'3 - LISTA DE ESPÉCIES'!A:H,2,FALSE()),IF(AND(A61=0,B61&lt;&gt;0,C61=0),VLOOKUP(B61,'3 - LISTA DE ESPÉCIES'!B:H,6,FALSE()),IF(AND(A61=0,B61=0,C61&lt;&gt;0),VLOOKUP(C61,'3 - LISTA DE ESPÉCIES'!C:H,5,FALSE()))))</f>
        <v>0</v>
      </c>
      <c r="G61" s="21" t="b">
        <f>IF(AND(A61&lt;&gt;0,B61=0,C61=0),VLOOKUP(A61,'3 - LISTA DE ESPÉCIES'!A:H,3,FALSE()),IF(AND(A61=0,B61&lt;&gt;0,C61=0),VLOOKUP(B61,'3 - LISTA DE ESPÉCIES'!B:H,7,FALSE()),IF(AND(A61=0,B61=0,C61&lt;&gt;0),VLOOKUP(C61,'3 - LISTA DE ESPÉCIES'!C:H,6,FALSE()))))</f>
        <v>0</v>
      </c>
      <c r="H61" s="21" t="b">
        <f>IF(AND(A61&lt;&gt;0,B61=0,C61=0),VLOOKUP(A61,'3 - LISTA DE ESPÉCIES'!A:H,4,FALSE()),IF(AND(A61=0,B61&lt;&gt;0,C61=0),VLOOKUP(B61,'3 - LISTA DE ESPÉCIES'!B:H,3,FALSE()),IF(AND(A61=0,B61=0,C61&lt;&gt;0),VLOOKUP(C61,'3 - LISTA DE ESPÉCIES'!C:H,2,FALSE()))))</f>
        <v>0</v>
      </c>
      <c r="I61" s="21" t="b">
        <f>IF(AND(A61&lt;&gt;0,B61=0,C61=0),VLOOKUP(A61,'3 - LISTA DE ESPÉCIES'!A:H,5,FALSE()),IF(AND(A61=0,B61&lt;&gt;0,C61=0),VLOOKUP(B61,'3 - LISTA DE ESPÉCIES'!B:H,4,FALSE()),IF(AND(A61=0,B61=0,C61&lt;&gt;0),VLOOKUP(C61,'3 - LISTA DE ESPÉCIES'!C:H,3,FALSE()))))</f>
        <v>0</v>
      </c>
      <c r="J61" s="23"/>
      <c r="K61" s="23"/>
      <c r="L61" s="20"/>
      <c r="M61" s="20"/>
    </row>
    <row r="62" spans="1:13" x14ac:dyDescent="0.25">
      <c r="A62" s="20"/>
      <c r="B62" s="20"/>
      <c r="C62" s="20"/>
      <c r="E62" s="21" t="b">
        <f>IF(AND(A62&lt;&gt;0,B62=0,C62=0),VLOOKUP(A62,'3 - LISTA DE ESPÉCIES'!A:H,1,FALSE()),IF(AND(A62=0,B62&lt;&gt;0,C62=0),VLOOKUP(B62,'3 - LISTA DE ESPÉCIES'!B:H,5,FALSE()),IF(AND(A62=0,B62=0,C62&lt;&gt;0),VLOOKUP(C62,'3 - LISTA DE ESPÉCIES'!C:H,4,FALSE()))))</f>
        <v>0</v>
      </c>
      <c r="F62" s="21" t="b">
        <f>IF(AND(A62&lt;&gt;0,B62=0,C62=0),VLOOKUP(A62,'3 - LISTA DE ESPÉCIES'!A:H,2,FALSE()),IF(AND(A62=0,B62&lt;&gt;0,C62=0),VLOOKUP(B62,'3 - LISTA DE ESPÉCIES'!B:H,6,FALSE()),IF(AND(A62=0,B62=0,C62&lt;&gt;0),VLOOKUP(C62,'3 - LISTA DE ESPÉCIES'!C:H,5,FALSE()))))</f>
        <v>0</v>
      </c>
      <c r="G62" s="21" t="b">
        <f>IF(AND(A62&lt;&gt;0,B62=0,C62=0),VLOOKUP(A62,'3 - LISTA DE ESPÉCIES'!A:H,3,FALSE()),IF(AND(A62=0,B62&lt;&gt;0,C62=0),VLOOKUP(B62,'3 - LISTA DE ESPÉCIES'!B:H,7,FALSE()),IF(AND(A62=0,B62=0,C62&lt;&gt;0),VLOOKUP(C62,'3 - LISTA DE ESPÉCIES'!C:H,6,FALSE()))))</f>
        <v>0</v>
      </c>
      <c r="H62" s="21" t="b">
        <f>IF(AND(A62&lt;&gt;0,B62=0,C62=0),VLOOKUP(A62,'3 - LISTA DE ESPÉCIES'!A:H,4,FALSE()),IF(AND(A62=0,B62&lt;&gt;0,C62=0),VLOOKUP(B62,'3 - LISTA DE ESPÉCIES'!B:H,3,FALSE()),IF(AND(A62=0,B62=0,C62&lt;&gt;0),VLOOKUP(C62,'3 - LISTA DE ESPÉCIES'!C:H,2,FALSE()))))</f>
        <v>0</v>
      </c>
      <c r="I62" s="21" t="b">
        <f>IF(AND(A62&lt;&gt;0,B62=0,C62=0),VLOOKUP(A62,'3 - LISTA DE ESPÉCIES'!A:H,5,FALSE()),IF(AND(A62=0,B62&lt;&gt;0,C62=0),VLOOKUP(B62,'3 - LISTA DE ESPÉCIES'!B:H,4,FALSE()),IF(AND(A62=0,B62=0,C62&lt;&gt;0),VLOOKUP(C62,'3 - LISTA DE ESPÉCIES'!C:H,3,FALSE()))))</f>
        <v>0</v>
      </c>
      <c r="J62" s="23"/>
      <c r="K62" s="23"/>
      <c r="L62" s="20"/>
      <c r="M62" s="20"/>
    </row>
    <row r="63" spans="1:13" x14ac:dyDescent="0.25">
      <c r="A63" s="20"/>
      <c r="B63" s="20"/>
      <c r="C63" s="20"/>
      <c r="E63" s="21" t="b">
        <f>IF(AND(A63&lt;&gt;0,B63=0,C63=0),VLOOKUP(A63,'3 - LISTA DE ESPÉCIES'!A:H,1,FALSE()),IF(AND(A63=0,B63&lt;&gt;0,C63=0),VLOOKUP(B63,'3 - LISTA DE ESPÉCIES'!B:H,5,FALSE()),IF(AND(A63=0,B63=0,C63&lt;&gt;0),VLOOKUP(C63,'3 - LISTA DE ESPÉCIES'!C:H,4,FALSE()))))</f>
        <v>0</v>
      </c>
      <c r="F63" s="21" t="b">
        <f>IF(AND(A63&lt;&gt;0,B63=0,C63=0),VLOOKUP(A63,'3 - LISTA DE ESPÉCIES'!A:H,2,FALSE()),IF(AND(A63=0,B63&lt;&gt;0,C63=0),VLOOKUP(B63,'3 - LISTA DE ESPÉCIES'!B:H,6,FALSE()),IF(AND(A63=0,B63=0,C63&lt;&gt;0),VLOOKUP(C63,'3 - LISTA DE ESPÉCIES'!C:H,5,FALSE()))))</f>
        <v>0</v>
      </c>
      <c r="G63" s="21" t="b">
        <f>IF(AND(A63&lt;&gt;0,B63=0,C63=0),VLOOKUP(A63,'3 - LISTA DE ESPÉCIES'!A:H,3,FALSE()),IF(AND(A63=0,B63&lt;&gt;0,C63=0),VLOOKUP(B63,'3 - LISTA DE ESPÉCIES'!B:H,7,FALSE()),IF(AND(A63=0,B63=0,C63&lt;&gt;0),VLOOKUP(C63,'3 - LISTA DE ESPÉCIES'!C:H,6,FALSE()))))</f>
        <v>0</v>
      </c>
      <c r="H63" s="21" t="b">
        <f>IF(AND(A63&lt;&gt;0,B63=0,C63=0),VLOOKUP(A63,'3 - LISTA DE ESPÉCIES'!A:H,4,FALSE()),IF(AND(A63=0,B63&lt;&gt;0,C63=0),VLOOKUP(B63,'3 - LISTA DE ESPÉCIES'!B:H,3,FALSE()),IF(AND(A63=0,B63=0,C63&lt;&gt;0),VLOOKUP(C63,'3 - LISTA DE ESPÉCIES'!C:H,2,FALSE()))))</f>
        <v>0</v>
      </c>
      <c r="I63" s="21" t="b">
        <f>IF(AND(A63&lt;&gt;0,B63=0,C63=0),VLOOKUP(A63,'3 - LISTA DE ESPÉCIES'!A:H,5,FALSE()),IF(AND(A63=0,B63&lt;&gt;0,C63=0),VLOOKUP(B63,'3 - LISTA DE ESPÉCIES'!B:H,4,FALSE()),IF(AND(A63=0,B63=0,C63&lt;&gt;0),VLOOKUP(C63,'3 - LISTA DE ESPÉCIES'!C:H,3,FALSE()))))</f>
        <v>0</v>
      </c>
      <c r="J63" s="23"/>
      <c r="K63" s="23"/>
      <c r="L63" s="20"/>
      <c r="M63" s="20"/>
    </row>
    <row r="64" spans="1:13" x14ac:dyDescent="0.25">
      <c r="A64" s="20"/>
      <c r="B64" s="20"/>
      <c r="C64" s="20"/>
      <c r="E64" s="21" t="b">
        <f>IF(AND(A64&lt;&gt;0,B64=0,C64=0),VLOOKUP(A64,'3 - LISTA DE ESPÉCIES'!A:H,1,FALSE()),IF(AND(A64=0,B64&lt;&gt;0,C64=0),VLOOKUP(B64,'3 - LISTA DE ESPÉCIES'!B:H,5,FALSE()),IF(AND(A64=0,B64=0,C64&lt;&gt;0),VLOOKUP(C64,'3 - LISTA DE ESPÉCIES'!C:H,4,FALSE()))))</f>
        <v>0</v>
      </c>
      <c r="F64" s="21" t="b">
        <f>IF(AND(A64&lt;&gt;0,B64=0,C64=0),VLOOKUP(A64,'3 - LISTA DE ESPÉCIES'!A:H,2,FALSE()),IF(AND(A64=0,B64&lt;&gt;0,C64=0),VLOOKUP(B64,'3 - LISTA DE ESPÉCIES'!B:H,6,FALSE()),IF(AND(A64=0,B64=0,C64&lt;&gt;0),VLOOKUP(C64,'3 - LISTA DE ESPÉCIES'!C:H,5,FALSE()))))</f>
        <v>0</v>
      </c>
      <c r="G64" s="21" t="b">
        <f>IF(AND(A64&lt;&gt;0,B64=0,C64=0),VLOOKUP(A64,'3 - LISTA DE ESPÉCIES'!A:H,3,FALSE()),IF(AND(A64=0,B64&lt;&gt;0,C64=0),VLOOKUP(B64,'3 - LISTA DE ESPÉCIES'!B:H,7,FALSE()),IF(AND(A64=0,B64=0,C64&lt;&gt;0),VLOOKUP(C64,'3 - LISTA DE ESPÉCIES'!C:H,6,FALSE()))))</f>
        <v>0</v>
      </c>
      <c r="H64" s="21" t="b">
        <f>IF(AND(A64&lt;&gt;0,B64=0,C64=0),VLOOKUP(A64,'3 - LISTA DE ESPÉCIES'!A:H,4,FALSE()),IF(AND(A64=0,B64&lt;&gt;0,C64=0),VLOOKUP(B64,'3 - LISTA DE ESPÉCIES'!B:H,3,FALSE()),IF(AND(A64=0,B64=0,C64&lt;&gt;0),VLOOKUP(C64,'3 - LISTA DE ESPÉCIES'!C:H,2,FALSE()))))</f>
        <v>0</v>
      </c>
      <c r="I64" s="21" t="b">
        <f>IF(AND(A64&lt;&gt;0,B64=0,C64=0),VLOOKUP(A64,'3 - LISTA DE ESPÉCIES'!A:H,5,FALSE()),IF(AND(A64=0,B64&lt;&gt;0,C64=0),VLOOKUP(B64,'3 - LISTA DE ESPÉCIES'!B:H,4,FALSE()),IF(AND(A64=0,B64=0,C64&lt;&gt;0),VLOOKUP(C64,'3 - LISTA DE ESPÉCIES'!C:H,3,FALSE()))))</f>
        <v>0</v>
      </c>
      <c r="J64" s="23"/>
      <c r="K64" s="23"/>
      <c r="L64" s="20"/>
      <c r="M64" s="20"/>
    </row>
    <row r="65" spans="1:13" x14ac:dyDescent="0.25">
      <c r="A65" s="20"/>
      <c r="B65" s="20"/>
      <c r="C65" s="20"/>
      <c r="E65" s="21" t="b">
        <f>IF(AND(A65&lt;&gt;0,B65=0,C65=0),VLOOKUP(A65,'3 - LISTA DE ESPÉCIES'!A:H,1,FALSE()),IF(AND(A65=0,B65&lt;&gt;0,C65=0),VLOOKUP(B65,'3 - LISTA DE ESPÉCIES'!B:H,5,FALSE()),IF(AND(A65=0,B65=0,C65&lt;&gt;0),VLOOKUP(C65,'3 - LISTA DE ESPÉCIES'!C:H,4,FALSE()))))</f>
        <v>0</v>
      </c>
      <c r="F65" s="21" t="b">
        <f>IF(AND(A65&lt;&gt;0,B65=0,C65=0),VLOOKUP(A65,'3 - LISTA DE ESPÉCIES'!A:H,2,FALSE()),IF(AND(A65=0,B65&lt;&gt;0,C65=0),VLOOKUP(B65,'3 - LISTA DE ESPÉCIES'!B:H,6,FALSE()),IF(AND(A65=0,B65=0,C65&lt;&gt;0),VLOOKUP(C65,'3 - LISTA DE ESPÉCIES'!C:H,5,FALSE()))))</f>
        <v>0</v>
      </c>
      <c r="G65" s="21" t="b">
        <f>IF(AND(A65&lt;&gt;0,B65=0,C65=0),VLOOKUP(A65,'3 - LISTA DE ESPÉCIES'!A:H,3,FALSE()),IF(AND(A65=0,B65&lt;&gt;0,C65=0),VLOOKUP(B65,'3 - LISTA DE ESPÉCIES'!B:H,7,FALSE()),IF(AND(A65=0,B65=0,C65&lt;&gt;0),VLOOKUP(C65,'3 - LISTA DE ESPÉCIES'!C:H,6,FALSE()))))</f>
        <v>0</v>
      </c>
      <c r="H65" s="21" t="b">
        <f>IF(AND(A65&lt;&gt;0,B65=0,C65=0),VLOOKUP(A65,'3 - LISTA DE ESPÉCIES'!A:H,4,FALSE()),IF(AND(A65=0,B65&lt;&gt;0,C65=0),VLOOKUP(B65,'3 - LISTA DE ESPÉCIES'!B:H,3,FALSE()),IF(AND(A65=0,B65=0,C65&lt;&gt;0),VLOOKUP(C65,'3 - LISTA DE ESPÉCIES'!C:H,2,FALSE()))))</f>
        <v>0</v>
      </c>
      <c r="I65" s="21" t="b">
        <f>IF(AND(A65&lt;&gt;0,B65=0,C65=0),VLOOKUP(A65,'3 - LISTA DE ESPÉCIES'!A:H,5,FALSE()),IF(AND(A65=0,B65&lt;&gt;0,C65=0),VLOOKUP(B65,'3 - LISTA DE ESPÉCIES'!B:H,4,FALSE()),IF(AND(A65=0,B65=0,C65&lt;&gt;0),VLOOKUP(C65,'3 - LISTA DE ESPÉCIES'!C:H,3,FALSE()))))</f>
        <v>0</v>
      </c>
      <c r="J65" s="23"/>
      <c r="K65" s="23"/>
      <c r="L65" s="20"/>
      <c r="M65" s="20"/>
    </row>
    <row r="66" spans="1:13" x14ac:dyDescent="0.25">
      <c r="A66" s="20"/>
      <c r="B66" s="20"/>
      <c r="C66" s="20"/>
      <c r="E66" s="21" t="b">
        <f>IF(AND(A66&lt;&gt;0,B66=0,C66=0),VLOOKUP(A66,'3 - LISTA DE ESPÉCIES'!A:H,1,FALSE()),IF(AND(A66=0,B66&lt;&gt;0,C66=0),VLOOKUP(B66,'3 - LISTA DE ESPÉCIES'!B:H,5,FALSE()),IF(AND(A66=0,B66=0,C66&lt;&gt;0),VLOOKUP(C66,'3 - LISTA DE ESPÉCIES'!C:H,4,FALSE()))))</f>
        <v>0</v>
      </c>
      <c r="F66" s="21" t="b">
        <f>IF(AND(A66&lt;&gt;0,B66=0,C66=0),VLOOKUP(A66,'3 - LISTA DE ESPÉCIES'!A:H,2,FALSE()),IF(AND(A66=0,B66&lt;&gt;0,C66=0),VLOOKUP(B66,'3 - LISTA DE ESPÉCIES'!B:H,6,FALSE()),IF(AND(A66=0,B66=0,C66&lt;&gt;0),VLOOKUP(C66,'3 - LISTA DE ESPÉCIES'!C:H,5,FALSE()))))</f>
        <v>0</v>
      </c>
      <c r="G66" s="21" t="b">
        <f>IF(AND(A66&lt;&gt;0,B66=0,C66=0),VLOOKUP(A66,'3 - LISTA DE ESPÉCIES'!A:H,3,FALSE()),IF(AND(A66=0,B66&lt;&gt;0,C66=0),VLOOKUP(B66,'3 - LISTA DE ESPÉCIES'!B:H,7,FALSE()),IF(AND(A66=0,B66=0,C66&lt;&gt;0),VLOOKUP(C66,'3 - LISTA DE ESPÉCIES'!C:H,6,FALSE()))))</f>
        <v>0</v>
      </c>
      <c r="H66" s="21" t="b">
        <f>IF(AND(A66&lt;&gt;0,B66=0,C66=0),VLOOKUP(A66,'3 - LISTA DE ESPÉCIES'!A:H,4,FALSE()),IF(AND(A66=0,B66&lt;&gt;0,C66=0),VLOOKUP(B66,'3 - LISTA DE ESPÉCIES'!B:H,3,FALSE()),IF(AND(A66=0,B66=0,C66&lt;&gt;0),VLOOKUP(C66,'3 - LISTA DE ESPÉCIES'!C:H,2,FALSE()))))</f>
        <v>0</v>
      </c>
      <c r="I66" s="21" t="b">
        <f>IF(AND(A66&lt;&gt;0,B66=0,C66=0),VLOOKUP(A66,'3 - LISTA DE ESPÉCIES'!A:H,5,FALSE()),IF(AND(A66=0,B66&lt;&gt;0,C66=0),VLOOKUP(B66,'3 - LISTA DE ESPÉCIES'!B:H,4,FALSE()),IF(AND(A66=0,B66=0,C66&lt;&gt;0),VLOOKUP(C66,'3 - LISTA DE ESPÉCIES'!C:H,3,FALSE()))))</f>
        <v>0</v>
      </c>
      <c r="J66" s="23"/>
      <c r="K66" s="23"/>
      <c r="L66" s="20"/>
      <c r="M66" s="20"/>
    </row>
    <row r="67" spans="1:13" x14ac:dyDescent="0.25">
      <c r="A67" s="20"/>
      <c r="B67" s="20"/>
      <c r="C67" s="20"/>
      <c r="E67" s="21" t="b">
        <f>IF(AND(A67&lt;&gt;0,B67=0,C67=0),VLOOKUP(A67,'3 - LISTA DE ESPÉCIES'!A:H,1,FALSE()),IF(AND(A67=0,B67&lt;&gt;0,C67=0),VLOOKUP(B67,'3 - LISTA DE ESPÉCIES'!B:H,5,FALSE()),IF(AND(A67=0,B67=0,C67&lt;&gt;0),VLOOKUP(C67,'3 - LISTA DE ESPÉCIES'!C:H,4,FALSE()))))</f>
        <v>0</v>
      </c>
      <c r="F67" s="21" t="b">
        <f>IF(AND(A67&lt;&gt;0,B67=0,C67=0),VLOOKUP(A67,'3 - LISTA DE ESPÉCIES'!A:H,2,FALSE()),IF(AND(A67=0,B67&lt;&gt;0,C67=0),VLOOKUP(B67,'3 - LISTA DE ESPÉCIES'!B:H,6,FALSE()),IF(AND(A67=0,B67=0,C67&lt;&gt;0),VLOOKUP(C67,'3 - LISTA DE ESPÉCIES'!C:H,5,FALSE()))))</f>
        <v>0</v>
      </c>
      <c r="G67" s="21" t="b">
        <f>IF(AND(A67&lt;&gt;0,B67=0,C67=0),VLOOKUP(A67,'3 - LISTA DE ESPÉCIES'!A:H,3,FALSE()),IF(AND(A67=0,B67&lt;&gt;0,C67=0),VLOOKUP(B67,'3 - LISTA DE ESPÉCIES'!B:H,7,FALSE()),IF(AND(A67=0,B67=0,C67&lt;&gt;0),VLOOKUP(C67,'3 - LISTA DE ESPÉCIES'!C:H,6,FALSE()))))</f>
        <v>0</v>
      </c>
      <c r="H67" s="21" t="b">
        <f>IF(AND(A67&lt;&gt;0,B67=0,C67=0),VLOOKUP(A67,'3 - LISTA DE ESPÉCIES'!A:H,4,FALSE()),IF(AND(A67=0,B67&lt;&gt;0,C67=0),VLOOKUP(B67,'3 - LISTA DE ESPÉCIES'!B:H,3,FALSE()),IF(AND(A67=0,B67=0,C67&lt;&gt;0),VLOOKUP(C67,'3 - LISTA DE ESPÉCIES'!C:H,2,FALSE()))))</f>
        <v>0</v>
      </c>
      <c r="I67" s="21" t="b">
        <f>IF(AND(A67&lt;&gt;0,B67=0,C67=0),VLOOKUP(A67,'3 - LISTA DE ESPÉCIES'!A:H,5,FALSE()),IF(AND(A67=0,B67&lt;&gt;0,C67=0),VLOOKUP(B67,'3 - LISTA DE ESPÉCIES'!B:H,4,FALSE()),IF(AND(A67=0,B67=0,C67&lt;&gt;0),VLOOKUP(C67,'3 - LISTA DE ESPÉCIES'!C:H,3,FALSE()))))</f>
        <v>0</v>
      </c>
      <c r="J67" s="23"/>
      <c r="K67" s="23"/>
      <c r="L67" s="20"/>
      <c r="M67" s="20"/>
    </row>
    <row r="68" spans="1:13" x14ac:dyDescent="0.25">
      <c r="A68" s="20"/>
      <c r="B68" s="20"/>
      <c r="C68" s="20"/>
      <c r="E68" s="21" t="b">
        <f>IF(AND(A68&lt;&gt;0,B68=0,C68=0),VLOOKUP(A68,'3 - LISTA DE ESPÉCIES'!A:H,1,FALSE()),IF(AND(A68=0,B68&lt;&gt;0,C68=0),VLOOKUP(B68,'3 - LISTA DE ESPÉCIES'!B:H,5,FALSE()),IF(AND(A68=0,B68=0,C68&lt;&gt;0),VLOOKUP(C68,'3 - LISTA DE ESPÉCIES'!C:H,4,FALSE()))))</f>
        <v>0</v>
      </c>
      <c r="F68" s="21" t="b">
        <f>IF(AND(A68&lt;&gt;0,B68=0,C68=0),VLOOKUP(A68,'3 - LISTA DE ESPÉCIES'!A:H,2,FALSE()),IF(AND(A68=0,B68&lt;&gt;0,C68=0),VLOOKUP(B68,'3 - LISTA DE ESPÉCIES'!B:H,6,FALSE()),IF(AND(A68=0,B68=0,C68&lt;&gt;0),VLOOKUP(C68,'3 - LISTA DE ESPÉCIES'!C:H,5,FALSE()))))</f>
        <v>0</v>
      </c>
      <c r="G68" s="21" t="b">
        <f>IF(AND(A68&lt;&gt;0,B68=0,C68=0),VLOOKUP(A68,'3 - LISTA DE ESPÉCIES'!A:H,3,FALSE()),IF(AND(A68=0,B68&lt;&gt;0,C68=0),VLOOKUP(B68,'3 - LISTA DE ESPÉCIES'!B:H,7,FALSE()),IF(AND(A68=0,B68=0,C68&lt;&gt;0),VLOOKUP(C68,'3 - LISTA DE ESPÉCIES'!C:H,6,FALSE()))))</f>
        <v>0</v>
      </c>
      <c r="H68" s="21" t="b">
        <f>IF(AND(A68&lt;&gt;0,B68=0,C68=0),VLOOKUP(A68,'3 - LISTA DE ESPÉCIES'!A:H,4,FALSE()),IF(AND(A68=0,B68&lt;&gt;0,C68=0),VLOOKUP(B68,'3 - LISTA DE ESPÉCIES'!B:H,3,FALSE()),IF(AND(A68=0,B68=0,C68&lt;&gt;0),VLOOKUP(C68,'3 - LISTA DE ESPÉCIES'!C:H,2,FALSE()))))</f>
        <v>0</v>
      </c>
      <c r="I68" s="21" t="b">
        <f>IF(AND(A68&lt;&gt;0,B68=0,C68=0),VLOOKUP(A68,'3 - LISTA DE ESPÉCIES'!A:H,5,FALSE()),IF(AND(A68=0,B68&lt;&gt;0,C68=0),VLOOKUP(B68,'3 - LISTA DE ESPÉCIES'!B:H,4,FALSE()),IF(AND(A68=0,B68=0,C68&lt;&gt;0),VLOOKUP(C68,'3 - LISTA DE ESPÉCIES'!C:H,3,FALSE()))))</f>
        <v>0</v>
      </c>
      <c r="J68" s="23"/>
      <c r="K68" s="23"/>
      <c r="L68" s="20"/>
      <c r="M68" s="20"/>
    </row>
    <row r="69" spans="1:13" x14ac:dyDescent="0.25">
      <c r="A69" s="20"/>
      <c r="B69" s="20"/>
      <c r="C69" s="20"/>
      <c r="E69" s="21" t="b">
        <f>IF(AND(A69&lt;&gt;0,B69=0,C69=0),VLOOKUP(A69,'3 - LISTA DE ESPÉCIES'!A:H,1,FALSE()),IF(AND(A69=0,B69&lt;&gt;0,C69=0),VLOOKUP(B69,'3 - LISTA DE ESPÉCIES'!B:H,5,FALSE()),IF(AND(A69=0,B69=0,C69&lt;&gt;0),VLOOKUP(C69,'3 - LISTA DE ESPÉCIES'!C:H,4,FALSE()))))</f>
        <v>0</v>
      </c>
      <c r="F69" s="21" t="b">
        <f>IF(AND(A69&lt;&gt;0,B69=0,C69=0),VLOOKUP(A69,'3 - LISTA DE ESPÉCIES'!A:H,2,FALSE()),IF(AND(A69=0,B69&lt;&gt;0,C69=0),VLOOKUP(B69,'3 - LISTA DE ESPÉCIES'!B:H,6,FALSE()),IF(AND(A69=0,B69=0,C69&lt;&gt;0),VLOOKUP(C69,'3 - LISTA DE ESPÉCIES'!C:H,5,FALSE()))))</f>
        <v>0</v>
      </c>
      <c r="G69" s="21" t="b">
        <f>IF(AND(A69&lt;&gt;0,B69=0,C69=0),VLOOKUP(A69,'3 - LISTA DE ESPÉCIES'!A:H,3,FALSE()),IF(AND(A69=0,B69&lt;&gt;0,C69=0),VLOOKUP(B69,'3 - LISTA DE ESPÉCIES'!B:H,7,FALSE()),IF(AND(A69=0,B69=0,C69&lt;&gt;0),VLOOKUP(C69,'3 - LISTA DE ESPÉCIES'!C:H,6,FALSE()))))</f>
        <v>0</v>
      </c>
      <c r="H69" s="21" t="b">
        <f>IF(AND(A69&lt;&gt;0,B69=0,C69=0),VLOOKUP(A69,'3 - LISTA DE ESPÉCIES'!A:H,4,FALSE()),IF(AND(A69=0,B69&lt;&gt;0,C69=0),VLOOKUP(B69,'3 - LISTA DE ESPÉCIES'!B:H,3,FALSE()),IF(AND(A69=0,B69=0,C69&lt;&gt;0),VLOOKUP(C69,'3 - LISTA DE ESPÉCIES'!C:H,2,FALSE()))))</f>
        <v>0</v>
      </c>
      <c r="I69" s="21" t="b">
        <f>IF(AND(A69&lt;&gt;0,B69=0,C69=0),VLOOKUP(A69,'3 - LISTA DE ESPÉCIES'!A:H,5,FALSE()),IF(AND(A69=0,B69&lt;&gt;0,C69=0),VLOOKUP(B69,'3 - LISTA DE ESPÉCIES'!B:H,4,FALSE()),IF(AND(A69=0,B69=0,C69&lt;&gt;0),VLOOKUP(C69,'3 - LISTA DE ESPÉCIES'!C:H,3,FALSE()))))</f>
        <v>0</v>
      </c>
      <c r="J69" s="23"/>
      <c r="K69" s="23"/>
      <c r="L69" s="20"/>
      <c r="M69" s="20"/>
    </row>
    <row r="70" spans="1:13" x14ac:dyDescent="0.25">
      <c r="A70" s="20"/>
      <c r="B70" s="20"/>
      <c r="C70" s="20"/>
      <c r="E70" s="21" t="b">
        <f>IF(AND(A70&lt;&gt;0,B70=0,C70=0),VLOOKUP(A70,'3 - LISTA DE ESPÉCIES'!A:H,1,FALSE()),IF(AND(A70=0,B70&lt;&gt;0,C70=0),VLOOKUP(B70,'3 - LISTA DE ESPÉCIES'!B:H,5,FALSE()),IF(AND(A70=0,B70=0,C70&lt;&gt;0),VLOOKUP(C70,'3 - LISTA DE ESPÉCIES'!C:H,4,FALSE()))))</f>
        <v>0</v>
      </c>
      <c r="F70" s="21" t="b">
        <f>IF(AND(A70&lt;&gt;0,B70=0,C70=0),VLOOKUP(A70,'3 - LISTA DE ESPÉCIES'!A:H,2,FALSE()),IF(AND(A70=0,B70&lt;&gt;0,C70=0),VLOOKUP(B70,'3 - LISTA DE ESPÉCIES'!B:H,6,FALSE()),IF(AND(A70=0,B70=0,C70&lt;&gt;0),VLOOKUP(C70,'3 - LISTA DE ESPÉCIES'!C:H,5,FALSE()))))</f>
        <v>0</v>
      </c>
      <c r="G70" s="21" t="b">
        <f>IF(AND(A70&lt;&gt;0,B70=0,C70=0),VLOOKUP(A70,'3 - LISTA DE ESPÉCIES'!A:H,3,FALSE()),IF(AND(A70=0,B70&lt;&gt;0,C70=0),VLOOKUP(B70,'3 - LISTA DE ESPÉCIES'!B:H,7,FALSE()),IF(AND(A70=0,B70=0,C70&lt;&gt;0),VLOOKUP(C70,'3 - LISTA DE ESPÉCIES'!C:H,6,FALSE()))))</f>
        <v>0</v>
      </c>
      <c r="H70" s="21" t="b">
        <f>IF(AND(A70&lt;&gt;0,B70=0,C70=0),VLOOKUP(A70,'3 - LISTA DE ESPÉCIES'!A:H,4,FALSE()),IF(AND(A70=0,B70&lt;&gt;0,C70=0),VLOOKUP(B70,'3 - LISTA DE ESPÉCIES'!B:H,3,FALSE()),IF(AND(A70=0,B70=0,C70&lt;&gt;0),VLOOKUP(C70,'3 - LISTA DE ESPÉCIES'!C:H,2,FALSE()))))</f>
        <v>0</v>
      </c>
      <c r="I70" s="21" t="b">
        <f>IF(AND(A70&lt;&gt;0,B70=0,C70=0),VLOOKUP(A70,'3 - LISTA DE ESPÉCIES'!A:H,5,FALSE()),IF(AND(A70=0,B70&lt;&gt;0,C70=0),VLOOKUP(B70,'3 - LISTA DE ESPÉCIES'!B:H,4,FALSE()),IF(AND(A70=0,B70=0,C70&lt;&gt;0),VLOOKUP(C70,'3 - LISTA DE ESPÉCIES'!C:H,3,FALSE()))))</f>
        <v>0</v>
      </c>
      <c r="J70" s="23"/>
      <c r="K70" s="23"/>
      <c r="L70" s="20"/>
      <c r="M70" s="20"/>
    </row>
    <row r="71" spans="1:13" x14ac:dyDescent="0.25">
      <c r="A71" s="20"/>
      <c r="B71" s="20"/>
      <c r="C71" s="20"/>
      <c r="E71" s="21" t="b">
        <f>IF(AND(A71&lt;&gt;0,B71=0,C71=0),VLOOKUP(A71,'3 - LISTA DE ESPÉCIES'!A:H,1,FALSE()),IF(AND(A71=0,B71&lt;&gt;0,C71=0),VLOOKUP(B71,'3 - LISTA DE ESPÉCIES'!B:H,5,FALSE()),IF(AND(A71=0,B71=0,C71&lt;&gt;0),VLOOKUP(C71,'3 - LISTA DE ESPÉCIES'!C:H,4,FALSE()))))</f>
        <v>0</v>
      </c>
      <c r="F71" s="21" t="b">
        <f>IF(AND(A71&lt;&gt;0,B71=0,C71=0),VLOOKUP(A71,'3 - LISTA DE ESPÉCIES'!A:H,2,FALSE()),IF(AND(A71=0,B71&lt;&gt;0,C71=0),VLOOKUP(B71,'3 - LISTA DE ESPÉCIES'!B:H,6,FALSE()),IF(AND(A71=0,B71=0,C71&lt;&gt;0),VLOOKUP(C71,'3 - LISTA DE ESPÉCIES'!C:H,5,FALSE()))))</f>
        <v>0</v>
      </c>
      <c r="G71" s="21" t="b">
        <f>IF(AND(A71&lt;&gt;0,B71=0,C71=0),VLOOKUP(A71,'3 - LISTA DE ESPÉCIES'!A:H,3,FALSE()),IF(AND(A71=0,B71&lt;&gt;0,C71=0),VLOOKUP(B71,'3 - LISTA DE ESPÉCIES'!B:H,7,FALSE()),IF(AND(A71=0,B71=0,C71&lt;&gt;0),VLOOKUP(C71,'3 - LISTA DE ESPÉCIES'!C:H,6,FALSE()))))</f>
        <v>0</v>
      </c>
      <c r="H71" s="21" t="b">
        <f>IF(AND(A71&lt;&gt;0,B71=0,C71=0),VLOOKUP(A71,'3 - LISTA DE ESPÉCIES'!A:H,4,FALSE()),IF(AND(A71=0,B71&lt;&gt;0,C71=0),VLOOKUP(B71,'3 - LISTA DE ESPÉCIES'!B:H,3,FALSE()),IF(AND(A71=0,B71=0,C71&lt;&gt;0),VLOOKUP(C71,'3 - LISTA DE ESPÉCIES'!C:H,2,FALSE()))))</f>
        <v>0</v>
      </c>
      <c r="I71" s="21" t="b">
        <f>IF(AND(A71&lt;&gt;0,B71=0,C71=0),VLOOKUP(A71,'3 - LISTA DE ESPÉCIES'!A:H,5,FALSE()),IF(AND(A71=0,B71&lt;&gt;0,C71=0),VLOOKUP(B71,'3 - LISTA DE ESPÉCIES'!B:H,4,FALSE()),IF(AND(A71=0,B71=0,C71&lt;&gt;0),VLOOKUP(C71,'3 - LISTA DE ESPÉCIES'!C:H,3,FALSE()))))</f>
        <v>0</v>
      </c>
      <c r="J71" s="23"/>
      <c r="K71" s="23"/>
      <c r="L71" s="20"/>
      <c r="M71" s="20"/>
    </row>
    <row r="72" spans="1:13" x14ac:dyDescent="0.25">
      <c r="A72" s="20"/>
      <c r="B72" s="20"/>
      <c r="C72" s="20"/>
      <c r="E72" s="21" t="b">
        <f>IF(AND(A72&lt;&gt;0,B72=0,C72=0),VLOOKUP(A72,'3 - LISTA DE ESPÉCIES'!A:H,1,FALSE()),IF(AND(A72=0,B72&lt;&gt;0,C72=0),VLOOKUP(B72,'3 - LISTA DE ESPÉCIES'!B:H,5,FALSE()),IF(AND(A72=0,B72=0,C72&lt;&gt;0),VLOOKUP(C72,'3 - LISTA DE ESPÉCIES'!C:H,4,FALSE()))))</f>
        <v>0</v>
      </c>
      <c r="F72" s="21" t="b">
        <f>IF(AND(A72&lt;&gt;0,B72=0,C72=0),VLOOKUP(A72,'3 - LISTA DE ESPÉCIES'!A:H,2,FALSE()),IF(AND(A72=0,B72&lt;&gt;0,C72=0),VLOOKUP(B72,'3 - LISTA DE ESPÉCIES'!B:H,6,FALSE()),IF(AND(A72=0,B72=0,C72&lt;&gt;0),VLOOKUP(C72,'3 - LISTA DE ESPÉCIES'!C:H,5,FALSE()))))</f>
        <v>0</v>
      </c>
      <c r="G72" s="21" t="b">
        <f>IF(AND(A72&lt;&gt;0,B72=0,C72=0),VLOOKUP(A72,'3 - LISTA DE ESPÉCIES'!A:H,3,FALSE()),IF(AND(A72=0,B72&lt;&gt;0,C72=0),VLOOKUP(B72,'3 - LISTA DE ESPÉCIES'!B:H,7,FALSE()),IF(AND(A72=0,B72=0,C72&lt;&gt;0),VLOOKUP(C72,'3 - LISTA DE ESPÉCIES'!C:H,6,FALSE()))))</f>
        <v>0</v>
      </c>
      <c r="H72" s="21" t="b">
        <f>IF(AND(A72&lt;&gt;0,B72=0,C72=0),VLOOKUP(A72,'3 - LISTA DE ESPÉCIES'!A:H,4,FALSE()),IF(AND(A72=0,B72&lt;&gt;0,C72=0),VLOOKUP(B72,'3 - LISTA DE ESPÉCIES'!B:H,3,FALSE()),IF(AND(A72=0,B72=0,C72&lt;&gt;0),VLOOKUP(C72,'3 - LISTA DE ESPÉCIES'!C:H,2,FALSE()))))</f>
        <v>0</v>
      </c>
      <c r="I72" s="21" t="b">
        <f>IF(AND(A72&lt;&gt;0,B72=0,C72=0),VLOOKUP(A72,'3 - LISTA DE ESPÉCIES'!A:H,5,FALSE()),IF(AND(A72=0,B72&lt;&gt;0,C72=0),VLOOKUP(B72,'3 - LISTA DE ESPÉCIES'!B:H,4,FALSE()),IF(AND(A72=0,B72=0,C72&lt;&gt;0),VLOOKUP(C72,'3 - LISTA DE ESPÉCIES'!C:H,3,FALSE()))))</f>
        <v>0</v>
      </c>
      <c r="J72" s="23"/>
      <c r="K72" s="23"/>
      <c r="L72" s="20"/>
      <c r="M72" s="20"/>
    </row>
    <row r="73" spans="1:13" x14ac:dyDescent="0.25">
      <c r="A73" s="20"/>
      <c r="B73" s="20"/>
      <c r="C73" s="20"/>
      <c r="E73" s="21" t="b">
        <f>IF(AND(A73&lt;&gt;0,B73=0,C73=0),VLOOKUP(A73,'3 - LISTA DE ESPÉCIES'!A:H,1,FALSE()),IF(AND(A73=0,B73&lt;&gt;0,C73=0),VLOOKUP(B73,'3 - LISTA DE ESPÉCIES'!B:H,5,FALSE()),IF(AND(A73=0,B73=0,C73&lt;&gt;0),VLOOKUP(C73,'3 - LISTA DE ESPÉCIES'!C:H,4,FALSE()))))</f>
        <v>0</v>
      </c>
      <c r="F73" s="21" t="b">
        <f>IF(AND(A73&lt;&gt;0,B73=0,C73=0),VLOOKUP(A73,'3 - LISTA DE ESPÉCIES'!A:H,2,FALSE()),IF(AND(A73=0,B73&lt;&gt;0,C73=0),VLOOKUP(B73,'3 - LISTA DE ESPÉCIES'!B:H,6,FALSE()),IF(AND(A73=0,B73=0,C73&lt;&gt;0),VLOOKUP(C73,'3 - LISTA DE ESPÉCIES'!C:H,5,FALSE()))))</f>
        <v>0</v>
      </c>
      <c r="G73" s="21" t="b">
        <f>IF(AND(A73&lt;&gt;0,B73=0,C73=0),VLOOKUP(A73,'3 - LISTA DE ESPÉCIES'!A:H,3,FALSE()),IF(AND(A73=0,B73&lt;&gt;0,C73=0),VLOOKUP(B73,'3 - LISTA DE ESPÉCIES'!B:H,7,FALSE()),IF(AND(A73=0,B73=0,C73&lt;&gt;0),VLOOKUP(C73,'3 - LISTA DE ESPÉCIES'!C:H,6,FALSE()))))</f>
        <v>0</v>
      </c>
      <c r="H73" s="21" t="b">
        <f>IF(AND(A73&lt;&gt;0,B73=0,C73=0),VLOOKUP(A73,'3 - LISTA DE ESPÉCIES'!A:H,4,FALSE()),IF(AND(A73=0,B73&lt;&gt;0,C73=0),VLOOKUP(B73,'3 - LISTA DE ESPÉCIES'!B:H,3,FALSE()),IF(AND(A73=0,B73=0,C73&lt;&gt;0),VLOOKUP(C73,'3 - LISTA DE ESPÉCIES'!C:H,2,FALSE()))))</f>
        <v>0</v>
      </c>
      <c r="I73" s="21" t="b">
        <f>IF(AND(A73&lt;&gt;0,B73=0,C73=0),VLOOKUP(A73,'3 - LISTA DE ESPÉCIES'!A:H,5,FALSE()),IF(AND(A73=0,B73&lt;&gt;0,C73=0),VLOOKUP(B73,'3 - LISTA DE ESPÉCIES'!B:H,4,FALSE()),IF(AND(A73=0,B73=0,C73&lt;&gt;0),VLOOKUP(C73,'3 - LISTA DE ESPÉCIES'!C:H,3,FALSE()))))</f>
        <v>0</v>
      </c>
      <c r="J73" s="23"/>
      <c r="K73" s="23"/>
      <c r="L73" s="20"/>
      <c r="M73" s="20"/>
    </row>
    <row r="74" spans="1:13" x14ac:dyDescent="0.25">
      <c r="A74" s="20"/>
      <c r="B74" s="20"/>
      <c r="C74" s="20"/>
      <c r="E74" s="21" t="b">
        <f>IF(AND(A74&lt;&gt;0,B74=0,C74=0),VLOOKUP(A74,'3 - LISTA DE ESPÉCIES'!A:H,1,FALSE()),IF(AND(A74=0,B74&lt;&gt;0,C74=0),VLOOKUP(B74,'3 - LISTA DE ESPÉCIES'!B:H,5,FALSE()),IF(AND(A74=0,B74=0,C74&lt;&gt;0),VLOOKUP(C74,'3 - LISTA DE ESPÉCIES'!C:H,4,FALSE()))))</f>
        <v>0</v>
      </c>
      <c r="F74" s="21" t="b">
        <f>IF(AND(A74&lt;&gt;0,B74=0,C74=0),VLOOKUP(A74,'3 - LISTA DE ESPÉCIES'!A:H,2,FALSE()),IF(AND(A74=0,B74&lt;&gt;0,C74=0),VLOOKUP(B74,'3 - LISTA DE ESPÉCIES'!B:H,6,FALSE()),IF(AND(A74=0,B74=0,C74&lt;&gt;0),VLOOKUP(C74,'3 - LISTA DE ESPÉCIES'!C:H,5,FALSE()))))</f>
        <v>0</v>
      </c>
      <c r="G74" s="21" t="b">
        <f>IF(AND(A74&lt;&gt;0,B74=0,C74=0),VLOOKUP(A74,'3 - LISTA DE ESPÉCIES'!A:H,3,FALSE()),IF(AND(A74=0,B74&lt;&gt;0,C74=0),VLOOKUP(B74,'3 - LISTA DE ESPÉCIES'!B:H,7,FALSE()),IF(AND(A74=0,B74=0,C74&lt;&gt;0),VLOOKUP(C74,'3 - LISTA DE ESPÉCIES'!C:H,6,FALSE()))))</f>
        <v>0</v>
      </c>
      <c r="H74" s="21" t="b">
        <f>IF(AND(A74&lt;&gt;0,B74=0,C74=0),VLOOKUP(A74,'3 - LISTA DE ESPÉCIES'!A:H,4,FALSE()),IF(AND(A74=0,B74&lt;&gt;0,C74=0),VLOOKUP(B74,'3 - LISTA DE ESPÉCIES'!B:H,3,FALSE()),IF(AND(A74=0,B74=0,C74&lt;&gt;0),VLOOKUP(C74,'3 - LISTA DE ESPÉCIES'!C:H,2,FALSE()))))</f>
        <v>0</v>
      </c>
      <c r="I74" s="21" t="b">
        <f>IF(AND(A74&lt;&gt;0,B74=0,C74=0),VLOOKUP(A74,'3 - LISTA DE ESPÉCIES'!A:H,5,FALSE()),IF(AND(A74=0,B74&lt;&gt;0,C74=0),VLOOKUP(B74,'3 - LISTA DE ESPÉCIES'!B:H,4,FALSE()),IF(AND(A74=0,B74=0,C74&lt;&gt;0),VLOOKUP(C74,'3 - LISTA DE ESPÉCIES'!C:H,3,FALSE()))))</f>
        <v>0</v>
      </c>
      <c r="J74" s="23"/>
      <c r="K74" s="23"/>
      <c r="L74" s="20"/>
      <c r="M74" s="20"/>
    </row>
    <row r="75" spans="1:13" x14ac:dyDescent="0.25">
      <c r="A75" s="20"/>
      <c r="B75" s="20"/>
      <c r="C75" s="20"/>
      <c r="E75" s="21" t="b">
        <f>IF(AND(A75&lt;&gt;0,B75=0,C75=0),VLOOKUP(A75,'3 - LISTA DE ESPÉCIES'!A:H,1,FALSE()),IF(AND(A75=0,B75&lt;&gt;0,C75=0),VLOOKUP(B75,'3 - LISTA DE ESPÉCIES'!B:H,5,FALSE()),IF(AND(A75=0,B75=0,C75&lt;&gt;0),VLOOKUP(C75,'3 - LISTA DE ESPÉCIES'!C:H,4,FALSE()))))</f>
        <v>0</v>
      </c>
      <c r="F75" s="21" t="b">
        <f>IF(AND(A75&lt;&gt;0,B75=0,C75=0),VLOOKUP(A75,'3 - LISTA DE ESPÉCIES'!A:H,2,FALSE()),IF(AND(A75=0,B75&lt;&gt;0,C75=0),VLOOKUP(B75,'3 - LISTA DE ESPÉCIES'!B:H,6,FALSE()),IF(AND(A75=0,B75=0,C75&lt;&gt;0),VLOOKUP(C75,'3 - LISTA DE ESPÉCIES'!C:H,5,FALSE()))))</f>
        <v>0</v>
      </c>
      <c r="G75" s="21" t="b">
        <f>IF(AND(A75&lt;&gt;0,B75=0,C75=0),VLOOKUP(A75,'3 - LISTA DE ESPÉCIES'!A:H,3,FALSE()),IF(AND(A75=0,B75&lt;&gt;0,C75=0),VLOOKUP(B75,'3 - LISTA DE ESPÉCIES'!B:H,7,FALSE()),IF(AND(A75=0,B75=0,C75&lt;&gt;0),VLOOKUP(C75,'3 - LISTA DE ESPÉCIES'!C:H,6,FALSE()))))</f>
        <v>0</v>
      </c>
      <c r="H75" s="21" t="b">
        <f>IF(AND(A75&lt;&gt;0,B75=0,C75=0),VLOOKUP(A75,'3 - LISTA DE ESPÉCIES'!A:H,4,FALSE()),IF(AND(A75=0,B75&lt;&gt;0,C75=0),VLOOKUP(B75,'3 - LISTA DE ESPÉCIES'!B:H,3,FALSE()),IF(AND(A75=0,B75=0,C75&lt;&gt;0),VLOOKUP(C75,'3 - LISTA DE ESPÉCIES'!C:H,2,FALSE()))))</f>
        <v>0</v>
      </c>
      <c r="I75" s="21" t="b">
        <f>IF(AND(A75&lt;&gt;0,B75=0,C75=0),VLOOKUP(A75,'3 - LISTA DE ESPÉCIES'!A:H,5,FALSE()),IF(AND(A75=0,B75&lt;&gt;0,C75=0),VLOOKUP(B75,'3 - LISTA DE ESPÉCIES'!B:H,4,FALSE()),IF(AND(A75=0,B75=0,C75&lt;&gt;0),VLOOKUP(C75,'3 - LISTA DE ESPÉCIES'!C:H,3,FALSE()))))</f>
        <v>0</v>
      </c>
      <c r="J75" s="23"/>
      <c r="K75" s="23"/>
      <c r="L75" s="20"/>
      <c r="M75" s="20"/>
    </row>
    <row r="76" spans="1:13" x14ac:dyDescent="0.25">
      <c r="A76" s="20"/>
      <c r="B76" s="20"/>
      <c r="C76" s="20"/>
      <c r="E76" s="21" t="b">
        <f>IF(AND(A76&lt;&gt;0,B76=0,C76=0),VLOOKUP(A76,'3 - LISTA DE ESPÉCIES'!A:H,1,FALSE()),IF(AND(A76=0,B76&lt;&gt;0,C76=0),VLOOKUP(B76,'3 - LISTA DE ESPÉCIES'!B:H,5,FALSE()),IF(AND(A76=0,B76=0,C76&lt;&gt;0),VLOOKUP(C76,'3 - LISTA DE ESPÉCIES'!C:H,4,FALSE()))))</f>
        <v>0</v>
      </c>
      <c r="F76" s="21" t="b">
        <f>IF(AND(A76&lt;&gt;0,B76=0,C76=0),VLOOKUP(A76,'3 - LISTA DE ESPÉCIES'!A:H,2,FALSE()),IF(AND(A76=0,B76&lt;&gt;0,C76=0),VLOOKUP(B76,'3 - LISTA DE ESPÉCIES'!B:H,6,FALSE()),IF(AND(A76=0,B76=0,C76&lt;&gt;0),VLOOKUP(C76,'3 - LISTA DE ESPÉCIES'!C:H,5,FALSE()))))</f>
        <v>0</v>
      </c>
      <c r="G76" s="21" t="b">
        <f>IF(AND(A76&lt;&gt;0,B76=0,C76=0),VLOOKUP(A76,'3 - LISTA DE ESPÉCIES'!A:H,3,FALSE()),IF(AND(A76=0,B76&lt;&gt;0,C76=0),VLOOKUP(B76,'3 - LISTA DE ESPÉCIES'!B:H,7,FALSE()),IF(AND(A76=0,B76=0,C76&lt;&gt;0),VLOOKUP(C76,'3 - LISTA DE ESPÉCIES'!C:H,6,FALSE()))))</f>
        <v>0</v>
      </c>
      <c r="H76" s="21" t="b">
        <f>IF(AND(A76&lt;&gt;0,B76=0,C76=0),VLOOKUP(A76,'3 - LISTA DE ESPÉCIES'!A:H,4,FALSE()),IF(AND(A76=0,B76&lt;&gt;0,C76=0),VLOOKUP(B76,'3 - LISTA DE ESPÉCIES'!B:H,3,FALSE()),IF(AND(A76=0,B76=0,C76&lt;&gt;0),VLOOKUP(C76,'3 - LISTA DE ESPÉCIES'!C:H,2,FALSE()))))</f>
        <v>0</v>
      </c>
      <c r="I76" s="21" t="b">
        <f>IF(AND(A76&lt;&gt;0,B76=0,C76=0),VLOOKUP(A76,'3 - LISTA DE ESPÉCIES'!A:H,5,FALSE()),IF(AND(A76=0,B76&lt;&gt;0,C76=0),VLOOKUP(B76,'3 - LISTA DE ESPÉCIES'!B:H,4,FALSE()),IF(AND(A76=0,B76=0,C76&lt;&gt;0),VLOOKUP(C76,'3 - LISTA DE ESPÉCIES'!C:H,3,FALSE()))))</f>
        <v>0</v>
      </c>
      <c r="J76" s="23"/>
      <c r="K76" s="23"/>
      <c r="L76" s="20"/>
      <c r="M76" s="20"/>
    </row>
    <row r="77" spans="1:13" x14ac:dyDescent="0.25">
      <c r="A77" s="20"/>
      <c r="B77" s="20"/>
      <c r="C77" s="20"/>
      <c r="E77" s="21" t="b">
        <f>IF(AND(A77&lt;&gt;0,B77=0,C77=0),VLOOKUP(A77,'3 - LISTA DE ESPÉCIES'!A:H,1,FALSE()),IF(AND(A77=0,B77&lt;&gt;0,C77=0),VLOOKUP(B77,'3 - LISTA DE ESPÉCIES'!B:H,5,FALSE()),IF(AND(A77=0,B77=0,C77&lt;&gt;0),VLOOKUP(C77,'3 - LISTA DE ESPÉCIES'!C:H,4,FALSE()))))</f>
        <v>0</v>
      </c>
      <c r="F77" s="21" t="b">
        <f>IF(AND(A77&lt;&gt;0,B77=0,C77=0),VLOOKUP(A77,'3 - LISTA DE ESPÉCIES'!A:H,2,FALSE()),IF(AND(A77=0,B77&lt;&gt;0,C77=0),VLOOKUP(B77,'3 - LISTA DE ESPÉCIES'!B:H,6,FALSE()),IF(AND(A77=0,B77=0,C77&lt;&gt;0),VLOOKUP(C77,'3 - LISTA DE ESPÉCIES'!C:H,5,FALSE()))))</f>
        <v>0</v>
      </c>
      <c r="G77" s="21" t="b">
        <f>IF(AND(A77&lt;&gt;0,B77=0,C77=0),VLOOKUP(A77,'3 - LISTA DE ESPÉCIES'!A:H,3,FALSE()),IF(AND(A77=0,B77&lt;&gt;0,C77=0),VLOOKUP(B77,'3 - LISTA DE ESPÉCIES'!B:H,7,FALSE()),IF(AND(A77=0,B77=0,C77&lt;&gt;0),VLOOKUP(C77,'3 - LISTA DE ESPÉCIES'!C:H,6,FALSE()))))</f>
        <v>0</v>
      </c>
      <c r="H77" s="21" t="b">
        <f>IF(AND(A77&lt;&gt;0,B77=0,C77=0),VLOOKUP(A77,'3 - LISTA DE ESPÉCIES'!A:H,4,FALSE()),IF(AND(A77=0,B77&lt;&gt;0,C77=0),VLOOKUP(B77,'3 - LISTA DE ESPÉCIES'!B:H,3,FALSE()),IF(AND(A77=0,B77=0,C77&lt;&gt;0),VLOOKUP(C77,'3 - LISTA DE ESPÉCIES'!C:H,2,FALSE()))))</f>
        <v>0</v>
      </c>
      <c r="I77" s="21" t="b">
        <f>IF(AND(A77&lt;&gt;0,B77=0,C77=0),VLOOKUP(A77,'3 - LISTA DE ESPÉCIES'!A:H,5,FALSE()),IF(AND(A77=0,B77&lt;&gt;0,C77=0),VLOOKUP(B77,'3 - LISTA DE ESPÉCIES'!B:H,4,FALSE()),IF(AND(A77=0,B77=0,C77&lt;&gt;0),VLOOKUP(C77,'3 - LISTA DE ESPÉCIES'!C:H,3,FALSE()))))</f>
        <v>0</v>
      </c>
      <c r="J77" s="23"/>
      <c r="K77" s="23"/>
      <c r="L77" s="20"/>
      <c r="M77" s="20"/>
    </row>
    <row r="78" spans="1:13" x14ac:dyDescent="0.25">
      <c r="A78" s="20"/>
      <c r="B78" s="20"/>
      <c r="C78" s="20"/>
      <c r="E78" s="21" t="b">
        <f>IF(AND(A78&lt;&gt;0,B78=0,C78=0),VLOOKUP(A78,'3 - LISTA DE ESPÉCIES'!A:H,1,FALSE()),IF(AND(A78=0,B78&lt;&gt;0,C78=0),VLOOKUP(B78,'3 - LISTA DE ESPÉCIES'!B:H,5,FALSE()),IF(AND(A78=0,B78=0,C78&lt;&gt;0),VLOOKUP(C78,'3 - LISTA DE ESPÉCIES'!C:H,4,FALSE()))))</f>
        <v>0</v>
      </c>
      <c r="F78" s="21" t="b">
        <f>IF(AND(A78&lt;&gt;0,B78=0,C78=0),VLOOKUP(A78,'3 - LISTA DE ESPÉCIES'!A:H,2,FALSE()),IF(AND(A78=0,B78&lt;&gt;0,C78=0),VLOOKUP(B78,'3 - LISTA DE ESPÉCIES'!B:H,6,FALSE()),IF(AND(A78=0,B78=0,C78&lt;&gt;0),VLOOKUP(C78,'3 - LISTA DE ESPÉCIES'!C:H,5,FALSE()))))</f>
        <v>0</v>
      </c>
      <c r="G78" s="21" t="b">
        <f>IF(AND(A78&lt;&gt;0,B78=0,C78=0),VLOOKUP(A78,'3 - LISTA DE ESPÉCIES'!A:H,3,FALSE()),IF(AND(A78=0,B78&lt;&gt;0,C78=0),VLOOKUP(B78,'3 - LISTA DE ESPÉCIES'!B:H,7,FALSE()),IF(AND(A78=0,B78=0,C78&lt;&gt;0),VLOOKUP(C78,'3 - LISTA DE ESPÉCIES'!C:H,6,FALSE()))))</f>
        <v>0</v>
      </c>
      <c r="H78" s="21" t="b">
        <f>IF(AND(A78&lt;&gt;0,B78=0,C78=0),VLOOKUP(A78,'3 - LISTA DE ESPÉCIES'!A:H,4,FALSE()),IF(AND(A78=0,B78&lt;&gt;0,C78=0),VLOOKUP(B78,'3 - LISTA DE ESPÉCIES'!B:H,3,FALSE()),IF(AND(A78=0,B78=0,C78&lt;&gt;0),VLOOKUP(C78,'3 - LISTA DE ESPÉCIES'!C:H,2,FALSE()))))</f>
        <v>0</v>
      </c>
      <c r="I78" s="21" t="b">
        <f>IF(AND(A78&lt;&gt;0,B78=0,C78=0),VLOOKUP(A78,'3 - LISTA DE ESPÉCIES'!A:H,5,FALSE()),IF(AND(A78=0,B78&lt;&gt;0,C78=0),VLOOKUP(B78,'3 - LISTA DE ESPÉCIES'!B:H,4,FALSE()),IF(AND(A78=0,B78=0,C78&lt;&gt;0),VLOOKUP(C78,'3 - LISTA DE ESPÉCIES'!C:H,3,FALSE()))))</f>
        <v>0</v>
      </c>
      <c r="J78" s="23"/>
      <c r="K78" s="23"/>
      <c r="L78" s="20"/>
      <c r="M78" s="20"/>
    </row>
    <row r="79" spans="1:13" x14ac:dyDescent="0.25">
      <c r="A79" s="20"/>
      <c r="B79" s="20"/>
      <c r="C79" s="20"/>
      <c r="E79" s="21" t="b">
        <f>IF(AND(A79&lt;&gt;0,B79=0,C79=0),VLOOKUP(A79,'3 - LISTA DE ESPÉCIES'!A:H,1,FALSE()),IF(AND(A79=0,B79&lt;&gt;0,C79=0),VLOOKUP(B79,'3 - LISTA DE ESPÉCIES'!B:H,5,FALSE()),IF(AND(A79=0,B79=0,C79&lt;&gt;0),VLOOKUP(C79,'3 - LISTA DE ESPÉCIES'!C:H,4,FALSE()))))</f>
        <v>0</v>
      </c>
      <c r="F79" s="21" t="b">
        <f>IF(AND(A79&lt;&gt;0,B79=0,C79=0),VLOOKUP(A79,'3 - LISTA DE ESPÉCIES'!A:H,2,FALSE()),IF(AND(A79=0,B79&lt;&gt;0,C79=0),VLOOKUP(B79,'3 - LISTA DE ESPÉCIES'!B:H,6,FALSE()),IF(AND(A79=0,B79=0,C79&lt;&gt;0),VLOOKUP(C79,'3 - LISTA DE ESPÉCIES'!C:H,5,FALSE()))))</f>
        <v>0</v>
      </c>
      <c r="G79" s="21" t="b">
        <f>IF(AND(A79&lt;&gt;0,B79=0,C79=0),VLOOKUP(A79,'3 - LISTA DE ESPÉCIES'!A:H,3,FALSE()),IF(AND(A79=0,B79&lt;&gt;0,C79=0),VLOOKUP(B79,'3 - LISTA DE ESPÉCIES'!B:H,7,FALSE()),IF(AND(A79=0,B79=0,C79&lt;&gt;0),VLOOKUP(C79,'3 - LISTA DE ESPÉCIES'!C:H,6,FALSE()))))</f>
        <v>0</v>
      </c>
      <c r="H79" s="21" t="b">
        <f>IF(AND(A79&lt;&gt;0,B79=0,C79=0),VLOOKUP(A79,'3 - LISTA DE ESPÉCIES'!A:H,4,FALSE()),IF(AND(A79=0,B79&lt;&gt;0,C79=0),VLOOKUP(B79,'3 - LISTA DE ESPÉCIES'!B:H,3,FALSE()),IF(AND(A79=0,B79=0,C79&lt;&gt;0),VLOOKUP(C79,'3 - LISTA DE ESPÉCIES'!C:H,2,FALSE()))))</f>
        <v>0</v>
      </c>
      <c r="I79" s="21" t="b">
        <f>IF(AND(A79&lt;&gt;0,B79=0,C79=0),VLOOKUP(A79,'3 - LISTA DE ESPÉCIES'!A:H,5,FALSE()),IF(AND(A79=0,B79&lt;&gt;0,C79=0),VLOOKUP(B79,'3 - LISTA DE ESPÉCIES'!B:H,4,FALSE()),IF(AND(A79=0,B79=0,C79&lt;&gt;0),VLOOKUP(C79,'3 - LISTA DE ESPÉCIES'!C:H,3,FALSE()))))</f>
        <v>0</v>
      </c>
      <c r="J79" s="23"/>
      <c r="K79" s="23"/>
      <c r="L79" s="20"/>
      <c r="M79" s="20"/>
    </row>
    <row r="80" spans="1:13" x14ac:dyDescent="0.25">
      <c r="A80" s="20"/>
      <c r="B80" s="20"/>
      <c r="C80" s="20"/>
      <c r="E80" s="21" t="b">
        <f>IF(AND(A80&lt;&gt;0,B80=0,C80=0),VLOOKUP(A80,'3 - LISTA DE ESPÉCIES'!A:H,1,FALSE()),IF(AND(A80=0,B80&lt;&gt;0,C80=0),VLOOKUP(B80,'3 - LISTA DE ESPÉCIES'!B:H,5,FALSE()),IF(AND(A80=0,B80=0,C80&lt;&gt;0),VLOOKUP(C80,'3 - LISTA DE ESPÉCIES'!C:H,4,FALSE()))))</f>
        <v>0</v>
      </c>
      <c r="F80" s="21" t="b">
        <f>IF(AND(A80&lt;&gt;0,B80=0,C80=0),VLOOKUP(A80,'3 - LISTA DE ESPÉCIES'!A:H,2,FALSE()),IF(AND(A80=0,B80&lt;&gt;0,C80=0),VLOOKUP(B80,'3 - LISTA DE ESPÉCIES'!B:H,6,FALSE()),IF(AND(A80=0,B80=0,C80&lt;&gt;0),VLOOKUP(C80,'3 - LISTA DE ESPÉCIES'!C:H,5,FALSE()))))</f>
        <v>0</v>
      </c>
      <c r="G80" s="21" t="b">
        <f>IF(AND(A80&lt;&gt;0,B80=0,C80=0),VLOOKUP(A80,'3 - LISTA DE ESPÉCIES'!A:H,3,FALSE()),IF(AND(A80=0,B80&lt;&gt;0,C80=0),VLOOKUP(B80,'3 - LISTA DE ESPÉCIES'!B:H,7,FALSE()),IF(AND(A80=0,B80=0,C80&lt;&gt;0),VLOOKUP(C80,'3 - LISTA DE ESPÉCIES'!C:H,6,FALSE()))))</f>
        <v>0</v>
      </c>
      <c r="H80" s="21" t="b">
        <f>IF(AND(A80&lt;&gt;0,B80=0,C80=0),VLOOKUP(A80,'3 - LISTA DE ESPÉCIES'!A:H,4,FALSE()),IF(AND(A80=0,B80&lt;&gt;0,C80=0),VLOOKUP(B80,'3 - LISTA DE ESPÉCIES'!B:H,3,FALSE()),IF(AND(A80=0,B80=0,C80&lt;&gt;0),VLOOKUP(C80,'3 - LISTA DE ESPÉCIES'!C:H,2,FALSE()))))</f>
        <v>0</v>
      </c>
      <c r="I80" s="21" t="b">
        <f>IF(AND(A80&lt;&gt;0,B80=0,C80=0),VLOOKUP(A80,'3 - LISTA DE ESPÉCIES'!A:H,5,FALSE()),IF(AND(A80=0,B80&lt;&gt;0,C80=0),VLOOKUP(B80,'3 - LISTA DE ESPÉCIES'!B:H,4,FALSE()),IF(AND(A80=0,B80=0,C80&lt;&gt;0),VLOOKUP(C80,'3 - LISTA DE ESPÉCIES'!C:H,3,FALSE()))))</f>
        <v>0</v>
      </c>
      <c r="J80" s="23"/>
      <c r="K80" s="23"/>
      <c r="L80" s="20"/>
      <c r="M80" s="20"/>
    </row>
    <row r="81" spans="1:13" x14ac:dyDescent="0.25">
      <c r="A81" s="20"/>
      <c r="B81" s="20"/>
      <c r="C81" s="20"/>
      <c r="E81" s="21" t="b">
        <f>IF(AND(A81&lt;&gt;0,B81=0,C81=0),VLOOKUP(A81,'3 - LISTA DE ESPÉCIES'!A:H,1,FALSE()),IF(AND(A81=0,B81&lt;&gt;0,C81=0),VLOOKUP(B81,'3 - LISTA DE ESPÉCIES'!B:H,5,FALSE()),IF(AND(A81=0,B81=0,C81&lt;&gt;0),VLOOKUP(C81,'3 - LISTA DE ESPÉCIES'!C:H,4,FALSE()))))</f>
        <v>0</v>
      </c>
      <c r="F81" s="21" t="b">
        <f>IF(AND(A81&lt;&gt;0,B81=0,C81=0),VLOOKUP(A81,'3 - LISTA DE ESPÉCIES'!A:H,2,FALSE()),IF(AND(A81=0,B81&lt;&gt;0,C81=0),VLOOKUP(B81,'3 - LISTA DE ESPÉCIES'!B:H,6,FALSE()),IF(AND(A81=0,B81=0,C81&lt;&gt;0),VLOOKUP(C81,'3 - LISTA DE ESPÉCIES'!C:H,5,FALSE()))))</f>
        <v>0</v>
      </c>
      <c r="G81" s="21" t="b">
        <f>IF(AND(A81&lt;&gt;0,B81=0,C81=0),VLOOKUP(A81,'3 - LISTA DE ESPÉCIES'!A:H,3,FALSE()),IF(AND(A81=0,B81&lt;&gt;0,C81=0),VLOOKUP(B81,'3 - LISTA DE ESPÉCIES'!B:H,7,FALSE()),IF(AND(A81=0,B81=0,C81&lt;&gt;0),VLOOKUP(C81,'3 - LISTA DE ESPÉCIES'!C:H,6,FALSE()))))</f>
        <v>0</v>
      </c>
      <c r="H81" s="21" t="b">
        <f>IF(AND(A81&lt;&gt;0,B81=0,C81=0),VLOOKUP(A81,'3 - LISTA DE ESPÉCIES'!A:H,4,FALSE()),IF(AND(A81=0,B81&lt;&gt;0,C81=0),VLOOKUP(B81,'3 - LISTA DE ESPÉCIES'!B:H,3,FALSE()),IF(AND(A81=0,B81=0,C81&lt;&gt;0),VLOOKUP(C81,'3 - LISTA DE ESPÉCIES'!C:H,2,FALSE()))))</f>
        <v>0</v>
      </c>
      <c r="I81" s="21" t="b">
        <f>IF(AND(A81&lt;&gt;0,B81=0,C81=0),VLOOKUP(A81,'3 - LISTA DE ESPÉCIES'!A:H,5,FALSE()),IF(AND(A81=0,B81&lt;&gt;0,C81=0),VLOOKUP(B81,'3 - LISTA DE ESPÉCIES'!B:H,4,FALSE()),IF(AND(A81=0,B81=0,C81&lt;&gt;0),VLOOKUP(C81,'3 - LISTA DE ESPÉCIES'!C:H,3,FALSE()))))</f>
        <v>0</v>
      </c>
      <c r="J81" s="23"/>
      <c r="K81" s="23"/>
      <c r="L81" s="20"/>
      <c r="M81" s="20"/>
    </row>
    <row r="82" spans="1:13" x14ac:dyDescent="0.25">
      <c r="A82" s="20"/>
      <c r="B82" s="20"/>
      <c r="C82" s="20"/>
      <c r="E82" s="21" t="b">
        <f>IF(AND(A82&lt;&gt;0,B82=0,C82=0),VLOOKUP(A82,'3 - LISTA DE ESPÉCIES'!A:H,1,FALSE()),IF(AND(A82=0,B82&lt;&gt;0,C82=0),VLOOKUP(B82,'3 - LISTA DE ESPÉCIES'!B:H,5,FALSE()),IF(AND(A82=0,B82=0,C82&lt;&gt;0),VLOOKUP(C82,'3 - LISTA DE ESPÉCIES'!C:H,4,FALSE()))))</f>
        <v>0</v>
      </c>
      <c r="F82" s="21" t="b">
        <f>IF(AND(A82&lt;&gt;0,B82=0,C82=0),VLOOKUP(A82,'3 - LISTA DE ESPÉCIES'!A:H,2,FALSE()),IF(AND(A82=0,B82&lt;&gt;0,C82=0),VLOOKUP(B82,'3 - LISTA DE ESPÉCIES'!B:H,6,FALSE()),IF(AND(A82=0,B82=0,C82&lt;&gt;0),VLOOKUP(C82,'3 - LISTA DE ESPÉCIES'!C:H,5,FALSE()))))</f>
        <v>0</v>
      </c>
      <c r="G82" s="21" t="b">
        <f>IF(AND(A82&lt;&gt;0,B82=0,C82=0),VLOOKUP(A82,'3 - LISTA DE ESPÉCIES'!A:H,3,FALSE()),IF(AND(A82=0,B82&lt;&gt;0,C82=0),VLOOKUP(B82,'3 - LISTA DE ESPÉCIES'!B:H,7,FALSE()),IF(AND(A82=0,B82=0,C82&lt;&gt;0),VLOOKUP(C82,'3 - LISTA DE ESPÉCIES'!C:H,6,FALSE()))))</f>
        <v>0</v>
      </c>
      <c r="H82" s="21" t="b">
        <f>IF(AND(A82&lt;&gt;0,B82=0,C82=0),VLOOKUP(A82,'3 - LISTA DE ESPÉCIES'!A:H,4,FALSE()),IF(AND(A82=0,B82&lt;&gt;0,C82=0),VLOOKUP(B82,'3 - LISTA DE ESPÉCIES'!B:H,3,FALSE()),IF(AND(A82=0,B82=0,C82&lt;&gt;0),VLOOKUP(C82,'3 - LISTA DE ESPÉCIES'!C:H,2,FALSE()))))</f>
        <v>0</v>
      </c>
      <c r="I82" s="21" t="b">
        <f>IF(AND(A82&lt;&gt;0,B82=0,C82=0),VLOOKUP(A82,'3 - LISTA DE ESPÉCIES'!A:H,5,FALSE()),IF(AND(A82=0,B82&lt;&gt;0,C82=0),VLOOKUP(B82,'3 - LISTA DE ESPÉCIES'!B:H,4,FALSE()),IF(AND(A82=0,B82=0,C82&lt;&gt;0),VLOOKUP(C82,'3 - LISTA DE ESPÉCIES'!C:H,3,FALSE()))))</f>
        <v>0</v>
      </c>
      <c r="J82" s="23"/>
      <c r="K82" s="23"/>
      <c r="L82" s="20"/>
      <c r="M82" s="20"/>
    </row>
    <row r="83" spans="1:13" x14ac:dyDescent="0.25">
      <c r="A83" s="20"/>
      <c r="B83" s="20"/>
      <c r="C83" s="20"/>
      <c r="E83" s="21" t="b">
        <f>IF(AND(A83&lt;&gt;0,B83=0,C83=0),VLOOKUP(A83,'3 - LISTA DE ESPÉCIES'!A:H,1,FALSE()),IF(AND(A83=0,B83&lt;&gt;0,C83=0),VLOOKUP(B83,'3 - LISTA DE ESPÉCIES'!B:H,5,FALSE()),IF(AND(A83=0,B83=0,C83&lt;&gt;0),VLOOKUP(C83,'3 - LISTA DE ESPÉCIES'!C:H,4,FALSE()))))</f>
        <v>0</v>
      </c>
      <c r="F83" s="21" t="b">
        <f>IF(AND(A83&lt;&gt;0,B83=0,C83=0),VLOOKUP(A83,'3 - LISTA DE ESPÉCIES'!A:H,2,FALSE()),IF(AND(A83=0,B83&lt;&gt;0,C83=0),VLOOKUP(B83,'3 - LISTA DE ESPÉCIES'!B:H,6,FALSE()),IF(AND(A83=0,B83=0,C83&lt;&gt;0),VLOOKUP(C83,'3 - LISTA DE ESPÉCIES'!C:H,5,FALSE()))))</f>
        <v>0</v>
      </c>
      <c r="G83" s="21" t="b">
        <f>IF(AND(A83&lt;&gt;0,B83=0,C83=0),VLOOKUP(A83,'3 - LISTA DE ESPÉCIES'!A:H,3,FALSE()),IF(AND(A83=0,B83&lt;&gt;0,C83=0),VLOOKUP(B83,'3 - LISTA DE ESPÉCIES'!B:H,7,FALSE()),IF(AND(A83=0,B83=0,C83&lt;&gt;0),VLOOKUP(C83,'3 - LISTA DE ESPÉCIES'!C:H,6,FALSE()))))</f>
        <v>0</v>
      </c>
      <c r="H83" s="21" t="b">
        <f>IF(AND(A83&lt;&gt;0,B83=0,C83=0),VLOOKUP(A83,'3 - LISTA DE ESPÉCIES'!A:H,4,FALSE()),IF(AND(A83=0,B83&lt;&gt;0,C83=0),VLOOKUP(B83,'3 - LISTA DE ESPÉCIES'!B:H,3,FALSE()),IF(AND(A83=0,B83=0,C83&lt;&gt;0),VLOOKUP(C83,'3 - LISTA DE ESPÉCIES'!C:H,2,FALSE()))))</f>
        <v>0</v>
      </c>
      <c r="I83" s="21" t="b">
        <f>IF(AND(A83&lt;&gt;0,B83=0,C83=0),VLOOKUP(A83,'3 - LISTA DE ESPÉCIES'!A:H,5,FALSE()),IF(AND(A83=0,B83&lt;&gt;0,C83=0),VLOOKUP(B83,'3 - LISTA DE ESPÉCIES'!B:H,4,FALSE()),IF(AND(A83=0,B83=0,C83&lt;&gt;0),VLOOKUP(C83,'3 - LISTA DE ESPÉCIES'!C:H,3,FALSE()))))</f>
        <v>0</v>
      </c>
      <c r="J83" s="23"/>
      <c r="K83" s="23"/>
      <c r="L83" s="20"/>
      <c r="M83" s="20"/>
    </row>
    <row r="84" spans="1:13" x14ac:dyDescent="0.25">
      <c r="A84" s="20"/>
      <c r="B84" s="20"/>
      <c r="C84" s="20"/>
      <c r="E84" s="21" t="b">
        <f>IF(AND(A84&lt;&gt;0,B84=0,C84=0),VLOOKUP(A84,'3 - LISTA DE ESPÉCIES'!A:H,1,FALSE()),IF(AND(A84=0,B84&lt;&gt;0,C84=0),VLOOKUP(B84,'3 - LISTA DE ESPÉCIES'!B:H,5,FALSE()),IF(AND(A84=0,B84=0,C84&lt;&gt;0),VLOOKUP(C84,'3 - LISTA DE ESPÉCIES'!C:H,4,FALSE()))))</f>
        <v>0</v>
      </c>
      <c r="F84" s="21" t="b">
        <f>IF(AND(A84&lt;&gt;0,B84=0,C84=0),VLOOKUP(A84,'3 - LISTA DE ESPÉCIES'!A:H,2,FALSE()),IF(AND(A84=0,B84&lt;&gt;0,C84=0),VLOOKUP(B84,'3 - LISTA DE ESPÉCIES'!B:H,6,FALSE()),IF(AND(A84=0,B84=0,C84&lt;&gt;0),VLOOKUP(C84,'3 - LISTA DE ESPÉCIES'!C:H,5,FALSE()))))</f>
        <v>0</v>
      </c>
      <c r="G84" s="21" t="b">
        <f>IF(AND(A84&lt;&gt;0,B84=0,C84=0),VLOOKUP(A84,'3 - LISTA DE ESPÉCIES'!A:H,3,FALSE()),IF(AND(A84=0,B84&lt;&gt;0,C84=0),VLOOKUP(B84,'3 - LISTA DE ESPÉCIES'!B:H,7,FALSE()),IF(AND(A84=0,B84=0,C84&lt;&gt;0),VLOOKUP(C84,'3 - LISTA DE ESPÉCIES'!C:H,6,FALSE()))))</f>
        <v>0</v>
      </c>
      <c r="H84" s="21" t="b">
        <f>IF(AND(A84&lt;&gt;0,B84=0,C84=0),VLOOKUP(A84,'3 - LISTA DE ESPÉCIES'!A:H,4,FALSE()),IF(AND(A84=0,B84&lt;&gt;0,C84=0),VLOOKUP(B84,'3 - LISTA DE ESPÉCIES'!B:H,3,FALSE()),IF(AND(A84=0,B84=0,C84&lt;&gt;0),VLOOKUP(C84,'3 - LISTA DE ESPÉCIES'!C:H,2,FALSE()))))</f>
        <v>0</v>
      </c>
      <c r="I84" s="21" t="b">
        <f>IF(AND(A84&lt;&gt;0,B84=0,C84=0),VLOOKUP(A84,'3 - LISTA DE ESPÉCIES'!A:H,5,FALSE()),IF(AND(A84=0,B84&lt;&gt;0,C84=0),VLOOKUP(B84,'3 - LISTA DE ESPÉCIES'!B:H,4,FALSE()),IF(AND(A84=0,B84=0,C84&lt;&gt;0),VLOOKUP(C84,'3 - LISTA DE ESPÉCIES'!C:H,3,FALSE()))))</f>
        <v>0</v>
      </c>
      <c r="J84" s="23"/>
      <c r="K84" s="23"/>
      <c r="L84" s="20"/>
      <c r="M84" s="20"/>
    </row>
    <row r="85" spans="1:13" x14ac:dyDescent="0.25">
      <c r="A85" s="20"/>
      <c r="B85" s="20"/>
      <c r="C85" s="20"/>
      <c r="E85" s="21" t="b">
        <f>IF(AND(A85&lt;&gt;0,B85=0,C85=0),VLOOKUP(A85,'3 - LISTA DE ESPÉCIES'!A:H,1,FALSE()),IF(AND(A85=0,B85&lt;&gt;0,C85=0),VLOOKUP(B85,'3 - LISTA DE ESPÉCIES'!B:H,5,FALSE()),IF(AND(A85=0,B85=0,C85&lt;&gt;0),VLOOKUP(C85,'3 - LISTA DE ESPÉCIES'!C:H,4,FALSE()))))</f>
        <v>0</v>
      </c>
      <c r="F85" s="21" t="b">
        <f>IF(AND(A85&lt;&gt;0,B85=0,C85=0),VLOOKUP(A85,'3 - LISTA DE ESPÉCIES'!A:H,2,FALSE()),IF(AND(A85=0,B85&lt;&gt;0,C85=0),VLOOKUP(B85,'3 - LISTA DE ESPÉCIES'!B:H,6,FALSE()),IF(AND(A85=0,B85=0,C85&lt;&gt;0),VLOOKUP(C85,'3 - LISTA DE ESPÉCIES'!C:H,5,FALSE()))))</f>
        <v>0</v>
      </c>
      <c r="G85" s="21" t="b">
        <f>IF(AND(A85&lt;&gt;0,B85=0,C85=0),VLOOKUP(A85,'3 - LISTA DE ESPÉCIES'!A:H,3,FALSE()),IF(AND(A85=0,B85&lt;&gt;0,C85=0),VLOOKUP(B85,'3 - LISTA DE ESPÉCIES'!B:H,7,FALSE()),IF(AND(A85=0,B85=0,C85&lt;&gt;0),VLOOKUP(C85,'3 - LISTA DE ESPÉCIES'!C:H,6,FALSE()))))</f>
        <v>0</v>
      </c>
      <c r="H85" s="21" t="b">
        <f>IF(AND(A85&lt;&gt;0,B85=0,C85=0),VLOOKUP(A85,'3 - LISTA DE ESPÉCIES'!A:H,4,FALSE()),IF(AND(A85=0,B85&lt;&gt;0,C85=0),VLOOKUP(B85,'3 - LISTA DE ESPÉCIES'!B:H,3,FALSE()),IF(AND(A85=0,B85=0,C85&lt;&gt;0),VLOOKUP(C85,'3 - LISTA DE ESPÉCIES'!C:H,2,FALSE()))))</f>
        <v>0</v>
      </c>
      <c r="I85" s="21" t="b">
        <f>IF(AND(A85&lt;&gt;0,B85=0,C85=0),VLOOKUP(A85,'3 - LISTA DE ESPÉCIES'!A:H,5,FALSE()),IF(AND(A85=0,B85&lt;&gt;0,C85=0),VLOOKUP(B85,'3 - LISTA DE ESPÉCIES'!B:H,4,FALSE()),IF(AND(A85=0,B85=0,C85&lt;&gt;0),VLOOKUP(C85,'3 - LISTA DE ESPÉCIES'!C:H,3,FALSE()))))</f>
        <v>0</v>
      </c>
      <c r="J85" s="23"/>
      <c r="K85" s="23"/>
      <c r="L85" s="20"/>
      <c r="M85" s="20"/>
    </row>
    <row r="86" spans="1:13" x14ac:dyDescent="0.25">
      <c r="A86" s="20"/>
      <c r="B86" s="20"/>
      <c r="C86" s="20"/>
      <c r="E86" s="21" t="b">
        <f>IF(AND(A86&lt;&gt;0,B86=0,C86=0),VLOOKUP(A86,'3 - LISTA DE ESPÉCIES'!A:H,1,FALSE()),IF(AND(A86=0,B86&lt;&gt;0,C86=0),VLOOKUP(B86,'3 - LISTA DE ESPÉCIES'!B:H,5,FALSE()),IF(AND(A86=0,B86=0,C86&lt;&gt;0),VLOOKUP(C86,'3 - LISTA DE ESPÉCIES'!C:H,4,FALSE()))))</f>
        <v>0</v>
      </c>
      <c r="F86" s="21" t="b">
        <f>IF(AND(A86&lt;&gt;0,B86=0,C86=0),VLOOKUP(A86,'3 - LISTA DE ESPÉCIES'!A:H,2,FALSE()),IF(AND(A86=0,B86&lt;&gt;0,C86=0),VLOOKUP(B86,'3 - LISTA DE ESPÉCIES'!B:H,6,FALSE()),IF(AND(A86=0,B86=0,C86&lt;&gt;0),VLOOKUP(C86,'3 - LISTA DE ESPÉCIES'!C:H,5,FALSE()))))</f>
        <v>0</v>
      </c>
      <c r="G86" s="21" t="b">
        <f>IF(AND(A86&lt;&gt;0,B86=0,C86=0),VLOOKUP(A86,'3 - LISTA DE ESPÉCIES'!A:H,3,FALSE()),IF(AND(A86=0,B86&lt;&gt;0,C86=0),VLOOKUP(B86,'3 - LISTA DE ESPÉCIES'!B:H,7,FALSE()),IF(AND(A86=0,B86=0,C86&lt;&gt;0),VLOOKUP(C86,'3 - LISTA DE ESPÉCIES'!C:H,6,FALSE()))))</f>
        <v>0</v>
      </c>
      <c r="H86" s="21" t="b">
        <f>IF(AND(A86&lt;&gt;0,B86=0,C86=0),VLOOKUP(A86,'3 - LISTA DE ESPÉCIES'!A:H,4,FALSE()),IF(AND(A86=0,B86&lt;&gt;0,C86=0),VLOOKUP(B86,'3 - LISTA DE ESPÉCIES'!B:H,3,FALSE()),IF(AND(A86=0,B86=0,C86&lt;&gt;0),VLOOKUP(C86,'3 - LISTA DE ESPÉCIES'!C:H,2,FALSE()))))</f>
        <v>0</v>
      </c>
      <c r="I86" s="21" t="b">
        <f>IF(AND(A86&lt;&gt;0,B86=0,C86=0),VLOOKUP(A86,'3 - LISTA DE ESPÉCIES'!A:H,5,FALSE()),IF(AND(A86=0,B86&lt;&gt;0,C86=0),VLOOKUP(B86,'3 - LISTA DE ESPÉCIES'!B:H,4,FALSE()),IF(AND(A86=0,B86=0,C86&lt;&gt;0),VLOOKUP(C86,'3 - LISTA DE ESPÉCIES'!C:H,3,FALSE()))))</f>
        <v>0</v>
      </c>
      <c r="J86" s="23"/>
      <c r="K86" s="23"/>
      <c r="L86" s="20"/>
      <c r="M86" s="20"/>
    </row>
    <row r="87" spans="1:13" x14ac:dyDescent="0.25">
      <c r="A87" s="20"/>
      <c r="B87" s="20"/>
      <c r="C87" s="20"/>
      <c r="E87" s="21" t="b">
        <f>IF(AND(A87&lt;&gt;0,B87=0,C87=0),VLOOKUP(A87,'3 - LISTA DE ESPÉCIES'!A:H,1,FALSE()),IF(AND(A87=0,B87&lt;&gt;0,C87=0),VLOOKUP(B87,'3 - LISTA DE ESPÉCIES'!B:H,5,FALSE()),IF(AND(A87=0,B87=0,C87&lt;&gt;0),VLOOKUP(C87,'3 - LISTA DE ESPÉCIES'!C:H,4,FALSE()))))</f>
        <v>0</v>
      </c>
      <c r="F87" s="21" t="b">
        <f>IF(AND(A87&lt;&gt;0,B87=0,C87=0),VLOOKUP(A87,'3 - LISTA DE ESPÉCIES'!A:H,2,FALSE()),IF(AND(A87=0,B87&lt;&gt;0,C87=0),VLOOKUP(B87,'3 - LISTA DE ESPÉCIES'!B:H,6,FALSE()),IF(AND(A87=0,B87=0,C87&lt;&gt;0),VLOOKUP(C87,'3 - LISTA DE ESPÉCIES'!C:H,5,FALSE()))))</f>
        <v>0</v>
      </c>
      <c r="G87" s="21" t="b">
        <f>IF(AND(A87&lt;&gt;0,B87=0,C87=0),VLOOKUP(A87,'3 - LISTA DE ESPÉCIES'!A:H,3,FALSE()),IF(AND(A87=0,B87&lt;&gt;0,C87=0),VLOOKUP(B87,'3 - LISTA DE ESPÉCIES'!B:H,7,FALSE()),IF(AND(A87=0,B87=0,C87&lt;&gt;0),VLOOKUP(C87,'3 - LISTA DE ESPÉCIES'!C:H,6,FALSE()))))</f>
        <v>0</v>
      </c>
      <c r="H87" s="21" t="b">
        <f>IF(AND(A87&lt;&gt;0,B87=0,C87=0),VLOOKUP(A87,'3 - LISTA DE ESPÉCIES'!A:H,4,FALSE()),IF(AND(A87=0,B87&lt;&gt;0,C87=0),VLOOKUP(B87,'3 - LISTA DE ESPÉCIES'!B:H,3,FALSE()),IF(AND(A87=0,B87=0,C87&lt;&gt;0),VLOOKUP(C87,'3 - LISTA DE ESPÉCIES'!C:H,2,FALSE()))))</f>
        <v>0</v>
      </c>
      <c r="I87" s="21" t="b">
        <f>IF(AND(A87&lt;&gt;0,B87=0,C87=0),VLOOKUP(A87,'3 - LISTA DE ESPÉCIES'!A:H,5,FALSE()),IF(AND(A87=0,B87&lt;&gt;0,C87=0),VLOOKUP(B87,'3 - LISTA DE ESPÉCIES'!B:H,4,FALSE()),IF(AND(A87=0,B87=0,C87&lt;&gt;0),VLOOKUP(C87,'3 - LISTA DE ESPÉCIES'!C:H,3,FALSE()))))</f>
        <v>0</v>
      </c>
      <c r="J87" s="23"/>
      <c r="K87" s="23"/>
      <c r="L87" s="20"/>
      <c r="M87" s="20"/>
    </row>
    <row r="88" spans="1:13" x14ac:dyDescent="0.25">
      <c r="A88" s="20"/>
      <c r="B88" s="20"/>
      <c r="C88" s="20"/>
      <c r="E88" s="21" t="b">
        <f>IF(AND(A88&lt;&gt;0,B88=0,C88=0),VLOOKUP(A88,'3 - LISTA DE ESPÉCIES'!A:H,1,FALSE()),IF(AND(A88=0,B88&lt;&gt;0,C88=0),VLOOKUP(B88,'3 - LISTA DE ESPÉCIES'!B:H,5,FALSE()),IF(AND(A88=0,B88=0,C88&lt;&gt;0),VLOOKUP(C88,'3 - LISTA DE ESPÉCIES'!C:H,4,FALSE()))))</f>
        <v>0</v>
      </c>
      <c r="F88" s="21" t="b">
        <f>IF(AND(A88&lt;&gt;0,B88=0,C88=0),VLOOKUP(A88,'3 - LISTA DE ESPÉCIES'!A:H,2,FALSE()),IF(AND(A88=0,B88&lt;&gt;0,C88=0),VLOOKUP(B88,'3 - LISTA DE ESPÉCIES'!B:H,6,FALSE()),IF(AND(A88=0,B88=0,C88&lt;&gt;0),VLOOKUP(C88,'3 - LISTA DE ESPÉCIES'!C:H,5,FALSE()))))</f>
        <v>0</v>
      </c>
      <c r="G88" s="21" t="b">
        <f>IF(AND(A88&lt;&gt;0,B88=0,C88=0),VLOOKUP(A88,'3 - LISTA DE ESPÉCIES'!A:H,3,FALSE()),IF(AND(A88=0,B88&lt;&gt;0,C88=0),VLOOKUP(B88,'3 - LISTA DE ESPÉCIES'!B:H,7,FALSE()),IF(AND(A88=0,B88=0,C88&lt;&gt;0),VLOOKUP(C88,'3 - LISTA DE ESPÉCIES'!C:H,6,FALSE()))))</f>
        <v>0</v>
      </c>
      <c r="H88" s="21" t="b">
        <f>IF(AND(A88&lt;&gt;0,B88=0,C88=0),VLOOKUP(A88,'3 - LISTA DE ESPÉCIES'!A:H,4,FALSE()),IF(AND(A88=0,B88&lt;&gt;0,C88=0),VLOOKUP(B88,'3 - LISTA DE ESPÉCIES'!B:H,3,FALSE()),IF(AND(A88=0,B88=0,C88&lt;&gt;0),VLOOKUP(C88,'3 - LISTA DE ESPÉCIES'!C:H,2,FALSE()))))</f>
        <v>0</v>
      </c>
      <c r="I88" s="21" t="b">
        <f>IF(AND(A88&lt;&gt;0,B88=0,C88=0),VLOOKUP(A88,'3 - LISTA DE ESPÉCIES'!A:H,5,FALSE()),IF(AND(A88=0,B88&lt;&gt;0,C88=0),VLOOKUP(B88,'3 - LISTA DE ESPÉCIES'!B:H,4,FALSE()),IF(AND(A88=0,B88=0,C88&lt;&gt;0),VLOOKUP(C88,'3 - LISTA DE ESPÉCIES'!C:H,3,FALSE()))))</f>
        <v>0</v>
      </c>
      <c r="J88" s="23"/>
      <c r="K88" s="23"/>
      <c r="L88" s="20"/>
      <c r="M88" s="20"/>
    </row>
    <row r="89" spans="1:13" x14ac:dyDescent="0.25">
      <c r="A89" s="20"/>
      <c r="B89" s="20"/>
      <c r="C89" s="20"/>
      <c r="E89" s="21" t="b">
        <f>IF(AND(A89&lt;&gt;0,B89=0,C89=0),VLOOKUP(A89,'3 - LISTA DE ESPÉCIES'!A:H,1,FALSE()),IF(AND(A89=0,B89&lt;&gt;0,C89=0),VLOOKUP(B89,'3 - LISTA DE ESPÉCIES'!B:H,5,FALSE()),IF(AND(A89=0,B89=0,C89&lt;&gt;0),VLOOKUP(C89,'3 - LISTA DE ESPÉCIES'!C:H,4,FALSE()))))</f>
        <v>0</v>
      </c>
      <c r="F89" s="21" t="b">
        <f>IF(AND(A89&lt;&gt;0,B89=0,C89=0),VLOOKUP(A89,'3 - LISTA DE ESPÉCIES'!A:H,2,FALSE()),IF(AND(A89=0,B89&lt;&gt;0,C89=0),VLOOKUP(B89,'3 - LISTA DE ESPÉCIES'!B:H,6,FALSE()),IF(AND(A89=0,B89=0,C89&lt;&gt;0),VLOOKUP(C89,'3 - LISTA DE ESPÉCIES'!C:H,5,FALSE()))))</f>
        <v>0</v>
      </c>
      <c r="G89" s="21" t="b">
        <f>IF(AND(A89&lt;&gt;0,B89=0,C89=0),VLOOKUP(A89,'3 - LISTA DE ESPÉCIES'!A:H,3,FALSE()),IF(AND(A89=0,B89&lt;&gt;0,C89=0),VLOOKUP(B89,'3 - LISTA DE ESPÉCIES'!B:H,7,FALSE()),IF(AND(A89=0,B89=0,C89&lt;&gt;0),VLOOKUP(C89,'3 - LISTA DE ESPÉCIES'!C:H,6,FALSE()))))</f>
        <v>0</v>
      </c>
      <c r="H89" s="21" t="b">
        <f>IF(AND(A89&lt;&gt;0,B89=0,C89=0),VLOOKUP(A89,'3 - LISTA DE ESPÉCIES'!A:H,4,FALSE()),IF(AND(A89=0,B89&lt;&gt;0,C89=0),VLOOKUP(B89,'3 - LISTA DE ESPÉCIES'!B:H,3,FALSE()),IF(AND(A89=0,B89=0,C89&lt;&gt;0),VLOOKUP(C89,'3 - LISTA DE ESPÉCIES'!C:H,2,FALSE()))))</f>
        <v>0</v>
      </c>
      <c r="I89" s="21" t="b">
        <f>IF(AND(A89&lt;&gt;0,B89=0,C89=0),VLOOKUP(A89,'3 - LISTA DE ESPÉCIES'!A:H,5,FALSE()),IF(AND(A89=0,B89&lt;&gt;0,C89=0),VLOOKUP(B89,'3 - LISTA DE ESPÉCIES'!B:H,4,FALSE()),IF(AND(A89=0,B89=0,C89&lt;&gt;0),VLOOKUP(C89,'3 - LISTA DE ESPÉCIES'!C:H,3,FALSE()))))</f>
        <v>0</v>
      </c>
      <c r="J89" s="23"/>
      <c r="K89" s="23"/>
      <c r="L89" s="20"/>
      <c r="M89" s="20"/>
    </row>
    <row r="90" spans="1:13" x14ac:dyDescent="0.25">
      <c r="A90" s="20"/>
      <c r="B90" s="20"/>
      <c r="C90" s="20"/>
      <c r="E90" s="21" t="b">
        <f>IF(AND(A90&lt;&gt;0,B90=0,C90=0),VLOOKUP(A90,'3 - LISTA DE ESPÉCIES'!A:H,1,FALSE()),IF(AND(A90=0,B90&lt;&gt;0,C90=0),VLOOKUP(B90,'3 - LISTA DE ESPÉCIES'!B:H,5,FALSE()),IF(AND(A90=0,B90=0,C90&lt;&gt;0),VLOOKUP(C90,'3 - LISTA DE ESPÉCIES'!C:H,4,FALSE()))))</f>
        <v>0</v>
      </c>
      <c r="F90" s="21" t="b">
        <f>IF(AND(A90&lt;&gt;0,B90=0,C90=0),VLOOKUP(A90,'3 - LISTA DE ESPÉCIES'!A:H,2,FALSE()),IF(AND(A90=0,B90&lt;&gt;0,C90=0),VLOOKUP(B90,'3 - LISTA DE ESPÉCIES'!B:H,6,FALSE()),IF(AND(A90=0,B90=0,C90&lt;&gt;0),VLOOKUP(C90,'3 - LISTA DE ESPÉCIES'!C:H,5,FALSE()))))</f>
        <v>0</v>
      </c>
      <c r="G90" s="21" t="b">
        <f>IF(AND(A90&lt;&gt;0,B90=0,C90=0),VLOOKUP(A90,'3 - LISTA DE ESPÉCIES'!A:H,3,FALSE()),IF(AND(A90=0,B90&lt;&gt;0,C90=0),VLOOKUP(B90,'3 - LISTA DE ESPÉCIES'!B:H,7,FALSE()),IF(AND(A90=0,B90=0,C90&lt;&gt;0),VLOOKUP(C90,'3 - LISTA DE ESPÉCIES'!C:H,6,FALSE()))))</f>
        <v>0</v>
      </c>
      <c r="H90" s="21" t="b">
        <f>IF(AND(A90&lt;&gt;0,B90=0,C90=0),VLOOKUP(A90,'3 - LISTA DE ESPÉCIES'!A:H,4,FALSE()),IF(AND(A90=0,B90&lt;&gt;0,C90=0),VLOOKUP(B90,'3 - LISTA DE ESPÉCIES'!B:H,3,FALSE()),IF(AND(A90=0,B90=0,C90&lt;&gt;0),VLOOKUP(C90,'3 - LISTA DE ESPÉCIES'!C:H,2,FALSE()))))</f>
        <v>0</v>
      </c>
      <c r="I90" s="21" t="b">
        <f>IF(AND(A90&lt;&gt;0,B90=0,C90=0),VLOOKUP(A90,'3 - LISTA DE ESPÉCIES'!A:H,5,FALSE()),IF(AND(A90=0,B90&lt;&gt;0,C90=0),VLOOKUP(B90,'3 - LISTA DE ESPÉCIES'!B:H,4,FALSE()),IF(AND(A90=0,B90=0,C90&lt;&gt;0),VLOOKUP(C90,'3 - LISTA DE ESPÉCIES'!C:H,3,FALSE()))))</f>
        <v>0</v>
      </c>
      <c r="J90" s="23"/>
      <c r="K90" s="23"/>
      <c r="L90" s="20"/>
      <c r="M90" s="20"/>
    </row>
    <row r="91" spans="1:13" x14ac:dyDescent="0.25">
      <c r="A91" s="20"/>
      <c r="B91" s="20"/>
      <c r="C91" s="20"/>
      <c r="E91" s="21" t="b">
        <f>IF(AND(A91&lt;&gt;0,B91=0,C91=0),VLOOKUP(A91,'3 - LISTA DE ESPÉCIES'!A:H,1,FALSE()),IF(AND(A91=0,B91&lt;&gt;0,C91=0),VLOOKUP(B91,'3 - LISTA DE ESPÉCIES'!B:H,5,FALSE()),IF(AND(A91=0,B91=0,C91&lt;&gt;0),VLOOKUP(C91,'3 - LISTA DE ESPÉCIES'!C:H,4,FALSE()))))</f>
        <v>0</v>
      </c>
      <c r="F91" s="21" t="b">
        <f>IF(AND(A91&lt;&gt;0,B91=0,C91=0),VLOOKUP(A91,'3 - LISTA DE ESPÉCIES'!A:H,2,FALSE()),IF(AND(A91=0,B91&lt;&gt;0,C91=0),VLOOKUP(B91,'3 - LISTA DE ESPÉCIES'!B:H,6,FALSE()),IF(AND(A91=0,B91=0,C91&lt;&gt;0),VLOOKUP(C91,'3 - LISTA DE ESPÉCIES'!C:H,5,FALSE()))))</f>
        <v>0</v>
      </c>
      <c r="G91" s="21" t="b">
        <f>IF(AND(A91&lt;&gt;0,B91=0,C91=0),VLOOKUP(A91,'3 - LISTA DE ESPÉCIES'!A:H,3,FALSE()),IF(AND(A91=0,B91&lt;&gt;0,C91=0),VLOOKUP(B91,'3 - LISTA DE ESPÉCIES'!B:H,7,FALSE()),IF(AND(A91=0,B91=0,C91&lt;&gt;0),VLOOKUP(C91,'3 - LISTA DE ESPÉCIES'!C:H,6,FALSE()))))</f>
        <v>0</v>
      </c>
      <c r="H91" s="21" t="b">
        <f>IF(AND(A91&lt;&gt;0,B91=0,C91=0),VLOOKUP(A91,'3 - LISTA DE ESPÉCIES'!A:H,4,FALSE()),IF(AND(A91=0,B91&lt;&gt;0,C91=0),VLOOKUP(B91,'3 - LISTA DE ESPÉCIES'!B:H,3,FALSE()),IF(AND(A91=0,B91=0,C91&lt;&gt;0),VLOOKUP(C91,'3 - LISTA DE ESPÉCIES'!C:H,2,FALSE()))))</f>
        <v>0</v>
      </c>
      <c r="I91" s="21" t="b">
        <f>IF(AND(A91&lt;&gt;0,B91=0,C91=0),VLOOKUP(A91,'3 - LISTA DE ESPÉCIES'!A:H,5,FALSE()),IF(AND(A91=0,B91&lt;&gt;0,C91=0),VLOOKUP(B91,'3 - LISTA DE ESPÉCIES'!B:H,4,FALSE()),IF(AND(A91=0,B91=0,C91&lt;&gt;0),VLOOKUP(C91,'3 - LISTA DE ESPÉCIES'!C:H,3,FALSE()))))</f>
        <v>0</v>
      </c>
      <c r="J91" s="23"/>
      <c r="K91" s="23"/>
      <c r="L91" s="20"/>
      <c r="M91" s="20"/>
    </row>
    <row r="92" spans="1:13" x14ac:dyDescent="0.25">
      <c r="A92" s="20"/>
      <c r="B92" s="20"/>
      <c r="C92" s="20"/>
      <c r="E92" s="21" t="b">
        <f>IF(AND(A92&lt;&gt;0,B92=0,C92=0),VLOOKUP(A92,'3 - LISTA DE ESPÉCIES'!A:H,1,FALSE()),IF(AND(A92=0,B92&lt;&gt;0,C92=0),VLOOKUP(B92,'3 - LISTA DE ESPÉCIES'!B:H,5,FALSE()),IF(AND(A92=0,B92=0,C92&lt;&gt;0),VLOOKUP(C92,'3 - LISTA DE ESPÉCIES'!C:H,4,FALSE()))))</f>
        <v>0</v>
      </c>
      <c r="F92" s="21" t="b">
        <f>IF(AND(A92&lt;&gt;0,B92=0,C92=0),VLOOKUP(A92,'3 - LISTA DE ESPÉCIES'!A:H,2,FALSE()),IF(AND(A92=0,B92&lt;&gt;0,C92=0),VLOOKUP(B92,'3 - LISTA DE ESPÉCIES'!B:H,6,FALSE()),IF(AND(A92=0,B92=0,C92&lt;&gt;0),VLOOKUP(C92,'3 - LISTA DE ESPÉCIES'!C:H,5,FALSE()))))</f>
        <v>0</v>
      </c>
      <c r="G92" s="21" t="b">
        <f>IF(AND(A92&lt;&gt;0,B92=0,C92=0),VLOOKUP(A92,'3 - LISTA DE ESPÉCIES'!A:H,3,FALSE()),IF(AND(A92=0,B92&lt;&gt;0,C92=0),VLOOKUP(B92,'3 - LISTA DE ESPÉCIES'!B:H,7,FALSE()),IF(AND(A92=0,B92=0,C92&lt;&gt;0),VLOOKUP(C92,'3 - LISTA DE ESPÉCIES'!C:H,6,FALSE()))))</f>
        <v>0</v>
      </c>
      <c r="H92" s="21" t="b">
        <f>IF(AND(A92&lt;&gt;0,B92=0,C92=0),VLOOKUP(A92,'3 - LISTA DE ESPÉCIES'!A:H,4,FALSE()),IF(AND(A92=0,B92&lt;&gt;0,C92=0),VLOOKUP(B92,'3 - LISTA DE ESPÉCIES'!B:H,3,FALSE()),IF(AND(A92=0,B92=0,C92&lt;&gt;0),VLOOKUP(C92,'3 - LISTA DE ESPÉCIES'!C:H,2,FALSE()))))</f>
        <v>0</v>
      </c>
      <c r="I92" s="21" t="b">
        <f>IF(AND(A92&lt;&gt;0,B92=0,C92=0),VLOOKUP(A92,'3 - LISTA DE ESPÉCIES'!A:H,5,FALSE()),IF(AND(A92=0,B92&lt;&gt;0,C92=0),VLOOKUP(B92,'3 - LISTA DE ESPÉCIES'!B:H,4,FALSE()),IF(AND(A92=0,B92=0,C92&lt;&gt;0),VLOOKUP(C92,'3 - LISTA DE ESPÉCIES'!C:H,3,FALSE()))))</f>
        <v>0</v>
      </c>
      <c r="J92" s="23"/>
      <c r="K92" s="23"/>
      <c r="L92" s="20"/>
      <c r="M92" s="20"/>
    </row>
    <row r="93" spans="1:13" x14ac:dyDescent="0.25">
      <c r="A93" s="20"/>
      <c r="B93" s="20"/>
      <c r="C93" s="20"/>
      <c r="E93" s="21" t="b">
        <f>IF(AND(A93&lt;&gt;0,B93=0,C93=0),VLOOKUP(A93,'3 - LISTA DE ESPÉCIES'!A:H,1,FALSE()),IF(AND(A93=0,B93&lt;&gt;0,C93=0),VLOOKUP(B93,'3 - LISTA DE ESPÉCIES'!B:H,5,FALSE()),IF(AND(A93=0,B93=0,C93&lt;&gt;0),VLOOKUP(C93,'3 - LISTA DE ESPÉCIES'!C:H,4,FALSE()))))</f>
        <v>0</v>
      </c>
      <c r="F93" s="21" t="b">
        <f>IF(AND(A93&lt;&gt;0,B93=0,C93=0),VLOOKUP(A93,'3 - LISTA DE ESPÉCIES'!A:H,2,FALSE()),IF(AND(A93=0,B93&lt;&gt;0,C93=0),VLOOKUP(B93,'3 - LISTA DE ESPÉCIES'!B:H,6,FALSE()),IF(AND(A93=0,B93=0,C93&lt;&gt;0),VLOOKUP(C93,'3 - LISTA DE ESPÉCIES'!C:H,5,FALSE()))))</f>
        <v>0</v>
      </c>
      <c r="G93" s="21" t="b">
        <f>IF(AND(A93&lt;&gt;0,B93=0,C93=0),VLOOKUP(A93,'3 - LISTA DE ESPÉCIES'!A:H,3,FALSE()),IF(AND(A93=0,B93&lt;&gt;0,C93=0),VLOOKUP(B93,'3 - LISTA DE ESPÉCIES'!B:H,7,FALSE()),IF(AND(A93=0,B93=0,C93&lt;&gt;0),VLOOKUP(C93,'3 - LISTA DE ESPÉCIES'!C:H,6,FALSE()))))</f>
        <v>0</v>
      </c>
      <c r="H93" s="21" t="b">
        <f>IF(AND(A93&lt;&gt;0,B93=0,C93=0),VLOOKUP(A93,'3 - LISTA DE ESPÉCIES'!A:H,4,FALSE()),IF(AND(A93=0,B93&lt;&gt;0,C93=0),VLOOKUP(B93,'3 - LISTA DE ESPÉCIES'!B:H,3,FALSE()),IF(AND(A93=0,B93=0,C93&lt;&gt;0),VLOOKUP(C93,'3 - LISTA DE ESPÉCIES'!C:H,2,FALSE()))))</f>
        <v>0</v>
      </c>
      <c r="I93" s="21" t="b">
        <f>IF(AND(A93&lt;&gt;0,B93=0,C93=0),VLOOKUP(A93,'3 - LISTA DE ESPÉCIES'!A:H,5,FALSE()),IF(AND(A93=0,B93&lt;&gt;0,C93=0),VLOOKUP(B93,'3 - LISTA DE ESPÉCIES'!B:H,4,FALSE()),IF(AND(A93=0,B93=0,C93&lt;&gt;0),VLOOKUP(C93,'3 - LISTA DE ESPÉCIES'!C:H,3,FALSE()))))</f>
        <v>0</v>
      </c>
      <c r="J93" s="23"/>
      <c r="K93" s="23"/>
      <c r="L93" s="20"/>
      <c r="M93" s="20"/>
    </row>
    <row r="94" spans="1:13" x14ac:dyDescent="0.25">
      <c r="A94" s="20"/>
      <c r="B94" s="20"/>
      <c r="C94" s="20"/>
      <c r="E94" s="21" t="b">
        <f>IF(AND(A94&lt;&gt;0,B94=0,C94=0),VLOOKUP(A94,'3 - LISTA DE ESPÉCIES'!A:H,1,FALSE()),IF(AND(A94=0,B94&lt;&gt;0,C94=0),VLOOKUP(B94,'3 - LISTA DE ESPÉCIES'!B:H,5,FALSE()),IF(AND(A94=0,B94=0,C94&lt;&gt;0),VLOOKUP(C94,'3 - LISTA DE ESPÉCIES'!C:H,4,FALSE()))))</f>
        <v>0</v>
      </c>
      <c r="F94" s="21" t="b">
        <f>IF(AND(A94&lt;&gt;0,B94=0,C94=0),VLOOKUP(A94,'3 - LISTA DE ESPÉCIES'!A:H,2,FALSE()),IF(AND(A94=0,B94&lt;&gt;0,C94=0),VLOOKUP(B94,'3 - LISTA DE ESPÉCIES'!B:H,6,FALSE()),IF(AND(A94=0,B94=0,C94&lt;&gt;0),VLOOKUP(C94,'3 - LISTA DE ESPÉCIES'!C:H,5,FALSE()))))</f>
        <v>0</v>
      </c>
      <c r="G94" s="21" t="b">
        <f>IF(AND(A94&lt;&gt;0,B94=0,C94=0),VLOOKUP(A94,'3 - LISTA DE ESPÉCIES'!A:H,3,FALSE()),IF(AND(A94=0,B94&lt;&gt;0,C94=0),VLOOKUP(B94,'3 - LISTA DE ESPÉCIES'!B:H,7,FALSE()),IF(AND(A94=0,B94=0,C94&lt;&gt;0),VLOOKUP(C94,'3 - LISTA DE ESPÉCIES'!C:H,6,FALSE()))))</f>
        <v>0</v>
      </c>
      <c r="H94" s="21" t="b">
        <f>IF(AND(A94&lt;&gt;0,B94=0,C94=0),VLOOKUP(A94,'3 - LISTA DE ESPÉCIES'!A:H,4,FALSE()),IF(AND(A94=0,B94&lt;&gt;0,C94=0),VLOOKUP(B94,'3 - LISTA DE ESPÉCIES'!B:H,3,FALSE()),IF(AND(A94=0,B94=0,C94&lt;&gt;0),VLOOKUP(C94,'3 - LISTA DE ESPÉCIES'!C:H,2,FALSE()))))</f>
        <v>0</v>
      </c>
      <c r="I94" s="21" t="b">
        <f>IF(AND(A94&lt;&gt;0,B94=0,C94=0),VLOOKUP(A94,'3 - LISTA DE ESPÉCIES'!A:H,5,FALSE()),IF(AND(A94=0,B94&lt;&gt;0,C94=0),VLOOKUP(B94,'3 - LISTA DE ESPÉCIES'!B:H,4,FALSE()),IF(AND(A94=0,B94=0,C94&lt;&gt;0),VLOOKUP(C94,'3 - LISTA DE ESPÉCIES'!C:H,3,FALSE()))))</f>
        <v>0</v>
      </c>
      <c r="J94" s="23"/>
      <c r="K94" s="23"/>
      <c r="L94" s="20"/>
      <c r="M94" s="20"/>
    </row>
    <row r="95" spans="1:13" x14ac:dyDescent="0.25">
      <c r="A95" s="20"/>
      <c r="B95" s="20"/>
      <c r="C95" s="20"/>
      <c r="E95" s="21" t="b">
        <f>IF(AND(A95&lt;&gt;0,B95=0,C95=0),VLOOKUP(A95,'3 - LISTA DE ESPÉCIES'!A:H,1,FALSE()),IF(AND(A95=0,B95&lt;&gt;0,C95=0),VLOOKUP(B95,'3 - LISTA DE ESPÉCIES'!B:H,5,FALSE()),IF(AND(A95=0,B95=0,C95&lt;&gt;0),VLOOKUP(C95,'3 - LISTA DE ESPÉCIES'!C:H,4,FALSE()))))</f>
        <v>0</v>
      </c>
      <c r="F95" s="21" t="b">
        <f>IF(AND(A95&lt;&gt;0,B95=0,C95=0),VLOOKUP(A95,'3 - LISTA DE ESPÉCIES'!A:H,2,FALSE()),IF(AND(A95=0,B95&lt;&gt;0,C95=0),VLOOKUP(B95,'3 - LISTA DE ESPÉCIES'!B:H,6,FALSE()),IF(AND(A95=0,B95=0,C95&lt;&gt;0),VLOOKUP(C95,'3 - LISTA DE ESPÉCIES'!C:H,5,FALSE()))))</f>
        <v>0</v>
      </c>
      <c r="G95" s="21" t="b">
        <f>IF(AND(A95&lt;&gt;0,B95=0,C95=0),VLOOKUP(A95,'3 - LISTA DE ESPÉCIES'!A:H,3,FALSE()),IF(AND(A95=0,B95&lt;&gt;0,C95=0),VLOOKUP(B95,'3 - LISTA DE ESPÉCIES'!B:H,7,FALSE()),IF(AND(A95=0,B95=0,C95&lt;&gt;0),VLOOKUP(C95,'3 - LISTA DE ESPÉCIES'!C:H,6,FALSE()))))</f>
        <v>0</v>
      </c>
      <c r="H95" s="21" t="b">
        <f>IF(AND(A95&lt;&gt;0,B95=0,C95=0),VLOOKUP(A95,'3 - LISTA DE ESPÉCIES'!A:H,4,FALSE()),IF(AND(A95=0,B95&lt;&gt;0,C95=0),VLOOKUP(B95,'3 - LISTA DE ESPÉCIES'!B:H,3,FALSE()),IF(AND(A95=0,B95=0,C95&lt;&gt;0),VLOOKUP(C95,'3 - LISTA DE ESPÉCIES'!C:H,2,FALSE()))))</f>
        <v>0</v>
      </c>
      <c r="I95" s="21" t="b">
        <f>IF(AND(A95&lt;&gt;0,B95=0,C95=0),VLOOKUP(A95,'3 - LISTA DE ESPÉCIES'!A:H,5,FALSE()),IF(AND(A95=0,B95&lt;&gt;0,C95=0),VLOOKUP(B95,'3 - LISTA DE ESPÉCIES'!B:H,4,FALSE()),IF(AND(A95=0,B95=0,C95&lt;&gt;0),VLOOKUP(C95,'3 - LISTA DE ESPÉCIES'!C:H,3,FALSE()))))</f>
        <v>0</v>
      </c>
      <c r="J95" s="23"/>
      <c r="K95" s="23"/>
      <c r="L95" s="20"/>
      <c r="M95" s="20"/>
    </row>
    <row r="96" spans="1:13" x14ac:dyDescent="0.25">
      <c r="A96" s="20"/>
      <c r="B96" s="20"/>
      <c r="C96" s="20"/>
      <c r="E96" s="21" t="b">
        <f>IF(AND(A96&lt;&gt;0,B96=0,C96=0),VLOOKUP(A96,'3 - LISTA DE ESPÉCIES'!A:H,1,FALSE()),IF(AND(A96=0,B96&lt;&gt;0,C96=0),VLOOKUP(B96,'3 - LISTA DE ESPÉCIES'!B:H,5,FALSE()),IF(AND(A96=0,B96=0,C96&lt;&gt;0),VLOOKUP(C96,'3 - LISTA DE ESPÉCIES'!C:H,4,FALSE()))))</f>
        <v>0</v>
      </c>
      <c r="F96" s="21" t="b">
        <f>IF(AND(A96&lt;&gt;0,B96=0,C96=0),VLOOKUP(A96,'3 - LISTA DE ESPÉCIES'!A:H,2,FALSE()),IF(AND(A96=0,B96&lt;&gt;0,C96=0),VLOOKUP(B96,'3 - LISTA DE ESPÉCIES'!B:H,6,FALSE()),IF(AND(A96=0,B96=0,C96&lt;&gt;0),VLOOKUP(C96,'3 - LISTA DE ESPÉCIES'!C:H,5,FALSE()))))</f>
        <v>0</v>
      </c>
      <c r="G96" s="21" t="b">
        <f>IF(AND(A96&lt;&gt;0,B96=0,C96=0),VLOOKUP(A96,'3 - LISTA DE ESPÉCIES'!A:H,3,FALSE()),IF(AND(A96=0,B96&lt;&gt;0,C96=0),VLOOKUP(B96,'3 - LISTA DE ESPÉCIES'!B:H,7,FALSE()),IF(AND(A96=0,B96=0,C96&lt;&gt;0),VLOOKUP(C96,'3 - LISTA DE ESPÉCIES'!C:H,6,FALSE()))))</f>
        <v>0</v>
      </c>
      <c r="H96" s="21" t="b">
        <f>IF(AND(A96&lt;&gt;0,B96=0,C96=0),VLOOKUP(A96,'3 - LISTA DE ESPÉCIES'!A:H,4,FALSE()),IF(AND(A96=0,B96&lt;&gt;0,C96=0),VLOOKUP(B96,'3 - LISTA DE ESPÉCIES'!B:H,3,FALSE()),IF(AND(A96=0,B96=0,C96&lt;&gt;0),VLOOKUP(C96,'3 - LISTA DE ESPÉCIES'!C:H,2,FALSE()))))</f>
        <v>0</v>
      </c>
      <c r="I96" s="21" t="b">
        <f>IF(AND(A96&lt;&gt;0,B96=0,C96=0),VLOOKUP(A96,'3 - LISTA DE ESPÉCIES'!A:H,5,FALSE()),IF(AND(A96=0,B96&lt;&gt;0,C96=0),VLOOKUP(B96,'3 - LISTA DE ESPÉCIES'!B:H,4,FALSE()),IF(AND(A96=0,B96=0,C96&lt;&gt;0),VLOOKUP(C96,'3 - LISTA DE ESPÉCIES'!C:H,3,FALSE()))))</f>
        <v>0</v>
      </c>
      <c r="J96" s="23"/>
      <c r="K96" s="23"/>
      <c r="L96" s="20"/>
      <c r="M96" s="20"/>
    </row>
    <row r="97" spans="1:13" x14ac:dyDescent="0.25">
      <c r="A97" s="20"/>
      <c r="B97" s="20"/>
      <c r="C97" s="20"/>
      <c r="E97" s="21" t="b">
        <f>IF(AND(A97&lt;&gt;0,B97=0,C97=0),VLOOKUP(A97,'3 - LISTA DE ESPÉCIES'!A:H,1,FALSE()),IF(AND(A97=0,B97&lt;&gt;0,C97=0),VLOOKUP(B97,'3 - LISTA DE ESPÉCIES'!B:H,5,FALSE()),IF(AND(A97=0,B97=0,C97&lt;&gt;0),VLOOKUP(C97,'3 - LISTA DE ESPÉCIES'!C:H,4,FALSE()))))</f>
        <v>0</v>
      </c>
      <c r="F97" s="21" t="b">
        <f>IF(AND(A97&lt;&gt;0,B97=0,C97=0),VLOOKUP(A97,'3 - LISTA DE ESPÉCIES'!A:H,2,FALSE()),IF(AND(A97=0,B97&lt;&gt;0,C97=0),VLOOKUP(B97,'3 - LISTA DE ESPÉCIES'!B:H,6,FALSE()),IF(AND(A97=0,B97=0,C97&lt;&gt;0),VLOOKUP(C97,'3 - LISTA DE ESPÉCIES'!C:H,5,FALSE()))))</f>
        <v>0</v>
      </c>
      <c r="G97" s="21" t="b">
        <f>IF(AND(A97&lt;&gt;0,B97=0,C97=0),VLOOKUP(A97,'3 - LISTA DE ESPÉCIES'!A:H,3,FALSE()),IF(AND(A97=0,B97&lt;&gt;0,C97=0),VLOOKUP(B97,'3 - LISTA DE ESPÉCIES'!B:H,7,FALSE()),IF(AND(A97=0,B97=0,C97&lt;&gt;0),VLOOKUP(C97,'3 - LISTA DE ESPÉCIES'!C:H,6,FALSE()))))</f>
        <v>0</v>
      </c>
      <c r="H97" s="21" t="b">
        <f>IF(AND(A97&lt;&gt;0,B97=0,C97=0),VLOOKUP(A97,'3 - LISTA DE ESPÉCIES'!A:H,4,FALSE()),IF(AND(A97=0,B97&lt;&gt;0,C97=0),VLOOKUP(B97,'3 - LISTA DE ESPÉCIES'!B:H,3,FALSE()),IF(AND(A97=0,B97=0,C97&lt;&gt;0),VLOOKUP(C97,'3 - LISTA DE ESPÉCIES'!C:H,2,FALSE()))))</f>
        <v>0</v>
      </c>
      <c r="I97" s="21" t="b">
        <f>IF(AND(A97&lt;&gt;0,B97=0,C97=0),VLOOKUP(A97,'3 - LISTA DE ESPÉCIES'!A:H,5,FALSE()),IF(AND(A97=0,B97&lt;&gt;0,C97=0),VLOOKUP(B97,'3 - LISTA DE ESPÉCIES'!B:H,4,FALSE()),IF(AND(A97=0,B97=0,C97&lt;&gt;0),VLOOKUP(C97,'3 - LISTA DE ESPÉCIES'!C:H,3,FALSE()))))</f>
        <v>0</v>
      </c>
      <c r="J97" s="23"/>
      <c r="K97" s="23"/>
      <c r="L97" s="20"/>
      <c r="M97" s="20"/>
    </row>
    <row r="98" spans="1:13" x14ac:dyDescent="0.25">
      <c r="A98" s="20"/>
      <c r="B98" s="20"/>
      <c r="C98" s="20"/>
      <c r="E98" s="21" t="b">
        <f>IF(AND(A98&lt;&gt;0,B98=0,C98=0),VLOOKUP(A98,'3 - LISTA DE ESPÉCIES'!A:H,1,FALSE()),IF(AND(A98=0,B98&lt;&gt;0,C98=0),VLOOKUP(B98,'3 - LISTA DE ESPÉCIES'!B:H,5,FALSE()),IF(AND(A98=0,B98=0,C98&lt;&gt;0),VLOOKUP(C98,'3 - LISTA DE ESPÉCIES'!C:H,4,FALSE()))))</f>
        <v>0</v>
      </c>
      <c r="F98" s="21" t="b">
        <f>IF(AND(A98&lt;&gt;0,B98=0,C98=0),VLOOKUP(A98,'3 - LISTA DE ESPÉCIES'!A:H,2,FALSE()),IF(AND(A98=0,B98&lt;&gt;0,C98=0),VLOOKUP(B98,'3 - LISTA DE ESPÉCIES'!B:H,6,FALSE()),IF(AND(A98=0,B98=0,C98&lt;&gt;0),VLOOKUP(C98,'3 - LISTA DE ESPÉCIES'!C:H,5,FALSE()))))</f>
        <v>0</v>
      </c>
      <c r="G98" s="21" t="b">
        <f>IF(AND(A98&lt;&gt;0,B98=0,C98=0),VLOOKUP(A98,'3 - LISTA DE ESPÉCIES'!A:H,3,FALSE()),IF(AND(A98=0,B98&lt;&gt;0,C98=0),VLOOKUP(B98,'3 - LISTA DE ESPÉCIES'!B:H,7,FALSE()),IF(AND(A98=0,B98=0,C98&lt;&gt;0),VLOOKUP(C98,'3 - LISTA DE ESPÉCIES'!C:H,6,FALSE()))))</f>
        <v>0</v>
      </c>
      <c r="H98" s="21" t="b">
        <f>IF(AND(A98&lt;&gt;0,B98=0,C98=0),VLOOKUP(A98,'3 - LISTA DE ESPÉCIES'!A:H,4,FALSE()),IF(AND(A98=0,B98&lt;&gt;0,C98=0),VLOOKUP(B98,'3 - LISTA DE ESPÉCIES'!B:H,3,FALSE()),IF(AND(A98=0,B98=0,C98&lt;&gt;0),VLOOKUP(C98,'3 - LISTA DE ESPÉCIES'!C:H,2,FALSE()))))</f>
        <v>0</v>
      </c>
      <c r="I98" s="21" t="b">
        <f>IF(AND(A98&lt;&gt;0,B98=0,C98=0),VLOOKUP(A98,'3 - LISTA DE ESPÉCIES'!A:H,5,FALSE()),IF(AND(A98=0,B98&lt;&gt;0,C98=0),VLOOKUP(B98,'3 - LISTA DE ESPÉCIES'!B:H,4,FALSE()),IF(AND(A98=0,B98=0,C98&lt;&gt;0),VLOOKUP(C98,'3 - LISTA DE ESPÉCIES'!C:H,3,FALSE()))))</f>
        <v>0</v>
      </c>
      <c r="J98" s="23"/>
      <c r="K98" s="23"/>
      <c r="L98" s="20"/>
      <c r="M98" s="20"/>
    </row>
    <row r="99" spans="1:13" x14ac:dyDescent="0.25">
      <c r="A99" s="20"/>
      <c r="B99" s="20"/>
      <c r="C99" s="20"/>
      <c r="E99" s="21" t="b">
        <f>IF(AND(A99&lt;&gt;0,B99=0,C99=0),VLOOKUP(A99,'3 - LISTA DE ESPÉCIES'!A:H,1,FALSE()),IF(AND(A99=0,B99&lt;&gt;0,C99=0),VLOOKUP(B99,'3 - LISTA DE ESPÉCIES'!B:H,5,FALSE()),IF(AND(A99=0,B99=0,C99&lt;&gt;0),VLOOKUP(C99,'3 - LISTA DE ESPÉCIES'!C:H,4,FALSE()))))</f>
        <v>0</v>
      </c>
      <c r="F99" s="21" t="b">
        <f>IF(AND(A99&lt;&gt;0,B99=0,C99=0),VLOOKUP(A99,'3 - LISTA DE ESPÉCIES'!A:H,2,FALSE()),IF(AND(A99=0,B99&lt;&gt;0,C99=0),VLOOKUP(B99,'3 - LISTA DE ESPÉCIES'!B:H,6,FALSE()),IF(AND(A99=0,B99=0,C99&lt;&gt;0),VLOOKUP(C99,'3 - LISTA DE ESPÉCIES'!C:H,5,FALSE()))))</f>
        <v>0</v>
      </c>
      <c r="G99" s="21" t="b">
        <f>IF(AND(A99&lt;&gt;0,B99=0,C99=0),VLOOKUP(A99,'3 - LISTA DE ESPÉCIES'!A:H,3,FALSE()),IF(AND(A99=0,B99&lt;&gt;0,C99=0),VLOOKUP(B99,'3 - LISTA DE ESPÉCIES'!B:H,7,FALSE()),IF(AND(A99=0,B99=0,C99&lt;&gt;0),VLOOKUP(C99,'3 - LISTA DE ESPÉCIES'!C:H,6,FALSE()))))</f>
        <v>0</v>
      </c>
      <c r="H99" s="21" t="b">
        <f>IF(AND(A99&lt;&gt;0,B99=0,C99=0),VLOOKUP(A99,'3 - LISTA DE ESPÉCIES'!A:H,4,FALSE()),IF(AND(A99=0,B99&lt;&gt;0,C99=0),VLOOKUP(B99,'3 - LISTA DE ESPÉCIES'!B:H,3,FALSE()),IF(AND(A99=0,B99=0,C99&lt;&gt;0),VLOOKUP(C99,'3 - LISTA DE ESPÉCIES'!C:H,2,FALSE()))))</f>
        <v>0</v>
      </c>
      <c r="I99" s="21" t="b">
        <f>IF(AND(A99&lt;&gt;0,B99=0,C99=0),VLOOKUP(A99,'3 - LISTA DE ESPÉCIES'!A:H,5,FALSE()),IF(AND(A99=0,B99&lt;&gt;0,C99=0),VLOOKUP(B99,'3 - LISTA DE ESPÉCIES'!B:H,4,FALSE()),IF(AND(A99=0,B99=0,C99&lt;&gt;0),VLOOKUP(C99,'3 - LISTA DE ESPÉCIES'!C:H,3,FALSE()))))</f>
        <v>0</v>
      </c>
      <c r="J99" s="23"/>
      <c r="K99" s="23"/>
      <c r="L99" s="20"/>
      <c r="M99" s="20"/>
    </row>
    <row r="100" spans="1:13" x14ac:dyDescent="0.25">
      <c r="A100" s="20"/>
      <c r="B100" s="20"/>
      <c r="C100" s="20"/>
      <c r="E100" s="21" t="b">
        <f>IF(AND(A100&lt;&gt;0,B100=0,C100=0),VLOOKUP(A100,'3 - LISTA DE ESPÉCIES'!A:H,1,FALSE()),IF(AND(A100=0,B100&lt;&gt;0,C100=0),VLOOKUP(B100,'3 - LISTA DE ESPÉCIES'!B:H,5,FALSE()),IF(AND(A100=0,B100=0,C100&lt;&gt;0),VLOOKUP(C100,'3 - LISTA DE ESPÉCIES'!C:H,4,FALSE()))))</f>
        <v>0</v>
      </c>
      <c r="F100" s="21" t="b">
        <f>IF(AND(A100&lt;&gt;0,B100=0,C100=0),VLOOKUP(A100,'3 - LISTA DE ESPÉCIES'!A:H,2,FALSE()),IF(AND(A100=0,B100&lt;&gt;0,C100=0),VLOOKUP(B100,'3 - LISTA DE ESPÉCIES'!B:H,6,FALSE()),IF(AND(A100=0,B100=0,C100&lt;&gt;0),VLOOKUP(C100,'3 - LISTA DE ESPÉCIES'!C:H,5,FALSE()))))</f>
        <v>0</v>
      </c>
      <c r="G100" s="21" t="b">
        <f>IF(AND(A100&lt;&gt;0,B100=0,C100=0),VLOOKUP(A100,'3 - LISTA DE ESPÉCIES'!A:H,3,FALSE()),IF(AND(A100=0,B100&lt;&gt;0,C100=0),VLOOKUP(B100,'3 - LISTA DE ESPÉCIES'!B:H,7,FALSE()),IF(AND(A100=0,B100=0,C100&lt;&gt;0),VLOOKUP(C100,'3 - LISTA DE ESPÉCIES'!C:H,6,FALSE()))))</f>
        <v>0</v>
      </c>
      <c r="H100" s="21" t="b">
        <f>IF(AND(A100&lt;&gt;0,B100=0,C100=0),VLOOKUP(A100,'3 - LISTA DE ESPÉCIES'!A:H,4,FALSE()),IF(AND(A100=0,B100&lt;&gt;0,C100=0),VLOOKUP(B100,'3 - LISTA DE ESPÉCIES'!B:H,3,FALSE()),IF(AND(A100=0,B100=0,C100&lt;&gt;0),VLOOKUP(C100,'3 - LISTA DE ESPÉCIES'!C:H,2,FALSE()))))</f>
        <v>0</v>
      </c>
      <c r="I100" s="21" t="b">
        <f>IF(AND(A100&lt;&gt;0,B100=0,C100=0),VLOOKUP(A100,'3 - LISTA DE ESPÉCIES'!A:H,5,FALSE()),IF(AND(A100=0,B100&lt;&gt;0,C100=0),VLOOKUP(B100,'3 - LISTA DE ESPÉCIES'!B:H,4,FALSE()),IF(AND(A100=0,B100=0,C100&lt;&gt;0),VLOOKUP(C100,'3 - LISTA DE ESPÉCIES'!C:H,3,FALSE()))))</f>
        <v>0</v>
      </c>
      <c r="J100" s="23"/>
      <c r="K100" s="23"/>
      <c r="L100" s="20"/>
      <c r="M100" s="20"/>
    </row>
    <row r="101" spans="1:13" x14ac:dyDescent="0.25">
      <c r="A101" s="20"/>
      <c r="B101" s="20"/>
      <c r="C101" s="20"/>
      <c r="E101" s="21" t="b">
        <f>IF(AND(A101&lt;&gt;0,B101=0,C101=0),VLOOKUP(A101,'3 - LISTA DE ESPÉCIES'!A:H,1,FALSE()),IF(AND(A101=0,B101&lt;&gt;0,C101=0),VLOOKUP(B101,'3 - LISTA DE ESPÉCIES'!B:H,5,FALSE()),IF(AND(A101=0,B101=0,C101&lt;&gt;0),VLOOKUP(C101,'3 - LISTA DE ESPÉCIES'!C:H,4,FALSE()))))</f>
        <v>0</v>
      </c>
      <c r="F101" s="21" t="b">
        <f>IF(AND(A101&lt;&gt;0,B101=0,C101=0),VLOOKUP(A101,'3 - LISTA DE ESPÉCIES'!A:H,2,FALSE()),IF(AND(A101=0,B101&lt;&gt;0,C101=0),VLOOKUP(B101,'3 - LISTA DE ESPÉCIES'!B:H,6,FALSE()),IF(AND(A101=0,B101=0,C101&lt;&gt;0),VLOOKUP(C101,'3 - LISTA DE ESPÉCIES'!C:H,5,FALSE()))))</f>
        <v>0</v>
      </c>
      <c r="G101" s="21" t="b">
        <f>IF(AND(A101&lt;&gt;0,B101=0,C101=0),VLOOKUP(A101,'3 - LISTA DE ESPÉCIES'!A:H,3,FALSE()),IF(AND(A101=0,B101&lt;&gt;0,C101=0),VLOOKUP(B101,'3 - LISTA DE ESPÉCIES'!B:H,7,FALSE()),IF(AND(A101=0,B101=0,C101&lt;&gt;0),VLOOKUP(C101,'3 - LISTA DE ESPÉCIES'!C:H,6,FALSE()))))</f>
        <v>0</v>
      </c>
      <c r="H101" s="21" t="b">
        <f>IF(AND(A101&lt;&gt;0,B101=0,C101=0),VLOOKUP(A101,'3 - LISTA DE ESPÉCIES'!A:H,4,FALSE()),IF(AND(A101=0,B101&lt;&gt;0,C101=0),VLOOKUP(B101,'3 - LISTA DE ESPÉCIES'!B:H,3,FALSE()),IF(AND(A101=0,B101=0,C101&lt;&gt;0),VLOOKUP(C101,'3 - LISTA DE ESPÉCIES'!C:H,2,FALSE()))))</f>
        <v>0</v>
      </c>
      <c r="I101" s="21" t="b">
        <f>IF(AND(A101&lt;&gt;0,B101=0,C101=0),VLOOKUP(A101,'3 - LISTA DE ESPÉCIES'!A:H,5,FALSE()),IF(AND(A101=0,B101&lt;&gt;0,C101=0),VLOOKUP(B101,'3 - LISTA DE ESPÉCIES'!B:H,4,FALSE()),IF(AND(A101=0,B101=0,C101&lt;&gt;0),VLOOKUP(C101,'3 - LISTA DE ESPÉCIES'!C:H,3,FALSE()))))</f>
        <v>0</v>
      </c>
      <c r="J101" s="23"/>
      <c r="K101" s="23"/>
      <c r="L101" s="20"/>
      <c r="M101" s="20"/>
    </row>
    <row r="102" spans="1:13" x14ac:dyDescent="0.25">
      <c r="A102" s="20"/>
      <c r="B102" s="20"/>
      <c r="C102" s="20"/>
      <c r="E102" s="21" t="b">
        <f>IF(AND(A102&lt;&gt;0,B102=0,C102=0),VLOOKUP(A102,'3 - LISTA DE ESPÉCIES'!A:H,1,FALSE()),IF(AND(A102=0,B102&lt;&gt;0,C102=0),VLOOKUP(B102,'3 - LISTA DE ESPÉCIES'!B:H,5,FALSE()),IF(AND(A102=0,B102=0,C102&lt;&gt;0),VLOOKUP(C102,'3 - LISTA DE ESPÉCIES'!C:H,4,FALSE()))))</f>
        <v>0</v>
      </c>
      <c r="F102" s="21" t="b">
        <f>IF(AND(A102&lt;&gt;0,B102=0,C102=0),VLOOKUP(A102,'3 - LISTA DE ESPÉCIES'!A:H,2,FALSE()),IF(AND(A102=0,B102&lt;&gt;0,C102=0),VLOOKUP(B102,'3 - LISTA DE ESPÉCIES'!B:H,6,FALSE()),IF(AND(A102=0,B102=0,C102&lt;&gt;0),VLOOKUP(C102,'3 - LISTA DE ESPÉCIES'!C:H,5,FALSE()))))</f>
        <v>0</v>
      </c>
      <c r="G102" s="21" t="b">
        <f>IF(AND(A102&lt;&gt;0,B102=0,C102=0),VLOOKUP(A102,'3 - LISTA DE ESPÉCIES'!A:H,3,FALSE()),IF(AND(A102=0,B102&lt;&gt;0,C102=0),VLOOKUP(B102,'3 - LISTA DE ESPÉCIES'!B:H,7,FALSE()),IF(AND(A102=0,B102=0,C102&lt;&gt;0),VLOOKUP(C102,'3 - LISTA DE ESPÉCIES'!C:H,6,FALSE()))))</f>
        <v>0</v>
      </c>
      <c r="H102" s="21" t="b">
        <f>IF(AND(A102&lt;&gt;0,B102=0,C102=0),VLOOKUP(A102,'3 - LISTA DE ESPÉCIES'!A:H,4,FALSE()),IF(AND(A102=0,B102&lt;&gt;0,C102=0),VLOOKUP(B102,'3 - LISTA DE ESPÉCIES'!B:H,3,FALSE()),IF(AND(A102=0,B102=0,C102&lt;&gt;0),VLOOKUP(C102,'3 - LISTA DE ESPÉCIES'!C:H,2,FALSE()))))</f>
        <v>0</v>
      </c>
      <c r="I102" s="21" t="b">
        <f>IF(AND(A102&lt;&gt;0,B102=0,C102=0),VLOOKUP(A102,'3 - LISTA DE ESPÉCIES'!A:H,5,FALSE()),IF(AND(A102=0,B102&lt;&gt;0,C102=0),VLOOKUP(B102,'3 - LISTA DE ESPÉCIES'!B:H,4,FALSE()),IF(AND(A102=0,B102=0,C102&lt;&gt;0),VLOOKUP(C102,'3 - LISTA DE ESPÉCIES'!C:H,3,FALSE()))))</f>
        <v>0</v>
      </c>
      <c r="J102" s="23"/>
      <c r="K102" s="23"/>
      <c r="L102" s="20"/>
      <c r="M102" s="20"/>
    </row>
    <row r="103" spans="1:13" x14ac:dyDescent="0.25">
      <c r="A103" s="20"/>
      <c r="B103" s="20"/>
      <c r="C103" s="20"/>
      <c r="E103" s="21" t="b">
        <f>IF(AND(A103&lt;&gt;0,B103=0,C103=0),VLOOKUP(A103,'3 - LISTA DE ESPÉCIES'!A:H,1,FALSE()),IF(AND(A103=0,B103&lt;&gt;0,C103=0),VLOOKUP(B103,'3 - LISTA DE ESPÉCIES'!B:H,5,FALSE()),IF(AND(A103=0,B103=0,C103&lt;&gt;0),VLOOKUP(C103,'3 - LISTA DE ESPÉCIES'!C:H,4,FALSE()))))</f>
        <v>0</v>
      </c>
      <c r="F103" s="21" t="b">
        <f>IF(AND(A103&lt;&gt;0,B103=0,C103=0),VLOOKUP(A103,'3 - LISTA DE ESPÉCIES'!A:H,2,FALSE()),IF(AND(A103=0,B103&lt;&gt;0,C103=0),VLOOKUP(B103,'3 - LISTA DE ESPÉCIES'!B:H,6,FALSE()),IF(AND(A103=0,B103=0,C103&lt;&gt;0),VLOOKUP(C103,'3 - LISTA DE ESPÉCIES'!C:H,5,FALSE()))))</f>
        <v>0</v>
      </c>
      <c r="G103" s="21" t="b">
        <f>IF(AND(A103&lt;&gt;0,B103=0,C103=0),VLOOKUP(A103,'3 - LISTA DE ESPÉCIES'!A:H,3,FALSE()),IF(AND(A103=0,B103&lt;&gt;0,C103=0),VLOOKUP(B103,'3 - LISTA DE ESPÉCIES'!B:H,7,FALSE()),IF(AND(A103=0,B103=0,C103&lt;&gt;0),VLOOKUP(C103,'3 - LISTA DE ESPÉCIES'!C:H,6,FALSE()))))</f>
        <v>0</v>
      </c>
      <c r="H103" s="21" t="b">
        <f>IF(AND(A103&lt;&gt;0,B103=0,C103=0),VLOOKUP(A103,'3 - LISTA DE ESPÉCIES'!A:H,4,FALSE()),IF(AND(A103=0,B103&lt;&gt;0,C103=0),VLOOKUP(B103,'3 - LISTA DE ESPÉCIES'!B:H,3,FALSE()),IF(AND(A103=0,B103=0,C103&lt;&gt;0),VLOOKUP(C103,'3 - LISTA DE ESPÉCIES'!C:H,2,FALSE()))))</f>
        <v>0</v>
      </c>
      <c r="I103" s="21" t="b">
        <f>IF(AND(A103&lt;&gt;0,B103=0,C103=0),VLOOKUP(A103,'3 - LISTA DE ESPÉCIES'!A:H,5,FALSE()),IF(AND(A103=0,B103&lt;&gt;0,C103=0),VLOOKUP(B103,'3 - LISTA DE ESPÉCIES'!B:H,4,FALSE()),IF(AND(A103=0,B103=0,C103&lt;&gt;0),VLOOKUP(C103,'3 - LISTA DE ESPÉCIES'!C:H,3,FALSE()))))</f>
        <v>0</v>
      </c>
      <c r="J103" s="23"/>
      <c r="K103" s="23"/>
      <c r="L103" s="20"/>
      <c r="M103" s="20"/>
    </row>
    <row r="104" spans="1:13" x14ac:dyDescent="0.25">
      <c r="A104" s="20"/>
      <c r="B104" s="20"/>
      <c r="C104" s="20"/>
      <c r="E104" s="21" t="b">
        <f>IF(AND(A104&lt;&gt;0,B104=0,C104=0),VLOOKUP(A104,'3 - LISTA DE ESPÉCIES'!A:H,1,FALSE()),IF(AND(A104=0,B104&lt;&gt;0,C104=0),VLOOKUP(B104,'3 - LISTA DE ESPÉCIES'!B:H,5,FALSE()),IF(AND(A104=0,B104=0,C104&lt;&gt;0),VLOOKUP(C104,'3 - LISTA DE ESPÉCIES'!C:H,4,FALSE()))))</f>
        <v>0</v>
      </c>
      <c r="F104" s="21" t="b">
        <f>IF(AND(A104&lt;&gt;0,B104=0,C104=0),VLOOKUP(A104,'3 - LISTA DE ESPÉCIES'!A:H,2,FALSE()),IF(AND(A104=0,B104&lt;&gt;0,C104=0),VLOOKUP(B104,'3 - LISTA DE ESPÉCIES'!B:H,6,FALSE()),IF(AND(A104=0,B104=0,C104&lt;&gt;0),VLOOKUP(C104,'3 - LISTA DE ESPÉCIES'!C:H,5,FALSE()))))</f>
        <v>0</v>
      </c>
      <c r="G104" s="21" t="b">
        <f>IF(AND(A104&lt;&gt;0,B104=0,C104=0),VLOOKUP(A104,'3 - LISTA DE ESPÉCIES'!A:H,3,FALSE()),IF(AND(A104=0,B104&lt;&gt;0,C104=0),VLOOKUP(B104,'3 - LISTA DE ESPÉCIES'!B:H,7,FALSE()),IF(AND(A104=0,B104=0,C104&lt;&gt;0),VLOOKUP(C104,'3 - LISTA DE ESPÉCIES'!C:H,6,FALSE()))))</f>
        <v>0</v>
      </c>
      <c r="H104" s="21" t="b">
        <f>IF(AND(A104&lt;&gt;0,B104=0,C104=0),VLOOKUP(A104,'3 - LISTA DE ESPÉCIES'!A:H,4,FALSE()),IF(AND(A104=0,B104&lt;&gt;0,C104=0),VLOOKUP(B104,'3 - LISTA DE ESPÉCIES'!B:H,3,FALSE()),IF(AND(A104=0,B104=0,C104&lt;&gt;0),VLOOKUP(C104,'3 - LISTA DE ESPÉCIES'!C:H,2,FALSE()))))</f>
        <v>0</v>
      </c>
      <c r="I104" s="21" t="b">
        <f>IF(AND(A104&lt;&gt;0,B104=0,C104=0),VLOOKUP(A104,'3 - LISTA DE ESPÉCIES'!A:H,5,FALSE()),IF(AND(A104=0,B104&lt;&gt;0,C104=0),VLOOKUP(B104,'3 - LISTA DE ESPÉCIES'!B:H,4,FALSE()),IF(AND(A104=0,B104=0,C104&lt;&gt;0),VLOOKUP(C104,'3 - LISTA DE ESPÉCIES'!C:H,3,FALSE()))))</f>
        <v>0</v>
      </c>
      <c r="J104" s="23"/>
      <c r="K104" s="23"/>
      <c r="L104" s="20"/>
      <c r="M104" s="20"/>
    </row>
    <row r="105" spans="1:13" x14ac:dyDescent="0.25">
      <c r="A105" s="20"/>
      <c r="B105" s="20"/>
      <c r="C105" s="20"/>
      <c r="E105" s="21" t="b">
        <f>IF(AND(A105&lt;&gt;0,B105=0,C105=0),VLOOKUP(A105,'3 - LISTA DE ESPÉCIES'!A:H,1,FALSE()),IF(AND(A105=0,B105&lt;&gt;0,C105=0),VLOOKUP(B105,'3 - LISTA DE ESPÉCIES'!B:H,5,FALSE()),IF(AND(A105=0,B105=0,C105&lt;&gt;0),VLOOKUP(C105,'3 - LISTA DE ESPÉCIES'!C:H,4,FALSE()))))</f>
        <v>0</v>
      </c>
      <c r="F105" s="21" t="b">
        <f>IF(AND(A105&lt;&gt;0,B105=0,C105=0),VLOOKUP(A105,'3 - LISTA DE ESPÉCIES'!A:H,2,FALSE()),IF(AND(A105=0,B105&lt;&gt;0,C105=0),VLOOKUP(B105,'3 - LISTA DE ESPÉCIES'!B:H,6,FALSE()),IF(AND(A105=0,B105=0,C105&lt;&gt;0),VLOOKUP(C105,'3 - LISTA DE ESPÉCIES'!C:H,5,FALSE()))))</f>
        <v>0</v>
      </c>
      <c r="G105" s="21" t="b">
        <f>IF(AND(A105&lt;&gt;0,B105=0,C105=0),VLOOKUP(A105,'3 - LISTA DE ESPÉCIES'!A:H,3,FALSE()),IF(AND(A105=0,B105&lt;&gt;0,C105=0),VLOOKUP(B105,'3 - LISTA DE ESPÉCIES'!B:H,7,FALSE()),IF(AND(A105=0,B105=0,C105&lt;&gt;0),VLOOKUP(C105,'3 - LISTA DE ESPÉCIES'!C:H,6,FALSE()))))</f>
        <v>0</v>
      </c>
      <c r="H105" s="21" t="b">
        <f>IF(AND(A105&lt;&gt;0,B105=0,C105=0),VLOOKUP(A105,'3 - LISTA DE ESPÉCIES'!A:H,4,FALSE()),IF(AND(A105=0,B105&lt;&gt;0,C105=0),VLOOKUP(B105,'3 - LISTA DE ESPÉCIES'!B:H,3,FALSE()),IF(AND(A105=0,B105=0,C105&lt;&gt;0),VLOOKUP(C105,'3 - LISTA DE ESPÉCIES'!C:H,2,FALSE()))))</f>
        <v>0</v>
      </c>
      <c r="I105" s="21" t="b">
        <f>IF(AND(A105&lt;&gt;0,B105=0,C105=0),VLOOKUP(A105,'3 - LISTA DE ESPÉCIES'!A:H,5,FALSE()),IF(AND(A105=0,B105&lt;&gt;0,C105=0),VLOOKUP(B105,'3 - LISTA DE ESPÉCIES'!B:H,4,FALSE()),IF(AND(A105=0,B105=0,C105&lt;&gt;0),VLOOKUP(C105,'3 - LISTA DE ESPÉCIES'!C:H,3,FALSE()))))</f>
        <v>0</v>
      </c>
      <c r="J105" s="23"/>
      <c r="K105" s="23"/>
      <c r="L105" s="20"/>
      <c r="M105" s="20"/>
    </row>
    <row r="106" spans="1:13" x14ac:dyDescent="0.25">
      <c r="A106" s="20"/>
      <c r="B106" s="20"/>
      <c r="C106" s="20"/>
      <c r="E106" s="21" t="b">
        <f>IF(AND(A106&lt;&gt;0,B106=0,C106=0),VLOOKUP(A106,'3 - LISTA DE ESPÉCIES'!A:H,1,FALSE()),IF(AND(A106=0,B106&lt;&gt;0,C106=0),VLOOKUP(B106,'3 - LISTA DE ESPÉCIES'!B:H,5,FALSE()),IF(AND(A106=0,B106=0,C106&lt;&gt;0),VLOOKUP(C106,'3 - LISTA DE ESPÉCIES'!C:H,4,FALSE()))))</f>
        <v>0</v>
      </c>
      <c r="F106" s="21" t="b">
        <f>IF(AND(A106&lt;&gt;0,B106=0,C106=0),VLOOKUP(A106,'3 - LISTA DE ESPÉCIES'!A:H,2,FALSE()),IF(AND(A106=0,B106&lt;&gt;0,C106=0),VLOOKUP(B106,'3 - LISTA DE ESPÉCIES'!B:H,6,FALSE()),IF(AND(A106=0,B106=0,C106&lt;&gt;0),VLOOKUP(C106,'3 - LISTA DE ESPÉCIES'!C:H,5,FALSE()))))</f>
        <v>0</v>
      </c>
      <c r="G106" s="21" t="b">
        <f>IF(AND(A106&lt;&gt;0,B106=0,C106=0),VLOOKUP(A106,'3 - LISTA DE ESPÉCIES'!A:H,3,FALSE()),IF(AND(A106=0,B106&lt;&gt;0,C106=0),VLOOKUP(B106,'3 - LISTA DE ESPÉCIES'!B:H,7,FALSE()),IF(AND(A106=0,B106=0,C106&lt;&gt;0),VLOOKUP(C106,'3 - LISTA DE ESPÉCIES'!C:H,6,FALSE()))))</f>
        <v>0</v>
      </c>
      <c r="H106" s="21" t="b">
        <f>IF(AND(A106&lt;&gt;0,B106=0,C106=0),VLOOKUP(A106,'3 - LISTA DE ESPÉCIES'!A:H,4,FALSE()),IF(AND(A106=0,B106&lt;&gt;0,C106=0),VLOOKUP(B106,'3 - LISTA DE ESPÉCIES'!B:H,3,FALSE()),IF(AND(A106=0,B106=0,C106&lt;&gt;0),VLOOKUP(C106,'3 - LISTA DE ESPÉCIES'!C:H,2,FALSE()))))</f>
        <v>0</v>
      </c>
      <c r="I106" s="21" t="b">
        <f>IF(AND(A106&lt;&gt;0,B106=0,C106=0),VLOOKUP(A106,'3 - LISTA DE ESPÉCIES'!A:H,5,FALSE()),IF(AND(A106=0,B106&lt;&gt;0,C106=0),VLOOKUP(B106,'3 - LISTA DE ESPÉCIES'!B:H,4,FALSE()),IF(AND(A106=0,B106=0,C106&lt;&gt;0),VLOOKUP(C106,'3 - LISTA DE ESPÉCIES'!C:H,3,FALSE()))))</f>
        <v>0</v>
      </c>
      <c r="J106" s="23"/>
      <c r="K106" s="23"/>
      <c r="L106" s="20"/>
      <c r="M106" s="20"/>
    </row>
    <row r="107" spans="1:13" x14ac:dyDescent="0.25">
      <c r="A107" s="20"/>
      <c r="B107" s="20"/>
      <c r="C107" s="20"/>
      <c r="E107" s="21" t="b">
        <f>IF(AND(A107&lt;&gt;0,B107=0,C107=0),VLOOKUP(A107,'3 - LISTA DE ESPÉCIES'!A:H,1,FALSE()),IF(AND(A107=0,B107&lt;&gt;0,C107=0),VLOOKUP(B107,'3 - LISTA DE ESPÉCIES'!B:H,5,FALSE()),IF(AND(A107=0,B107=0,C107&lt;&gt;0),VLOOKUP(C107,'3 - LISTA DE ESPÉCIES'!C:H,4,FALSE()))))</f>
        <v>0</v>
      </c>
      <c r="F107" s="21" t="b">
        <f>IF(AND(A107&lt;&gt;0,B107=0,C107=0),VLOOKUP(A107,'3 - LISTA DE ESPÉCIES'!A:H,2,FALSE()),IF(AND(A107=0,B107&lt;&gt;0,C107=0),VLOOKUP(B107,'3 - LISTA DE ESPÉCIES'!B:H,6,FALSE()),IF(AND(A107=0,B107=0,C107&lt;&gt;0),VLOOKUP(C107,'3 - LISTA DE ESPÉCIES'!C:H,5,FALSE()))))</f>
        <v>0</v>
      </c>
      <c r="G107" s="21" t="b">
        <f>IF(AND(A107&lt;&gt;0,B107=0,C107=0),VLOOKUP(A107,'3 - LISTA DE ESPÉCIES'!A:H,3,FALSE()),IF(AND(A107=0,B107&lt;&gt;0,C107=0),VLOOKUP(B107,'3 - LISTA DE ESPÉCIES'!B:H,7,FALSE()),IF(AND(A107=0,B107=0,C107&lt;&gt;0),VLOOKUP(C107,'3 - LISTA DE ESPÉCIES'!C:H,6,FALSE()))))</f>
        <v>0</v>
      </c>
      <c r="H107" s="21" t="b">
        <f>IF(AND(A107&lt;&gt;0,B107=0,C107=0),VLOOKUP(A107,'3 - LISTA DE ESPÉCIES'!A:H,4,FALSE()),IF(AND(A107=0,B107&lt;&gt;0,C107=0),VLOOKUP(B107,'3 - LISTA DE ESPÉCIES'!B:H,3,FALSE()),IF(AND(A107=0,B107=0,C107&lt;&gt;0),VLOOKUP(C107,'3 - LISTA DE ESPÉCIES'!C:H,2,FALSE()))))</f>
        <v>0</v>
      </c>
      <c r="I107" s="21" t="b">
        <f>IF(AND(A107&lt;&gt;0,B107=0,C107=0),VLOOKUP(A107,'3 - LISTA DE ESPÉCIES'!A:H,5,FALSE()),IF(AND(A107=0,B107&lt;&gt;0,C107=0),VLOOKUP(B107,'3 - LISTA DE ESPÉCIES'!B:H,4,FALSE()),IF(AND(A107=0,B107=0,C107&lt;&gt;0),VLOOKUP(C107,'3 - LISTA DE ESPÉCIES'!C:H,3,FALSE()))))</f>
        <v>0</v>
      </c>
      <c r="J107" s="23"/>
      <c r="K107" s="23"/>
      <c r="L107" s="20"/>
      <c r="M107" s="20"/>
    </row>
    <row r="108" spans="1:13" x14ac:dyDescent="0.25">
      <c r="A108" s="20"/>
      <c r="B108" s="20"/>
      <c r="C108" s="20"/>
      <c r="E108" s="21" t="b">
        <f>IF(AND(A108&lt;&gt;0,B108=0,C108=0),VLOOKUP(A108,'3 - LISTA DE ESPÉCIES'!A:H,1,FALSE()),IF(AND(A108=0,B108&lt;&gt;0,C108=0),VLOOKUP(B108,'3 - LISTA DE ESPÉCIES'!B:H,5,FALSE()),IF(AND(A108=0,B108=0,C108&lt;&gt;0),VLOOKUP(C108,'3 - LISTA DE ESPÉCIES'!C:H,4,FALSE()))))</f>
        <v>0</v>
      </c>
      <c r="F108" s="21" t="b">
        <f>IF(AND(A108&lt;&gt;0,B108=0,C108=0),VLOOKUP(A108,'3 - LISTA DE ESPÉCIES'!A:H,2,FALSE()),IF(AND(A108=0,B108&lt;&gt;0,C108=0),VLOOKUP(B108,'3 - LISTA DE ESPÉCIES'!B:H,6,FALSE()),IF(AND(A108=0,B108=0,C108&lt;&gt;0),VLOOKUP(C108,'3 - LISTA DE ESPÉCIES'!C:H,5,FALSE()))))</f>
        <v>0</v>
      </c>
      <c r="G108" s="21" t="b">
        <f>IF(AND(A108&lt;&gt;0,B108=0,C108=0),VLOOKUP(A108,'3 - LISTA DE ESPÉCIES'!A:H,3,FALSE()),IF(AND(A108=0,B108&lt;&gt;0,C108=0),VLOOKUP(B108,'3 - LISTA DE ESPÉCIES'!B:H,7,FALSE()),IF(AND(A108=0,B108=0,C108&lt;&gt;0),VLOOKUP(C108,'3 - LISTA DE ESPÉCIES'!C:H,6,FALSE()))))</f>
        <v>0</v>
      </c>
      <c r="H108" s="21" t="b">
        <f>IF(AND(A108&lt;&gt;0,B108=0,C108=0),VLOOKUP(A108,'3 - LISTA DE ESPÉCIES'!A:H,4,FALSE()),IF(AND(A108=0,B108&lt;&gt;0,C108=0),VLOOKUP(B108,'3 - LISTA DE ESPÉCIES'!B:H,3,FALSE()),IF(AND(A108=0,B108=0,C108&lt;&gt;0),VLOOKUP(C108,'3 - LISTA DE ESPÉCIES'!C:H,2,FALSE()))))</f>
        <v>0</v>
      </c>
      <c r="I108" s="21" t="b">
        <f>IF(AND(A108&lt;&gt;0,B108=0,C108=0),VLOOKUP(A108,'3 - LISTA DE ESPÉCIES'!A:H,5,FALSE()),IF(AND(A108=0,B108&lt;&gt;0,C108=0),VLOOKUP(B108,'3 - LISTA DE ESPÉCIES'!B:H,4,FALSE()),IF(AND(A108=0,B108=0,C108&lt;&gt;0),VLOOKUP(C108,'3 - LISTA DE ESPÉCIES'!C:H,3,FALSE()))))</f>
        <v>0</v>
      </c>
      <c r="J108" s="23"/>
      <c r="K108" s="23"/>
      <c r="L108" s="20"/>
      <c r="M108" s="20"/>
    </row>
    <row r="109" spans="1:13" x14ac:dyDescent="0.25">
      <c r="A109" s="20"/>
      <c r="B109" s="20"/>
      <c r="C109" s="20"/>
      <c r="E109" s="21" t="b">
        <f>IF(AND(A109&lt;&gt;0,B109=0,C109=0),VLOOKUP(A109,'3 - LISTA DE ESPÉCIES'!A:H,1,FALSE()),IF(AND(A109=0,B109&lt;&gt;0,C109=0),VLOOKUP(B109,'3 - LISTA DE ESPÉCIES'!B:H,5,FALSE()),IF(AND(A109=0,B109=0,C109&lt;&gt;0),VLOOKUP(C109,'3 - LISTA DE ESPÉCIES'!C:H,4,FALSE()))))</f>
        <v>0</v>
      </c>
      <c r="F109" s="21" t="b">
        <f>IF(AND(A109&lt;&gt;0,B109=0,C109=0),VLOOKUP(A109,'3 - LISTA DE ESPÉCIES'!A:H,2,FALSE()),IF(AND(A109=0,B109&lt;&gt;0,C109=0),VLOOKUP(B109,'3 - LISTA DE ESPÉCIES'!B:H,6,FALSE()),IF(AND(A109=0,B109=0,C109&lt;&gt;0),VLOOKUP(C109,'3 - LISTA DE ESPÉCIES'!C:H,5,FALSE()))))</f>
        <v>0</v>
      </c>
      <c r="G109" s="21" t="b">
        <f>IF(AND(A109&lt;&gt;0,B109=0,C109=0),VLOOKUP(A109,'3 - LISTA DE ESPÉCIES'!A:H,3,FALSE()),IF(AND(A109=0,B109&lt;&gt;0,C109=0),VLOOKUP(B109,'3 - LISTA DE ESPÉCIES'!B:H,7,FALSE()),IF(AND(A109=0,B109=0,C109&lt;&gt;0),VLOOKUP(C109,'3 - LISTA DE ESPÉCIES'!C:H,6,FALSE()))))</f>
        <v>0</v>
      </c>
      <c r="H109" s="21" t="b">
        <f>IF(AND(A109&lt;&gt;0,B109=0,C109=0),VLOOKUP(A109,'3 - LISTA DE ESPÉCIES'!A:H,4,FALSE()),IF(AND(A109=0,B109&lt;&gt;0,C109=0),VLOOKUP(B109,'3 - LISTA DE ESPÉCIES'!B:H,3,FALSE()),IF(AND(A109=0,B109=0,C109&lt;&gt;0),VLOOKUP(C109,'3 - LISTA DE ESPÉCIES'!C:H,2,FALSE()))))</f>
        <v>0</v>
      </c>
      <c r="I109" s="21" t="b">
        <f>IF(AND(A109&lt;&gt;0,B109=0,C109=0),VLOOKUP(A109,'3 - LISTA DE ESPÉCIES'!A:H,5,FALSE()),IF(AND(A109=0,B109&lt;&gt;0,C109=0),VLOOKUP(B109,'3 - LISTA DE ESPÉCIES'!B:H,4,FALSE()),IF(AND(A109=0,B109=0,C109&lt;&gt;0),VLOOKUP(C109,'3 - LISTA DE ESPÉCIES'!C:H,3,FALSE()))))</f>
        <v>0</v>
      </c>
      <c r="J109" s="23"/>
      <c r="K109" s="23"/>
      <c r="L109" s="20"/>
      <c r="M109" s="20"/>
    </row>
    <row r="110" spans="1:13" x14ac:dyDescent="0.25">
      <c r="A110" s="20"/>
      <c r="B110" s="20"/>
      <c r="C110" s="20"/>
      <c r="E110" s="21" t="b">
        <f>IF(AND(A110&lt;&gt;0,B110=0,C110=0),VLOOKUP(A110,'3 - LISTA DE ESPÉCIES'!A:H,1,FALSE()),IF(AND(A110=0,B110&lt;&gt;0,C110=0),VLOOKUP(B110,'3 - LISTA DE ESPÉCIES'!B:H,5,FALSE()),IF(AND(A110=0,B110=0,C110&lt;&gt;0),VLOOKUP(C110,'3 - LISTA DE ESPÉCIES'!C:H,4,FALSE()))))</f>
        <v>0</v>
      </c>
      <c r="F110" s="21" t="b">
        <f>IF(AND(A110&lt;&gt;0,B110=0,C110=0),VLOOKUP(A110,'3 - LISTA DE ESPÉCIES'!A:H,2,FALSE()),IF(AND(A110=0,B110&lt;&gt;0,C110=0),VLOOKUP(B110,'3 - LISTA DE ESPÉCIES'!B:H,6,FALSE()),IF(AND(A110=0,B110=0,C110&lt;&gt;0),VLOOKUP(C110,'3 - LISTA DE ESPÉCIES'!C:H,5,FALSE()))))</f>
        <v>0</v>
      </c>
      <c r="G110" s="21" t="b">
        <f>IF(AND(A110&lt;&gt;0,B110=0,C110=0),VLOOKUP(A110,'3 - LISTA DE ESPÉCIES'!A:H,3,FALSE()),IF(AND(A110=0,B110&lt;&gt;0,C110=0),VLOOKUP(B110,'3 - LISTA DE ESPÉCIES'!B:H,7,FALSE()),IF(AND(A110=0,B110=0,C110&lt;&gt;0),VLOOKUP(C110,'3 - LISTA DE ESPÉCIES'!C:H,6,FALSE()))))</f>
        <v>0</v>
      </c>
      <c r="H110" s="21" t="b">
        <f>IF(AND(A110&lt;&gt;0,B110=0,C110=0),VLOOKUP(A110,'3 - LISTA DE ESPÉCIES'!A:H,4,FALSE()),IF(AND(A110=0,B110&lt;&gt;0,C110=0),VLOOKUP(B110,'3 - LISTA DE ESPÉCIES'!B:H,3,FALSE()),IF(AND(A110=0,B110=0,C110&lt;&gt;0),VLOOKUP(C110,'3 - LISTA DE ESPÉCIES'!C:H,2,FALSE()))))</f>
        <v>0</v>
      </c>
      <c r="I110" s="21" t="b">
        <f>IF(AND(A110&lt;&gt;0,B110=0,C110=0),VLOOKUP(A110,'3 - LISTA DE ESPÉCIES'!A:H,5,FALSE()),IF(AND(A110=0,B110&lt;&gt;0,C110=0),VLOOKUP(B110,'3 - LISTA DE ESPÉCIES'!B:H,4,FALSE()),IF(AND(A110=0,B110=0,C110&lt;&gt;0),VLOOKUP(C110,'3 - LISTA DE ESPÉCIES'!C:H,3,FALSE()))))</f>
        <v>0</v>
      </c>
      <c r="J110" s="23"/>
      <c r="K110" s="23"/>
      <c r="L110" s="20"/>
      <c r="M110" s="20"/>
    </row>
    <row r="111" spans="1:13" x14ac:dyDescent="0.25">
      <c r="A111" s="20"/>
      <c r="B111" s="20"/>
      <c r="C111" s="20"/>
      <c r="E111" s="21" t="b">
        <f>IF(AND(A111&lt;&gt;0,B111=0,C111=0),VLOOKUP(A111,'3 - LISTA DE ESPÉCIES'!A:H,1,FALSE()),IF(AND(A111=0,B111&lt;&gt;0,C111=0),VLOOKUP(B111,'3 - LISTA DE ESPÉCIES'!B:H,5,FALSE()),IF(AND(A111=0,B111=0,C111&lt;&gt;0),VLOOKUP(C111,'3 - LISTA DE ESPÉCIES'!C:H,4,FALSE()))))</f>
        <v>0</v>
      </c>
      <c r="F111" s="21" t="b">
        <f>IF(AND(A111&lt;&gt;0,B111=0,C111=0),VLOOKUP(A111,'3 - LISTA DE ESPÉCIES'!A:H,2,FALSE()),IF(AND(A111=0,B111&lt;&gt;0,C111=0),VLOOKUP(B111,'3 - LISTA DE ESPÉCIES'!B:H,6,FALSE()),IF(AND(A111=0,B111=0,C111&lt;&gt;0),VLOOKUP(C111,'3 - LISTA DE ESPÉCIES'!C:H,5,FALSE()))))</f>
        <v>0</v>
      </c>
      <c r="G111" s="21" t="b">
        <f>IF(AND(A111&lt;&gt;0,B111=0,C111=0),VLOOKUP(A111,'3 - LISTA DE ESPÉCIES'!A:H,3,FALSE()),IF(AND(A111=0,B111&lt;&gt;0,C111=0),VLOOKUP(B111,'3 - LISTA DE ESPÉCIES'!B:H,7,FALSE()),IF(AND(A111=0,B111=0,C111&lt;&gt;0),VLOOKUP(C111,'3 - LISTA DE ESPÉCIES'!C:H,6,FALSE()))))</f>
        <v>0</v>
      </c>
      <c r="H111" s="21" t="b">
        <f>IF(AND(A111&lt;&gt;0,B111=0,C111=0),VLOOKUP(A111,'3 - LISTA DE ESPÉCIES'!A:H,4,FALSE()),IF(AND(A111=0,B111&lt;&gt;0,C111=0),VLOOKUP(B111,'3 - LISTA DE ESPÉCIES'!B:H,3,FALSE()),IF(AND(A111=0,B111=0,C111&lt;&gt;0),VLOOKUP(C111,'3 - LISTA DE ESPÉCIES'!C:H,2,FALSE()))))</f>
        <v>0</v>
      </c>
      <c r="I111" s="21" t="b">
        <f>IF(AND(A111&lt;&gt;0,B111=0,C111=0),VLOOKUP(A111,'3 - LISTA DE ESPÉCIES'!A:H,5,FALSE()),IF(AND(A111=0,B111&lt;&gt;0,C111=0),VLOOKUP(B111,'3 - LISTA DE ESPÉCIES'!B:H,4,FALSE()),IF(AND(A111=0,B111=0,C111&lt;&gt;0),VLOOKUP(C111,'3 - LISTA DE ESPÉCIES'!C:H,3,FALSE()))))</f>
        <v>0</v>
      </c>
      <c r="J111" s="23"/>
      <c r="K111" s="23"/>
      <c r="L111" s="20"/>
      <c r="M111" s="20"/>
    </row>
    <row r="112" spans="1:13" x14ac:dyDescent="0.25">
      <c r="A112" s="20"/>
      <c r="B112" s="20"/>
      <c r="C112" s="20"/>
      <c r="E112" s="21" t="b">
        <f>IF(AND(A112&lt;&gt;0,B112=0,C112=0),VLOOKUP(A112,'3 - LISTA DE ESPÉCIES'!A:H,1,FALSE()),IF(AND(A112=0,B112&lt;&gt;0,C112=0),VLOOKUP(B112,'3 - LISTA DE ESPÉCIES'!B:H,5,FALSE()),IF(AND(A112=0,B112=0,C112&lt;&gt;0),VLOOKUP(C112,'3 - LISTA DE ESPÉCIES'!C:H,4,FALSE()))))</f>
        <v>0</v>
      </c>
      <c r="F112" s="21" t="b">
        <f>IF(AND(A112&lt;&gt;0,B112=0,C112=0),VLOOKUP(A112,'3 - LISTA DE ESPÉCIES'!A:H,2,FALSE()),IF(AND(A112=0,B112&lt;&gt;0,C112=0),VLOOKUP(B112,'3 - LISTA DE ESPÉCIES'!B:H,6,FALSE()),IF(AND(A112=0,B112=0,C112&lt;&gt;0),VLOOKUP(C112,'3 - LISTA DE ESPÉCIES'!C:H,5,FALSE()))))</f>
        <v>0</v>
      </c>
      <c r="G112" s="21" t="b">
        <f>IF(AND(A112&lt;&gt;0,B112=0,C112=0),VLOOKUP(A112,'3 - LISTA DE ESPÉCIES'!A:H,3,FALSE()),IF(AND(A112=0,B112&lt;&gt;0,C112=0),VLOOKUP(B112,'3 - LISTA DE ESPÉCIES'!B:H,7,FALSE()),IF(AND(A112=0,B112=0,C112&lt;&gt;0),VLOOKUP(C112,'3 - LISTA DE ESPÉCIES'!C:H,6,FALSE()))))</f>
        <v>0</v>
      </c>
      <c r="H112" s="21" t="b">
        <f>IF(AND(A112&lt;&gt;0,B112=0,C112=0),VLOOKUP(A112,'3 - LISTA DE ESPÉCIES'!A:H,4,FALSE()),IF(AND(A112=0,B112&lt;&gt;0,C112=0),VLOOKUP(B112,'3 - LISTA DE ESPÉCIES'!B:H,3,FALSE()),IF(AND(A112=0,B112=0,C112&lt;&gt;0),VLOOKUP(C112,'3 - LISTA DE ESPÉCIES'!C:H,2,FALSE()))))</f>
        <v>0</v>
      </c>
      <c r="I112" s="21" t="b">
        <f>IF(AND(A112&lt;&gt;0,B112=0,C112=0),VLOOKUP(A112,'3 - LISTA DE ESPÉCIES'!A:H,5,FALSE()),IF(AND(A112=0,B112&lt;&gt;0,C112=0),VLOOKUP(B112,'3 - LISTA DE ESPÉCIES'!B:H,4,FALSE()),IF(AND(A112=0,B112=0,C112&lt;&gt;0),VLOOKUP(C112,'3 - LISTA DE ESPÉCIES'!C:H,3,FALSE()))))</f>
        <v>0</v>
      </c>
      <c r="J112" s="23"/>
      <c r="K112" s="23"/>
      <c r="L112" s="20"/>
      <c r="M112" s="20"/>
    </row>
    <row r="113" spans="1:13" x14ac:dyDescent="0.25">
      <c r="A113" s="20"/>
      <c r="B113" s="20"/>
      <c r="C113" s="20"/>
      <c r="E113" s="21" t="b">
        <f>IF(AND(A113&lt;&gt;0,B113=0,C113=0),VLOOKUP(A113,'3 - LISTA DE ESPÉCIES'!A:H,1,FALSE()),IF(AND(A113=0,B113&lt;&gt;0,C113=0),VLOOKUP(B113,'3 - LISTA DE ESPÉCIES'!B:H,5,FALSE()),IF(AND(A113=0,B113=0,C113&lt;&gt;0),VLOOKUP(C113,'3 - LISTA DE ESPÉCIES'!C:H,4,FALSE()))))</f>
        <v>0</v>
      </c>
      <c r="F113" s="21" t="b">
        <f>IF(AND(A113&lt;&gt;0,B113=0,C113=0),VLOOKUP(A113,'3 - LISTA DE ESPÉCIES'!A:H,2,FALSE()),IF(AND(A113=0,B113&lt;&gt;0,C113=0),VLOOKUP(B113,'3 - LISTA DE ESPÉCIES'!B:H,6,FALSE()),IF(AND(A113=0,B113=0,C113&lt;&gt;0),VLOOKUP(C113,'3 - LISTA DE ESPÉCIES'!C:H,5,FALSE()))))</f>
        <v>0</v>
      </c>
      <c r="G113" s="21" t="b">
        <f>IF(AND(A113&lt;&gt;0,B113=0,C113=0),VLOOKUP(A113,'3 - LISTA DE ESPÉCIES'!A:H,3,FALSE()),IF(AND(A113=0,B113&lt;&gt;0,C113=0),VLOOKUP(B113,'3 - LISTA DE ESPÉCIES'!B:H,7,FALSE()),IF(AND(A113=0,B113=0,C113&lt;&gt;0),VLOOKUP(C113,'3 - LISTA DE ESPÉCIES'!C:H,6,FALSE()))))</f>
        <v>0</v>
      </c>
      <c r="H113" s="21" t="b">
        <f>IF(AND(A113&lt;&gt;0,B113=0,C113=0),VLOOKUP(A113,'3 - LISTA DE ESPÉCIES'!A:H,4,FALSE()),IF(AND(A113=0,B113&lt;&gt;0,C113=0),VLOOKUP(B113,'3 - LISTA DE ESPÉCIES'!B:H,3,FALSE()),IF(AND(A113=0,B113=0,C113&lt;&gt;0),VLOOKUP(C113,'3 - LISTA DE ESPÉCIES'!C:H,2,FALSE()))))</f>
        <v>0</v>
      </c>
      <c r="I113" s="21" t="b">
        <f>IF(AND(A113&lt;&gt;0,B113=0,C113=0),VLOOKUP(A113,'3 - LISTA DE ESPÉCIES'!A:H,5,FALSE()),IF(AND(A113=0,B113&lt;&gt;0,C113=0),VLOOKUP(B113,'3 - LISTA DE ESPÉCIES'!B:H,4,FALSE()),IF(AND(A113=0,B113=0,C113&lt;&gt;0),VLOOKUP(C113,'3 - LISTA DE ESPÉCIES'!C:H,3,FALSE()))))</f>
        <v>0</v>
      </c>
      <c r="J113" s="23"/>
      <c r="K113" s="23"/>
      <c r="L113" s="20"/>
      <c r="M113" s="20"/>
    </row>
    <row r="114" spans="1:13" x14ac:dyDescent="0.25">
      <c r="A114" s="20"/>
      <c r="B114" s="20"/>
      <c r="C114" s="20"/>
      <c r="E114" s="21" t="b">
        <f>IF(AND(A114&lt;&gt;0,B114=0,C114=0),VLOOKUP(A114,'3 - LISTA DE ESPÉCIES'!A:H,1,FALSE()),IF(AND(A114=0,B114&lt;&gt;0,C114=0),VLOOKUP(B114,'3 - LISTA DE ESPÉCIES'!B:H,5,FALSE()),IF(AND(A114=0,B114=0,C114&lt;&gt;0),VLOOKUP(C114,'3 - LISTA DE ESPÉCIES'!C:H,4,FALSE()))))</f>
        <v>0</v>
      </c>
      <c r="F114" s="21" t="b">
        <f>IF(AND(A114&lt;&gt;0,B114=0,C114=0),VLOOKUP(A114,'3 - LISTA DE ESPÉCIES'!A:H,2,FALSE()),IF(AND(A114=0,B114&lt;&gt;0,C114=0),VLOOKUP(B114,'3 - LISTA DE ESPÉCIES'!B:H,6,FALSE()),IF(AND(A114=0,B114=0,C114&lt;&gt;0),VLOOKUP(C114,'3 - LISTA DE ESPÉCIES'!C:H,5,FALSE()))))</f>
        <v>0</v>
      </c>
      <c r="G114" s="21" t="b">
        <f>IF(AND(A114&lt;&gt;0,B114=0,C114=0),VLOOKUP(A114,'3 - LISTA DE ESPÉCIES'!A:H,3,FALSE()),IF(AND(A114=0,B114&lt;&gt;0,C114=0),VLOOKUP(B114,'3 - LISTA DE ESPÉCIES'!B:H,7,FALSE()),IF(AND(A114=0,B114=0,C114&lt;&gt;0),VLOOKUP(C114,'3 - LISTA DE ESPÉCIES'!C:H,6,FALSE()))))</f>
        <v>0</v>
      </c>
      <c r="H114" s="21" t="b">
        <f>IF(AND(A114&lt;&gt;0,B114=0,C114=0),VLOOKUP(A114,'3 - LISTA DE ESPÉCIES'!A:H,4,FALSE()),IF(AND(A114=0,B114&lt;&gt;0,C114=0),VLOOKUP(B114,'3 - LISTA DE ESPÉCIES'!B:H,3,FALSE()),IF(AND(A114=0,B114=0,C114&lt;&gt;0),VLOOKUP(C114,'3 - LISTA DE ESPÉCIES'!C:H,2,FALSE()))))</f>
        <v>0</v>
      </c>
      <c r="I114" s="21" t="b">
        <f>IF(AND(A114&lt;&gt;0,B114=0,C114=0),VLOOKUP(A114,'3 - LISTA DE ESPÉCIES'!A:H,5,FALSE()),IF(AND(A114=0,B114&lt;&gt;0,C114=0),VLOOKUP(B114,'3 - LISTA DE ESPÉCIES'!B:H,4,FALSE()),IF(AND(A114=0,B114=0,C114&lt;&gt;0),VLOOKUP(C114,'3 - LISTA DE ESPÉCIES'!C:H,3,FALSE()))))</f>
        <v>0</v>
      </c>
      <c r="J114" s="23"/>
      <c r="K114" s="23"/>
      <c r="L114" s="20"/>
      <c r="M114" s="20"/>
    </row>
    <row r="115" spans="1:13" x14ac:dyDescent="0.25">
      <c r="A115" s="20"/>
      <c r="B115" s="20"/>
      <c r="C115" s="20"/>
      <c r="E115" s="21" t="b">
        <f>IF(AND(A115&lt;&gt;0,B115=0,C115=0),VLOOKUP(A115,'3 - LISTA DE ESPÉCIES'!A:H,1,FALSE()),IF(AND(A115=0,B115&lt;&gt;0,C115=0),VLOOKUP(B115,'3 - LISTA DE ESPÉCIES'!B:H,5,FALSE()),IF(AND(A115=0,B115=0,C115&lt;&gt;0),VLOOKUP(C115,'3 - LISTA DE ESPÉCIES'!C:H,4,FALSE()))))</f>
        <v>0</v>
      </c>
      <c r="F115" s="21" t="b">
        <f>IF(AND(A115&lt;&gt;0,B115=0,C115=0),VLOOKUP(A115,'3 - LISTA DE ESPÉCIES'!A:H,2,FALSE()),IF(AND(A115=0,B115&lt;&gt;0,C115=0),VLOOKUP(B115,'3 - LISTA DE ESPÉCIES'!B:H,6,FALSE()),IF(AND(A115=0,B115=0,C115&lt;&gt;0),VLOOKUP(C115,'3 - LISTA DE ESPÉCIES'!C:H,5,FALSE()))))</f>
        <v>0</v>
      </c>
      <c r="G115" s="21" t="b">
        <f>IF(AND(A115&lt;&gt;0,B115=0,C115=0),VLOOKUP(A115,'3 - LISTA DE ESPÉCIES'!A:H,3,FALSE()),IF(AND(A115=0,B115&lt;&gt;0,C115=0),VLOOKUP(B115,'3 - LISTA DE ESPÉCIES'!B:H,7,FALSE()),IF(AND(A115=0,B115=0,C115&lt;&gt;0),VLOOKUP(C115,'3 - LISTA DE ESPÉCIES'!C:H,6,FALSE()))))</f>
        <v>0</v>
      </c>
      <c r="H115" s="21" t="b">
        <f>IF(AND(A115&lt;&gt;0,B115=0,C115=0),VLOOKUP(A115,'3 - LISTA DE ESPÉCIES'!A:H,4,FALSE()),IF(AND(A115=0,B115&lt;&gt;0,C115=0),VLOOKUP(B115,'3 - LISTA DE ESPÉCIES'!B:H,3,FALSE()),IF(AND(A115=0,B115=0,C115&lt;&gt;0),VLOOKUP(C115,'3 - LISTA DE ESPÉCIES'!C:H,2,FALSE()))))</f>
        <v>0</v>
      </c>
      <c r="I115" s="21" t="b">
        <f>IF(AND(A115&lt;&gt;0,B115=0,C115=0),VLOOKUP(A115,'3 - LISTA DE ESPÉCIES'!A:H,5,FALSE()),IF(AND(A115=0,B115&lt;&gt;0,C115=0),VLOOKUP(B115,'3 - LISTA DE ESPÉCIES'!B:H,4,FALSE()),IF(AND(A115=0,B115=0,C115&lt;&gt;0),VLOOKUP(C115,'3 - LISTA DE ESPÉCIES'!C:H,3,FALSE()))))</f>
        <v>0</v>
      </c>
      <c r="J115" s="23"/>
      <c r="K115" s="23"/>
      <c r="L115" s="20"/>
      <c r="M115" s="20"/>
    </row>
    <row r="116" spans="1:13" x14ac:dyDescent="0.25">
      <c r="A116" s="20"/>
      <c r="B116" s="20"/>
      <c r="C116" s="20"/>
      <c r="E116" s="21" t="b">
        <f>IF(AND(A116&lt;&gt;0,B116=0,C116=0),VLOOKUP(A116,'3 - LISTA DE ESPÉCIES'!A:H,1,FALSE()),IF(AND(A116=0,B116&lt;&gt;0,C116=0),VLOOKUP(B116,'3 - LISTA DE ESPÉCIES'!B:H,5,FALSE()),IF(AND(A116=0,B116=0,C116&lt;&gt;0),VLOOKUP(C116,'3 - LISTA DE ESPÉCIES'!C:H,4,FALSE()))))</f>
        <v>0</v>
      </c>
      <c r="F116" s="21" t="b">
        <f>IF(AND(A116&lt;&gt;0,B116=0,C116=0),VLOOKUP(A116,'3 - LISTA DE ESPÉCIES'!A:H,2,FALSE()),IF(AND(A116=0,B116&lt;&gt;0,C116=0),VLOOKUP(B116,'3 - LISTA DE ESPÉCIES'!B:H,6,FALSE()),IF(AND(A116=0,B116=0,C116&lt;&gt;0),VLOOKUP(C116,'3 - LISTA DE ESPÉCIES'!C:H,5,FALSE()))))</f>
        <v>0</v>
      </c>
      <c r="G116" s="21" t="b">
        <f>IF(AND(A116&lt;&gt;0,B116=0,C116=0),VLOOKUP(A116,'3 - LISTA DE ESPÉCIES'!A:H,3,FALSE()),IF(AND(A116=0,B116&lt;&gt;0,C116=0),VLOOKUP(B116,'3 - LISTA DE ESPÉCIES'!B:H,7,FALSE()),IF(AND(A116=0,B116=0,C116&lt;&gt;0),VLOOKUP(C116,'3 - LISTA DE ESPÉCIES'!C:H,6,FALSE()))))</f>
        <v>0</v>
      </c>
      <c r="H116" s="21" t="b">
        <f>IF(AND(A116&lt;&gt;0,B116=0,C116=0),VLOOKUP(A116,'3 - LISTA DE ESPÉCIES'!A:H,4,FALSE()),IF(AND(A116=0,B116&lt;&gt;0,C116=0),VLOOKUP(B116,'3 - LISTA DE ESPÉCIES'!B:H,3,FALSE()),IF(AND(A116=0,B116=0,C116&lt;&gt;0),VLOOKUP(C116,'3 - LISTA DE ESPÉCIES'!C:H,2,FALSE()))))</f>
        <v>0</v>
      </c>
      <c r="I116" s="21" t="b">
        <f>IF(AND(A116&lt;&gt;0,B116=0,C116=0),VLOOKUP(A116,'3 - LISTA DE ESPÉCIES'!A:H,5,FALSE()),IF(AND(A116=0,B116&lt;&gt;0,C116=0),VLOOKUP(B116,'3 - LISTA DE ESPÉCIES'!B:H,4,FALSE()),IF(AND(A116=0,B116=0,C116&lt;&gt;0),VLOOKUP(C116,'3 - LISTA DE ESPÉCIES'!C:H,3,FALSE()))))</f>
        <v>0</v>
      </c>
      <c r="J116" s="23"/>
      <c r="K116" s="23"/>
      <c r="L116" s="20"/>
      <c r="M116" s="20"/>
    </row>
    <row r="117" spans="1:13" x14ac:dyDescent="0.25">
      <c r="A117" s="20"/>
      <c r="B117" s="20"/>
      <c r="C117" s="20"/>
      <c r="E117" s="21" t="b">
        <f>IF(AND(A117&lt;&gt;0,B117=0,C117=0),VLOOKUP(A117,'3 - LISTA DE ESPÉCIES'!A:H,1,FALSE()),IF(AND(A117=0,B117&lt;&gt;0,C117=0),VLOOKUP(B117,'3 - LISTA DE ESPÉCIES'!B:H,5,FALSE()),IF(AND(A117=0,B117=0,C117&lt;&gt;0),VLOOKUP(C117,'3 - LISTA DE ESPÉCIES'!C:H,4,FALSE()))))</f>
        <v>0</v>
      </c>
      <c r="F117" s="21" t="b">
        <f>IF(AND(A117&lt;&gt;0,B117=0,C117=0),VLOOKUP(A117,'3 - LISTA DE ESPÉCIES'!A:H,2,FALSE()),IF(AND(A117=0,B117&lt;&gt;0,C117=0),VLOOKUP(B117,'3 - LISTA DE ESPÉCIES'!B:H,6,FALSE()),IF(AND(A117=0,B117=0,C117&lt;&gt;0),VLOOKUP(C117,'3 - LISTA DE ESPÉCIES'!C:H,5,FALSE()))))</f>
        <v>0</v>
      </c>
      <c r="G117" s="21" t="b">
        <f>IF(AND(A117&lt;&gt;0,B117=0,C117=0),VLOOKUP(A117,'3 - LISTA DE ESPÉCIES'!A:H,3,FALSE()),IF(AND(A117=0,B117&lt;&gt;0,C117=0),VLOOKUP(B117,'3 - LISTA DE ESPÉCIES'!B:H,7,FALSE()),IF(AND(A117=0,B117=0,C117&lt;&gt;0),VLOOKUP(C117,'3 - LISTA DE ESPÉCIES'!C:H,6,FALSE()))))</f>
        <v>0</v>
      </c>
      <c r="H117" s="21" t="b">
        <f>IF(AND(A117&lt;&gt;0,B117=0,C117=0),VLOOKUP(A117,'3 - LISTA DE ESPÉCIES'!A:H,4,FALSE()),IF(AND(A117=0,B117&lt;&gt;0,C117=0),VLOOKUP(B117,'3 - LISTA DE ESPÉCIES'!B:H,3,FALSE()),IF(AND(A117=0,B117=0,C117&lt;&gt;0),VLOOKUP(C117,'3 - LISTA DE ESPÉCIES'!C:H,2,FALSE()))))</f>
        <v>0</v>
      </c>
      <c r="I117" s="21" t="b">
        <f>IF(AND(A117&lt;&gt;0,B117=0,C117=0),VLOOKUP(A117,'3 - LISTA DE ESPÉCIES'!A:H,5,FALSE()),IF(AND(A117=0,B117&lt;&gt;0,C117=0),VLOOKUP(B117,'3 - LISTA DE ESPÉCIES'!B:H,4,FALSE()),IF(AND(A117=0,B117=0,C117&lt;&gt;0),VLOOKUP(C117,'3 - LISTA DE ESPÉCIES'!C:H,3,FALSE()))))</f>
        <v>0</v>
      </c>
      <c r="J117" s="23"/>
      <c r="K117" s="23"/>
      <c r="L117" s="20"/>
      <c r="M117" s="20"/>
    </row>
    <row r="118" spans="1:13" x14ac:dyDescent="0.25">
      <c r="A118" s="20"/>
      <c r="B118" s="20"/>
      <c r="C118" s="20"/>
      <c r="E118" s="21" t="b">
        <f>IF(AND(A118&lt;&gt;0,B118=0,C118=0),VLOOKUP(A118,'3 - LISTA DE ESPÉCIES'!A:H,1,FALSE()),IF(AND(A118=0,B118&lt;&gt;0,C118=0),VLOOKUP(B118,'3 - LISTA DE ESPÉCIES'!B:H,5,FALSE()),IF(AND(A118=0,B118=0,C118&lt;&gt;0),VLOOKUP(C118,'3 - LISTA DE ESPÉCIES'!C:H,4,FALSE()))))</f>
        <v>0</v>
      </c>
      <c r="F118" s="21" t="b">
        <f>IF(AND(A118&lt;&gt;0,B118=0,C118=0),VLOOKUP(A118,'3 - LISTA DE ESPÉCIES'!A:H,2,FALSE()),IF(AND(A118=0,B118&lt;&gt;0,C118=0),VLOOKUP(B118,'3 - LISTA DE ESPÉCIES'!B:H,6,FALSE()),IF(AND(A118=0,B118=0,C118&lt;&gt;0),VLOOKUP(C118,'3 - LISTA DE ESPÉCIES'!C:H,5,FALSE()))))</f>
        <v>0</v>
      </c>
      <c r="G118" s="21" t="b">
        <f>IF(AND(A118&lt;&gt;0,B118=0,C118=0),VLOOKUP(A118,'3 - LISTA DE ESPÉCIES'!A:H,3,FALSE()),IF(AND(A118=0,B118&lt;&gt;0,C118=0),VLOOKUP(B118,'3 - LISTA DE ESPÉCIES'!B:H,7,FALSE()),IF(AND(A118=0,B118=0,C118&lt;&gt;0),VLOOKUP(C118,'3 - LISTA DE ESPÉCIES'!C:H,6,FALSE()))))</f>
        <v>0</v>
      </c>
      <c r="H118" s="21" t="b">
        <f>IF(AND(A118&lt;&gt;0,B118=0,C118=0),VLOOKUP(A118,'3 - LISTA DE ESPÉCIES'!A:H,4,FALSE()),IF(AND(A118=0,B118&lt;&gt;0,C118=0),VLOOKUP(B118,'3 - LISTA DE ESPÉCIES'!B:H,3,FALSE()),IF(AND(A118=0,B118=0,C118&lt;&gt;0),VLOOKUP(C118,'3 - LISTA DE ESPÉCIES'!C:H,2,FALSE()))))</f>
        <v>0</v>
      </c>
      <c r="I118" s="21" t="b">
        <f>IF(AND(A118&lt;&gt;0,B118=0,C118=0),VLOOKUP(A118,'3 - LISTA DE ESPÉCIES'!A:H,5,FALSE()),IF(AND(A118=0,B118&lt;&gt;0,C118=0),VLOOKUP(B118,'3 - LISTA DE ESPÉCIES'!B:H,4,FALSE()),IF(AND(A118=0,B118=0,C118&lt;&gt;0),VLOOKUP(C118,'3 - LISTA DE ESPÉCIES'!C:H,3,FALSE()))))</f>
        <v>0</v>
      </c>
      <c r="J118" s="23"/>
      <c r="K118" s="23"/>
      <c r="L118" s="20"/>
      <c r="M118" s="20"/>
    </row>
    <row r="119" spans="1:13" x14ac:dyDescent="0.25">
      <c r="A119" s="20"/>
      <c r="B119" s="20"/>
      <c r="C119" s="20"/>
      <c r="E119" s="21" t="b">
        <f>IF(AND(A119&lt;&gt;0,B119=0,C119=0),VLOOKUP(A119,'3 - LISTA DE ESPÉCIES'!A:H,1,FALSE()),IF(AND(A119=0,B119&lt;&gt;0,C119=0),VLOOKUP(B119,'3 - LISTA DE ESPÉCIES'!B:H,5,FALSE()),IF(AND(A119=0,B119=0,C119&lt;&gt;0),VLOOKUP(C119,'3 - LISTA DE ESPÉCIES'!C:H,4,FALSE()))))</f>
        <v>0</v>
      </c>
      <c r="F119" s="21" t="b">
        <f>IF(AND(A119&lt;&gt;0,B119=0,C119=0),VLOOKUP(A119,'3 - LISTA DE ESPÉCIES'!A:H,2,FALSE()),IF(AND(A119=0,B119&lt;&gt;0,C119=0),VLOOKUP(B119,'3 - LISTA DE ESPÉCIES'!B:H,6,FALSE()),IF(AND(A119=0,B119=0,C119&lt;&gt;0),VLOOKUP(C119,'3 - LISTA DE ESPÉCIES'!C:H,5,FALSE()))))</f>
        <v>0</v>
      </c>
      <c r="G119" s="21" t="b">
        <f>IF(AND(A119&lt;&gt;0,B119=0,C119=0),VLOOKUP(A119,'3 - LISTA DE ESPÉCIES'!A:H,3,FALSE()),IF(AND(A119=0,B119&lt;&gt;0,C119=0),VLOOKUP(B119,'3 - LISTA DE ESPÉCIES'!B:H,7,FALSE()),IF(AND(A119=0,B119=0,C119&lt;&gt;0),VLOOKUP(C119,'3 - LISTA DE ESPÉCIES'!C:H,6,FALSE()))))</f>
        <v>0</v>
      </c>
      <c r="H119" s="21" t="b">
        <f>IF(AND(A119&lt;&gt;0,B119=0,C119=0),VLOOKUP(A119,'3 - LISTA DE ESPÉCIES'!A:H,4,FALSE()),IF(AND(A119=0,B119&lt;&gt;0,C119=0),VLOOKUP(B119,'3 - LISTA DE ESPÉCIES'!B:H,3,FALSE()),IF(AND(A119=0,B119=0,C119&lt;&gt;0),VLOOKUP(C119,'3 - LISTA DE ESPÉCIES'!C:H,2,FALSE()))))</f>
        <v>0</v>
      </c>
      <c r="I119" s="21" t="b">
        <f>IF(AND(A119&lt;&gt;0,B119=0,C119=0),VLOOKUP(A119,'3 - LISTA DE ESPÉCIES'!A:H,5,FALSE()),IF(AND(A119=0,B119&lt;&gt;0,C119=0),VLOOKUP(B119,'3 - LISTA DE ESPÉCIES'!B:H,4,FALSE()),IF(AND(A119=0,B119=0,C119&lt;&gt;0),VLOOKUP(C119,'3 - LISTA DE ESPÉCIES'!C:H,3,FALSE()))))</f>
        <v>0</v>
      </c>
      <c r="J119" s="23"/>
      <c r="K119" s="23"/>
      <c r="L119" s="20"/>
      <c r="M119" s="20"/>
    </row>
    <row r="120" spans="1:13" x14ac:dyDescent="0.25">
      <c r="A120" s="20"/>
      <c r="B120" s="20"/>
      <c r="C120" s="20"/>
      <c r="E120" s="21" t="b">
        <f>IF(AND(A120&lt;&gt;0,B120=0,C120=0),VLOOKUP(A120,'3 - LISTA DE ESPÉCIES'!A:H,1,FALSE()),IF(AND(A120=0,B120&lt;&gt;0,C120=0),VLOOKUP(B120,'3 - LISTA DE ESPÉCIES'!B:H,5,FALSE()),IF(AND(A120=0,B120=0,C120&lt;&gt;0),VLOOKUP(C120,'3 - LISTA DE ESPÉCIES'!C:H,4,FALSE()))))</f>
        <v>0</v>
      </c>
      <c r="F120" s="21" t="b">
        <f>IF(AND(A120&lt;&gt;0,B120=0,C120=0),VLOOKUP(A120,'3 - LISTA DE ESPÉCIES'!A:H,2,FALSE()),IF(AND(A120=0,B120&lt;&gt;0,C120=0),VLOOKUP(B120,'3 - LISTA DE ESPÉCIES'!B:H,6,FALSE()),IF(AND(A120=0,B120=0,C120&lt;&gt;0),VLOOKUP(C120,'3 - LISTA DE ESPÉCIES'!C:H,5,FALSE()))))</f>
        <v>0</v>
      </c>
      <c r="G120" s="21" t="b">
        <f>IF(AND(A120&lt;&gt;0,B120=0,C120=0),VLOOKUP(A120,'3 - LISTA DE ESPÉCIES'!A:H,3,FALSE()),IF(AND(A120=0,B120&lt;&gt;0,C120=0),VLOOKUP(B120,'3 - LISTA DE ESPÉCIES'!B:H,7,FALSE()),IF(AND(A120=0,B120=0,C120&lt;&gt;0),VLOOKUP(C120,'3 - LISTA DE ESPÉCIES'!C:H,6,FALSE()))))</f>
        <v>0</v>
      </c>
      <c r="H120" s="21" t="b">
        <f>IF(AND(A120&lt;&gt;0,B120=0,C120=0),VLOOKUP(A120,'3 - LISTA DE ESPÉCIES'!A:H,4,FALSE()),IF(AND(A120=0,B120&lt;&gt;0,C120=0),VLOOKUP(B120,'3 - LISTA DE ESPÉCIES'!B:H,3,FALSE()),IF(AND(A120=0,B120=0,C120&lt;&gt;0),VLOOKUP(C120,'3 - LISTA DE ESPÉCIES'!C:H,2,FALSE()))))</f>
        <v>0</v>
      </c>
      <c r="I120" s="21" t="b">
        <f>IF(AND(A120&lt;&gt;0,B120=0,C120=0),VLOOKUP(A120,'3 - LISTA DE ESPÉCIES'!A:H,5,FALSE()),IF(AND(A120=0,B120&lt;&gt;0,C120=0),VLOOKUP(B120,'3 - LISTA DE ESPÉCIES'!B:H,4,FALSE()),IF(AND(A120=0,B120=0,C120&lt;&gt;0),VLOOKUP(C120,'3 - LISTA DE ESPÉCIES'!C:H,3,FALSE()))))</f>
        <v>0</v>
      </c>
      <c r="J120" s="23"/>
      <c r="K120" s="23"/>
      <c r="L120" s="20"/>
      <c r="M120" s="20"/>
    </row>
    <row r="121" spans="1:13" x14ac:dyDescent="0.25">
      <c r="A121" s="20"/>
      <c r="B121" s="20"/>
      <c r="C121" s="20"/>
      <c r="E121" s="21" t="b">
        <f>IF(AND(A121&lt;&gt;0,B121=0,C121=0),VLOOKUP(A121,'3 - LISTA DE ESPÉCIES'!A:H,1,FALSE()),IF(AND(A121=0,B121&lt;&gt;0,C121=0),VLOOKUP(B121,'3 - LISTA DE ESPÉCIES'!B:H,5,FALSE()),IF(AND(A121=0,B121=0,C121&lt;&gt;0),VLOOKUP(C121,'3 - LISTA DE ESPÉCIES'!C:H,4,FALSE()))))</f>
        <v>0</v>
      </c>
      <c r="F121" s="21" t="b">
        <f>IF(AND(A121&lt;&gt;0,B121=0,C121=0),VLOOKUP(A121,'3 - LISTA DE ESPÉCIES'!A:H,2,FALSE()),IF(AND(A121=0,B121&lt;&gt;0,C121=0),VLOOKUP(B121,'3 - LISTA DE ESPÉCIES'!B:H,6,FALSE()),IF(AND(A121=0,B121=0,C121&lt;&gt;0),VLOOKUP(C121,'3 - LISTA DE ESPÉCIES'!C:H,5,FALSE()))))</f>
        <v>0</v>
      </c>
      <c r="G121" s="21" t="b">
        <f>IF(AND(A121&lt;&gt;0,B121=0,C121=0),VLOOKUP(A121,'3 - LISTA DE ESPÉCIES'!A:H,3,FALSE()),IF(AND(A121=0,B121&lt;&gt;0,C121=0),VLOOKUP(B121,'3 - LISTA DE ESPÉCIES'!B:H,7,FALSE()),IF(AND(A121=0,B121=0,C121&lt;&gt;0),VLOOKUP(C121,'3 - LISTA DE ESPÉCIES'!C:H,6,FALSE()))))</f>
        <v>0</v>
      </c>
      <c r="H121" s="21" t="b">
        <f>IF(AND(A121&lt;&gt;0,B121=0,C121=0),VLOOKUP(A121,'3 - LISTA DE ESPÉCIES'!A:H,4,FALSE()),IF(AND(A121=0,B121&lt;&gt;0,C121=0),VLOOKUP(B121,'3 - LISTA DE ESPÉCIES'!B:H,3,FALSE()),IF(AND(A121=0,B121=0,C121&lt;&gt;0),VLOOKUP(C121,'3 - LISTA DE ESPÉCIES'!C:H,2,FALSE()))))</f>
        <v>0</v>
      </c>
      <c r="I121" s="21" t="b">
        <f>IF(AND(A121&lt;&gt;0,B121=0,C121=0),VLOOKUP(A121,'3 - LISTA DE ESPÉCIES'!A:H,5,FALSE()),IF(AND(A121=0,B121&lt;&gt;0,C121=0),VLOOKUP(B121,'3 - LISTA DE ESPÉCIES'!B:H,4,FALSE()),IF(AND(A121=0,B121=0,C121&lt;&gt;0),VLOOKUP(C121,'3 - LISTA DE ESPÉCIES'!C:H,3,FALSE()))))</f>
        <v>0</v>
      </c>
      <c r="J121" s="23"/>
      <c r="K121" s="23"/>
      <c r="L121" s="20"/>
      <c r="M121" s="20"/>
    </row>
    <row r="122" spans="1:13" x14ac:dyDescent="0.25">
      <c r="A122" s="20"/>
      <c r="B122" s="20"/>
      <c r="C122" s="20"/>
      <c r="E122" s="21" t="b">
        <f>IF(AND(A122&lt;&gt;0,B122=0,C122=0),VLOOKUP(A122,'3 - LISTA DE ESPÉCIES'!A:H,1,FALSE()),IF(AND(A122=0,B122&lt;&gt;0,C122=0),VLOOKUP(B122,'3 - LISTA DE ESPÉCIES'!B:H,5,FALSE()),IF(AND(A122=0,B122=0,C122&lt;&gt;0),VLOOKUP(C122,'3 - LISTA DE ESPÉCIES'!C:H,4,FALSE()))))</f>
        <v>0</v>
      </c>
      <c r="F122" s="21" t="b">
        <f>IF(AND(A122&lt;&gt;0,B122=0,C122=0),VLOOKUP(A122,'3 - LISTA DE ESPÉCIES'!A:H,2,FALSE()),IF(AND(A122=0,B122&lt;&gt;0,C122=0),VLOOKUP(B122,'3 - LISTA DE ESPÉCIES'!B:H,6,FALSE()),IF(AND(A122=0,B122=0,C122&lt;&gt;0),VLOOKUP(C122,'3 - LISTA DE ESPÉCIES'!C:H,5,FALSE()))))</f>
        <v>0</v>
      </c>
      <c r="G122" s="21" t="b">
        <f>IF(AND(A122&lt;&gt;0,B122=0,C122=0),VLOOKUP(A122,'3 - LISTA DE ESPÉCIES'!A:H,3,FALSE()),IF(AND(A122=0,B122&lt;&gt;0,C122=0),VLOOKUP(B122,'3 - LISTA DE ESPÉCIES'!B:H,7,FALSE()),IF(AND(A122=0,B122=0,C122&lt;&gt;0),VLOOKUP(C122,'3 - LISTA DE ESPÉCIES'!C:H,6,FALSE()))))</f>
        <v>0</v>
      </c>
      <c r="H122" s="21" t="b">
        <f>IF(AND(A122&lt;&gt;0,B122=0,C122=0),VLOOKUP(A122,'3 - LISTA DE ESPÉCIES'!A:H,4,FALSE()),IF(AND(A122=0,B122&lt;&gt;0,C122=0),VLOOKUP(B122,'3 - LISTA DE ESPÉCIES'!B:H,3,FALSE()),IF(AND(A122=0,B122=0,C122&lt;&gt;0),VLOOKUP(C122,'3 - LISTA DE ESPÉCIES'!C:H,2,FALSE()))))</f>
        <v>0</v>
      </c>
      <c r="I122" s="21" t="b">
        <f>IF(AND(A122&lt;&gt;0,B122=0,C122=0),VLOOKUP(A122,'3 - LISTA DE ESPÉCIES'!A:H,5,FALSE()),IF(AND(A122=0,B122&lt;&gt;0,C122=0),VLOOKUP(B122,'3 - LISTA DE ESPÉCIES'!B:H,4,FALSE()),IF(AND(A122=0,B122=0,C122&lt;&gt;0),VLOOKUP(C122,'3 - LISTA DE ESPÉCIES'!C:H,3,FALSE()))))</f>
        <v>0</v>
      </c>
      <c r="J122" s="23"/>
      <c r="K122" s="23"/>
      <c r="L122" s="20"/>
      <c r="M122" s="20"/>
    </row>
    <row r="123" spans="1:13" x14ac:dyDescent="0.25">
      <c r="A123" s="20"/>
      <c r="B123" s="20"/>
      <c r="C123" s="20"/>
      <c r="E123" s="21" t="b">
        <f>IF(AND(A123&lt;&gt;0,B123=0,C123=0),VLOOKUP(A123,'3 - LISTA DE ESPÉCIES'!A:H,1,FALSE()),IF(AND(A123=0,B123&lt;&gt;0,C123=0),VLOOKUP(B123,'3 - LISTA DE ESPÉCIES'!B:H,5,FALSE()),IF(AND(A123=0,B123=0,C123&lt;&gt;0),VLOOKUP(C123,'3 - LISTA DE ESPÉCIES'!C:H,4,FALSE()))))</f>
        <v>0</v>
      </c>
      <c r="F123" s="21" t="b">
        <f>IF(AND(A123&lt;&gt;0,B123=0,C123=0),VLOOKUP(A123,'3 - LISTA DE ESPÉCIES'!A:H,2,FALSE()),IF(AND(A123=0,B123&lt;&gt;0,C123=0),VLOOKUP(B123,'3 - LISTA DE ESPÉCIES'!B:H,6,FALSE()),IF(AND(A123=0,B123=0,C123&lt;&gt;0),VLOOKUP(C123,'3 - LISTA DE ESPÉCIES'!C:H,5,FALSE()))))</f>
        <v>0</v>
      </c>
      <c r="G123" s="21" t="b">
        <f>IF(AND(A123&lt;&gt;0,B123=0,C123=0),VLOOKUP(A123,'3 - LISTA DE ESPÉCIES'!A:H,3,FALSE()),IF(AND(A123=0,B123&lt;&gt;0,C123=0),VLOOKUP(B123,'3 - LISTA DE ESPÉCIES'!B:H,7,FALSE()),IF(AND(A123=0,B123=0,C123&lt;&gt;0),VLOOKUP(C123,'3 - LISTA DE ESPÉCIES'!C:H,6,FALSE()))))</f>
        <v>0</v>
      </c>
      <c r="H123" s="21" t="b">
        <f>IF(AND(A123&lt;&gt;0,B123=0,C123=0),VLOOKUP(A123,'3 - LISTA DE ESPÉCIES'!A:H,4,FALSE()),IF(AND(A123=0,B123&lt;&gt;0,C123=0),VLOOKUP(B123,'3 - LISTA DE ESPÉCIES'!B:H,3,FALSE()),IF(AND(A123=0,B123=0,C123&lt;&gt;0),VLOOKUP(C123,'3 - LISTA DE ESPÉCIES'!C:H,2,FALSE()))))</f>
        <v>0</v>
      </c>
      <c r="I123" s="21" t="b">
        <f>IF(AND(A123&lt;&gt;0,B123=0,C123=0),VLOOKUP(A123,'3 - LISTA DE ESPÉCIES'!A:H,5,FALSE()),IF(AND(A123=0,B123&lt;&gt;0,C123=0),VLOOKUP(B123,'3 - LISTA DE ESPÉCIES'!B:H,4,FALSE()),IF(AND(A123=0,B123=0,C123&lt;&gt;0),VLOOKUP(C123,'3 - LISTA DE ESPÉCIES'!C:H,3,FALSE()))))</f>
        <v>0</v>
      </c>
      <c r="J123" s="23"/>
      <c r="K123" s="23"/>
      <c r="L123" s="20"/>
      <c r="M123" s="20"/>
    </row>
    <row r="124" spans="1:13" x14ac:dyDescent="0.25">
      <c r="A124" s="20"/>
      <c r="B124" s="20"/>
      <c r="C124" s="20"/>
      <c r="E124" s="21" t="b">
        <f>IF(AND(A124&lt;&gt;0,B124=0,C124=0),VLOOKUP(A124,'3 - LISTA DE ESPÉCIES'!A:H,1,FALSE()),IF(AND(A124=0,B124&lt;&gt;0,C124=0),VLOOKUP(B124,'3 - LISTA DE ESPÉCIES'!B:H,5,FALSE()),IF(AND(A124=0,B124=0,C124&lt;&gt;0),VLOOKUP(C124,'3 - LISTA DE ESPÉCIES'!C:H,4,FALSE()))))</f>
        <v>0</v>
      </c>
      <c r="F124" s="21" t="b">
        <f>IF(AND(A124&lt;&gt;0,B124=0,C124=0),VLOOKUP(A124,'3 - LISTA DE ESPÉCIES'!A:H,2,FALSE()),IF(AND(A124=0,B124&lt;&gt;0,C124=0),VLOOKUP(B124,'3 - LISTA DE ESPÉCIES'!B:H,6,FALSE()),IF(AND(A124=0,B124=0,C124&lt;&gt;0),VLOOKUP(C124,'3 - LISTA DE ESPÉCIES'!C:H,5,FALSE()))))</f>
        <v>0</v>
      </c>
      <c r="G124" s="21" t="b">
        <f>IF(AND(A124&lt;&gt;0,B124=0,C124=0),VLOOKUP(A124,'3 - LISTA DE ESPÉCIES'!A:H,3,FALSE()),IF(AND(A124=0,B124&lt;&gt;0,C124=0),VLOOKUP(B124,'3 - LISTA DE ESPÉCIES'!B:H,7,FALSE()),IF(AND(A124=0,B124=0,C124&lt;&gt;0),VLOOKUP(C124,'3 - LISTA DE ESPÉCIES'!C:H,6,FALSE()))))</f>
        <v>0</v>
      </c>
      <c r="H124" s="21" t="b">
        <f>IF(AND(A124&lt;&gt;0,B124=0,C124=0),VLOOKUP(A124,'3 - LISTA DE ESPÉCIES'!A:H,4,FALSE()),IF(AND(A124=0,B124&lt;&gt;0,C124=0),VLOOKUP(B124,'3 - LISTA DE ESPÉCIES'!B:H,3,FALSE()),IF(AND(A124=0,B124=0,C124&lt;&gt;0),VLOOKUP(C124,'3 - LISTA DE ESPÉCIES'!C:H,2,FALSE()))))</f>
        <v>0</v>
      </c>
      <c r="I124" s="21" t="b">
        <f>IF(AND(A124&lt;&gt;0,B124=0,C124=0),VLOOKUP(A124,'3 - LISTA DE ESPÉCIES'!A:H,5,FALSE()),IF(AND(A124=0,B124&lt;&gt;0,C124=0),VLOOKUP(B124,'3 - LISTA DE ESPÉCIES'!B:H,4,FALSE()),IF(AND(A124=0,B124=0,C124&lt;&gt;0),VLOOKUP(C124,'3 - LISTA DE ESPÉCIES'!C:H,3,FALSE()))))</f>
        <v>0</v>
      </c>
      <c r="J124" s="23"/>
      <c r="K124" s="23"/>
      <c r="L124" s="20"/>
      <c r="M124" s="20"/>
    </row>
    <row r="125" spans="1:13" x14ac:dyDescent="0.25">
      <c r="A125" s="20"/>
      <c r="B125" s="20"/>
      <c r="C125" s="20"/>
      <c r="E125" s="21" t="b">
        <f>IF(AND(A125&lt;&gt;0,B125=0,C125=0),VLOOKUP(A125,'3 - LISTA DE ESPÉCIES'!A:H,1,FALSE()),IF(AND(A125=0,B125&lt;&gt;0,C125=0),VLOOKUP(B125,'3 - LISTA DE ESPÉCIES'!B:H,5,FALSE()),IF(AND(A125=0,B125=0,C125&lt;&gt;0),VLOOKUP(C125,'3 - LISTA DE ESPÉCIES'!C:H,4,FALSE()))))</f>
        <v>0</v>
      </c>
      <c r="F125" s="21" t="b">
        <f>IF(AND(A125&lt;&gt;0,B125=0,C125=0),VLOOKUP(A125,'3 - LISTA DE ESPÉCIES'!A:H,2,FALSE()),IF(AND(A125=0,B125&lt;&gt;0,C125=0),VLOOKUP(B125,'3 - LISTA DE ESPÉCIES'!B:H,6,FALSE()),IF(AND(A125=0,B125=0,C125&lt;&gt;0),VLOOKUP(C125,'3 - LISTA DE ESPÉCIES'!C:H,5,FALSE()))))</f>
        <v>0</v>
      </c>
      <c r="G125" s="21" t="b">
        <f>IF(AND(A125&lt;&gt;0,B125=0,C125=0),VLOOKUP(A125,'3 - LISTA DE ESPÉCIES'!A:H,3,FALSE()),IF(AND(A125=0,B125&lt;&gt;0,C125=0),VLOOKUP(B125,'3 - LISTA DE ESPÉCIES'!B:H,7,FALSE()),IF(AND(A125=0,B125=0,C125&lt;&gt;0),VLOOKUP(C125,'3 - LISTA DE ESPÉCIES'!C:H,6,FALSE()))))</f>
        <v>0</v>
      </c>
      <c r="H125" s="21" t="b">
        <f>IF(AND(A125&lt;&gt;0,B125=0,C125=0),VLOOKUP(A125,'3 - LISTA DE ESPÉCIES'!A:H,4,FALSE()),IF(AND(A125=0,B125&lt;&gt;0,C125=0),VLOOKUP(B125,'3 - LISTA DE ESPÉCIES'!B:H,3,FALSE()),IF(AND(A125=0,B125=0,C125&lt;&gt;0),VLOOKUP(C125,'3 - LISTA DE ESPÉCIES'!C:H,2,FALSE()))))</f>
        <v>0</v>
      </c>
      <c r="I125" s="21" t="b">
        <f>IF(AND(A125&lt;&gt;0,B125=0,C125=0),VLOOKUP(A125,'3 - LISTA DE ESPÉCIES'!A:H,5,FALSE()),IF(AND(A125=0,B125&lt;&gt;0,C125=0),VLOOKUP(B125,'3 - LISTA DE ESPÉCIES'!B:H,4,FALSE()),IF(AND(A125=0,B125=0,C125&lt;&gt;0),VLOOKUP(C125,'3 - LISTA DE ESPÉCIES'!C:H,3,FALSE()))))</f>
        <v>0</v>
      </c>
      <c r="J125" s="23"/>
      <c r="K125" s="23"/>
      <c r="L125" s="20"/>
      <c r="M125" s="20"/>
    </row>
    <row r="126" spans="1:13" x14ac:dyDescent="0.25">
      <c r="A126" s="20"/>
      <c r="B126" s="20"/>
      <c r="C126" s="20"/>
      <c r="E126" s="21" t="b">
        <f>IF(AND(A126&lt;&gt;0,B126=0,C126=0),VLOOKUP(A126,'3 - LISTA DE ESPÉCIES'!A:H,1,FALSE()),IF(AND(A126=0,B126&lt;&gt;0,C126=0),VLOOKUP(B126,'3 - LISTA DE ESPÉCIES'!B:H,5,FALSE()),IF(AND(A126=0,B126=0,C126&lt;&gt;0),VLOOKUP(C126,'3 - LISTA DE ESPÉCIES'!C:H,4,FALSE()))))</f>
        <v>0</v>
      </c>
      <c r="F126" s="21" t="b">
        <f>IF(AND(A126&lt;&gt;0,B126=0,C126=0),VLOOKUP(A126,'3 - LISTA DE ESPÉCIES'!A:H,2,FALSE()),IF(AND(A126=0,B126&lt;&gt;0,C126=0),VLOOKUP(B126,'3 - LISTA DE ESPÉCIES'!B:H,6,FALSE()),IF(AND(A126=0,B126=0,C126&lt;&gt;0),VLOOKUP(C126,'3 - LISTA DE ESPÉCIES'!C:H,5,FALSE()))))</f>
        <v>0</v>
      </c>
      <c r="G126" s="21" t="b">
        <f>IF(AND(A126&lt;&gt;0,B126=0,C126=0),VLOOKUP(A126,'3 - LISTA DE ESPÉCIES'!A:H,3,FALSE()),IF(AND(A126=0,B126&lt;&gt;0,C126=0),VLOOKUP(B126,'3 - LISTA DE ESPÉCIES'!B:H,7,FALSE()),IF(AND(A126=0,B126=0,C126&lt;&gt;0),VLOOKUP(C126,'3 - LISTA DE ESPÉCIES'!C:H,6,FALSE()))))</f>
        <v>0</v>
      </c>
      <c r="H126" s="21" t="b">
        <f>IF(AND(A126&lt;&gt;0,B126=0,C126=0),VLOOKUP(A126,'3 - LISTA DE ESPÉCIES'!A:H,4,FALSE()),IF(AND(A126=0,B126&lt;&gt;0,C126=0),VLOOKUP(B126,'3 - LISTA DE ESPÉCIES'!B:H,3,FALSE()),IF(AND(A126=0,B126=0,C126&lt;&gt;0),VLOOKUP(C126,'3 - LISTA DE ESPÉCIES'!C:H,2,FALSE()))))</f>
        <v>0</v>
      </c>
      <c r="I126" s="21" t="b">
        <f>IF(AND(A126&lt;&gt;0,B126=0,C126=0),VLOOKUP(A126,'3 - LISTA DE ESPÉCIES'!A:H,5,FALSE()),IF(AND(A126=0,B126&lt;&gt;0,C126=0),VLOOKUP(B126,'3 - LISTA DE ESPÉCIES'!B:H,4,FALSE()),IF(AND(A126=0,B126=0,C126&lt;&gt;0),VLOOKUP(C126,'3 - LISTA DE ESPÉCIES'!C:H,3,FALSE()))))</f>
        <v>0</v>
      </c>
      <c r="J126" s="23"/>
      <c r="K126" s="23"/>
      <c r="L126" s="20"/>
      <c r="M126" s="20"/>
    </row>
    <row r="127" spans="1:13" x14ac:dyDescent="0.25">
      <c r="A127" s="20"/>
      <c r="B127" s="20"/>
      <c r="C127" s="20"/>
      <c r="E127" s="21" t="b">
        <f>IF(AND(A127&lt;&gt;0,B127=0,C127=0),VLOOKUP(A127,'3 - LISTA DE ESPÉCIES'!A:H,1,FALSE()),IF(AND(A127=0,B127&lt;&gt;0,C127=0),VLOOKUP(B127,'3 - LISTA DE ESPÉCIES'!B:H,5,FALSE()),IF(AND(A127=0,B127=0,C127&lt;&gt;0),VLOOKUP(C127,'3 - LISTA DE ESPÉCIES'!C:H,4,FALSE()))))</f>
        <v>0</v>
      </c>
      <c r="F127" s="21" t="b">
        <f>IF(AND(A127&lt;&gt;0,B127=0,C127=0),VLOOKUP(A127,'3 - LISTA DE ESPÉCIES'!A:H,2,FALSE()),IF(AND(A127=0,B127&lt;&gt;0,C127=0),VLOOKUP(B127,'3 - LISTA DE ESPÉCIES'!B:H,6,FALSE()),IF(AND(A127=0,B127=0,C127&lt;&gt;0),VLOOKUP(C127,'3 - LISTA DE ESPÉCIES'!C:H,5,FALSE()))))</f>
        <v>0</v>
      </c>
      <c r="G127" s="21" t="b">
        <f>IF(AND(A127&lt;&gt;0,B127=0,C127=0),VLOOKUP(A127,'3 - LISTA DE ESPÉCIES'!A:H,3,FALSE()),IF(AND(A127=0,B127&lt;&gt;0,C127=0),VLOOKUP(B127,'3 - LISTA DE ESPÉCIES'!B:H,7,FALSE()),IF(AND(A127=0,B127=0,C127&lt;&gt;0),VLOOKUP(C127,'3 - LISTA DE ESPÉCIES'!C:H,6,FALSE()))))</f>
        <v>0</v>
      </c>
      <c r="H127" s="21" t="b">
        <f>IF(AND(A127&lt;&gt;0,B127=0,C127=0),VLOOKUP(A127,'3 - LISTA DE ESPÉCIES'!A:H,4,FALSE()),IF(AND(A127=0,B127&lt;&gt;0,C127=0),VLOOKUP(B127,'3 - LISTA DE ESPÉCIES'!B:H,3,FALSE()),IF(AND(A127=0,B127=0,C127&lt;&gt;0),VLOOKUP(C127,'3 - LISTA DE ESPÉCIES'!C:H,2,FALSE()))))</f>
        <v>0</v>
      </c>
      <c r="I127" s="21" t="b">
        <f>IF(AND(A127&lt;&gt;0,B127=0,C127=0),VLOOKUP(A127,'3 - LISTA DE ESPÉCIES'!A:H,5,FALSE()),IF(AND(A127=0,B127&lt;&gt;0,C127=0),VLOOKUP(B127,'3 - LISTA DE ESPÉCIES'!B:H,4,FALSE()),IF(AND(A127=0,B127=0,C127&lt;&gt;0),VLOOKUP(C127,'3 - LISTA DE ESPÉCIES'!C:H,3,FALSE()))))</f>
        <v>0</v>
      </c>
      <c r="J127" s="23"/>
      <c r="K127" s="23"/>
      <c r="L127" s="20"/>
      <c r="M127" s="20"/>
    </row>
    <row r="128" spans="1:13" x14ac:dyDescent="0.25">
      <c r="A128" s="20"/>
      <c r="B128" s="20"/>
      <c r="C128" s="20"/>
      <c r="E128" s="21" t="b">
        <f>IF(AND(A128&lt;&gt;0,B128=0,C128=0),VLOOKUP(A128,'3 - LISTA DE ESPÉCIES'!A:H,1,FALSE()),IF(AND(A128=0,B128&lt;&gt;0,C128=0),VLOOKUP(B128,'3 - LISTA DE ESPÉCIES'!B:H,5,FALSE()),IF(AND(A128=0,B128=0,C128&lt;&gt;0),VLOOKUP(C128,'3 - LISTA DE ESPÉCIES'!C:H,4,FALSE()))))</f>
        <v>0</v>
      </c>
      <c r="F128" s="21" t="b">
        <f>IF(AND(A128&lt;&gt;0,B128=0,C128=0),VLOOKUP(A128,'3 - LISTA DE ESPÉCIES'!A:H,2,FALSE()),IF(AND(A128=0,B128&lt;&gt;0,C128=0),VLOOKUP(B128,'3 - LISTA DE ESPÉCIES'!B:H,6,FALSE()),IF(AND(A128=0,B128=0,C128&lt;&gt;0),VLOOKUP(C128,'3 - LISTA DE ESPÉCIES'!C:H,5,FALSE()))))</f>
        <v>0</v>
      </c>
      <c r="G128" s="21" t="b">
        <f>IF(AND(A128&lt;&gt;0,B128=0,C128=0),VLOOKUP(A128,'3 - LISTA DE ESPÉCIES'!A:H,3,FALSE()),IF(AND(A128=0,B128&lt;&gt;0,C128=0),VLOOKUP(B128,'3 - LISTA DE ESPÉCIES'!B:H,7,FALSE()),IF(AND(A128=0,B128=0,C128&lt;&gt;0),VLOOKUP(C128,'3 - LISTA DE ESPÉCIES'!C:H,6,FALSE()))))</f>
        <v>0</v>
      </c>
      <c r="H128" s="21" t="b">
        <f>IF(AND(A128&lt;&gt;0,B128=0,C128=0),VLOOKUP(A128,'3 - LISTA DE ESPÉCIES'!A:H,4,FALSE()),IF(AND(A128=0,B128&lt;&gt;0,C128=0),VLOOKUP(B128,'3 - LISTA DE ESPÉCIES'!B:H,3,FALSE()),IF(AND(A128=0,B128=0,C128&lt;&gt;0),VLOOKUP(C128,'3 - LISTA DE ESPÉCIES'!C:H,2,FALSE()))))</f>
        <v>0</v>
      </c>
      <c r="I128" s="21" t="b">
        <f>IF(AND(A128&lt;&gt;0,B128=0,C128=0),VLOOKUP(A128,'3 - LISTA DE ESPÉCIES'!A:H,5,FALSE()),IF(AND(A128=0,B128&lt;&gt;0,C128=0),VLOOKUP(B128,'3 - LISTA DE ESPÉCIES'!B:H,4,FALSE()),IF(AND(A128=0,B128=0,C128&lt;&gt;0),VLOOKUP(C128,'3 - LISTA DE ESPÉCIES'!C:H,3,FALSE()))))</f>
        <v>0</v>
      </c>
      <c r="J128" s="23"/>
      <c r="K128" s="23"/>
      <c r="L128" s="20"/>
      <c r="M128" s="20"/>
    </row>
    <row r="129" spans="1:13" x14ac:dyDescent="0.25">
      <c r="A129" s="20"/>
      <c r="B129" s="20"/>
      <c r="C129" s="20"/>
      <c r="E129" s="21" t="b">
        <f>IF(AND(A129&lt;&gt;0,B129=0,C129=0),VLOOKUP(A129,'3 - LISTA DE ESPÉCIES'!A:H,1,FALSE()),IF(AND(A129=0,B129&lt;&gt;0,C129=0),VLOOKUP(B129,'3 - LISTA DE ESPÉCIES'!B:H,5,FALSE()),IF(AND(A129=0,B129=0,C129&lt;&gt;0),VLOOKUP(C129,'3 - LISTA DE ESPÉCIES'!C:H,4,FALSE()))))</f>
        <v>0</v>
      </c>
      <c r="F129" s="21" t="b">
        <f>IF(AND(A129&lt;&gt;0,B129=0,C129=0),VLOOKUP(A129,'3 - LISTA DE ESPÉCIES'!A:H,2,FALSE()),IF(AND(A129=0,B129&lt;&gt;0,C129=0),VLOOKUP(B129,'3 - LISTA DE ESPÉCIES'!B:H,6,FALSE()),IF(AND(A129=0,B129=0,C129&lt;&gt;0),VLOOKUP(C129,'3 - LISTA DE ESPÉCIES'!C:H,5,FALSE()))))</f>
        <v>0</v>
      </c>
      <c r="G129" s="21" t="b">
        <f>IF(AND(A129&lt;&gt;0,B129=0,C129=0),VLOOKUP(A129,'3 - LISTA DE ESPÉCIES'!A:H,3,FALSE()),IF(AND(A129=0,B129&lt;&gt;0,C129=0),VLOOKUP(B129,'3 - LISTA DE ESPÉCIES'!B:H,7,FALSE()),IF(AND(A129=0,B129=0,C129&lt;&gt;0),VLOOKUP(C129,'3 - LISTA DE ESPÉCIES'!C:H,6,FALSE()))))</f>
        <v>0</v>
      </c>
      <c r="H129" s="21" t="b">
        <f>IF(AND(A129&lt;&gt;0,B129=0,C129=0),VLOOKUP(A129,'3 - LISTA DE ESPÉCIES'!A:H,4,FALSE()),IF(AND(A129=0,B129&lt;&gt;0,C129=0),VLOOKUP(B129,'3 - LISTA DE ESPÉCIES'!B:H,3,FALSE()),IF(AND(A129=0,B129=0,C129&lt;&gt;0),VLOOKUP(C129,'3 - LISTA DE ESPÉCIES'!C:H,2,FALSE()))))</f>
        <v>0</v>
      </c>
      <c r="I129" s="21" t="b">
        <f>IF(AND(A129&lt;&gt;0,B129=0,C129=0),VLOOKUP(A129,'3 - LISTA DE ESPÉCIES'!A:H,5,FALSE()),IF(AND(A129=0,B129&lt;&gt;0,C129=0),VLOOKUP(B129,'3 - LISTA DE ESPÉCIES'!B:H,4,FALSE()),IF(AND(A129=0,B129=0,C129&lt;&gt;0),VLOOKUP(C129,'3 - LISTA DE ESPÉCIES'!C:H,3,FALSE()))))</f>
        <v>0</v>
      </c>
      <c r="J129" s="23"/>
      <c r="K129" s="23"/>
      <c r="L129" s="20"/>
      <c r="M129" s="20"/>
    </row>
    <row r="130" spans="1:13" x14ac:dyDescent="0.25">
      <c r="A130" s="20"/>
      <c r="B130" s="20"/>
      <c r="C130" s="20"/>
      <c r="E130" s="21" t="b">
        <f>IF(AND(A130&lt;&gt;0,B130=0,C130=0),VLOOKUP(A130,'3 - LISTA DE ESPÉCIES'!A:H,1,FALSE()),IF(AND(A130=0,B130&lt;&gt;0,C130=0),VLOOKUP(B130,'3 - LISTA DE ESPÉCIES'!B:H,5,FALSE()),IF(AND(A130=0,B130=0,C130&lt;&gt;0),VLOOKUP(C130,'3 - LISTA DE ESPÉCIES'!C:H,4,FALSE()))))</f>
        <v>0</v>
      </c>
      <c r="F130" s="21" t="b">
        <f>IF(AND(A130&lt;&gt;0,B130=0,C130=0),VLOOKUP(A130,'3 - LISTA DE ESPÉCIES'!A:H,2,FALSE()),IF(AND(A130=0,B130&lt;&gt;0,C130=0),VLOOKUP(B130,'3 - LISTA DE ESPÉCIES'!B:H,6,FALSE()),IF(AND(A130=0,B130=0,C130&lt;&gt;0),VLOOKUP(C130,'3 - LISTA DE ESPÉCIES'!C:H,5,FALSE()))))</f>
        <v>0</v>
      </c>
      <c r="G130" s="21" t="b">
        <f>IF(AND(A130&lt;&gt;0,B130=0,C130=0),VLOOKUP(A130,'3 - LISTA DE ESPÉCIES'!A:H,3,FALSE()),IF(AND(A130=0,B130&lt;&gt;0,C130=0),VLOOKUP(B130,'3 - LISTA DE ESPÉCIES'!B:H,7,FALSE()),IF(AND(A130=0,B130=0,C130&lt;&gt;0),VLOOKUP(C130,'3 - LISTA DE ESPÉCIES'!C:H,6,FALSE()))))</f>
        <v>0</v>
      </c>
      <c r="H130" s="21" t="b">
        <f>IF(AND(A130&lt;&gt;0,B130=0,C130=0),VLOOKUP(A130,'3 - LISTA DE ESPÉCIES'!A:H,4,FALSE()),IF(AND(A130=0,B130&lt;&gt;0,C130=0),VLOOKUP(B130,'3 - LISTA DE ESPÉCIES'!B:H,3,FALSE()),IF(AND(A130=0,B130=0,C130&lt;&gt;0),VLOOKUP(C130,'3 - LISTA DE ESPÉCIES'!C:H,2,FALSE()))))</f>
        <v>0</v>
      </c>
      <c r="I130" s="21" t="b">
        <f>IF(AND(A130&lt;&gt;0,B130=0,C130=0),VLOOKUP(A130,'3 - LISTA DE ESPÉCIES'!A:H,5,FALSE()),IF(AND(A130=0,B130&lt;&gt;0,C130=0),VLOOKUP(B130,'3 - LISTA DE ESPÉCIES'!B:H,4,FALSE()),IF(AND(A130=0,B130=0,C130&lt;&gt;0),VLOOKUP(C130,'3 - LISTA DE ESPÉCIES'!C:H,3,FALSE()))))</f>
        <v>0</v>
      </c>
      <c r="J130" s="23"/>
      <c r="K130" s="23"/>
      <c r="L130" s="20"/>
      <c r="M130" s="20"/>
    </row>
    <row r="131" spans="1:13" x14ac:dyDescent="0.25">
      <c r="A131" s="20"/>
      <c r="B131" s="20"/>
      <c r="C131" s="20"/>
      <c r="E131" s="21" t="b">
        <f>IF(AND(A131&lt;&gt;0,B131=0,C131=0),VLOOKUP(A131,'3 - LISTA DE ESPÉCIES'!A:H,1,FALSE()),IF(AND(A131=0,B131&lt;&gt;0,C131=0),VLOOKUP(B131,'3 - LISTA DE ESPÉCIES'!B:H,5,FALSE()),IF(AND(A131=0,B131=0,C131&lt;&gt;0),VLOOKUP(C131,'3 - LISTA DE ESPÉCIES'!C:H,4,FALSE()))))</f>
        <v>0</v>
      </c>
      <c r="F131" s="21" t="b">
        <f>IF(AND(A131&lt;&gt;0,B131=0,C131=0),VLOOKUP(A131,'3 - LISTA DE ESPÉCIES'!A:H,2,FALSE()),IF(AND(A131=0,B131&lt;&gt;0,C131=0),VLOOKUP(B131,'3 - LISTA DE ESPÉCIES'!B:H,6,FALSE()),IF(AND(A131=0,B131=0,C131&lt;&gt;0),VLOOKUP(C131,'3 - LISTA DE ESPÉCIES'!C:H,5,FALSE()))))</f>
        <v>0</v>
      </c>
      <c r="G131" s="21" t="b">
        <f>IF(AND(A131&lt;&gt;0,B131=0,C131=0),VLOOKUP(A131,'3 - LISTA DE ESPÉCIES'!A:H,3,FALSE()),IF(AND(A131=0,B131&lt;&gt;0,C131=0),VLOOKUP(B131,'3 - LISTA DE ESPÉCIES'!B:H,7,FALSE()),IF(AND(A131=0,B131=0,C131&lt;&gt;0),VLOOKUP(C131,'3 - LISTA DE ESPÉCIES'!C:H,6,FALSE()))))</f>
        <v>0</v>
      </c>
      <c r="H131" s="21" t="b">
        <f>IF(AND(A131&lt;&gt;0,B131=0,C131=0),VLOOKUP(A131,'3 - LISTA DE ESPÉCIES'!A:H,4,FALSE()),IF(AND(A131=0,B131&lt;&gt;0,C131=0),VLOOKUP(B131,'3 - LISTA DE ESPÉCIES'!B:H,3,FALSE()),IF(AND(A131=0,B131=0,C131&lt;&gt;0),VLOOKUP(C131,'3 - LISTA DE ESPÉCIES'!C:H,2,FALSE()))))</f>
        <v>0</v>
      </c>
      <c r="I131" s="21" t="b">
        <f>IF(AND(A131&lt;&gt;0,B131=0,C131=0),VLOOKUP(A131,'3 - LISTA DE ESPÉCIES'!A:H,5,FALSE()),IF(AND(A131=0,B131&lt;&gt;0,C131=0),VLOOKUP(B131,'3 - LISTA DE ESPÉCIES'!B:H,4,FALSE()),IF(AND(A131=0,B131=0,C131&lt;&gt;0),VLOOKUP(C131,'3 - LISTA DE ESPÉCIES'!C:H,3,FALSE()))))</f>
        <v>0</v>
      </c>
      <c r="J131" s="23"/>
      <c r="K131" s="23"/>
      <c r="L131" s="20"/>
      <c r="M131" s="20"/>
    </row>
    <row r="132" spans="1:13" x14ac:dyDescent="0.25">
      <c r="A132" s="20"/>
      <c r="B132" s="20"/>
      <c r="C132" s="20"/>
      <c r="E132" s="21" t="b">
        <f>IF(AND(A132&lt;&gt;0,B132=0,C132=0),VLOOKUP(A132,'3 - LISTA DE ESPÉCIES'!A:H,1,FALSE()),IF(AND(A132=0,B132&lt;&gt;0,C132=0),VLOOKUP(B132,'3 - LISTA DE ESPÉCIES'!B:H,5,FALSE()),IF(AND(A132=0,B132=0,C132&lt;&gt;0),VLOOKUP(C132,'3 - LISTA DE ESPÉCIES'!C:H,4,FALSE()))))</f>
        <v>0</v>
      </c>
      <c r="F132" s="21" t="b">
        <f>IF(AND(A132&lt;&gt;0,B132=0,C132=0),VLOOKUP(A132,'3 - LISTA DE ESPÉCIES'!A:H,2,FALSE()),IF(AND(A132=0,B132&lt;&gt;0,C132=0),VLOOKUP(B132,'3 - LISTA DE ESPÉCIES'!B:H,6,FALSE()),IF(AND(A132=0,B132=0,C132&lt;&gt;0),VLOOKUP(C132,'3 - LISTA DE ESPÉCIES'!C:H,5,FALSE()))))</f>
        <v>0</v>
      </c>
      <c r="G132" s="21" t="b">
        <f>IF(AND(A132&lt;&gt;0,B132=0,C132=0),VLOOKUP(A132,'3 - LISTA DE ESPÉCIES'!A:H,3,FALSE()),IF(AND(A132=0,B132&lt;&gt;0,C132=0),VLOOKUP(B132,'3 - LISTA DE ESPÉCIES'!B:H,7,FALSE()),IF(AND(A132=0,B132=0,C132&lt;&gt;0),VLOOKUP(C132,'3 - LISTA DE ESPÉCIES'!C:H,6,FALSE()))))</f>
        <v>0</v>
      </c>
      <c r="H132" s="21" t="b">
        <f>IF(AND(A132&lt;&gt;0,B132=0,C132=0),VLOOKUP(A132,'3 - LISTA DE ESPÉCIES'!A:H,4,FALSE()),IF(AND(A132=0,B132&lt;&gt;0,C132=0),VLOOKUP(B132,'3 - LISTA DE ESPÉCIES'!B:H,3,FALSE()),IF(AND(A132=0,B132=0,C132&lt;&gt;0),VLOOKUP(C132,'3 - LISTA DE ESPÉCIES'!C:H,2,FALSE()))))</f>
        <v>0</v>
      </c>
      <c r="I132" s="21" t="b">
        <f>IF(AND(A132&lt;&gt;0,B132=0,C132=0),VLOOKUP(A132,'3 - LISTA DE ESPÉCIES'!A:H,5,FALSE()),IF(AND(A132=0,B132&lt;&gt;0,C132=0),VLOOKUP(B132,'3 - LISTA DE ESPÉCIES'!B:H,4,FALSE()),IF(AND(A132=0,B132=0,C132&lt;&gt;0),VLOOKUP(C132,'3 - LISTA DE ESPÉCIES'!C:H,3,FALSE()))))</f>
        <v>0</v>
      </c>
      <c r="J132" s="23"/>
      <c r="K132" s="23"/>
      <c r="L132" s="20"/>
      <c r="M132" s="20"/>
    </row>
    <row r="133" spans="1:13" x14ac:dyDescent="0.25">
      <c r="A133" s="20"/>
      <c r="B133" s="20"/>
      <c r="C133" s="20"/>
      <c r="E133" s="21" t="b">
        <f>IF(AND(A133&lt;&gt;0,B133=0,C133=0),VLOOKUP(A133,'3 - LISTA DE ESPÉCIES'!A:H,1,FALSE()),IF(AND(A133=0,B133&lt;&gt;0,C133=0),VLOOKUP(B133,'3 - LISTA DE ESPÉCIES'!B:H,5,FALSE()),IF(AND(A133=0,B133=0,C133&lt;&gt;0),VLOOKUP(C133,'3 - LISTA DE ESPÉCIES'!C:H,4,FALSE()))))</f>
        <v>0</v>
      </c>
      <c r="F133" s="21" t="b">
        <f>IF(AND(A133&lt;&gt;0,B133=0,C133=0),VLOOKUP(A133,'3 - LISTA DE ESPÉCIES'!A:H,2,FALSE()),IF(AND(A133=0,B133&lt;&gt;0,C133=0),VLOOKUP(B133,'3 - LISTA DE ESPÉCIES'!B:H,6,FALSE()),IF(AND(A133=0,B133=0,C133&lt;&gt;0),VLOOKUP(C133,'3 - LISTA DE ESPÉCIES'!C:H,5,FALSE()))))</f>
        <v>0</v>
      </c>
      <c r="G133" s="21" t="b">
        <f>IF(AND(A133&lt;&gt;0,B133=0,C133=0),VLOOKUP(A133,'3 - LISTA DE ESPÉCIES'!A:H,3,FALSE()),IF(AND(A133=0,B133&lt;&gt;0,C133=0),VLOOKUP(B133,'3 - LISTA DE ESPÉCIES'!B:H,7,FALSE()),IF(AND(A133=0,B133=0,C133&lt;&gt;0),VLOOKUP(C133,'3 - LISTA DE ESPÉCIES'!C:H,6,FALSE()))))</f>
        <v>0</v>
      </c>
      <c r="H133" s="21" t="b">
        <f>IF(AND(A133&lt;&gt;0,B133=0,C133=0),VLOOKUP(A133,'3 - LISTA DE ESPÉCIES'!A:H,4,FALSE()),IF(AND(A133=0,B133&lt;&gt;0,C133=0),VLOOKUP(B133,'3 - LISTA DE ESPÉCIES'!B:H,3,FALSE()),IF(AND(A133=0,B133=0,C133&lt;&gt;0),VLOOKUP(C133,'3 - LISTA DE ESPÉCIES'!C:H,2,FALSE()))))</f>
        <v>0</v>
      </c>
      <c r="I133" s="21" t="b">
        <f>IF(AND(A133&lt;&gt;0,B133=0,C133=0),VLOOKUP(A133,'3 - LISTA DE ESPÉCIES'!A:H,5,FALSE()),IF(AND(A133=0,B133&lt;&gt;0,C133=0),VLOOKUP(B133,'3 - LISTA DE ESPÉCIES'!B:H,4,FALSE()),IF(AND(A133=0,B133=0,C133&lt;&gt;0),VLOOKUP(C133,'3 - LISTA DE ESPÉCIES'!C:H,3,FALSE()))))</f>
        <v>0</v>
      </c>
      <c r="J133" s="23"/>
      <c r="K133" s="23"/>
      <c r="L133" s="20"/>
      <c r="M133" s="20"/>
    </row>
    <row r="134" spans="1:13" x14ac:dyDescent="0.25">
      <c r="A134" s="20"/>
      <c r="B134" s="20"/>
      <c r="C134" s="20"/>
      <c r="E134" s="21" t="b">
        <f>IF(AND(A134&lt;&gt;0,B134=0,C134=0),VLOOKUP(A134,'3 - LISTA DE ESPÉCIES'!A:H,1,FALSE()),IF(AND(A134=0,B134&lt;&gt;0,C134=0),VLOOKUP(B134,'3 - LISTA DE ESPÉCIES'!B:H,5,FALSE()),IF(AND(A134=0,B134=0,C134&lt;&gt;0),VLOOKUP(C134,'3 - LISTA DE ESPÉCIES'!C:H,4,FALSE()))))</f>
        <v>0</v>
      </c>
      <c r="F134" s="21" t="b">
        <f>IF(AND(A134&lt;&gt;0,B134=0,C134=0),VLOOKUP(A134,'3 - LISTA DE ESPÉCIES'!A:H,2,FALSE()),IF(AND(A134=0,B134&lt;&gt;0,C134=0),VLOOKUP(B134,'3 - LISTA DE ESPÉCIES'!B:H,6,FALSE()),IF(AND(A134=0,B134=0,C134&lt;&gt;0),VLOOKUP(C134,'3 - LISTA DE ESPÉCIES'!C:H,5,FALSE()))))</f>
        <v>0</v>
      </c>
      <c r="G134" s="21" t="b">
        <f>IF(AND(A134&lt;&gt;0,B134=0,C134=0),VLOOKUP(A134,'3 - LISTA DE ESPÉCIES'!A:H,3,FALSE()),IF(AND(A134=0,B134&lt;&gt;0,C134=0),VLOOKUP(B134,'3 - LISTA DE ESPÉCIES'!B:H,7,FALSE()),IF(AND(A134=0,B134=0,C134&lt;&gt;0),VLOOKUP(C134,'3 - LISTA DE ESPÉCIES'!C:H,6,FALSE()))))</f>
        <v>0</v>
      </c>
      <c r="H134" s="21" t="b">
        <f>IF(AND(A134&lt;&gt;0,B134=0,C134=0),VLOOKUP(A134,'3 - LISTA DE ESPÉCIES'!A:H,4,FALSE()),IF(AND(A134=0,B134&lt;&gt;0,C134=0),VLOOKUP(B134,'3 - LISTA DE ESPÉCIES'!B:H,3,FALSE()),IF(AND(A134=0,B134=0,C134&lt;&gt;0),VLOOKUP(C134,'3 - LISTA DE ESPÉCIES'!C:H,2,FALSE()))))</f>
        <v>0</v>
      </c>
      <c r="I134" s="21" t="b">
        <f>IF(AND(A134&lt;&gt;0,B134=0,C134=0),VLOOKUP(A134,'3 - LISTA DE ESPÉCIES'!A:H,5,FALSE()),IF(AND(A134=0,B134&lt;&gt;0,C134=0),VLOOKUP(B134,'3 - LISTA DE ESPÉCIES'!B:H,4,FALSE()),IF(AND(A134=0,B134=0,C134&lt;&gt;0),VLOOKUP(C134,'3 - LISTA DE ESPÉCIES'!C:H,3,FALSE()))))</f>
        <v>0</v>
      </c>
      <c r="J134" s="23"/>
      <c r="K134" s="23"/>
      <c r="L134" s="20"/>
      <c r="M134" s="20"/>
    </row>
    <row r="135" spans="1:13" x14ac:dyDescent="0.25">
      <c r="A135" s="20"/>
      <c r="B135" s="20"/>
      <c r="C135" s="20"/>
      <c r="E135" s="21" t="b">
        <f>IF(AND(A135&lt;&gt;0,B135=0,C135=0),VLOOKUP(A135,'3 - LISTA DE ESPÉCIES'!A:H,1,FALSE()),IF(AND(A135=0,B135&lt;&gt;0,C135=0),VLOOKUP(B135,'3 - LISTA DE ESPÉCIES'!B:H,5,FALSE()),IF(AND(A135=0,B135=0,C135&lt;&gt;0),VLOOKUP(C135,'3 - LISTA DE ESPÉCIES'!C:H,4,FALSE()))))</f>
        <v>0</v>
      </c>
      <c r="F135" s="21" t="b">
        <f>IF(AND(A135&lt;&gt;0,B135=0,C135=0),VLOOKUP(A135,'3 - LISTA DE ESPÉCIES'!A:H,2,FALSE()),IF(AND(A135=0,B135&lt;&gt;0,C135=0),VLOOKUP(B135,'3 - LISTA DE ESPÉCIES'!B:H,6,FALSE()),IF(AND(A135=0,B135=0,C135&lt;&gt;0),VLOOKUP(C135,'3 - LISTA DE ESPÉCIES'!C:H,5,FALSE()))))</f>
        <v>0</v>
      </c>
      <c r="G135" s="21" t="b">
        <f>IF(AND(A135&lt;&gt;0,B135=0,C135=0),VLOOKUP(A135,'3 - LISTA DE ESPÉCIES'!A:H,3,FALSE()),IF(AND(A135=0,B135&lt;&gt;0,C135=0),VLOOKUP(B135,'3 - LISTA DE ESPÉCIES'!B:H,7,FALSE()),IF(AND(A135=0,B135=0,C135&lt;&gt;0),VLOOKUP(C135,'3 - LISTA DE ESPÉCIES'!C:H,6,FALSE()))))</f>
        <v>0</v>
      </c>
      <c r="H135" s="21" t="b">
        <f>IF(AND(A135&lt;&gt;0,B135=0,C135=0),VLOOKUP(A135,'3 - LISTA DE ESPÉCIES'!A:H,4,FALSE()),IF(AND(A135=0,B135&lt;&gt;0,C135=0),VLOOKUP(B135,'3 - LISTA DE ESPÉCIES'!B:H,3,FALSE()),IF(AND(A135=0,B135=0,C135&lt;&gt;0),VLOOKUP(C135,'3 - LISTA DE ESPÉCIES'!C:H,2,FALSE()))))</f>
        <v>0</v>
      </c>
      <c r="I135" s="21" t="b">
        <f>IF(AND(A135&lt;&gt;0,B135=0,C135=0),VLOOKUP(A135,'3 - LISTA DE ESPÉCIES'!A:H,5,FALSE()),IF(AND(A135=0,B135&lt;&gt;0,C135=0),VLOOKUP(B135,'3 - LISTA DE ESPÉCIES'!B:H,4,FALSE()),IF(AND(A135=0,B135=0,C135&lt;&gt;0),VLOOKUP(C135,'3 - LISTA DE ESPÉCIES'!C:H,3,FALSE()))))</f>
        <v>0</v>
      </c>
      <c r="J135" s="23"/>
      <c r="K135" s="23"/>
      <c r="L135" s="20"/>
      <c r="M135" s="20"/>
    </row>
    <row r="136" spans="1:13" x14ac:dyDescent="0.25">
      <c r="A136" s="20"/>
      <c r="B136" s="20"/>
      <c r="C136" s="20"/>
      <c r="E136" s="21" t="b">
        <f>IF(AND(A136&lt;&gt;0,B136=0,C136=0),VLOOKUP(A136,'3 - LISTA DE ESPÉCIES'!A:H,1,FALSE()),IF(AND(A136=0,B136&lt;&gt;0,C136=0),VLOOKUP(B136,'3 - LISTA DE ESPÉCIES'!B:H,5,FALSE()),IF(AND(A136=0,B136=0,C136&lt;&gt;0),VLOOKUP(C136,'3 - LISTA DE ESPÉCIES'!C:H,4,FALSE()))))</f>
        <v>0</v>
      </c>
      <c r="F136" s="21" t="b">
        <f>IF(AND(A136&lt;&gt;0,B136=0,C136=0),VLOOKUP(A136,'3 - LISTA DE ESPÉCIES'!A:H,2,FALSE()),IF(AND(A136=0,B136&lt;&gt;0,C136=0),VLOOKUP(B136,'3 - LISTA DE ESPÉCIES'!B:H,6,FALSE()),IF(AND(A136=0,B136=0,C136&lt;&gt;0),VLOOKUP(C136,'3 - LISTA DE ESPÉCIES'!C:H,5,FALSE()))))</f>
        <v>0</v>
      </c>
      <c r="G136" s="21" t="b">
        <f>IF(AND(A136&lt;&gt;0,B136=0,C136=0),VLOOKUP(A136,'3 - LISTA DE ESPÉCIES'!A:H,3,FALSE()),IF(AND(A136=0,B136&lt;&gt;0,C136=0),VLOOKUP(B136,'3 - LISTA DE ESPÉCIES'!B:H,7,FALSE()),IF(AND(A136=0,B136=0,C136&lt;&gt;0),VLOOKUP(C136,'3 - LISTA DE ESPÉCIES'!C:H,6,FALSE()))))</f>
        <v>0</v>
      </c>
      <c r="H136" s="21" t="b">
        <f>IF(AND(A136&lt;&gt;0,B136=0,C136=0),VLOOKUP(A136,'3 - LISTA DE ESPÉCIES'!A:H,4,FALSE()),IF(AND(A136=0,B136&lt;&gt;0,C136=0),VLOOKUP(B136,'3 - LISTA DE ESPÉCIES'!B:H,3,FALSE()),IF(AND(A136=0,B136=0,C136&lt;&gt;0),VLOOKUP(C136,'3 - LISTA DE ESPÉCIES'!C:H,2,FALSE()))))</f>
        <v>0</v>
      </c>
      <c r="I136" s="21" t="b">
        <f>IF(AND(A136&lt;&gt;0,B136=0,C136=0),VLOOKUP(A136,'3 - LISTA DE ESPÉCIES'!A:H,5,FALSE()),IF(AND(A136=0,B136&lt;&gt;0,C136=0),VLOOKUP(B136,'3 - LISTA DE ESPÉCIES'!B:H,4,FALSE()),IF(AND(A136=0,B136=0,C136&lt;&gt;0),VLOOKUP(C136,'3 - LISTA DE ESPÉCIES'!C:H,3,FALSE()))))</f>
        <v>0</v>
      </c>
      <c r="J136" s="23"/>
      <c r="K136" s="23"/>
      <c r="L136" s="20"/>
      <c r="M136" s="20"/>
    </row>
    <row r="137" spans="1:13" x14ac:dyDescent="0.25">
      <c r="A137" s="20"/>
      <c r="B137" s="20"/>
      <c r="C137" s="20"/>
      <c r="E137" s="21" t="b">
        <f>IF(AND(A137&lt;&gt;0,B137=0,C137=0),VLOOKUP(A137,'3 - LISTA DE ESPÉCIES'!A:H,1,FALSE()),IF(AND(A137=0,B137&lt;&gt;0,C137=0),VLOOKUP(B137,'3 - LISTA DE ESPÉCIES'!B:H,5,FALSE()),IF(AND(A137=0,B137=0,C137&lt;&gt;0),VLOOKUP(C137,'3 - LISTA DE ESPÉCIES'!C:H,4,FALSE()))))</f>
        <v>0</v>
      </c>
      <c r="F137" s="21" t="b">
        <f>IF(AND(A137&lt;&gt;0,B137=0,C137=0),VLOOKUP(A137,'3 - LISTA DE ESPÉCIES'!A:H,2,FALSE()),IF(AND(A137=0,B137&lt;&gt;0,C137=0),VLOOKUP(B137,'3 - LISTA DE ESPÉCIES'!B:H,6,FALSE()),IF(AND(A137=0,B137=0,C137&lt;&gt;0),VLOOKUP(C137,'3 - LISTA DE ESPÉCIES'!C:H,5,FALSE()))))</f>
        <v>0</v>
      </c>
      <c r="G137" s="21" t="b">
        <f>IF(AND(A137&lt;&gt;0,B137=0,C137=0),VLOOKUP(A137,'3 - LISTA DE ESPÉCIES'!A:H,3,FALSE()),IF(AND(A137=0,B137&lt;&gt;0,C137=0),VLOOKUP(B137,'3 - LISTA DE ESPÉCIES'!B:H,7,FALSE()),IF(AND(A137=0,B137=0,C137&lt;&gt;0),VLOOKUP(C137,'3 - LISTA DE ESPÉCIES'!C:H,6,FALSE()))))</f>
        <v>0</v>
      </c>
      <c r="H137" s="21" t="b">
        <f>IF(AND(A137&lt;&gt;0,B137=0,C137=0),VLOOKUP(A137,'3 - LISTA DE ESPÉCIES'!A:H,4,FALSE()),IF(AND(A137=0,B137&lt;&gt;0,C137=0),VLOOKUP(B137,'3 - LISTA DE ESPÉCIES'!B:H,3,FALSE()),IF(AND(A137=0,B137=0,C137&lt;&gt;0),VLOOKUP(C137,'3 - LISTA DE ESPÉCIES'!C:H,2,FALSE()))))</f>
        <v>0</v>
      </c>
      <c r="I137" s="21" t="b">
        <f>IF(AND(A137&lt;&gt;0,B137=0,C137=0),VLOOKUP(A137,'3 - LISTA DE ESPÉCIES'!A:H,5,FALSE()),IF(AND(A137=0,B137&lt;&gt;0,C137=0),VLOOKUP(B137,'3 - LISTA DE ESPÉCIES'!B:H,4,FALSE()),IF(AND(A137=0,B137=0,C137&lt;&gt;0),VLOOKUP(C137,'3 - LISTA DE ESPÉCIES'!C:H,3,FALSE()))))</f>
        <v>0</v>
      </c>
      <c r="J137" s="23"/>
      <c r="K137" s="23"/>
      <c r="L137" s="20"/>
      <c r="M137" s="20"/>
    </row>
    <row r="138" spans="1:13" x14ac:dyDescent="0.25">
      <c r="A138" s="20"/>
      <c r="B138" s="20"/>
      <c r="C138" s="20"/>
      <c r="E138" s="21" t="b">
        <f>IF(AND(A138&lt;&gt;0,B138=0,C138=0),VLOOKUP(A138,'3 - LISTA DE ESPÉCIES'!A:H,1,FALSE()),IF(AND(A138=0,B138&lt;&gt;0,C138=0),VLOOKUP(B138,'3 - LISTA DE ESPÉCIES'!B:H,5,FALSE()),IF(AND(A138=0,B138=0,C138&lt;&gt;0),VLOOKUP(C138,'3 - LISTA DE ESPÉCIES'!C:H,4,FALSE()))))</f>
        <v>0</v>
      </c>
      <c r="F138" s="21" t="b">
        <f>IF(AND(A138&lt;&gt;0,B138=0,C138=0),VLOOKUP(A138,'3 - LISTA DE ESPÉCIES'!A:H,2,FALSE()),IF(AND(A138=0,B138&lt;&gt;0,C138=0),VLOOKUP(B138,'3 - LISTA DE ESPÉCIES'!B:H,6,FALSE()),IF(AND(A138=0,B138=0,C138&lt;&gt;0),VLOOKUP(C138,'3 - LISTA DE ESPÉCIES'!C:H,5,FALSE()))))</f>
        <v>0</v>
      </c>
      <c r="G138" s="21" t="b">
        <f>IF(AND(A138&lt;&gt;0,B138=0,C138=0),VLOOKUP(A138,'3 - LISTA DE ESPÉCIES'!A:H,3,FALSE()),IF(AND(A138=0,B138&lt;&gt;0,C138=0),VLOOKUP(B138,'3 - LISTA DE ESPÉCIES'!B:H,7,FALSE()),IF(AND(A138=0,B138=0,C138&lt;&gt;0),VLOOKUP(C138,'3 - LISTA DE ESPÉCIES'!C:H,6,FALSE()))))</f>
        <v>0</v>
      </c>
      <c r="H138" s="21" t="b">
        <f>IF(AND(A138&lt;&gt;0,B138=0,C138=0),VLOOKUP(A138,'3 - LISTA DE ESPÉCIES'!A:H,4,FALSE()),IF(AND(A138=0,B138&lt;&gt;0,C138=0),VLOOKUP(B138,'3 - LISTA DE ESPÉCIES'!B:H,3,FALSE()),IF(AND(A138=0,B138=0,C138&lt;&gt;0),VLOOKUP(C138,'3 - LISTA DE ESPÉCIES'!C:H,2,FALSE()))))</f>
        <v>0</v>
      </c>
      <c r="I138" s="21" t="b">
        <f>IF(AND(A138&lt;&gt;0,B138=0,C138=0),VLOOKUP(A138,'3 - LISTA DE ESPÉCIES'!A:H,5,FALSE()),IF(AND(A138=0,B138&lt;&gt;0,C138=0),VLOOKUP(B138,'3 - LISTA DE ESPÉCIES'!B:H,4,FALSE()),IF(AND(A138=0,B138=0,C138&lt;&gt;0),VLOOKUP(C138,'3 - LISTA DE ESPÉCIES'!C:H,3,FALSE()))))</f>
        <v>0</v>
      </c>
      <c r="J138" s="23"/>
      <c r="K138" s="23"/>
      <c r="L138" s="20"/>
      <c r="M138" s="20"/>
    </row>
    <row r="139" spans="1:13" x14ac:dyDescent="0.25">
      <c r="A139" s="20"/>
      <c r="B139" s="20"/>
      <c r="C139" s="20"/>
      <c r="E139" s="21" t="b">
        <f>IF(AND(A139&lt;&gt;0,B139=0,C139=0),VLOOKUP(A139,'3 - LISTA DE ESPÉCIES'!A:H,1,FALSE()),IF(AND(A139=0,B139&lt;&gt;0,C139=0),VLOOKUP(B139,'3 - LISTA DE ESPÉCIES'!B:H,5,FALSE()),IF(AND(A139=0,B139=0,C139&lt;&gt;0),VLOOKUP(C139,'3 - LISTA DE ESPÉCIES'!C:H,4,FALSE()))))</f>
        <v>0</v>
      </c>
      <c r="F139" s="21" t="b">
        <f>IF(AND(A139&lt;&gt;0,B139=0,C139=0),VLOOKUP(A139,'3 - LISTA DE ESPÉCIES'!A:H,2,FALSE()),IF(AND(A139=0,B139&lt;&gt;0,C139=0),VLOOKUP(B139,'3 - LISTA DE ESPÉCIES'!B:H,6,FALSE()),IF(AND(A139=0,B139=0,C139&lt;&gt;0),VLOOKUP(C139,'3 - LISTA DE ESPÉCIES'!C:H,5,FALSE()))))</f>
        <v>0</v>
      </c>
      <c r="G139" s="21" t="b">
        <f>IF(AND(A139&lt;&gt;0,B139=0,C139=0),VLOOKUP(A139,'3 - LISTA DE ESPÉCIES'!A:H,3,FALSE()),IF(AND(A139=0,B139&lt;&gt;0,C139=0),VLOOKUP(B139,'3 - LISTA DE ESPÉCIES'!B:H,7,FALSE()),IF(AND(A139=0,B139=0,C139&lt;&gt;0),VLOOKUP(C139,'3 - LISTA DE ESPÉCIES'!C:H,6,FALSE()))))</f>
        <v>0</v>
      </c>
      <c r="H139" s="21" t="b">
        <f>IF(AND(A139&lt;&gt;0,B139=0,C139=0),VLOOKUP(A139,'3 - LISTA DE ESPÉCIES'!A:H,4,FALSE()),IF(AND(A139=0,B139&lt;&gt;0,C139=0),VLOOKUP(B139,'3 - LISTA DE ESPÉCIES'!B:H,3,FALSE()),IF(AND(A139=0,B139=0,C139&lt;&gt;0),VLOOKUP(C139,'3 - LISTA DE ESPÉCIES'!C:H,2,FALSE()))))</f>
        <v>0</v>
      </c>
      <c r="I139" s="21" t="b">
        <f>IF(AND(A139&lt;&gt;0,B139=0,C139=0),VLOOKUP(A139,'3 - LISTA DE ESPÉCIES'!A:H,5,FALSE()),IF(AND(A139=0,B139&lt;&gt;0,C139=0),VLOOKUP(B139,'3 - LISTA DE ESPÉCIES'!B:H,4,FALSE()),IF(AND(A139=0,B139=0,C139&lt;&gt;0),VLOOKUP(C139,'3 - LISTA DE ESPÉCIES'!C:H,3,FALSE()))))</f>
        <v>0</v>
      </c>
      <c r="J139" s="23"/>
      <c r="K139" s="23"/>
      <c r="L139" s="20"/>
      <c r="M139" s="20"/>
    </row>
    <row r="140" spans="1:13" x14ac:dyDescent="0.25">
      <c r="A140" s="20"/>
      <c r="B140" s="20"/>
      <c r="C140" s="20"/>
      <c r="E140" s="21" t="b">
        <f>IF(AND(A140&lt;&gt;0,B140=0,C140=0),VLOOKUP(A140,'3 - LISTA DE ESPÉCIES'!A:H,1,FALSE()),IF(AND(A140=0,B140&lt;&gt;0,C140=0),VLOOKUP(B140,'3 - LISTA DE ESPÉCIES'!B:H,5,FALSE()),IF(AND(A140=0,B140=0,C140&lt;&gt;0),VLOOKUP(C140,'3 - LISTA DE ESPÉCIES'!C:H,4,FALSE()))))</f>
        <v>0</v>
      </c>
      <c r="F140" s="21" t="b">
        <f>IF(AND(A140&lt;&gt;0,B140=0,C140=0),VLOOKUP(A140,'3 - LISTA DE ESPÉCIES'!A:H,2,FALSE()),IF(AND(A140=0,B140&lt;&gt;0,C140=0),VLOOKUP(B140,'3 - LISTA DE ESPÉCIES'!B:H,6,FALSE()),IF(AND(A140=0,B140=0,C140&lt;&gt;0),VLOOKUP(C140,'3 - LISTA DE ESPÉCIES'!C:H,5,FALSE()))))</f>
        <v>0</v>
      </c>
      <c r="G140" s="21" t="b">
        <f>IF(AND(A140&lt;&gt;0,B140=0,C140=0),VLOOKUP(A140,'3 - LISTA DE ESPÉCIES'!A:H,3,FALSE()),IF(AND(A140=0,B140&lt;&gt;0,C140=0),VLOOKUP(B140,'3 - LISTA DE ESPÉCIES'!B:H,7,FALSE()),IF(AND(A140=0,B140=0,C140&lt;&gt;0),VLOOKUP(C140,'3 - LISTA DE ESPÉCIES'!C:H,6,FALSE()))))</f>
        <v>0</v>
      </c>
      <c r="H140" s="21" t="b">
        <f>IF(AND(A140&lt;&gt;0,B140=0,C140=0),VLOOKUP(A140,'3 - LISTA DE ESPÉCIES'!A:H,4,FALSE()),IF(AND(A140=0,B140&lt;&gt;0,C140=0),VLOOKUP(B140,'3 - LISTA DE ESPÉCIES'!B:H,3,FALSE()),IF(AND(A140=0,B140=0,C140&lt;&gt;0),VLOOKUP(C140,'3 - LISTA DE ESPÉCIES'!C:H,2,FALSE()))))</f>
        <v>0</v>
      </c>
      <c r="I140" s="21" t="b">
        <f>IF(AND(A140&lt;&gt;0,B140=0,C140=0),VLOOKUP(A140,'3 - LISTA DE ESPÉCIES'!A:H,5,FALSE()),IF(AND(A140=0,B140&lt;&gt;0,C140=0),VLOOKUP(B140,'3 - LISTA DE ESPÉCIES'!B:H,4,FALSE()),IF(AND(A140=0,B140=0,C140&lt;&gt;0),VLOOKUP(C140,'3 - LISTA DE ESPÉCIES'!C:H,3,FALSE()))))</f>
        <v>0</v>
      </c>
      <c r="J140" s="23"/>
      <c r="K140" s="23"/>
      <c r="L140" s="20"/>
      <c r="M140" s="20"/>
    </row>
    <row r="141" spans="1:13" x14ac:dyDescent="0.25">
      <c r="A141" s="20"/>
      <c r="B141" s="20"/>
      <c r="C141" s="20"/>
      <c r="E141" s="21" t="b">
        <f>IF(AND(A141&lt;&gt;0,B141=0,C141=0),VLOOKUP(A141,'3 - LISTA DE ESPÉCIES'!A:H,1,FALSE()),IF(AND(A141=0,B141&lt;&gt;0,C141=0),VLOOKUP(B141,'3 - LISTA DE ESPÉCIES'!B:H,5,FALSE()),IF(AND(A141=0,B141=0,C141&lt;&gt;0),VLOOKUP(C141,'3 - LISTA DE ESPÉCIES'!C:H,4,FALSE()))))</f>
        <v>0</v>
      </c>
      <c r="F141" s="21" t="b">
        <f>IF(AND(A141&lt;&gt;0,B141=0,C141=0),VLOOKUP(A141,'3 - LISTA DE ESPÉCIES'!A:H,2,FALSE()),IF(AND(A141=0,B141&lt;&gt;0,C141=0),VLOOKUP(B141,'3 - LISTA DE ESPÉCIES'!B:H,6,FALSE()),IF(AND(A141=0,B141=0,C141&lt;&gt;0),VLOOKUP(C141,'3 - LISTA DE ESPÉCIES'!C:H,5,FALSE()))))</f>
        <v>0</v>
      </c>
      <c r="G141" s="21" t="b">
        <f>IF(AND(A141&lt;&gt;0,B141=0,C141=0),VLOOKUP(A141,'3 - LISTA DE ESPÉCIES'!A:H,3,FALSE()),IF(AND(A141=0,B141&lt;&gt;0,C141=0),VLOOKUP(B141,'3 - LISTA DE ESPÉCIES'!B:H,7,FALSE()),IF(AND(A141=0,B141=0,C141&lt;&gt;0),VLOOKUP(C141,'3 - LISTA DE ESPÉCIES'!C:H,6,FALSE()))))</f>
        <v>0</v>
      </c>
      <c r="H141" s="21" t="b">
        <f>IF(AND(A141&lt;&gt;0,B141=0,C141=0),VLOOKUP(A141,'3 - LISTA DE ESPÉCIES'!A:H,4,FALSE()),IF(AND(A141=0,B141&lt;&gt;0,C141=0),VLOOKUP(B141,'3 - LISTA DE ESPÉCIES'!B:H,3,FALSE()),IF(AND(A141=0,B141=0,C141&lt;&gt;0),VLOOKUP(C141,'3 - LISTA DE ESPÉCIES'!C:H,2,FALSE()))))</f>
        <v>0</v>
      </c>
      <c r="I141" s="21" t="b">
        <f>IF(AND(A141&lt;&gt;0,B141=0,C141=0),VLOOKUP(A141,'3 - LISTA DE ESPÉCIES'!A:H,5,FALSE()),IF(AND(A141=0,B141&lt;&gt;0,C141=0),VLOOKUP(B141,'3 - LISTA DE ESPÉCIES'!B:H,4,FALSE()),IF(AND(A141=0,B141=0,C141&lt;&gt;0),VLOOKUP(C141,'3 - LISTA DE ESPÉCIES'!C:H,3,FALSE()))))</f>
        <v>0</v>
      </c>
      <c r="J141" s="23"/>
      <c r="K141" s="23"/>
      <c r="L141" s="20"/>
      <c r="M141" s="20"/>
    </row>
    <row r="142" spans="1:13" x14ac:dyDescent="0.25">
      <c r="A142" s="20"/>
      <c r="B142" s="20"/>
      <c r="C142" s="20"/>
      <c r="E142" s="21" t="b">
        <f>IF(AND(A142&lt;&gt;0,B142=0,C142=0),VLOOKUP(A142,'3 - LISTA DE ESPÉCIES'!A:H,1,FALSE()),IF(AND(A142=0,B142&lt;&gt;0,C142=0),VLOOKUP(B142,'3 - LISTA DE ESPÉCIES'!B:H,5,FALSE()),IF(AND(A142=0,B142=0,C142&lt;&gt;0),VLOOKUP(C142,'3 - LISTA DE ESPÉCIES'!C:H,4,FALSE()))))</f>
        <v>0</v>
      </c>
      <c r="F142" s="21" t="b">
        <f>IF(AND(A142&lt;&gt;0,B142=0,C142=0),VLOOKUP(A142,'3 - LISTA DE ESPÉCIES'!A:H,2,FALSE()),IF(AND(A142=0,B142&lt;&gt;0,C142=0),VLOOKUP(B142,'3 - LISTA DE ESPÉCIES'!B:H,6,FALSE()),IF(AND(A142=0,B142=0,C142&lt;&gt;0),VLOOKUP(C142,'3 - LISTA DE ESPÉCIES'!C:H,5,FALSE()))))</f>
        <v>0</v>
      </c>
      <c r="G142" s="21" t="b">
        <f>IF(AND(A142&lt;&gt;0,B142=0,C142=0),VLOOKUP(A142,'3 - LISTA DE ESPÉCIES'!A:H,3,FALSE()),IF(AND(A142=0,B142&lt;&gt;0,C142=0),VLOOKUP(B142,'3 - LISTA DE ESPÉCIES'!B:H,7,FALSE()),IF(AND(A142=0,B142=0,C142&lt;&gt;0),VLOOKUP(C142,'3 - LISTA DE ESPÉCIES'!C:H,6,FALSE()))))</f>
        <v>0</v>
      </c>
      <c r="H142" s="21" t="b">
        <f>IF(AND(A142&lt;&gt;0,B142=0,C142=0),VLOOKUP(A142,'3 - LISTA DE ESPÉCIES'!A:H,4,FALSE()),IF(AND(A142=0,B142&lt;&gt;0,C142=0),VLOOKUP(B142,'3 - LISTA DE ESPÉCIES'!B:H,3,FALSE()),IF(AND(A142=0,B142=0,C142&lt;&gt;0),VLOOKUP(C142,'3 - LISTA DE ESPÉCIES'!C:H,2,FALSE()))))</f>
        <v>0</v>
      </c>
      <c r="I142" s="21" t="b">
        <f>IF(AND(A142&lt;&gt;0,B142=0,C142=0),VLOOKUP(A142,'3 - LISTA DE ESPÉCIES'!A:H,5,FALSE()),IF(AND(A142=0,B142&lt;&gt;0,C142=0),VLOOKUP(B142,'3 - LISTA DE ESPÉCIES'!B:H,4,FALSE()),IF(AND(A142=0,B142=0,C142&lt;&gt;0),VLOOKUP(C142,'3 - LISTA DE ESPÉCIES'!C:H,3,FALSE()))))</f>
        <v>0</v>
      </c>
      <c r="J142" s="23"/>
      <c r="K142" s="23"/>
      <c r="L142" s="20"/>
      <c r="M142" s="20"/>
    </row>
    <row r="143" spans="1:13" x14ac:dyDescent="0.25">
      <c r="A143" s="20"/>
      <c r="B143" s="20"/>
      <c r="C143" s="20"/>
      <c r="E143" s="21" t="b">
        <f>IF(AND(A143&lt;&gt;0,B143=0,C143=0),VLOOKUP(A143,'3 - LISTA DE ESPÉCIES'!A:H,1,FALSE()),IF(AND(A143=0,B143&lt;&gt;0,C143=0),VLOOKUP(B143,'3 - LISTA DE ESPÉCIES'!B:H,5,FALSE()),IF(AND(A143=0,B143=0,C143&lt;&gt;0),VLOOKUP(C143,'3 - LISTA DE ESPÉCIES'!C:H,4,FALSE()))))</f>
        <v>0</v>
      </c>
      <c r="F143" s="21" t="b">
        <f>IF(AND(A143&lt;&gt;0,B143=0,C143=0),VLOOKUP(A143,'3 - LISTA DE ESPÉCIES'!A:H,2,FALSE()),IF(AND(A143=0,B143&lt;&gt;0,C143=0),VLOOKUP(B143,'3 - LISTA DE ESPÉCIES'!B:H,6,FALSE()),IF(AND(A143=0,B143=0,C143&lt;&gt;0),VLOOKUP(C143,'3 - LISTA DE ESPÉCIES'!C:H,5,FALSE()))))</f>
        <v>0</v>
      </c>
      <c r="G143" s="21" t="b">
        <f>IF(AND(A143&lt;&gt;0,B143=0,C143=0),VLOOKUP(A143,'3 - LISTA DE ESPÉCIES'!A:H,3,FALSE()),IF(AND(A143=0,B143&lt;&gt;0,C143=0),VLOOKUP(B143,'3 - LISTA DE ESPÉCIES'!B:H,7,FALSE()),IF(AND(A143=0,B143=0,C143&lt;&gt;0),VLOOKUP(C143,'3 - LISTA DE ESPÉCIES'!C:H,6,FALSE()))))</f>
        <v>0</v>
      </c>
      <c r="H143" s="21" t="b">
        <f>IF(AND(A143&lt;&gt;0,B143=0,C143=0),VLOOKUP(A143,'3 - LISTA DE ESPÉCIES'!A:H,4,FALSE()),IF(AND(A143=0,B143&lt;&gt;0,C143=0),VLOOKUP(B143,'3 - LISTA DE ESPÉCIES'!B:H,3,FALSE()),IF(AND(A143=0,B143=0,C143&lt;&gt;0),VLOOKUP(C143,'3 - LISTA DE ESPÉCIES'!C:H,2,FALSE()))))</f>
        <v>0</v>
      </c>
      <c r="I143" s="21" t="b">
        <f>IF(AND(A143&lt;&gt;0,B143=0,C143=0),VLOOKUP(A143,'3 - LISTA DE ESPÉCIES'!A:H,5,FALSE()),IF(AND(A143=0,B143&lt;&gt;0,C143=0),VLOOKUP(B143,'3 - LISTA DE ESPÉCIES'!B:H,4,FALSE()),IF(AND(A143=0,B143=0,C143&lt;&gt;0),VLOOKUP(C143,'3 - LISTA DE ESPÉCIES'!C:H,3,FALSE()))))</f>
        <v>0</v>
      </c>
      <c r="J143" s="23"/>
      <c r="K143" s="23"/>
      <c r="L143" s="20"/>
      <c r="M143" s="20"/>
    </row>
    <row r="144" spans="1:13" x14ac:dyDescent="0.25">
      <c r="A144" s="20"/>
      <c r="B144" s="20"/>
      <c r="C144" s="20"/>
      <c r="E144" s="21" t="b">
        <f>IF(AND(A144&lt;&gt;0,B144=0,C144=0),VLOOKUP(A144,'3 - LISTA DE ESPÉCIES'!A:H,1,FALSE()),IF(AND(A144=0,B144&lt;&gt;0,C144=0),VLOOKUP(B144,'3 - LISTA DE ESPÉCIES'!B:H,5,FALSE()),IF(AND(A144=0,B144=0,C144&lt;&gt;0),VLOOKUP(C144,'3 - LISTA DE ESPÉCIES'!C:H,4,FALSE()))))</f>
        <v>0</v>
      </c>
      <c r="F144" s="21" t="b">
        <f>IF(AND(A144&lt;&gt;0,B144=0,C144=0),VLOOKUP(A144,'3 - LISTA DE ESPÉCIES'!A:H,2,FALSE()),IF(AND(A144=0,B144&lt;&gt;0,C144=0),VLOOKUP(B144,'3 - LISTA DE ESPÉCIES'!B:H,6,FALSE()),IF(AND(A144=0,B144=0,C144&lt;&gt;0),VLOOKUP(C144,'3 - LISTA DE ESPÉCIES'!C:H,5,FALSE()))))</f>
        <v>0</v>
      </c>
      <c r="G144" s="21" t="b">
        <f>IF(AND(A144&lt;&gt;0,B144=0,C144=0),VLOOKUP(A144,'3 - LISTA DE ESPÉCIES'!A:H,3,FALSE()),IF(AND(A144=0,B144&lt;&gt;0,C144=0),VLOOKUP(B144,'3 - LISTA DE ESPÉCIES'!B:H,7,FALSE()),IF(AND(A144=0,B144=0,C144&lt;&gt;0),VLOOKUP(C144,'3 - LISTA DE ESPÉCIES'!C:H,6,FALSE()))))</f>
        <v>0</v>
      </c>
      <c r="H144" s="21" t="b">
        <f>IF(AND(A144&lt;&gt;0,B144=0,C144=0),VLOOKUP(A144,'3 - LISTA DE ESPÉCIES'!A:H,4,FALSE()),IF(AND(A144=0,B144&lt;&gt;0,C144=0),VLOOKUP(B144,'3 - LISTA DE ESPÉCIES'!B:H,3,FALSE()),IF(AND(A144=0,B144=0,C144&lt;&gt;0),VLOOKUP(C144,'3 - LISTA DE ESPÉCIES'!C:H,2,FALSE()))))</f>
        <v>0</v>
      </c>
      <c r="I144" s="21" t="b">
        <f>IF(AND(A144&lt;&gt;0,B144=0,C144=0),VLOOKUP(A144,'3 - LISTA DE ESPÉCIES'!A:H,5,FALSE()),IF(AND(A144=0,B144&lt;&gt;0,C144=0),VLOOKUP(B144,'3 - LISTA DE ESPÉCIES'!B:H,4,FALSE()),IF(AND(A144=0,B144=0,C144&lt;&gt;0),VLOOKUP(C144,'3 - LISTA DE ESPÉCIES'!C:H,3,FALSE()))))</f>
        <v>0</v>
      </c>
      <c r="J144" s="23"/>
      <c r="K144" s="23"/>
      <c r="L144" s="20"/>
      <c r="M144" s="20"/>
    </row>
    <row r="145" spans="1:13" x14ac:dyDescent="0.25">
      <c r="A145" s="20"/>
      <c r="B145" s="20"/>
      <c r="C145" s="20"/>
      <c r="E145" s="21" t="b">
        <f>IF(AND(A145&lt;&gt;0,B145=0,C145=0),VLOOKUP(A145,'3 - LISTA DE ESPÉCIES'!A:H,1,FALSE()),IF(AND(A145=0,B145&lt;&gt;0,C145=0),VLOOKUP(B145,'3 - LISTA DE ESPÉCIES'!B:H,5,FALSE()),IF(AND(A145=0,B145=0,C145&lt;&gt;0),VLOOKUP(C145,'3 - LISTA DE ESPÉCIES'!C:H,4,FALSE()))))</f>
        <v>0</v>
      </c>
      <c r="F145" s="21" t="b">
        <f>IF(AND(A145&lt;&gt;0,B145=0,C145=0),VLOOKUP(A145,'3 - LISTA DE ESPÉCIES'!A:H,2,FALSE()),IF(AND(A145=0,B145&lt;&gt;0,C145=0),VLOOKUP(B145,'3 - LISTA DE ESPÉCIES'!B:H,6,FALSE()),IF(AND(A145=0,B145=0,C145&lt;&gt;0),VLOOKUP(C145,'3 - LISTA DE ESPÉCIES'!C:H,5,FALSE()))))</f>
        <v>0</v>
      </c>
      <c r="G145" s="21" t="b">
        <f>IF(AND(A145&lt;&gt;0,B145=0,C145=0),VLOOKUP(A145,'3 - LISTA DE ESPÉCIES'!A:H,3,FALSE()),IF(AND(A145=0,B145&lt;&gt;0,C145=0),VLOOKUP(B145,'3 - LISTA DE ESPÉCIES'!B:H,7,FALSE()),IF(AND(A145=0,B145=0,C145&lt;&gt;0),VLOOKUP(C145,'3 - LISTA DE ESPÉCIES'!C:H,6,FALSE()))))</f>
        <v>0</v>
      </c>
      <c r="H145" s="21" t="b">
        <f>IF(AND(A145&lt;&gt;0,B145=0,C145=0),VLOOKUP(A145,'3 - LISTA DE ESPÉCIES'!A:H,4,FALSE()),IF(AND(A145=0,B145&lt;&gt;0,C145=0),VLOOKUP(B145,'3 - LISTA DE ESPÉCIES'!B:H,3,FALSE()),IF(AND(A145=0,B145=0,C145&lt;&gt;0),VLOOKUP(C145,'3 - LISTA DE ESPÉCIES'!C:H,2,FALSE()))))</f>
        <v>0</v>
      </c>
      <c r="I145" s="21" t="b">
        <f>IF(AND(A145&lt;&gt;0,B145=0,C145=0),VLOOKUP(A145,'3 - LISTA DE ESPÉCIES'!A:H,5,FALSE()),IF(AND(A145=0,B145&lt;&gt;0,C145=0),VLOOKUP(B145,'3 - LISTA DE ESPÉCIES'!B:H,4,FALSE()),IF(AND(A145=0,B145=0,C145&lt;&gt;0),VLOOKUP(C145,'3 - LISTA DE ESPÉCIES'!C:H,3,FALSE()))))</f>
        <v>0</v>
      </c>
      <c r="J145" s="23"/>
      <c r="K145" s="23"/>
      <c r="L145" s="20"/>
      <c r="M145" s="20"/>
    </row>
    <row r="146" spans="1:13" x14ac:dyDescent="0.25">
      <c r="A146" s="20"/>
      <c r="B146" s="20"/>
      <c r="C146" s="20"/>
      <c r="E146" s="21" t="b">
        <f>IF(AND(A146&lt;&gt;0,B146=0,C146=0),VLOOKUP(A146,'3 - LISTA DE ESPÉCIES'!A:H,1,FALSE()),IF(AND(A146=0,B146&lt;&gt;0,C146=0),VLOOKUP(B146,'3 - LISTA DE ESPÉCIES'!B:H,5,FALSE()),IF(AND(A146=0,B146=0,C146&lt;&gt;0),VLOOKUP(C146,'3 - LISTA DE ESPÉCIES'!C:H,4,FALSE()))))</f>
        <v>0</v>
      </c>
      <c r="F146" s="21" t="b">
        <f>IF(AND(A146&lt;&gt;0,B146=0,C146=0),VLOOKUP(A146,'3 - LISTA DE ESPÉCIES'!A:H,2,FALSE()),IF(AND(A146=0,B146&lt;&gt;0,C146=0),VLOOKUP(B146,'3 - LISTA DE ESPÉCIES'!B:H,6,FALSE()),IF(AND(A146=0,B146=0,C146&lt;&gt;0),VLOOKUP(C146,'3 - LISTA DE ESPÉCIES'!C:H,5,FALSE()))))</f>
        <v>0</v>
      </c>
      <c r="G146" s="21" t="b">
        <f>IF(AND(A146&lt;&gt;0,B146=0,C146=0),VLOOKUP(A146,'3 - LISTA DE ESPÉCIES'!A:H,3,FALSE()),IF(AND(A146=0,B146&lt;&gt;0,C146=0),VLOOKUP(B146,'3 - LISTA DE ESPÉCIES'!B:H,7,FALSE()),IF(AND(A146=0,B146=0,C146&lt;&gt;0),VLOOKUP(C146,'3 - LISTA DE ESPÉCIES'!C:H,6,FALSE()))))</f>
        <v>0</v>
      </c>
      <c r="H146" s="21" t="b">
        <f>IF(AND(A146&lt;&gt;0,B146=0,C146=0),VLOOKUP(A146,'3 - LISTA DE ESPÉCIES'!A:H,4,FALSE()),IF(AND(A146=0,B146&lt;&gt;0,C146=0),VLOOKUP(B146,'3 - LISTA DE ESPÉCIES'!B:H,3,FALSE()),IF(AND(A146=0,B146=0,C146&lt;&gt;0),VLOOKUP(C146,'3 - LISTA DE ESPÉCIES'!C:H,2,FALSE()))))</f>
        <v>0</v>
      </c>
      <c r="I146" s="21" t="b">
        <f>IF(AND(A146&lt;&gt;0,B146=0,C146=0),VLOOKUP(A146,'3 - LISTA DE ESPÉCIES'!A:H,5,FALSE()),IF(AND(A146=0,B146&lt;&gt;0,C146=0),VLOOKUP(B146,'3 - LISTA DE ESPÉCIES'!B:H,4,FALSE()),IF(AND(A146=0,B146=0,C146&lt;&gt;0),VLOOKUP(C146,'3 - LISTA DE ESPÉCIES'!C:H,3,FALSE()))))</f>
        <v>0</v>
      </c>
      <c r="J146" s="23"/>
      <c r="K146" s="23"/>
      <c r="L146" s="20"/>
      <c r="M146" s="20"/>
    </row>
    <row r="147" spans="1:13" x14ac:dyDescent="0.25">
      <c r="A147" s="20"/>
      <c r="B147" s="20"/>
      <c r="C147" s="20"/>
      <c r="E147" s="21" t="b">
        <f>IF(AND(A147&lt;&gt;0,B147=0,C147=0),VLOOKUP(A147,'3 - LISTA DE ESPÉCIES'!A:H,1,FALSE()),IF(AND(A147=0,B147&lt;&gt;0,C147=0),VLOOKUP(B147,'3 - LISTA DE ESPÉCIES'!B:H,5,FALSE()),IF(AND(A147=0,B147=0,C147&lt;&gt;0),VLOOKUP(C147,'3 - LISTA DE ESPÉCIES'!C:H,4,FALSE()))))</f>
        <v>0</v>
      </c>
      <c r="F147" s="21" t="b">
        <f>IF(AND(A147&lt;&gt;0,B147=0,C147=0),VLOOKUP(A147,'3 - LISTA DE ESPÉCIES'!A:H,2,FALSE()),IF(AND(A147=0,B147&lt;&gt;0,C147=0),VLOOKUP(B147,'3 - LISTA DE ESPÉCIES'!B:H,6,FALSE()),IF(AND(A147=0,B147=0,C147&lt;&gt;0),VLOOKUP(C147,'3 - LISTA DE ESPÉCIES'!C:H,5,FALSE()))))</f>
        <v>0</v>
      </c>
      <c r="G147" s="21" t="b">
        <f>IF(AND(A147&lt;&gt;0,B147=0,C147=0),VLOOKUP(A147,'3 - LISTA DE ESPÉCIES'!A:H,3,FALSE()),IF(AND(A147=0,B147&lt;&gt;0,C147=0),VLOOKUP(B147,'3 - LISTA DE ESPÉCIES'!B:H,7,FALSE()),IF(AND(A147=0,B147=0,C147&lt;&gt;0),VLOOKUP(C147,'3 - LISTA DE ESPÉCIES'!C:H,6,FALSE()))))</f>
        <v>0</v>
      </c>
      <c r="H147" s="21" t="b">
        <f>IF(AND(A147&lt;&gt;0,B147=0,C147=0),VLOOKUP(A147,'3 - LISTA DE ESPÉCIES'!A:H,4,FALSE()),IF(AND(A147=0,B147&lt;&gt;0,C147=0),VLOOKUP(B147,'3 - LISTA DE ESPÉCIES'!B:H,3,FALSE()),IF(AND(A147=0,B147=0,C147&lt;&gt;0),VLOOKUP(C147,'3 - LISTA DE ESPÉCIES'!C:H,2,FALSE()))))</f>
        <v>0</v>
      </c>
      <c r="I147" s="21" t="b">
        <f>IF(AND(A147&lt;&gt;0,B147=0,C147=0),VLOOKUP(A147,'3 - LISTA DE ESPÉCIES'!A:H,5,FALSE()),IF(AND(A147=0,B147&lt;&gt;0,C147=0),VLOOKUP(B147,'3 - LISTA DE ESPÉCIES'!B:H,4,FALSE()),IF(AND(A147=0,B147=0,C147&lt;&gt;0),VLOOKUP(C147,'3 - LISTA DE ESPÉCIES'!C:H,3,FALSE()))))</f>
        <v>0</v>
      </c>
      <c r="J147" s="23"/>
      <c r="K147" s="23"/>
      <c r="L147" s="20"/>
      <c r="M147" s="20"/>
    </row>
    <row r="148" spans="1:13" x14ac:dyDescent="0.25">
      <c r="A148" s="20"/>
      <c r="B148" s="20"/>
      <c r="C148" s="20"/>
      <c r="E148" s="21" t="b">
        <f>IF(AND(A148&lt;&gt;0,B148=0,C148=0),VLOOKUP(A148,'3 - LISTA DE ESPÉCIES'!A:H,1,FALSE()),IF(AND(A148=0,B148&lt;&gt;0,C148=0),VLOOKUP(B148,'3 - LISTA DE ESPÉCIES'!B:H,5,FALSE()),IF(AND(A148=0,B148=0,C148&lt;&gt;0),VLOOKUP(C148,'3 - LISTA DE ESPÉCIES'!C:H,4,FALSE()))))</f>
        <v>0</v>
      </c>
      <c r="F148" s="21" t="b">
        <f>IF(AND(A148&lt;&gt;0,B148=0,C148=0),VLOOKUP(A148,'3 - LISTA DE ESPÉCIES'!A:H,2,FALSE()),IF(AND(A148=0,B148&lt;&gt;0,C148=0),VLOOKUP(B148,'3 - LISTA DE ESPÉCIES'!B:H,6,FALSE()),IF(AND(A148=0,B148=0,C148&lt;&gt;0),VLOOKUP(C148,'3 - LISTA DE ESPÉCIES'!C:H,5,FALSE()))))</f>
        <v>0</v>
      </c>
      <c r="G148" s="21" t="b">
        <f>IF(AND(A148&lt;&gt;0,B148=0,C148=0),VLOOKUP(A148,'3 - LISTA DE ESPÉCIES'!A:H,3,FALSE()),IF(AND(A148=0,B148&lt;&gt;0,C148=0),VLOOKUP(B148,'3 - LISTA DE ESPÉCIES'!B:H,7,FALSE()),IF(AND(A148=0,B148=0,C148&lt;&gt;0),VLOOKUP(C148,'3 - LISTA DE ESPÉCIES'!C:H,6,FALSE()))))</f>
        <v>0</v>
      </c>
      <c r="H148" s="21" t="b">
        <f>IF(AND(A148&lt;&gt;0,B148=0,C148=0),VLOOKUP(A148,'3 - LISTA DE ESPÉCIES'!A:H,4,FALSE()),IF(AND(A148=0,B148&lt;&gt;0,C148=0),VLOOKUP(B148,'3 - LISTA DE ESPÉCIES'!B:H,3,FALSE()),IF(AND(A148=0,B148=0,C148&lt;&gt;0),VLOOKUP(C148,'3 - LISTA DE ESPÉCIES'!C:H,2,FALSE()))))</f>
        <v>0</v>
      </c>
      <c r="I148" s="21" t="b">
        <f>IF(AND(A148&lt;&gt;0,B148=0,C148=0),VLOOKUP(A148,'3 - LISTA DE ESPÉCIES'!A:H,5,FALSE()),IF(AND(A148=0,B148&lt;&gt;0,C148=0),VLOOKUP(B148,'3 - LISTA DE ESPÉCIES'!B:H,4,FALSE()),IF(AND(A148=0,B148=0,C148&lt;&gt;0),VLOOKUP(C148,'3 - LISTA DE ESPÉCIES'!C:H,3,FALSE()))))</f>
        <v>0</v>
      </c>
      <c r="J148" s="23"/>
      <c r="K148" s="23"/>
      <c r="L148" s="20"/>
      <c r="M148" s="20"/>
    </row>
    <row r="149" spans="1:13" x14ac:dyDescent="0.25">
      <c r="A149" s="20"/>
      <c r="B149" s="20"/>
      <c r="C149" s="20"/>
      <c r="E149" s="21" t="b">
        <f>IF(AND(A149&lt;&gt;0,B149=0,C149=0),VLOOKUP(A149,'3 - LISTA DE ESPÉCIES'!A:H,1,FALSE()),IF(AND(A149=0,B149&lt;&gt;0,C149=0),VLOOKUP(B149,'3 - LISTA DE ESPÉCIES'!B:H,5,FALSE()),IF(AND(A149=0,B149=0,C149&lt;&gt;0),VLOOKUP(C149,'3 - LISTA DE ESPÉCIES'!C:H,4,FALSE()))))</f>
        <v>0</v>
      </c>
      <c r="F149" s="21" t="b">
        <f>IF(AND(A149&lt;&gt;0,B149=0,C149=0),VLOOKUP(A149,'3 - LISTA DE ESPÉCIES'!A:H,2,FALSE()),IF(AND(A149=0,B149&lt;&gt;0,C149=0),VLOOKUP(B149,'3 - LISTA DE ESPÉCIES'!B:H,6,FALSE()),IF(AND(A149=0,B149=0,C149&lt;&gt;0),VLOOKUP(C149,'3 - LISTA DE ESPÉCIES'!C:H,5,FALSE()))))</f>
        <v>0</v>
      </c>
      <c r="G149" s="21" t="b">
        <f>IF(AND(A149&lt;&gt;0,B149=0,C149=0),VLOOKUP(A149,'3 - LISTA DE ESPÉCIES'!A:H,3,FALSE()),IF(AND(A149=0,B149&lt;&gt;0,C149=0),VLOOKUP(B149,'3 - LISTA DE ESPÉCIES'!B:H,7,FALSE()),IF(AND(A149=0,B149=0,C149&lt;&gt;0),VLOOKUP(C149,'3 - LISTA DE ESPÉCIES'!C:H,6,FALSE()))))</f>
        <v>0</v>
      </c>
      <c r="H149" s="21" t="b">
        <f>IF(AND(A149&lt;&gt;0,B149=0,C149=0),VLOOKUP(A149,'3 - LISTA DE ESPÉCIES'!A:H,4,FALSE()),IF(AND(A149=0,B149&lt;&gt;0,C149=0),VLOOKUP(B149,'3 - LISTA DE ESPÉCIES'!B:H,3,FALSE()),IF(AND(A149=0,B149=0,C149&lt;&gt;0),VLOOKUP(C149,'3 - LISTA DE ESPÉCIES'!C:H,2,FALSE()))))</f>
        <v>0</v>
      </c>
      <c r="I149" s="21" t="b">
        <f>IF(AND(A149&lt;&gt;0,B149=0,C149=0),VLOOKUP(A149,'3 - LISTA DE ESPÉCIES'!A:H,5,FALSE()),IF(AND(A149=0,B149&lt;&gt;0,C149=0),VLOOKUP(B149,'3 - LISTA DE ESPÉCIES'!B:H,4,FALSE()),IF(AND(A149=0,B149=0,C149&lt;&gt;0),VLOOKUP(C149,'3 - LISTA DE ESPÉCIES'!C:H,3,FALSE()))))</f>
        <v>0</v>
      </c>
      <c r="J149" s="23"/>
      <c r="K149" s="23"/>
      <c r="L149" s="20"/>
      <c r="M149" s="20"/>
    </row>
    <row r="150" spans="1:13" x14ac:dyDescent="0.25">
      <c r="A150" s="20"/>
      <c r="B150" s="20"/>
      <c r="C150" s="20"/>
      <c r="E150" s="21" t="b">
        <f>IF(AND(A150&lt;&gt;0,B150=0,C150=0),VLOOKUP(A150,'3 - LISTA DE ESPÉCIES'!A:H,1,FALSE()),IF(AND(A150=0,B150&lt;&gt;0,C150=0),VLOOKUP(B150,'3 - LISTA DE ESPÉCIES'!B:H,5,FALSE()),IF(AND(A150=0,B150=0,C150&lt;&gt;0),VLOOKUP(C150,'3 - LISTA DE ESPÉCIES'!C:H,4,FALSE()))))</f>
        <v>0</v>
      </c>
      <c r="F150" s="21" t="b">
        <f>IF(AND(A150&lt;&gt;0,B150=0,C150=0),VLOOKUP(A150,'3 - LISTA DE ESPÉCIES'!A:H,2,FALSE()),IF(AND(A150=0,B150&lt;&gt;0,C150=0),VLOOKUP(B150,'3 - LISTA DE ESPÉCIES'!B:H,6,FALSE()),IF(AND(A150=0,B150=0,C150&lt;&gt;0),VLOOKUP(C150,'3 - LISTA DE ESPÉCIES'!C:H,5,FALSE()))))</f>
        <v>0</v>
      </c>
      <c r="G150" s="21" t="b">
        <f>IF(AND(A150&lt;&gt;0,B150=0,C150=0),VLOOKUP(A150,'3 - LISTA DE ESPÉCIES'!A:H,3,FALSE()),IF(AND(A150=0,B150&lt;&gt;0,C150=0),VLOOKUP(B150,'3 - LISTA DE ESPÉCIES'!B:H,7,FALSE()),IF(AND(A150=0,B150=0,C150&lt;&gt;0),VLOOKUP(C150,'3 - LISTA DE ESPÉCIES'!C:H,6,FALSE()))))</f>
        <v>0</v>
      </c>
      <c r="H150" s="21" t="b">
        <f>IF(AND(A150&lt;&gt;0,B150=0,C150=0),VLOOKUP(A150,'3 - LISTA DE ESPÉCIES'!A:H,4,FALSE()),IF(AND(A150=0,B150&lt;&gt;0,C150=0),VLOOKUP(B150,'3 - LISTA DE ESPÉCIES'!B:H,3,FALSE()),IF(AND(A150=0,B150=0,C150&lt;&gt;0),VLOOKUP(C150,'3 - LISTA DE ESPÉCIES'!C:H,2,FALSE()))))</f>
        <v>0</v>
      </c>
      <c r="I150" s="21" t="b">
        <f>IF(AND(A150&lt;&gt;0,B150=0,C150=0),VLOOKUP(A150,'3 - LISTA DE ESPÉCIES'!A:H,5,FALSE()),IF(AND(A150=0,B150&lt;&gt;0,C150=0),VLOOKUP(B150,'3 - LISTA DE ESPÉCIES'!B:H,4,FALSE()),IF(AND(A150=0,B150=0,C150&lt;&gt;0),VLOOKUP(C150,'3 - LISTA DE ESPÉCIES'!C:H,3,FALSE()))))</f>
        <v>0</v>
      </c>
      <c r="J150" s="23"/>
      <c r="K150" s="23"/>
      <c r="L150" s="20"/>
      <c r="M150" s="20"/>
    </row>
    <row r="151" spans="1:13" x14ac:dyDescent="0.25">
      <c r="A151" s="20"/>
      <c r="B151" s="20"/>
      <c r="C151" s="20"/>
      <c r="E151" s="21" t="b">
        <f>IF(AND(A151&lt;&gt;0,B151=0,C151=0),VLOOKUP(A151,'3 - LISTA DE ESPÉCIES'!A:H,1,FALSE()),IF(AND(A151=0,B151&lt;&gt;0,C151=0),VLOOKUP(B151,'3 - LISTA DE ESPÉCIES'!B:H,5,FALSE()),IF(AND(A151=0,B151=0,C151&lt;&gt;0),VLOOKUP(C151,'3 - LISTA DE ESPÉCIES'!C:H,4,FALSE()))))</f>
        <v>0</v>
      </c>
      <c r="F151" s="21" t="b">
        <f>IF(AND(A151&lt;&gt;0,B151=0,C151=0),VLOOKUP(A151,'3 - LISTA DE ESPÉCIES'!A:H,2,FALSE()),IF(AND(A151=0,B151&lt;&gt;0,C151=0),VLOOKUP(B151,'3 - LISTA DE ESPÉCIES'!B:H,6,FALSE()),IF(AND(A151=0,B151=0,C151&lt;&gt;0),VLOOKUP(C151,'3 - LISTA DE ESPÉCIES'!C:H,5,FALSE()))))</f>
        <v>0</v>
      </c>
      <c r="G151" s="21" t="b">
        <f>IF(AND(A151&lt;&gt;0,B151=0,C151=0),VLOOKUP(A151,'3 - LISTA DE ESPÉCIES'!A:H,3,FALSE()),IF(AND(A151=0,B151&lt;&gt;0,C151=0),VLOOKUP(B151,'3 - LISTA DE ESPÉCIES'!B:H,7,FALSE()),IF(AND(A151=0,B151=0,C151&lt;&gt;0),VLOOKUP(C151,'3 - LISTA DE ESPÉCIES'!C:H,6,FALSE()))))</f>
        <v>0</v>
      </c>
      <c r="H151" s="21" t="b">
        <f>IF(AND(A151&lt;&gt;0,B151=0,C151=0),VLOOKUP(A151,'3 - LISTA DE ESPÉCIES'!A:H,4,FALSE()),IF(AND(A151=0,B151&lt;&gt;0,C151=0),VLOOKUP(B151,'3 - LISTA DE ESPÉCIES'!B:H,3,FALSE()),IF(AND(A151=0,B151=0,C151&lt;&gt;0),VLOOKUP(C151,'3 - LISTA DE ESPÉCIES'!C:H,2,FALSE()))))</f>
        <v>0</v>
      </c>
      <c r="I151" s="21" t="b">
        <f>IF(AND(A151&lt;&gt;0,B151=0,C151=0),VLOOKUP(A151,'3 - LISTA DE ESPÉCIES'!A:H,5,FALSE()),IF(AND(A151=0,B151&lt;&gt;0,C151=0),VLOOKUP(B151,'3 - LISTA DE ESPÉCIES'!B:H,4,FALSE()),IF(AND(A151=0,B151=0,C151&lt;&gt;0),VLOOKUP(C151,'3 - LISTA DE ESPÉCIES'!C:H,3,FALSE()))))</f>
        <v>0</v>
      </c>
      <c r="J151" s="23"/>
      <c r="K151" s="23"/>
      <c r="L151" s="20"/>
      <c r="M151" s="20"/>
    </row>
    <row r="152" spans="1:13" x14ac:dyDescent="0.25">
      <c r="A152" s="20"/>
      <c r="B152" s="20"/>
      <c r="C152" s="20"/>
      <c r="E152" s="21" t="b">
        <f>IF(AND(A152&lt;&gt;0,B152=0,C152=0),VLOOKUP(A152,'3 - LISTA DE ESPÉCIES'!A:H,1,FALSE()),IF(AND(A152=0,B152&lt;&gt;0,C152=0),VLOOKUP(B152,'3 - LISTA DE ESPÉCIES'!B:H,5,FALSE()),IF(AND(A152=0,B152=0,C152&lt;&gt;0),VLOOKUP(C152,'3 - LISTA DE ESPÉCIES'!C:H,4,FALSE()))))</f>
        <v>0</v>
      </c>
      <c r="F152" s="21" t="b">
        <f>IF(AND(A152&lt;&gt;0,B152=0,C152=0),VLOOKUP(A152,'3 - LISTA DE ESPÉCIES'!A:H,2,FALSE()),IF(AND(A152=0,B152&lt;&gt;0,C152=0),VLOOKUP(B152,'3 - LISTA DE ESPÉCIES'!B:H,6,FALSE()),IF(AND(A152=0,B152=0,C152&lt;&gt;0),VLOOKUP(C152,'3 - LISTA DE ESPÉCIES'!C:H,5,FALSE()))))</f>
        <v>0</v>
      </c>
      <c r="G152" s="21" t="b">
        <f>IF(AND(A152&lt;&gt;0,B152=0,C152=0),VLOOKUP(A152,'3 - LISTA DE ESPÉCIES'!A:H,3,FALSE()),IF(AND(A152=0,B152&lt;&gt;0,C152=0),VLOOKUP(B152,'3 - LISTA DE ESPÉCIES'!B:H,7,FALSE()),IF(AND(A152=0,B152=0,C152&lt;&gt;0),VLOOKUP(C152,'3 - LISTA DE ESPÉCIES'!C:H,6,FALSE()))))</f>
        <v>0</v>
      </c>
      <c r="H152" s="21" t="b">
        <f>IF(AND(A152&lt;&gt;0,B152=0,C152=0),VLOOKUP(A152,'3 - LISTA DE ESPÉCIES'!A:H,4,FALSE()),IF(AND(A152=0,B152&lt;&gt;0,C152=0),VLOOKUP(B152,'3 - LISTA DE ESPÉCIES'!B:H,3,FALSE()),IF(AND(A152=0,B152=0,C152&lt;&gt;0),VLOOKUP(C152,'3 - LISTA DE ESPÉCIES'!C:H,2,FALSE()))))</f>
        <v>0</v>
      </c>
      <c r="I152" s="21" t="b">
        <f>IF(AND(A152&lt;&gt;0,B152=0,C152=0),VLOOKUP(A152,'3 - LISTA DE ESPÉCIES'!A:H,5,FALSE()),IF(AND(A152=0,B152&lt;&gt;0,C152=0),VLOOKUP(B152,'3 - LISTA DE ESPÉCIES'!B:H,4,FALSE()),IF(AND(A152=0,B152=0,C152&lt;&gt;0),VLOOKUP(C152,'3 - LISTA DE ESPÉCIES'!C:H,3,FALSE()))))</f>
        <v>0</v>
      </c>
      <c r="J152" s="23"/>
      <c r="K152" s="23"/>
      <c r="L152" s="20"/>
      <c r="M152" s="20"/>
    </row>
    <row r="153" spans="1:13" x14ac:dyDescent="0.25">
      <c r="A153" s="20"/>
      <c r="B153" s="20"/>
      <c r="C153" s="20"/>
      <c r="E153" s="21" t="b">
        <f>IF(AND(A153&lt;&gt;0,B153=0,C153=0),VLOOKUP(A153,'3 - LISTA DE ESPÉCIES'!A:H,1,FALSE()),IF(AND(A153=0,B153&lt;&gt;0,C153=0),VLOOKUP(B153,'3 - LISTA DE ESPÉCIES'!B:H,5,FALSE()),IF(AND(A153=0,B153=0,C153&lt;&gt;0),VLOOKUP(C153,'3 - LISTA DE ESPÉCIES'!C:H,4,FALSE()))))</f>
        <v>0</v>
      </c>
      <c r="F153" s="21" t="b">
        <f>IF(AND(A153&lt;&gt;0,B153=0,C153=0),VLOOKUP(A153,'3 - LISTA DE ESPÉCIES'!A:H,2,FALSE()),IF(AND(A153=0,B153&lt;&gt;0,C153=0),VLOOKUP(B153,'3 - LISTA DE ESPÉCIES'!B:H,6,FALSE()),IF(AND(A153=0,B153=0,C153&lt;&gt;0),VLOOKUP(C153,'3 - LISTA DE ESPÉCIES'!C:H,5,FALSE()))))</f>
        <v>0</v>
      </c>
      <c r="G153" s="21" t="b">
        <f>IF(AND(A153&lt;&gt;0,B153=0,C153=0),VLOOKUP(A153,'3 - LISTA DE ESPÉCIES'!A:H,3,FALSE()),IF(AND(A153=0,B153&lt;&gt;0,C153=0),VLOOKUP(B153,'3 - LISTA DE ESPÉCIES'!B:H,7,FALSE()),IF(AND(A153=0,B153=0,C153&lt;&gt;0),VLOOKUP(C153,'3 - LISTA DE ESPÉCIES'!C:H,6,FALSE()))))</f>
        <v>0</v>
      </c>
      <c r="H153" s="21" t="b">
        <f>IF(AND(A153&lt;&gt;0,B153=0,C153=0),VLOOKUP(A153,'3 - LISTA DE ESPÉCIES'!A:H,4,FALSE()),IF(AND(A153=0,B153&lt;&gt;0,C153=0),VLOOKUP(B153,'3 - LISTA DE ESPÉCIES'!B:H,3,FALSE()),IF(AND(A153=0,B153=0,C153&lt;&gt;0),VLOOKUP(C153,'3 - LISTA DE ESPÉCIES'!C:H,2,FALSE()))))</f>
        <v>0</v>
      </c>
      <c r="I153" s="21" t="b">
        <f>IF(AND(A153&lt;&gt;0,B153=0,C153=0),VLOOKUP(A153,'3 - LISTA DE ESPÉCIES'!A:H,5,FALSE()),IF(AND(A153=0,B153&lt;&gt;0,C153=0),VLOOKUP(B153,'3 - LISTA DE ESPÉCIES'!B:H,4,FALSE()),IF(AND(A153=0,B153=0,C153&lt;&gt;0),VLOOKUP(C153,'3 - LISTA DE ESPÉCIES'!C:H,3,FALSE()))))</f>
        <v>0</v>
      </c>
      <c r="J153" s="23"/>
      <c r="K153" s="23"/>
      <c r="L153" s="20"/>
      <c r="M153" s="20"/>
    </row>
    <row r="154" spans="1:13" x14ac:dyDescent="0.25">
      <c r="A154" s="20"/>
      <c r="B154" s="20"/>
      <c r="C154" s="20"/>
      <c r="E154" s="21" t="b">
        <f>IF(AND(A154&lt;&gt;0,B154=0,C154=0),VLOOKUP(A154,'3 - LISTA DE ESPÉCIES'!A:H,1,FALSE()),IF(AND(A154=0,B154&lt;&gt;0,C154=0),VLOOKUP(B154,'3 - LISTA DE ESPÉCIES'!B:H,5,FALSE()),IF(AND(A154=0,B154=0,C154&lt;&gt;0),VLOOKUP(C154,'3 - LISTA DE ESPÉCIES'!C:H,4,FALSE()))))</f>
        <v>0</v>
      </c>
      <c r="F154" s="21" t="b">
        <f>IF(AND(A154&lt;&gt;0,B154=0,C154=0),VLOOKUP(A154,'3 - LISTA DE ESPÉCIES'!A:H,2,FALSE()),IF(AND(A154=0,B154&lt;&gt;0,C154=0),VLOOKUP(B154,'3 - LISTA DE ESPÉCIES'!B:H,6,FALSE()),IF(AND(A154=0,B154=0,C154&lt;&gt;0),VLOOKUP(C154,'3 - LISTA DE ESPÉCIES'!C:H,5,FALSE()))))</f>
        <v>0</v>
      </c>
      <c r="G154" s="21" t="b">
        <f>IF(AND(A154&lt;&gt;0,B154=0,C154=0),VLOOKUP(A154,'3 - LISTA DE ESPÉCIES'!A:H,3,FALSE()),IF(AND(A154=0,B154&lt;&gt;0,C154=0),VLOOKUP(B154,'3 - LISTA DE ESPÉCIES'!B:H,7,FALSE()),IF(AND(A154=0,B154=0,C154&lt;&gt;0),VLOOKUP(C154,'3 - LISTA DE ESPÉCIES'!C:H,6,FALSE()))))</f>
        <v>0</v>
      </c>
      <c r="H154" s="21" t="b">
        <f>IF(AND(A154&lt;&gt;0,B154=0,C154=0),VLOOKUP(A154,'3 - LISTA DE ESPÉCIES'!A:H,4,FALSE()),IF(AND(A154=0,B154&lt;&gt;0,C154=0),VLOOKUP(B154,'3 - LISTA DE ESPÉCIES'!B:H,3,FALSE()),IF(AND(A154=0,B154=0,C154&lt;&gt;0),VLOOKUP(C154,'3 - LISTA DE ESPÉCIES'!C:H,2,FALSE()))))</f>
        <v>0</v>
      </c>
      <c r="I154" s="21" t="b">
        <f>IF(AND(A154&lt;&gt;0,B154=0,C154=0),VLOOKUP(A154,'3 - LISTA DE ESPÉCIES'!A:H,5,FALSE()),IF(AND(A154=0,B154&lt;&gt;0,C154=0),VLOOKUP(B154,'3 - LISTA DE ESPÉCIES'!B:H,4,FALSE()),IF(AND(A154=0,B154=0,C154&lt;&gt;0),VLOOKUP(C154,'3 - LISTA DE ESPÉCIES'!C:H,3,FALSE()))))</f>
        <v>0</v>
      </c>
      <c r="J154" s="23"/>
      <c r="K154" s="23"/>
      <c r="L154" s="20"/>
      <c r="M154" s="20"/>
    </row>
    <row r="155" spans="1:13" x14ac:dyDescent="0.25">
      <c r="A155" s="20"/>
      <c r="B155" s="20"/>
      <c r="C155" s="20"/>
      <c r="E155" s="21" t="b">
        <f>IF(AND(A155&lt;&gt;0,B155=0,C155=0),VLOOKUP(A155,'3 - LISTA DE ESPÉCIES'!A:H,1,FALSE()),IF(AND(A155=0,B155&lt;&gt;0,C155=0),VLOOKUP(B155,'3 - LISTA DE ESPÉCIES'!B:H,5,FALSE()),IF(AND(A155=0,B155=0,C155&lt;&gt;0),VLOOKUP(C155,'3 - LISTA DE ESPÉCIES'!C:H,4,FALSE()))))</f>
        <v>0</v>
      </c>
      <c r="F155" s="21" t="b">
        <f>IF(AND(A155&lt;&gt;0,B155=0,C155=0),VLOOKUP(A155,'3 - LISTA DE ESPÉCIES'!A:H,2,FALSE()),IF(AND(A155=0,B155&lt;&gt;0,C155=0),VLOOKUP(B155,'3 - LISTA DE ESPÉCIES'!B:H,6,FALSE()),IF(AND(A155=0,B155=0,C155&lt;&gt;0),VLOOKUP(C155,'3 - LISTA DE ESPÉCIES'!C:H,5,FALSE()))))</f>
        <v>0</v>
      </c>
      <c r="G155" s="21" t="b">
        <f>IF(AND(A155&lt;&gt;0,B155=0,C155=0),VLOOKUP(A155,'3 - LISTA DE ESPÉCIES'!A:H,3,FALSE()),IF(AND(A155=0,B155&lt;&gt;0,C155=0),VLOOKUP(B155,'3 - LISTA DE ESPÉCIES'!B:H,7,FALSE()),IF(AND(A155=0,B155=0,C155&lt;&gt;0),VLOOKUP(C155,'3 - LISTA DE ESPÉCIES'!C:H,6,FALSE()))))</f>
        <v>0</v>
      </c>
      <c r="H155" s="21" t="b">
        <f>IF(AND(A155&lt;&gt;0,B155=0,C155=0),VLOOKUP(A155,'3 - LISTA DE ESPÉCIES'!A:H,4,FALSE()),IF(AND(A155=0,B155&lt;&gt;0,C155=0),VLOOKUP(B155,'3 - LISTA DE ESPÉCIES'!B:H,3,FALSE()),IF(AND(A155=0,B155=0,C155&lt;&gt;0),VLOOKUP(C155,'3 - LISTA DE ESPÉCIES'!C:H,2,FALSE()))))</f>
        <v>0</v>
      </c>
      <c r="I155" s="21" t="b">
        <f>IF(AND(A155&lt;&gt;0,B155=0,C155=0),VLOOKUP(A155,'3 - LISTA DE ESPÉCIES'!A:H,5,FALSE()),IF(AND(A155=0,B155&lt;&gt;0,C155=0),VLOOKUP(B155,'3 - LISTA DE ESPÉCIES'!B:H,4,FALSE()),IF(AND(A155=0,B155=0,C155&lt;&gt;0),VLOOKUP(C155,'3 - LISTA DE ESPÉCIES'!C:H,3,FALSE()))))</f>
        <v>0</v>
      </c>
      <c r="J155" s="23"/>
      <c r="K155" s="23"/>
      <c r="L155" s="20"/>
      <c r="M155" s="20"/>
    </row>
    <row r="156" spans="1:13" x14ac:dyDescent="0.25">
      <c r="A156" s="20"/>
      <c r="B156" s="20"/>
      <c r="C156" s="20"/>
      <c r="E156" s="21" t="b">
        <f>IF(AND(A156&lt;&gt;0,B156=0,C156=0),VLOOKUP(A156,'3 - LISTA DE ESPÉCIES'!A:H,1,FALSE()),IF(AND(A156=0,B156&lt;&gt;0,C156=0),VLOOKUP(B156,'3 - LISTA DE ESPÉCIES'!B:H,5,FALSE()),IF(AND(A156=0,B156=0,C156&lt;&gt;0),VLOOKUP(C156,'3 - LISTA DE ESPÉCIES'!C:H,4,FALSE()))))</f>
        <v>0</v>
      </c>
      <c r="F156" s="21" t="b">
        <f>IF(AND(A156&lt;&gt;0,B156=0,C156=0),VLOOKUP(A156,'3 - LISTA DE ESPÉCIES'!A:H,2,FALSE()),IF(AND(A156=0,B156&lt;&gt;0,C156=0),VLOOKUP(B156,'3 - LISTA DE ESPÉCIES'!B:H,6,FALSE()),IF(AND(A156=0,B156=0,C156&lt;&gt;0),VLOOKUP(C156,'3 - LISTA DE ESPÉCIES'!C:H,5,FALSE()))))</f>
        <v>0</v>
      </c>
      <c r="G156" s="21" t="b">
        <f>IF(AND(A156&lt;&gt;0,B156=0,C156=0),VLOOKUP(A156,'3 - LISTA DE ESPÉCIES'!A:H,3,FALSE()),IF(AND(A156=0,B156&lt;&gt;0,C156=0),VLOOKUP(B156,'3 - LISTA DE ESPÉCIES'!B:H,7,FALSE()),IF(AND(A156=0,B156=0,C156&lt;&gt;0),VLOOKUP(C156,'3 - LISTA DE ESPÉCIES'!C:H,6,FALSE()))))</f>
        <v>0</v>
      </c>
      <c r="H156" s="21" t="b">
        <f>IF(AND(A156&lt;&gt;0,B156=0,C156=0),VLOOKUP(A156,'3 - LISTA DE ESPÉCIES'!A:H,4,FALSE()),IF(AND(A156=0,B156&lt;&gt;0,C156=0),VLOOKUP(B156,'3 - LISTA DE ESPÉCIES'!B:H,3,FALSE()),IF(AND(A156=0,B156=0,C156&lt;&gt;0),VLOOKUP(C156,'3 - LISTA DE ESPÉCIES'!C:H,2,FALSE()))))</f>
        <v>0</v>
      </c>
      <c r="I156" s="21" t="b">
        <f>IF(AND(A156&lt;&gt;0,B156=0,C156=0),VLOOKUP(A156,'3 - LISTA DE ESPÉCIES'!A:H,5,FALSE()),IF(AND(A156=0,B156&lt;&gt;0,C156=0),VLOOKUP(B156,'3 - LISTA DE ESPÉCIES'!B:H,4,FALSE()),IF(AND(A156=0,B156=0,C156&lt;&gt;0),VLOOKUP(C156,'3 - LISTA DE ESPÉCIES'!C:H,3,FALSE()))))</f>
        <v>0</v>
      </c>
      <c r="J156" s="23"/>
      <c r="K156" s="23"/>
      <c r="L156" s="20"/>
      <c r="M156" s="20"/>
    </row>
    <row r="157" spans="1:13" x14ac:dyDescent="0.25">
      <c r="A157" s="20"/>
      <c r="B157" s="20"/>
      <c r="C157" s="20"/>
      <c r="E157" s="21" t="b">
        <f>IF(AND(A157&lt;&gt;0,B157=0,C157=0),VLOOKUP(A157,'3 - LISTA DE ESPÉCIES'!A:H,1,FALSE()),IF(AND(A157=0,B157&lt;&gt;0,C157=0),VLOOKUP(B157,'3 - LISTA DE ESPÉCIES'!B:H,5,FALSE()),IF(AND(A157=0,B157=0,C157&lt;&gt;0),VLOOKUP(C157,'3 - LISTA DE ESPÉCIES'!C:H,4,FALSE()))))</f>
        <v>0</v>
      </c>
      <c r="F157" s="21" t="b">
        <f>IF(AND(A157&lt;&gt;0,B157=0,C157=0),VLOOKUP(A157,'3 - LISTA DE ESPÉCIES'!A:H,2,FALSE()),IF(AND(A157=0,B157&lt;&gt;0,C157=0),VLOOKUP(B157,'3 - LISTA DE ESPÉCIES'!B:H,6,FALSE()),IF(AND(A157=0,B157=0,C157&lt;&gt;0),VLOOKUP(C157,'3 - LISTA DE ESPÉCIES'!C:H,5,FALSE()))))</f>
        <v>0</v>
      </c>
      <c r="G157" s="21" t="b">
        <f>IF(AND(A157&lt;&gt;0,B157=0,C157=0),VLOOKUP(A157,'3 - LISTA DE ESPÉCIES'!A:H,3,FALSE()),IF(AND(A157=0,B157&lt;&gt;0,C157=0),VLOOKUP(B157,'3 - LISTA DE ESPÉCIES'!B:H,7,FALSE()),IF(AND(A157=0,B157=0,C157&lt;&gt;0),VLOOKUP(C157,'3 - LISTA DE ESPÉCIES'!C:H,6,FALSE()))))</f>
        <v>0</v>
      </c>
      <c r="H157" s="21" t="b">
        <f>IF(AND(A157&lt;&gt;0,B157=0,C157=0),VLOOKUP(A157,'3 - LISTA DE ESPÉCIES'!A:H,4,FALSE()),IF(AND(A157=0,B157&lt;&gt;0,C157=0),VLOOKUP(B157,'3 - LISTA DE ESPÉCIES'!B:H,3,FALSE()),IF(AND(A157=0,B157=0,C157&lt;&gt;0),VLOOKUP(C157,'3 - LISTA DE ESPÉCIES'!C:H,2,FALSE()))))</f>
        <v>0</v>
      </c>
      <c r="I157" s="21" t="b">
        <f>IF(AND(A157&lt;&gt;0,B157=0,C157=0),VLOOKUP(A157,'3 - LISTA DE ESPÉCIES'!A:H,5,FALSE()),IF(AND(A157=0,B157&lt;&gt;0,C157=0),VLOOKUP(B157,'3 - LISTA DE ESPÉCIES'!B:H,4,FALSE()),IF(AND(A157=0,B157=0,C157&lt;&gt;0),VLOOKUP(C157,'3 - LISTA DE ESPÉCIES'!C:H,3,FALSE()))))</f>
        <v>0</v>
      </c>
      <c r="J157" s="23"/>
      <c r="K157" s="23"/>
      <c r="L157" s="20"/>
      <c r="M157" s="20"/>
    </row>
    <row r="158" spans="1:13" x14ac:dyDescent="0.25">
      <c r="A158" s="20"/>
      <c r="B158" s="20"/>
      <c r="C158" s="20"/>
      <c r="E158" s="21" t="b">
        <f>IF(AND(A158&lt;&gt;0,B158=0,C158=0),VLOOKUP(A158,'3 - LISTA DE ESPÉCIES'!A:H,1,FALSE()),IF(AND(A158=0,B158&lt;&gt;0,C158=0),VLOOKUP(B158,'3 - LISTA DE ESPÉCIES'!B:H,5,FALSE()),IF(AND(A158=0,B158=0,C158&lt;&gt;0),VLOOKUP(C158,'3 - LISTA DE ESPÉCIES'!C:H,4,FALSE()))))</f>
        <v>0</v>
      </c>
      <c r="F158" s="21" t="b">
        <f>IF(AND(A158&lt;&gt;0,B158=0,C158=0),VLOOKUP(A158,'3 - LISTA DE ESPÉCIES'!A:H,2,FALSE()),IF(AND(A158=0,B158&lt;&gt;0,C158=0),VLOOKUP(B158,'3 - LISTA DE ESPÉCIES'!B:H,6,FALSE()),IF(AND(A158=0,B158=0,C158&lt;&gt;0),VLOOKUP(C158,'3 - LISTA DE ESPÉCIES'!C:H,5,FALSE()))))</f>
        <v>0</v>
      </c>
      <c r="G158" s="21" t="b">
        <f>IF(AND(A158&lt;&gt;0,B158=0,C158=0),VLOOKUP(A158,'3 - LISTA DE ESPÉCIES'!A:H,3,FALSE()),IF(AND(A158=0,B158&lt;&gt;0,C158=0),VLOOKUP(B158,'3 - LISTA DE ESPÉCIES'!B:H,7,FALSE()),IF(AND(A158=0,B158=0,C158&lt;&gt;0),VLOOKUP(C158,'3 - LISTA DE ESPÉCIES'!C:H,6,FALSE()))))</f>
        <v>0</v>
      </c>
      <c r="H158" s="21" t="b">
        <f>IF(AND(A158&lt;&gt;0,B158=0,C158=0),VLOOKUP(A158,'3 - LISTA DE ESPÉCIES'!A:H,4,FALSE()),IF(AND(A158=0,B158&lt;&gt;0,C158=0),VLOOKUP(B158,'3 - LISTA DE ESPÉCIES'!B:H,3,FALSE()),IF(AND(A158=0,B158=0,C158&lt;&gt;0),VLOOKUP(C158,'3 - LISTA DE ESPÉCIES'!C:H,2,FALSE()))))</f>
        <v>0</v>
      </c>
      <c r="I158" s="21" t="b">
        <f>IF(AND(A158&lt;&gt;0,B158=0,C158=0),VLOOKUP(A158,'3 - LISTA DE ESPÉCIES'!A:H,5,FALSE()),IF(AND(A158=0,B158&lt;&gt;0,C158=0),VLOOKUP(B158,'3 - LISTA DE ESPÉCIES'!B:H,4,FALSE()),IF(AND(A158=0,B158=0,C158&lt;&gt;0),VLOOKUP(C158,'3 - LISTA DE ESPÉCIES'!C:H,3,FALSE()))))</f>
        <v>0</v>
      </c>
      <c r="J158" s="23"/>
      <c r="K158" s="23"/>
      <c r="L158" s="20"/>
      <c r="M158" s="20"/>
    </row>
    <row r="159" spans="1:13" x14ac:dyDescent="0.25">
      <c r="A159" s="20"/>
      <c r="B159" s="20"/>
      <c r="C159" s="20"/>
      <c r="E159" s="21" t="b">
        <f>IF(AND(A159&lt;&gt;0,B159=0,C159=0),VLOOKUP(A159,'3 - LISTA DE ESPÉCIES'!A:H,1,FALSE()),IF(AND(A159=0,B159&lt;&gt;0,C159=0),VLOOKUP(B159,'3 - LISTA DE ESPÉCIES'!B:H,5,FALSE()),IF(AND(A159=0,B159=0,C159&lt;&gt;0),VLOOKUP(C159,'3 - LISTA DE ESPÉCIES'!C:H,4,FALSE()))))</f>
        <v>0</v>
      </c>
      <c r="F159" s="21" t="b">
        <f>IF(AND(A159&lt;&gt;0,B159=0,C159=0),VLOOKUP(A159,'3 - LISTA DE ESPÉCIES'!A:H,2,FALSE()),IF(AND(A159=0,B159&lt;&gt;0,C159=0),VLOOKUP(B159,'3 - LISTA DE ESPÉCIES'!B:H,6,FALSE()),IF(AND(A159=0,B159=0,C159&lt;&gt;0),VLOOKUP(C159,'3 - LISTA DE ESPÉCIES'!C:H,5,FALSE()))))</f>
        <v>0</v>
      </c>
      <c r="G159" s="21" t="b">
        <f>IF(AND(A159&lt;&gt;0,B159=0,C159=0),VLOOKUP(A159,'3 - LISTA DE ESPÉCIES'!A:H,3,FALSE()),IF(AND(A159=0,B159&lt;&gt;0,C159=0),VLOOKUP(B159,'3 - LISTA DE ESPÉCIES'!B:H,7,FALSE()),IF(AND(A159=0,B159=0,C159&lt;&gt;0),VLOOKUP(C159,'3 - LISTA DE ESPÉCIES'!C:H,6,FALSE()))))</f>
        <v>0</v>
      </c>
      <c r="H159" s="21" t="b">
        <f>IF(AND(A159&lt;&gt;0,B159=0,C159=0),VLOOKUP(A159,'3 - LISTA DE ESPÉCIES'!A:H,4,FALSE()),IF(AND(A159=0,B159&lt;&gt;0,C159=0),VLOOKUP(B159,'3 - LISTA DE ESPÉCIES'!B:H,3,FALSE()),IF(AND(A159=0,B159=0,C159&lt;&gt;0),VLOOKUP(C159,'3 - LISTA DE ESPÉCIES'!C:H,2,FALSE()))))</f>
        <v>0</v>
      </c>
      <c r="I159" s="21" t="b">
        <f>IF(AND(A159&lt;&gt;0,B159=0,C159=0),VLOOKUP(A159,'3 - LISTA DE ESPÉCIES'!A:H,5,FALSE()),IF(AND(A159=0,B159&lt;&gt;0,C159=0),VLOOKUP(B159,'3 - LISTA DE ESPÉCIES'!B:H,4,FALSE()),IF(AND(A159=0,B159=0,C159&lt;&gt;0),VLOOKUP(C159,'3 - LISTA DE ESPÉCIES'!C:H,3,FALSE()))))</f>
        <v>0</v>
      </c>
      <c r="J159" s="23"/>
      <c r="K159" s="23"/>
      <c r="L159" s="20"/>
      <c r="M159" s="20"/>
    </row>
    <row r="160" spans="1:13" x14ac:dyDescent="0.25">
      <c r="A160" s="20"/>
      <c r="B160" s="20"/>
      <c r="C160" s="20"/>
      <c r="E160" s="21" t="b">
        <f>IF(AND(A160&lt;&gt;0,B160=0,C160=0),VLOOKUP(A160,'3 - LISTA DE ESPÉCIES'!A:H,1,FALSE()),IF(AND(A160=0,B160&lt;&gt;0,C160=0),VLOOKUP(B160,'3 - LISTA DE ESPÉCIES'!B:H,5,FALSE()),IF(AND(A160=0,B160=0,C160&lt;&gt;0),VLOOKUP(C160,'3 - LISTA DE ESPÉCIES'!C:H,4,FALSE()))))</f>
        <v>0</v>
      </c>
      <c r="F160" s="21" t="b">
        <f>IF(AND(A160&lt;&gt;0,B160=0,C160=0),VLOOKUP(A160,'3 - LISTA DE ESPÉCIES'!A:H,2,FALSE()),IF(AND(A160=0,B160&lt;&gt;0,C160=0),VLOOKUP(B160,'3 - LISTA DE ESPÉCIES'!B:H,6,FALSE()),IF(AND(A160=0,B160=0,C160&lt;&gt;0),VLOOKUP(C160,'3 - LISTA DE ESPÉCIES'!C:H,5,FALSE()))))</f>
        <v>0</v>
      </c>
      <c r="G160" s="21" t="b">
        <f>IF(AND(A160&lt;&gt;0,B160=0,C160=0),VLOOKUP(A160,'3 - LISTA DE ESPÉCIES'!A:H,3,FALSE()),IF(AND(A160=0,B160&lt;&gt;0,C160=0),VLOOKUP(B160,'3 - LISTA DE ESPÉCIES'!B:H,7,FALSE()),IF(AND(A160=0,B160=0,C160&lt;&gt;0),VLOOKUP(C160,'3 - LISTA DE ESPÉCIES'!C:H,6,FALSE()))))</f>
        <v>0</v>
      </c>
      <c r="H160" s="21" t="b">
        <f>IF(AND(A160&lt;&gt;0,B160=0,C160=0),VLOOKUP(A160,'3 - LISTA DE ESPÉCIES'!A:H,4,FALSE()),IF(AND(A160=0,B160&lt;&gt;0,C160=0),VLOOKUP(B160,'3 - LISTA DE ESPÉCIES'!B:H,3,FALSE()),IF(AND(A160=0,B160=0,C160&lt;&gt;0),VLOOKUP(C160,'3 - LISTA DE ESPÉCIES'!C:H,2,FALSE()))))</f>
        <v>0</v>
      </c>
      <c r="I160" s="21" t="b">
        <f>IF(AND(A160&lt;&gt;0,B160=0,C160=0),VLOOKUP(A160,'3 - LISTA DE ESPÉCIES'!A:H,5,FALSE()),IF(AND(A160=0,B160&lt;&gt;0,C160=0),VLOOKUP(B160,'3 - LISTA DE ESPÉCIES'!B:H,4,FALSE()),IF(AND(A160=0,B160=0,C160&lt;&gt;0),VLOOKUP(C160,'3 - LISTA DE ESPÉCIES'!C:H,3,FALSE()))))</f>
        <v>0</v>
      </c>
      <c r="J160" s="23"/>
      <c r="K160" s="23"/>
      <c r="L160" s="20"/>
      <c r="M160" s="20"/>
    </row>
    <row r="161" spans="1:13" x14ac:dyDescent="0.25">
      <c r="A161" s="20"/>
      <c r="B161" s="20"/>
      <c r="C161" s="20"/>
      <c r="E161" s="21" t="b">
        <f>IF(AND(A161&lt;&gt;0,B161=0,C161=0),VLOOKUP(A161,'3 - LISTA DE ESPÉCIES'!A:H,1,FALSE()),IF(AND(A161=0,B161&lt;&gt;0,C161=0),VLOOKUP(B161,'3 - LISTA DE ESPÉCIES'!B:H,5,FALSE()),IF(AND(A161=0,B161=0,C161&lt;&gt;0),VLOOKUP(C161,'3 - LISTA DE ESPÉCIES'!C:H,4,FALSE()))))</f>
        <v>0</v>
      </c>
      <c r="F161" s="21" t="b">
        <f>IF(AND(A161&lt;&gt;0,B161=0,C161=0),VLOOKUP(A161,'3 - LISTA DE ESPÉCIES'!A:H,2,FALSE()),IF(AND(A161=0,B161&lt;&gt;0,C161=0),VLOOKUP(B161,'3 - LISTA DE ESPÉCIES'!B:H,6,FALSE()),IF(AND(A161=0,B161=0,C161&lt;&gt;0),VLOOKUP(C161,'3 - LISTA DE ESPÉCIES'!C:H,5,FALSE()))))</f>
        <v>0</v>
      </c>
      <c r="G161" s="21" t="b">
        <f>IF(AND(A161&lt;&gt;0,B161=0,C161=0),VLOOKUP(A161,'3 - LISTA DE ESPÉCIES'!A:H,3,FALSE()),IF(AND(A161=0,B161&lt;&gt;0,C161=0),VLOOKUP(B161,'3 - LISTA DE ESPÉCIES'!B:H,7,FALSE()),IF(AND(A161=0,B161=0,C161&lt;&gt;0),VLOOKUP(C161,'3 - LISTA DE ESPÉCIES'!C:H,6,FALSE()))))</f>
        <v>0</v>
      </c>
      <c r="H161" s="21" t="b">
        <f>IF(AND(A161&lt;&gt;0,B161=0,C161=0),VLOOKUP(A161,'3 - LISTA DE ESPÉCIES'!A:H,4,FALSE()),IF(AND(A161=0,B161&lt;&gt;0,C161=0),VLOOKUP(B161,'3 - LISTA DE ESPÉCIES'!B:H,3,FALSE()),IF(AND(A161=0,B161=0,C161&lt;&gt;0),VLOOKUP(C161,'3 - LISTA DE ESPÉCIES'!C:H,2,FALSE()))))</f>
        <v>0</v>
      </c>
      <c r="I161" s="21" t="b">
        <f>IF(AND(A161&lt;&gt;0,B161=0,C161=0),VLOOKUP(A161,'3 - LISTA DE ESPÉCIES'!A:H,5,FALSE()),IF(AND(A161=0,B161&lt;&gt;0,C161=0),VLOOKUP(B161,'3 - LISTA DE ESPÉCIES'!B:H,4,FALSE()),IF(AND(A161=0,B161=0,C161&lt;&gt;0),VLOOKUP(C161,'3 - LISTA DE ESPÉCIES'!C:H,3,FALSE()))))</f>
        <v>0</v>
      </c>
      <c r="J161" s="23"/>
      <c r="K161" s="23"/>
      <c r="L161" s="20"/>
      <c r="M161" s="20"/>
    </row>
    <row r="162" spans="1:13" x14ac:dyDescent="0.25">
      <c r="A162" s="20"/>
      <c r="B162" s="20"/>
      <c r="C162" s="20"/>
      <c r="E162" s="21" t="b">
        <f>IF(AND(A162&lt;&gt;0,B162=0,C162=0),VLOOKUP(A162,'3 - LISTA DE ESPÉCIES'!A:H,1,FALSE()),IF(AND(A162=0,B162&lt;&gt;0,C162=0),VLOOKUP(B162,'3 - LISTA DE ESPÉCIES'!B:H,5,FALSE()),IF(AND(A162=0,B162=0,C162&lt;&gt;0),VLOOKUP(C162,'3 - LISTA DE ESPÉCIES'!C:H,4,FALSE()))))</f>
        <v>0</v>
      </c>
      <c r="F162" s="21" t="b">
        <f>IF(AND(A162&lt;&gt;0,B162=0,C162=0),VLOOKUP(A162,'3 - LISTA DE ESPÉCIES'!A:H,2,FALSE()),IF(AND(A162=0,B162&lt;&gt;0,C162=0),VLOOKUP(B162,'3 - LISTA DE ESPÉCIES'!B:H,6,FALSE()),IF(AND(A162=0,B162=0,C162&lt;&gt;0),VLOOKUP(C162,'3 - LISTA DE ESPÉCIES'!C:H,5,FALSE()))))</f>
        <v>0</v>
      </c>
      <c r="G162" s="21" t="b">
        <f>IF(AND(A162&lt;&gt;0,B162=0,C162=0),VLOOKUP(A162,'3 - LISTA DE ESPÉCIES'!A:H,3,FALSE()),IF(AND(A162=0,B162&lt;&gt;0,C162=0),VLOOKUP(B162,'3 - LISTA DE ESPÉCIES'!B:H,7,FALSE()),IF(AND(A162=0,B162=0,C162&lt;&gt;0),VLOOKUP(C162,'3 - LISTA DE ESPÉCIES'!C:H,6,FALSE()))))</f>
        <v>0</v>
      </c>
      <c r="H162" s="21" t="b">
        <f>IF(AND(A162&lt;&gt;0,B162=0,C162=0),VLOOKUP(A162,'3 - LISTA DE ESPÉCIES'!A:H,4,FALSE()),IF(AND(A162=0,B162&lt;&gt;0,C162=0),VLOOKUP(B162,'3 - LISTA DE ESPÉCIES'!B:H,3,FALSE()),IF(AND(A162=0,B162=0,C162&lt;&gt;0),VLOOKUP(C162,'3 - LISTA DE ESPÉCIES'!C:H,2,FALSE()))))</f>
        <v>0</v>
      </c>
      <c r="I162" s="21" t="b">
        <f>IF(AND(A162&lt;&gt;0,B162=0,C162=0),VLOOKUP(A162,'3 - LISTA DE ESPÉCIES'!A:H,5,FALSE()),IF(AND(A162=0,B162&lt;&gt;0,C162=0),VLOOKUP(B162,'3 - LISTA DE ESPÉCIES'!B:H,4,FALSE()),IF(AND(A162=0,B162=0,C162&lt;&gt;0),VLOOKUP(C162,'3 - LISTA DE ESPÉCIES'!C:H,3,FALSE()))))</f>
        <v>0</v>
      </c>
      <c r="J162" s="23"/>
      <c r="K162" s="23"/>
      <c r="L162" s="20"/>
      <c r="M162" s="20"/>
    </row>
    <row r="163" spans="1:13" x14ac:dyDescent="0.25">
      <c r="A163" s="20"/>
      <c r="B163" s="20"/>
      <c r="C163" s="20"/>
      <c r="E163" s="21" t="b">
        <f>IF(AND(A163&lt;&gt;0,B163=0,C163=0),VLOOKUP(A163,'3 - LISTA DE ESPÉCIES'!A:H,1,FALSE()),IF(AND(A163=0,B163&lt;&gt;0,C163=0),VLOOKUP(B163,'3 - LISTA DE ESPÉCIES'!B:H,5,FALSE()),IF(AND(A163=0,B163=0,C163&lt;&gt;0),VLOOKUP(C163,'3 - LISTA DE ESPÉCIES'!C:H,4,FALSE()))))</f>
        <v>0</v>
      </c>
      <c r="F163" s="21" t="b">
        <f>IF(AND(A163&lt;&gt;0,B163=0,C163=0),VLOOKUP(A163,'3 - LISTA DE ESPÉCIES'!A:H,2,FALSE()),IF(AND(A163=0,B163&lt;&gt;0,C163=0),VLOOKUP(B163,'3 - LISTA DE ESPÉCIES'!B:H,6,FALSE()),IF(AND(A163=0,B163=0,C163&lt;&gt;0),VLOOKUP(C163,'3 - LISTA DE ESPÉCIES'!C:H,5,FALSE()))))</f>
        <v>0</v>
      </c>
      <c r="G163" s="21" t="b">
        <f>IF(AND(A163&lt;&gt;0,B163=0,C163=0),VLOOKUP(A163,'3 - LISTA DE ESPÉCIES'!A:H,3,FALSE()),IF(AND(A163=0,B163&lt;&gt;0,C163=0),VLOOKUP(B163,'3 - LISTA DE ESPÉCIES'!B:H,7,FALSE()),IF(AND(A163=0,B163=0,C163&lt;&gt;0),VLOOKUP(C163,'3 - LISTA DE ESPÉCIES'!C:H,6,FALSE()))))</f>
        <v>0</v>
      </c>
      <c r="H163" s="21" t="b">
        <f>IF(AND(A163&lt;&gt;0,B163=0,C163=0),VLOOKUP(A163,'3 - LISTA DE ESPÉCIES'!A:H,4,FALSE()),IF(AND(A163=0,B163&lt;&gt;0,C163=0),VLOOKUP(B163,'3 - LISTA DE ESPÉCIES'!B:H,3,FALSE()),IF(AND(A163=0,B163=0,C163&lt;&gt;0),VLOOKUP(C163,'3 - LISTA DE ESPÉCIES'!C:H,2,FALSE()))))</f>
        <v>0</v>
      </c>
      <c r="I163" s="21" t="b">
        <f>IF(AND(A163&lt;&gt;0,B163=0,C163=0),VLOOKUP(A163,'3 - LISTA DE ESPÉCIES'!A:H,5,FALSE()),IF(AND(A163=0,B163&lt;&gt;0,C163=0),VLOOKUP(B163,'3 - LISTA DE ESPÉCIES'!B:H,4,FALSE()),IF(AND(A163=0,B163=0,C163&lt;&gt;0),VLOOKUP(C163,'3 - LISTA DE ESPÉCIES'!C:H,3,FALSE()))))</f>
        <v>0</v>
      </c>
      <c r="J163" s="23"/>
      <c r="K163" s="23"/>
      <c r="L163" s="20"/>
      <c r="M163" s="20"/>
    </row>
    <row r="164" spans="1:13" x14ac:dyDescent="0.25">
      <c r="A164" s="20"/>
      <c r="B164" s="20"/>
      <c r="C164" s="20"/>
      <c r="E164" s="21" t="b">
        <f>IF(AND(A164&lt;&gt;0,B164=0,C164=0),VLOOKUP(A164,'3 - LISTA DE ESPÉCIES'!A:H,1,FALSE()),IF(AND(A164=0,B164&lt;&gt;0,C164=0),VLOOKUP(B164,'3 - LISTA DE ESPÉCIES'!B:H,5,FALSE()),IF(AND(A164=0,B164=0,C164&lt;&gt;0),VLOOKUP(C164,'3 - LISTA DE ESPÉCIES'!C:H,4,FALSE()))))</f>
        <v>0</v>
      </c>
      <c r="F164" s="21" t="b">
        <f>IF(AND(A164&lt;&gt;0,B164=0,C164=0),VLOOKUP(A164,'3 - LISTA DE ESPÉCIES'!A:H,2,FALSE()),IF(AND(A164=0,B164&lt;&gt;0,C164=0),VLOOKUP(B164,'3 - LISTA DE ESPÉCIES'!B:H,6,FALSE()),IF(AND(A164=0,B164=0,C164&lt;&gt;0),VLOOKUP(C164,'3 - LISTA DE ESPÉCIES'!C:H,5,FALSE()))))</f>
        <v>0</v>
      </c>
      <c r="G164" s="21" t="b">
        <f>IF(AND(A164&lt;&gt;0,B164=0,C164=0),VLOOKUP(A164,'3 - LISTA DE ESPÉCIES'!A:H,3,FALSE()),IF(AND(A164=0,B164&lt;&gt;0,C164=0),VLOOKUP(B164,'3 - LISTA DE ESPÉCIES'!B:H,7,FALSE()),IF(AND(A164=0,B164=0,C164&lt;&gt;0),VLOOKUP(C164,'3 - LISTA DE ESPÉCIES'!C:H,6,FALSE()))))</f>
        <v>0</v>
      </c>
      <c r="H164" s="21" t="b">
        <f>IF(AND(A164&lt;&gt;0,B164=0,C164=0),VLOOKUP(A164,'3 - LISTA DE ESPÉCIES'!A:H,4,FALSE()),IF(AND(A164=0,B164&lt;&gt;0,C164=0),VLOOKUP(B164,'3 - LISTA DE ESPÉCIES'!B:H,3,FALSE()),IF(AND(A164=0,B164=0,C164&lt;&gt;0),VLOOKUP(C164,'3 - LISTA DE ESPÉCIES'!C:H,2,FALSE()))))</f>
        <v>0</v>
      </c>
      <c r="I164" s="21" t="b">
        <f>IF(AND(A164&lt;&gt;0,B164=0,C164=0),VLOOKUP(A164,'3 - LISTA DE ESPÉCIES'!A:H,5,FALSE()),IF(AND(A164=0,B164&lt;&gt;0,C164=0),VLOOKUP(B164,'3 - LISTA DE ESPÉCIES'!B:H,4,FALSE()),IF(AND(A164=0,B164=0,C164&lt;&gt;0),VLOOKUP(C164,'3 - LISTA DE ESPÉCIES'!C:H,3,FALSE()))))</f>
        <v>0</v>
      </c>
      <c r="J164" s="23"/>
      <c r="K164" s="23"/>
      <c r="L164" s="20"/>
      <c r="M164" s="20"/>
    </row>
    <row r="165" spans="1:13" x14ac:dyDescent="0.25">
      <c r="A165" s="20"/>
      <c r="B165" s="20"/>
      <c r="C165" s="20"/>
      <c r="E165" s="21" t="b">
        <f>IF(AND(A165&lt;&gt;0,B165=0,C165=0),VLOOKUP(A165,'3 - LISTA DE ESPÉCIES'!A:H,1,FALSE()),IF(AND(A165=0,B165&lt;&gt;0,C165=0),VLOOKUP(B165,'3 - LISTA DE ESPÉCIES'!B:H,5,FALSE()),IF(AND(A165=0,B165=0,C165&lt;&gt;0),VLOOKUP(C165,'3 - LISTA DE ESPÉCIES'!C:H,4,FALSE()))))</f>
        <v>0</v>
      </c>
      <c r="F165" s="21" t="b">
        <f>IF(AND(A165&lt;&gt;0,B165=0,C165=0),VLOOKUP(A165,'3 - LISTA DE ESPÉCIES'!A:H,2,FALSE()),IF(AND(A165=0,B165&lt;&gt;0,C165=0),VLOOKUP(B165,'3 - LISTA DE ESPÉCIES'!B:H,6,FALSE()),IF(AND(A165=0,B165=0,C165&lt;&gt;0),VLOOKUP(C165,'3 - LISTA DE ESPÉCIES'!C:H,5,FALSE()))))</f>
        <v>0</v>
      </c>
      <c r="G165" s="21" t="b">
        <f>IF(AND(A165&lt;&gt;0,B165=0,C165=0),VLOOKUP(A165,'3 - LISTA DE ESPÉCIES'!A:H,3,FALSE()),IF(AND(A165=0,B165&lt;&gt;0,C165=0),VLOOKUP(B165,'3 - LISTA DE ESPÉCIES'!B:H,7,FALSE()),IF(AND(A165=0,B165=0,C165&lt;&gt;0),VLOOKUP(C165,'3 - LISTA DE ESPÉCIES'!C:H,6,FALSE()))))</f>
        <v>0</v>
      </c>
      <c r="H165" s="21" t="b">
        <f>IF(AND(A165&lt;&gt;0,B165=0,C165=0),VLOOKUP(A165,'3 - LISTA DE ESPÉCIES'!A:H,4,FALSE()),IF(AND(A165=0,B165&lt;&gt;0,C165=0),VLOOKUP(B165,'3 - LISTA DE ESPÉCIES'!B:H,3,FALSE()),IF(AND(A165=0,B165=0,C165&lt;&gt;0),VLOOKUP(C165,'3 - LISTA DE ESPÉCIES'!C:H,2,FALSE()))))</f>
        <v>0</v>
      </c>
      <c r="I165" s="21" t="b">
        <f>IF(AND(A165&lt;&gt;0,B165=0,C165=0),VLOOKUP(A165,'3 - LISTA DE ESPÉCIES'!A:H,5,FALSE()),IF(AND(A165=0,B165&lt;&gt;0,C165=0),VLOOKUP(B165,'3 - LISTA DE ESPÉCIES'!B:H,4,FALSE()),IF(AND(A165=0,B165=0,C165&lt;&gt;0),VLOOKUP(C165,'3 - LISTA DE ESPÉCIES'!C:H,3,FALSE()))))</f>
        <v>0</v>
      </c>
      <c r="J165" s="23"/>
      <c r="K165" s="23"/>
      <c r="L165" s="20"/>
      <c r="M165" s="20"/>
    </row>
    <row r="166" spans="1:13" x14ac:dyDescent="0.25">
      <c r="A166" s="20"/>
      <c r="B166" s="20"/>
      <c r="C166" s="20"/>
      <c r="E166" s="21" t="b">
        <f>IF(AND(A166&lt;&gt;0,B166=0,C166=0),VLOOKUP(A166,'3 - LISTA DE ESPÉCIES'!A:H,1,FALSE()),IF(AND(A166=0,B166&lt;&gt;0,C166=0),VLOOKUP(B166,'3 - LISTA DE ESPÉCIES'!B:H,5,FALSE()),IF(AND(A166=0,B166=0,C166&lt;&gt;0),VLOOKUP(C166,'3 - LISTA DE ESPÉCIES'!C:H,4,FALSE()))))</f>
        <v>0</v>
      </c>
      <c r="F166" s="21" t="b">
        <f>IF(AND(A166&lt;&gt;0,B166=0,C166=0),VLOOKUP(A166,'3 - LISTA DE ESPÉCIES'!A:H,2,FALSE()),IF(AND(A166=0,B166&lt;&gt;0,C166=0),VLOOKUP(B166,'3 - LISTA DE ESPÉCIES'!B:H,6,FALSE()),IF(AND(A166=0,B166=0,C166&lt;&gt;0),VLOOKUP(C166,'3 - LISTA DE ESPÉCIES'!C:H,5,FALSE()))))</f>
        <v>0</v>
      </c>
      <c r="G166" s="21" t="b">
        <f>IF(AND(A166&lt;&gt;0,B166=0,C166=0),VLOOKUP(A166,'3 - LISTA DE ESPÉCIES'!A:H,3,FALSE()),IF(AND(A166=0,B166&lt;&gt;0,C166=0),VLOOKUP(B166,'3 - LISTA DE ESPÉCIES'!B:H,7,FALSE()),IF(AND(A166=0,B166=0,C166&lt;&gt;0),VLOOKUP(C166,'3 - LISTA DE ESPÉCIES'!C:H,6,FALSE()))))</f>
        <v>0</v>
      </c>
      <c r="H166" s="21" t="b">
        <f>IF(AND(A166&lt;&gt;0,B166=0,C166=0),VLOOKUP(A166,'3 - LISTA DE ESPÉCIES'!A:H,4,FALSE()),IF(AND(A166=0,B166&lt;&gt;0,C166=0),VLOOKUP(B166,'3 - LISTA DE ESPÉCIES'!B:H,3,FALSE()),IF(AND(A166=0,B166=0,C166&lt;&gt;0),VLOOKUP(C166,'3 - LISTA DE ESPÉCIES'!C:H,2,FALSE()))))</f>
        <v>0</v>
      </c>
      <c r="I166" s="21" t="b">
        <f>IF(AND(A166&lt;&gt;0,B166=0,C166=0),VLOOKUP(A166,'3 - LISTA DE ESPÉCIES'!A:H,5,FALSE()),IF(AND(A166=0,B166&lt;&gt;0,C166=0),VLOOKUP(B166,'3 - LISTA DE ESPÉCIES'!B:H,4,FALSE()),IF(AND(A166=0,B166=0,C166&lt;&gt;0),VLOOKUP(C166,'3 - LISTA DE ESPÉCIES'!C:H,3,FALSE()))))</f>
        <v>0</v>
      </c>
      <c r="J166" s="23"/>
      <c r="K166" s="23"/>
      <c r="L166" s="20"/>
      <c r="M166" s="20"/>
    </row>
    <row r="167" spans="1:13" x14ac:dyDescent="0.25">
      <c r="A167" s="20"/>
      <c r="B167" s="20"/>
      <c r="C167" s="20"/>
      <c r="E167" s="21" t="b">
        <f>IF(AND(A167&lt;&gt;0,B167=0,C167=0),VLOOKUP(A167,'3 - LISTA DE ESPÉCIES'!A:H,1,FALSE()),IF(AND(A167=0,B167&lt;&gt;0,C167=0),VLOOKUP(B167,'3 - LISTA DE ESPÉCIES'!B:H,5,FALSE()),IF(AND(A167=0,B167=0,C167&lt;&gt;0),VLOOKUP(C167,'3 - LISTA DE ESPÉCIES'!C:H,4,FALSE()))))</f>
        <v>0</v>
      </c>
      <c r="F167" s="21" t="b">
        <f>IF(AND(A167&lt;&gt;0,B167=0,C167=0),VLOOKUP(A167,'3 - LISTA DE ESPÉCIES'!A:H,2,FALSE()),IF(AND(A167=0,B167&lt;&gt;0,C167=0),VLOOKUP(B167,'3 - LISTA DE ESPÉCIES'!B:H,6,FALSE()),IF(AND(A167=0,B167=0,C167&lt;&gt;0),VLOOKUP(C167,'3 - LISTA DE ESPÉCIES'!C:H,5,FALSE()))))</f>
        <v>0</v>
      </c>
      <c r="G167" s="21" t="b">
        <f>IF(AND(A167&lt;&gt;0,B167=0,C167=0),VLOOKUP(A167,'3 - LISTA DE ESPÉCIES'!A:H,3,FALSE()),IF(AND(A167=0,B167&lt;&gt;0,C167=0),VLOOKUP(B167,'3 - LISTA DE ESPÉCIES'!B:H,7,FALSE()),IF(AND(A167=0,B167=0,C167&lt;&gt;0),VLOOKUP(C167,'3 - LISTA DE ESPÉCIES'!C:H,6,FALSE()))))</f>
        <v>0</v>
      </c>
      <c r="H167" s="21" t="b">
        <f>IF(AND(A167&lt;&gt;0,B167=0,C167=0),VLOOKUP(A167,'3 - LISTA DE ESPÉCIES'!A:H,4,FALSE()),IF(AND(A167=0,B167&lt;&gt;0,C167=0),VLOOKUP(B167,'3 - LISTA DE ESPÉCIES'!B:H,3,FALSE()),IF(AND(A167=0,B167=0,C167&lt;&gt;0),VLOOKUP(C167,'3 - LISTA DE ESPÉCIES'!C:H,2,FALSE()))))</f>
        <v>0</v>
      </c>
      <c r="I167" s="21" t="b">
        <f>IF(AND(A167&lt;&gt;0,B167=0,C167=0),VLOOKUP(A167,'3 - LISTA DE ESPÉCIES'!A:H,5,FALSE()),IF(AND(A167=0,B167&lt;&gt;0,C167=0),VLOOKUP(B167,'3 - LISTA DE ESPÉCIES'!B:H,4,FALSE()),IF(AND(A167=0,B167=0,C167&lt;&gt;0),VLOOKUP(C167,'3 - LISTA DE ESPÉCIES'!C:H,3,FALSE()))))</f>
        <v>0</v>
      </c>
      <c r="J167" s="23"/>
      <c r="K167" s="23"/>
      <c r="L167" s="20"/>
      <c r="M167" s="20"/>
    </row>
    <row r="168" spans="1:13" x14ac:dyDescent="0.25">
      <c r="A168" s="20"/>
      <c r="B168" s="20"/>
      <c r="C168" s="20"/>
      <c r="E168" s="21" t="b">
        <f>IF(AND(A168&lt;&gt;0,B168=0,C168=0),VLOOKUP(A168,'3 - LISTA DE ESPÉCIES'!A:H,1,FALSE()),IF(AND(A168=0,B168&lt;&gt;0,C168=0),VLOOKUP(B168,'3 - LISTA DE ESPÉCIES'!B:H,5,FALSE()),IF(AND(A168=0,B168=0,C168&lt;&gt;0),VLOOKUP(C168,'3 - LISTA DE ESPÉCIES'!C:H,4,FALSE()))))</f>
        <v>0</v>
      </c>
      <c r="F168" s="21" t="b">
        <f>IF(AND(A168&lt;&gt;0,B168=0,C168=0),VLOOKUP(A168,'3 - LISTA DE ESPÉCIES'!A:H,2,FALSE()),IF(AND(A168=0,B168&lt;&gt;0,C168=0),VLOOKUP(B168,'3 - LISTA DE ESPÉCIES'!B:H,6,FALSE()),IF(AND(A168=0,B168=0,C168&lt;&gt;0),VLOOKUP(C168,'3 - LISTA DE ESPÉCIES'!C:H,5,FALSE()))))</f>
        <v>0</v>
      </c>
      <c r="G168" s="21" t="b">
        <f>IF(AND(A168&lt;&gt;0,B168=0,C168=0),VLOOKUP(A168,'3 - LISTA DE ESPÉCIES'!A:H,3,FALSE()),IF(AND(A168=0,B168&lt;&gt;0,C168=0),VLOOKUP(B168,'3 - LISTA DE ESPÉCIES'!B:H,7,FALSE()),IF(AND(A168=0,B168=0,C168&lt;&gt;0),VLOOKUP(C168,'3 - LISTA DE ESPÉCIES'!C:H,6,FALSE()))))</f>
        <v>0</v>
      </c>
      <c r="H168" s="21" t="b">
        <f>IF(AND(A168&lt;&gt;0,B168=0,C168=0),VLOOKUP(A168,'3 - LISTA DE ESPÉCIES'!A:H,4,FALSE()),IF(AND(A168=0,B168&lt;&gt;0,C168=0),VLOOKUP(B168,'3 - LISTA DE ESPÉCIES'!B:H,3,FALSE()),IF(AND(A168=0,B168=0,C168&lt;&gt;0),VLOOKUP(C168,'3 - LISTA DE ESPÉCIES'!C:H,2,FALSE()))))</f>
        <v>0</v>
      </c>
      <c r="I168" s="21" t="b">
        <f>IF(AND(A168&lt;&gt;0,B168=0,C168=0),VLOOKUP(A168,'3 - LISTA DE ESPÉCIES'!A:H,5,FALSE()),IF(AND(A168=0,B168&lt;&gt;0,C168=0),VLOOKUP(B168,'3 - LISTA DE ESPÉCIES'!B:H,4,FALSE()),IF(AND(A168=0,B168=0,C168&lt;&gt;0),VLOOKUP(C168,'3 - LISTA DE ESPÉCIES'!C:H,3,FALSE()))))</f>
        <v>0</v>
      </c>
      <c r="J168" s="23"/>
      <c r="K168" s="23"/>
      <c r="L168" s="20"/>
      <c r="M168" s="20"/>
    </row>
    <row r="169" spans="1:13" x14ac:dyDescent="0.25">
      <c r="A169" s="20"/>
      <c r="B169" s="20"/>
      <c r="C169" s="20"/>
      <c r="E169" s="21" t="b">
        <f>IF(AND(A169&lt;&gt;0,B169=0,C169=0),VLOOKUP(A169,'3 - LISTA DE ESPÉCIES'!A:H,1,FALSE()),IF(AND(A169=0,B169&lt;&gt;0,C169=0),VLOOKUP(B169,'3 - LISTA DE ESPÉCIES'!B:H,5,FALSE()),IF(AND(A169=0,B169=0,C169&lt;&gt;0),VLOOKUP(C169,'3 - LISTA DE ESPÉCIES'!C:H,4,FALSE()))))</f>
        <v>0</v>
      </c>
      <c r="F169" s="21" t="b">
        <f>IF(AND(A169&lt;&gt;0,B169=0,C169=0),VLOOKUP(A169,'3 - LISTA DE ESPÉCIES'!A:H,2,FALSE()),IF(AND(A169=0,B169&lt;&gt;0,C169=0),VLOOKUP(B169,'3 - LISTA DE ESPÉCIES'!B:H,6,FALSE()),IF(AND(A169=0,B169=0,C169&lt;&gt;0),VLOOKUP(C169,'3 - LISTA DE ESPÉCIES'!C:H,5,FALSE()))))</f>
        <v>0</v>
      </c>
      <c r="G169" s="21" t="b">
        <f>IF(AND(A169&lt;&gt;0,B169=0,C169=0),VLOOKUP(A169,'3 - LISTA DE ESPÉCIES'!A:H,3,FALSE()),IF(AND(A169=0,B169&lt;&gt;0,C169=0),VLOOKUP(B169,'3 - LISTA DE ESPÉCIES'!B:H,7,FALSE()),IF(AND(A169=0,B169=0,C169&lt;&gt;0),VLOOKUP(C169,'3 - LISTA DE ESPÉCIES'!C:H,6,FALSE()))))</f>
        <v>0</v>
      </c>
      <c r="H169" s="21" t="b">
        <f>IF(AND(A169&lt;&gt;0,B169=0,C169=0),VLOOKUP(A169,'3 - LISTA DE ESPÉCIES'!A:H,4,FALSE()),IF(AND(A169=0,B169&lt;&gt;0,C169=0),VLOOKUP(B169,'3 - LISTA DE ESPÉCIES'!B:H,3,FALSE()),IF(AND(A169=0,B169=0,C169&lt;&gt;0),VLOOKUP(C169,'3 - LISTA DE ESPÉCIES'!C:H,2,FALSE()))))</f>
        <v>0</v>
      </c>
      <c r="I169" s="21" t="b">
        <f>IF(AND(A169&lt;&gt;0,B169=0,C169=0),VLOOKUP(A169,'3 - LISTA DE ESPÉCIES'!A:H,5,FALSE()),IF(AND(A169=0,B169&lt;&gt;0,C169=0),VLOOKUP(B169,'3 - LISTA DE ESPÉCIES'!B:H,4,FALSE()),IF(AND(A169=0,B169=0,C169&lt;&gt;0),VLOOKUP(C169,'3 - LISTA DE ESPÉCIES'!C:H,3,FALSE()))))</f>
        <v>0</v>
      </c>
      <c r="J169" s="23"/>
      <c r="K169" s="23"/>
      <c r="L169" s="20"/>
      <c r="M169" s="20"/>
    </row>
    <row r="170" spans="1:13" x14ac:dyDescent="0.25">
      <c r="A170" s="20"/>
      <c r="B170" s="20"/>
      <c r="C170" s="20"/>
      <c r="E170" s="21" t="b">
        <f>IF(AND(A170&lt;&gt;0,B170=0,C170=0),VLOOKUP(A170,'3 - LISTA DE ESPÉCIES'!A:H,1,FALSE()),IF(AND(A170=0,B170&lt;&gt;0,C170=0),VLOOKUP(B170,'3 - LISTA DE ESPÉCIES'!B:H,5,FALSE()),IF(AND(A170=0,B170=0,C170&lt;&gt;0),VLOOKUP(C170,'3 - LISTA DE ESPÉCIES'!C:H,4,FALSE()))))</f>
        <v>0</v>
      </c>
      <c r="F170" s="21" t="b">
        <f>IF(AND(A170&lt;&gt;0,B170=0,C170=0),VLOOKUP(A170,'3 - LISTA DE ESPÉCIES'!A:H,2,FALSE()),IF(AND(A170=0,B170&lt;&gt;0,C170=0),VLOOKUP(B170,'3 - LISTA DE ESPÉCIES'!B:H,6,FALSE()),IF(AND(A170=0,B170=0,C170&lt;&gt;0),VLOOKUP(C170,'3 - LISTA DE ESPÉCIES'!C:H,5,FALSE()))))</f>
        <v>0</v>
      </c>
      <c r="G170" s="21" t="b">
        <f>IF(AND(A170&lt;&gt;0,B170=0,C170=0),VLOOKUP(A170,'3 - LISTA DE ESPÉCIES'!A:H,3,FALSE()),IF(AND(A170=0,B170&lt;&gt;0,C170=0),VLOOKUP(B170,'3 - LISTA DE ESPÉCIES'!B:H,7,FALSE()),IF(AND(A170=0,B170=0,C170&lt;&gt;0),VLOOKUP(C170,'3 - LISTA DE ESPÉCIES'!C:H,6,FALSE()))))</f>
        <v>0</v>
      </c>
      <c r="H170" s="21" t="b">
        <f>IF(AND(A170&lt;&gt;0,B170=0,C170=0),VLOOKUP(A170,'3 - LISTA DE ESPÉCIES'!A:H,4,FALSE()),IF(AND(A170=0,B170&lt;&gt;0,C170=0),VLOOKUP(B170,'3 - LISTA DE ESPÉCIES'!B:H,3,FALSE()),IF(AND(A170=0,B170=0,C170&lt;&gt;0),VLOOKUP(C170,'3 - LISTA DE ESPÉCIES'!C:H,2,FALSE()))))</f>
        <v>0</v>
      </c>
      <c r="I170" s="21" t="b">
        <f>IF(AND(A170&lt;&gt;0,B170=0,C170=0),VLOOKUP(A170,'3 - LISTA DE ESPÉCIES'!A:H,5,FALSE()),IF(AND(A170=0,B170&lt;&gt;0,C170=0),VLOOKUP(B170,'3 - LISTA DE ESPÉCIES'!B:H,4,FALSE()),IF(AND(A170=0,B170=0,C170&lt;&gt;0),VLOOKUP(C170,'3 - LISTA DE ESPÉCIES'!C:H,3,FALSE()))))</f>
        <v>0</v>
      </c>
      <c r="J170" s="23"/>
      <c r="K170" s="23"/>
      <c r="L170" s="20"/>
      <c r="M170" s="20"/>
    </row>
    <row r="171" spans="1:13" x14ac:dyDescent="0.25">
      <c r="A171" s="20"/>
      <c r="B171" s="20"/>
      <c r="C171" s="20"/>
      <c r="E171" s="21" t="b">
        <f>IF(AND(A171&lt;&gt;0,B171=0,C171=0),VLOOKUP(A171,'3 - LISTA DE ESPÉCIES'!A:H,1,FALSE()),IF(AND(A171=0,B171&lt;&gt;0,C171=0),VLOOKUP(B171,'3 - LISTA DE ESPÉCIES'!B:H,5,FALSE()),IF(AND(A171=0,B171=0,C171&lt;&gt;0),VLOOKUP(C171,'3 - LISTA DE ESPÉCIES'!C:H,4,FALSE()))))</f>
        <v>0</v>
      </c>
      <c r="F171" s="21" t="b">
        <f>IF(AND(A171&lt;&gt;0,B171=0,C171=0),VLOOKUP(A171,'3 - LISTA DE ESPÉCIES'!A:H,2,FALSE()),IF(AND(A171=0,B171&lt;&gt;0,C171=0),VLOOKUP(B171,'3 - LISTA DE ESPÉCIES'!B:H,6,FALSE()),IF(AND(A171=0,B171=0,C171&lt;&gt;0),VLOOKUP(C171,'3 - LISTA DE ESPÉCIES'!C:H,5,FALSE()))))</f>
        <v>0</v>
      </c>
      <c r="G171" s="21" t="b">
        <f>IF(AND(A171&lt;&gt;0,B171=0,C171=0),VLOOKUP(A171,'3 - LISTA DE ESPÉCIES'!A:H,3,FALSE()),IF(AND(A171=0,B171&lt;&gt;0,C171=0),VLOOKUP(B171,'3 - LISTA DE ESPÉCIES'!B:H,7,FALSE()),IF(AND(A171=0,B171=0,C171&lt;&gt;0),VLOOKUP(C171,'3 - LISTA DE ESPÉCIES'!C:H,6,FALSE()))))</f>
        <v>0</v>
      </c>
      <c r="H171" s="21" t="b">
        <f>IF(AND(A171&lt;&gt;0,B171=0,C171=0),VLOOKUP(A171,'3 - LISTA DE ESPÉCIES'!A:H,4,FALSE()),IF(AND(A171=0,B171&lt;&gt;0,C171=0),VLOOKUP(B171,'3 - LISTA DE ESPÉCIES'!B:H,3,FALSE()),IF(AND(A171=0,B171=0,C171&lt;&gt;0),VLOOKUP(C171,'3 - LISTA DE ESPÉCIES'!C:H,2,FALSE()))))</f>
        <v>0</v>
      </c>
      <c r="I171" s="21" t="b">
        <f>IF(AND(A171&lt;&gt;0,B171=0,C171=0),VLOOKUP(A171,'3 - LISTA DE ESPÉCIES'!A:H,5,FALSE()),IF(AND(A171=0,B171&lt;&gt;0,C171=0),VLOOKUP(B171,'3 - LISTA DE ESPÉCIES'!B:H,4,FALSE()),IF(AND(A171=0,B171=0,C171&lt;&gt;0),VLOOKUP(C171,'3 - LISTA DE ESPÉCIES'!C:H,3,FALSE()))))</f>
        <v>0</v>
      </c>
      <c r="J171" s="23"/>
      <c r="K171" s="23"/>
      <c r="L171" s="20"/>
      <c r="M171" s="20"/>
    </row>
    <row r="172" spans="1:13" x14ac:dyDescent="0.25">
      <c r="A172" s="20"/>
      <c r="B172" s="20"/>
      <c r="C172" s="20"/>
      <c r="E172" s="21" t="b">
        <f>IF(AND(A172&lt;&gt;0,B172=0,C172=0),VLOOKUP(A172,'3 - LISTA DE ESPÉCIES'!A:H,1,FALSE()),IF(AND(A172=0,B172&lt;&gt;0,C172=0),VLOOKUP(B172,'3 - LISTA DE ESPÉCIES'!B:H,5,FALSE()),IF(AND(A172=0,B172=0,C172&lt;&gt;0),VLOOKUP(C172,'3 - LISTA DE ESPÉCIES'!C:H,4,FALSE()))))</f>
        <v>0</v>
      </c>
      <c r="F172" s="21" t="b">
        <f>IF(AND(A172&lt;&gt;0,B172=0,C172=0),VLOOKUP(A172,'3 - LISTA DE ESPÉCIES'!A:H,2,FALSE()),IF(AND(A172=0,B172&lt;&gt;0,C172=0),VLOOKUP(B172,'3 - LISTA DE ESPÉCIES'!B:H,6,FALSE()),IF(AND(A172=0,B172=0,C172&lt;&gt;0),VLOOKUP(C172,'3 - LISTA DE ESPÉCIES'!C:H,5,FALSE()))))</f>
        <v>0</v>
      </c>
      <c r="G172" s="21" t="b">
        <f>IF(AND(A172&lt;&gt;0,B172=0,C172=0),VLOOKUP(A172,'3 - LISTA DE ESPÉCIES'!A:H,3,FALSE()),IF(AND(A172=0,B172&lt;&gt;0,C172=0),VLOOKUP(B172,'3 - LISTA DE ESPÉCIES'!B:H,7,FALSE()),IF(AND(A172=0,B172=0,C172&lt;&gt;0),VLOOKUP(C172,'3 - LISTA DE ESPÉCIES'!C:H,6,FALSE()))))</f>
        <v>0</v>
      </c>
      <c r="H172" s="21" t="b">
        <f>IF(AND(A172&lt;&gt;0,B172=0,C172=0),VLOOKUP(A172,'3 - LISTA DE ESPÉCIES'!A:H,4,FALSE()),IF(AND(A172=0,B172&lt;&gt;0,C172=0),VLOOKUP(B172,'3 - LISTA DE ESPÉCIES'!B:H,3,FALSE()),IF(AND(A172=0,B172=0,C172&lt;&gt;0),VLOOKUP(C172,'3 - LISTA DE ESPÉCIES'!C:H,2,FALSE()))))</f>
        <v>0</v>
      </c>
      <c r="I172" s="21" t="b">
        <f>IF(AND(A172&lt;&gt;0,B172=0,C172=0),VLOOKUP(A172,'3 - LISTA DE ESPÉCIES'!A:H,5,FALSE()),IF(AND(A172=0,B172&lt;&gt;0,C172=0),VLOOKUP(B172,'3 - LISTA DE ESPÉCIES'!B:H,4,FALSE()),IF(AND(A172=0,B172=0,C172&lt;&gt;0),VLOOKUP(C172,'3 - LISTA DE ESPÉCIES'!C:H,3,FALSE()))))</f>
        <v>0</v>
      </c>
      <c r="J172" s="23"/>
      <c r="K172" s="23"/>
      <c r="L172" s="20"/>
      <c r="M172" s="20"/>
    </row>
    <row r="173" spans="1:13" x14ac:dyDescent="0.25">
      <c r="A173" s="20"/>
      <c r="B173" s="20"/>
      <c r="C173" s="20"/>
      <c r="E173" s="21" t="b">
        <f>IF(AND(A173&lt;&gt;0,B173=0,C173=0),VLOOKUP(A173,'3 - LISTA DE ESPÉCIES'!A:H,1,FALSE()),IF(AND(A173=0,B173&lt;&gt;0,C173=0),VLOOKUP(B173,'3 - LISTA DE ESPÉCIES'!B:H,5,FALSE()),IF(AND(A173=0,B173=0,C173&lt;&gt;0),VLOOKUP(C173,'3 - LISTA DE ESPÉCIES'!C:H,4,FALSE()))))</f>
        <v>0</v>
      </c>
      <c r="F173" s="21" t="b">
        <f>IF(AND(A173&lt;&gt;0,B173=0,C173=0),VLOOKUP(A173,'3 - LISTA DE ESPÉCIES'!A:H,2,FALSE()),IF(AND(A173=0,B173&lt;&gt;0,C173=0),VLOOKUP(B173,'3 - LISTA DE ESPÉCIES'!B:H,6,FALSE()),IF(AND(A173=0,B173=0,C173&lt;&gt;0),VLOOKUP(C173,'3 - LISTA DE ESPÉCIES'!C:H,5,FALSE()))))</f>
        <v>0</v>
      </c>
      <c r="G173" s="21" t="b">
        <f>IF(AND(A173&lt;&gt;0,B173=0,C173=0),VLOOKUP(A173,'3 - LISTA DE ESPÉCIES'!A:H,3,FALSE()),IF(AND(A173=0,B173&lt;&gt;0,C173=0),VLOOKUP(B173,'3 - LISTA DE ESPÉCIES'!B:H,7,FALSE()),IF(AND(A173=0,B173=0,C173&lt;&gt;0),VLOOKUP(C173,'3 - LISTA DE ESPÉCIES'!C:H,6,FALSE()))))</f>
        <v>0</v>
      </c>
      <c r="H173" s="21" t="b">
        <f>IF(AND(A173&lt;&gt;0,B173=0,C173=0),VLOOKUP(A173,'3 - LISTA DE ESPÉCIES'!A:H,4,FALSE()),IF(AND(A173=0,B173&lt;&gt;0,C173=0),VLOOKUP(B173,'3 - LISTA DE ESPÉCIES'!B:H,3,FALSE()),IF(AND(A173=0,B173=0,C173&lt;&gt;0),VLOOKUP(C173,'3 - LISTA DE ESPÉCIES'!C:H,2,FALSE()))))</f>
        <v>0</v>
      </c>
      <c r="I173" s="21" t="b">
        <f>IF(AND(A173&lt;&gt;0,B173=0,C173=0),VLOOKUP(A173,'3 - LISTA DE ESPÉCIES'!A:H,5,FALSE()),IF(AND(A173=0,B173&lt;&gt;0,C173=0),VLOOKUP(B173,'3 - LISTA DE ESPÉCIES'!B:H,4,FALSE()),IF(AND(A173=0,B173=0,C173&lt;&gt;0),VLOOKUP(C173,'3 - LISTA DE ESPÉCIES'!C:H,3,FALSE()))))</f>
        <v>0</v>
      </c>
      <c r="J173" s="23"/>
      <c r="K173" s="23"/>
      <c r="L173" s="20"/>
      <c r="M173" s="20"/>
    </row>
    <row r="174" spans="1:13" x14ac:dyDescent="0.25">
      <c r="A174" s="20"/>
      <c r="B174" s="20"/>
      <c r="C174" s="20"/>
      <c r="E174" s="21" t="b">
        <f>IF(AND(A174&lt;&gt;0,B174=0,C174=0),VLOOKUP(A174,'3 - LISTA DE ESPÉCIES'!A:H,1,FALSE()),IF(AND(A174=0,B174&lt;&gt;0,C174=0),VLOOKUP(B174,'3 - LISTA DE ESPÉCIES'!B:H,5,FALSE()),IF(AND(A174=0,B174=0,C174&lt;&gt;0),VLOOKUP(C174,'3 - LISTA DE ESPÉCIES'!C:H,4,FALSE()))))</f>
        <v>0</v>
      </c>
      <c r="F174" s="21" t="b">
        <f>IF(AND(A174&lt;&gt;0,B174=0,C174=0),VLOOKUP(A174,'3 - LISTA DE ESPÉCIES'!A:H,2,FALSE()),IF(AND(A174=0,B174&lt;&gt;0,C174=0),VLOOKUP(B174,'3 - LISTA DE ESPÉCIES'!B:H,6,FALSE()),IF(AND(A174=0,B174=0,C174&lt;&gt;0),VLOOKUP(C174,'3 - LISTA DE ESPÉCIES'!C:H,5,FALSE()))))</f>
        <v>0</v>
      </c>
      <c r="G174" s="21" t="b">
        <f>IF(AND(A174&lt;&gt;0,B174=0,C174=0),VLOOKUP(A174,'3 - LISTA DE ESPÉCIES'!A:H,3,FALSE()),IF(AND(A174=0,B174&lt;&gt;0,C174=0),VLOOKUP(B174,'3 - LISTA DE ESPÉCIES'!B:H,7,FALSE()),IF(AND(A174=0,B174=0,C174&lt;&gt;0),VLOOKUP(C174,'3 - LISTA DE ESPÉCIES'!C:H,6,FALSE()))))</f>
        <v>0</v>
      </c>
      <c r="H174" s="21" t="b">
        <f>IF(AND(A174&lt;&gt;0,B174=0,C174=0),VLOOKUP(A174,'3 - LISTA DE ESPÉCIES'!A:H,4,FALSE()),IF(AND(A174=0,B174&lt;&gt;0,C174=0),VLOOKUP(B174,'3 - LISTA DE ESPÉCIES'!B:H,3,FALSE()),IF(AND(A174=0,B174=0,C174&lt;&gt;0),VLOOKUP(C174,'3 - LISTA DE ESPÉCIES'!C:H,2,FALSE()))))</f>
        <v>0</v>
      </c>
      <c r="I174" s="21" t="b">
        <f>IF(AND(A174&lt;&gt;0,B174=0,C174=0),VLOOKUP(A174,'3 - LISTA DE ESPÉCIES'!A:H,5,FALSE()),IF(AND(A174=0,B174&lt;&gt;0,C174=0),VLOOKUP(B174,'3 - LISTA DE ESPÉCIES'!B:H,4,FALSE()),IF(AND(A174=0,B174=0,C174&lt;&gt;0),VLOOKUP(C174,'3 - LISTA DE ESPÉCIES'!C:H,3,FALSE()))))</f>
        <v>0</v>
      </c>
      <c r="J174" s="23"/>
      <c r="K174" s="23"/>
      <c r="L174" s="20"/>
      <c r="M174" s="20"/>
    </row>
    <row r="175" spans="1:13" x14ac:dyDescent="0.25">
      <c r="A175" s="20"/>
      <c r="B175" s="20"/>
      <c r="C175" s="20"/>
      <c r="E175" s="21" t="b">
        <f>IF(AND(A175&lt;&gt;0,B175=0,C175=0),VLOOKUP(A175,'3 - LISTA DE ESPÉCIES'!A:H,1,FALSE()),IF(AND(A175=0,B175&lt;&gt;0,C175=0),VLOOKUP(B175,'3 - LISTA DE ESPÉCIES'!B:H,5,FALSE()),IF(AND(A175=0,B175=0,C175&lt;&gt;0),VLOOKUP(C175,'3 - LISTA DE ESPÉCIES'!C:H,4,FALSE()))))</f>
        <v>0</v>
      </c>
      <c r="F175" s="21" t="b">
        <f>IF(AND(A175&lt;&gt;0,B175=0,C175=0),VLOOKUP(A175,'3 - LISTA DE ESPÉCIES'!A:H,2,FALSE()),IF(AND(A175=0,B175&lt;&gt;0,C175=0),VLOOKUP(B175,'3 - LISTA DE ESPÉCIES'!B:H,6,FALSE()),IF(AND(A175=0,B175=0,C175&lt;&gt;0),VLOOKUP(C175,'3 - LISTA DE ESPÉCIES'!C:H,5,FALSE()))))</f>
        <v>0</v>
      </c>
      <c r="G175" s="21" t="b">
        <f>IF(AND(A175&lt;&gt;0,B175=0,C175=0),VLOOKUP(A175,'3 - LISTA DE ESPÉCIES'!A:H,3,FALSE()),IF(AND(A175=0,B175&lt;&gt;0,C175=0),VLOOKUP(B175,'3 - LISTA DE ESPÉCIES'!B:H,7,FALSE()),IF(AND(A175=0,B175=0,C175&lt;&gt;0),VLOOKUP(C175,'3 - LISTA DE ESPÉCIES'!C:H,6,FALSE()))))</f>
        <v>0</v>
      </c>
      <c r="H175" s="21" t="b">
        <f>IF(AND(A175&lt;&gt;0,B175=0,C175=0),VLOOKUP(A175,'3 - LISTA DE ESPÉCIES'!A:H,4,FALSE()),IF(AND(A175=0,B175&lt;&gt;0,C175=0),VLOOKUP(B175,'3 - LISTA DE ESPÉCIES'!B:H,3,FALSE()),IF(AND(A175=0,B175=0,C175&lt;&gt;0),VLOOKUP(C175,'3 - LISTA DE ESPÉCIES'!C:H,2,FALSE()))))</f>
        <v>0</v>
      </c>
      <c r="I175" s="21" t="b">
        <f>IF(AND(A175&lt;&gt;0,B175=0,C175=0),VLOOKUP(A175,'3 - LISTA DE ESPÉCIES'!A:H,5,FALSE()),IF(AND(A175=0,B175&lt;&gt;0,C175=0),VLOOKUP(B175,'3 - LISTA DE ESPÉCIES'!B:H,4,FALSE()),IF(AND(A175=0,B175=0,C175&lt;&gt;0),VLOOKUP(C175,'3 - LISTA DE ESPÉCIES'!C:H,3,FALSE()))))</f>
        <v>0</v>
      </c>
      <c r="J175" s="23"/>
      <c r="K175" s="23"/>
      <c r="L175" s="20"/>
      <c r="M175" s="20"/>
    </row>
    <row r="176" spans="1:13" x14ac:dyDescent="0.25">
      <c r="A176" s="20"/>
      <c r="B176" s="20"/>
      <c r="C176" s="20"/>
      <c r="E176" s="21" t="b">
        <f>IF(AND(A176&lt;&gt;0,B176=0,C176=0),VLOOKUP(A176,'3 - LISTA DE ESPÉCIES'!A:H,1,FALSE()),IF(AND(A176=0,B176&lt;&gt;0,C176=0),VLOOKUP(B176,'3 - LISTA DE ESPÉCIES'!B:H,5,FALSE()),IF(AND(A176=0,B176=0,C176&lt;&gt;0),VLOOKUP(C176,'3 - LISTA DE ESPÉCIES'!C:H,4,FALSE()))))</f>
        <v>0</v>
      </c>
      <c r="F176" s="21" t="b">
        <f>IF(AND(A176&lt;&gt;0,B176=0,C176=0),VLOOKUP(A176,'3 - LISTA DE ESPÉCIES'!A:H,2,FALSE()),IF(AND(A176=0,B176&lt;&gt;0,C176=0),VLOOKUP(B176,'3 - LISTA DE ESPÉCIES'!B:H,6,FALSE()),IF(AND(A176=0,B176=0,C176&lt;&gt;0),VLOOKUP(C176,'3 - LISTA DE ESPÉCIES'!C:H,5,FALSE()))))</f>
        <v>0</v>
      </c>
      <c r="G176" s="21" t="b">
        <f>IF(AND(A176&lt;&gt;0,B176=0,C176=0),VLOOKUP(A176,'3 - LISTA DE ESPÉCIES'!A:H,3,FALSE()),IF(AND(A176=0,B176&lt;&gt;0,C176=0),VLOOKUP(B176,'3 - LISTA DE ESPÉCIES'!B:H,7,FALSE()),IF(AND(A176=0,B176=0,C176&lt;&gt;0),VLOOKUP(C176,'3 - LISTA DE ESPÉCIES'!C:H,6,FALSE()))))</f>
        <v>0</v>
      </c>
      <c r="H176" s="21" t="b">
        <f>IF(AND(A176&lt;&gt;0,B176=0,C176=0),VLOOKUP(A176,'3 - LISTA DE ESPÉCIES'!A:H,4,FALSE()),IF(AND(A176=0,B176&lt;&gt;0,C176=0),VLOOKUP(B176,'3 - LISTA DE ESPÉCIES'!B:H,3,FALSE()),IF(AND(A176=0,B176=0,C176&lt;&gt;0),VLOOKUP(C176,'3 - LISTA DE ESPÉCIES'!C:H,2,FALSE()))))</f>
        <v>0</v>
      </c>
      <c r="I176" s="21" t="b">
        <f>IF(AND(A176&lt;&gt;0,B176=0,C176=0),VLOOKUP(A176,'3 - LISTA DE ESPÉCIES'!A:H,5,FALSE()),IF(AND(A176=0,B176&lt;&gt;0,C176=0),VLOOKUP(B176,'3 - LISTA DE ESPÉCIES'!B:H,4,FALSE()),IF(AND(A176=0,B176=0,C176&lt;&gt;0),VLOOKUP(C176,'3 - LISTA DE ESPÉCIES'!C:H,3,FALSE()))))</f>
        <v>0</v>
      </c>
      <c r="J176" s="23"/>
      <c r="K176" s="23"/>
      <c r="L176" s="20"/>
      <c r="M176" s="20"/>
    </row>
    <row r="177" spans="1:13" x14ac:dyDescent="0.25">
      <c r="A177" s="20"/>
      <c r="B177" s="20"/>
      <c r="C177" s="20"/>
      <c r="E177" s="21" t="b">
        <f>IF(AND(A177&lt;&gt;0,B177=0,C177=0),VLOOKUP(A177,'3 - LISTA DE ESPÉCIES'!A:H,1,FALSE()),IF(AND(A177=0,B177&lt;&gt;0,C177=0),VLOOKUP(B177,'3 - LISTA DE ESPÉCIES'!B:H,5,FALSE()),IF(AND(A177=0,B177=0,C177&lt;&gt;0),VLOOKUP(C177,'3 - LISTA DE ESPÉCIES'!C:H,4,FALSE()))))</f>
        <v>0</v>
      </c>
      <c r="F177" s="21" t="b">
        <f>IF(AND(A177&lt;&gt;0,B177=0,C177=0),VLOOKUP(A177,'3 - LISTA DE ESPÉCIES'!A:H,2,FALSE()),IF(AND(A177=0,B177&lt;&gt;0,C177=0),VLOOKUP(B177,'3 - LISTA DE ESPÉCIES'!B:H,6,FALSE()),IF(AND(A177=0,B177=0,C177&lt;&gt;0),VLOOKUP(C177,'3 - LISTA DE ESPÉCIES'!C:H,5,FALSE()))))</f>
        <v>0</v>
      </c>
      <c r="G177" s="21" t="b">
        <f>IF(AND(A177&lt;&gt;0,B177=0,C177=0),VLOOKUP(A177,'3 - LISTA DE ESPÉCIES'!A:H,3,FALSE()),IF(AND(A177=0,B177&lt;&gt;0,C177=0),VLOOKUP(B177,'3 - LISTA DE ESPÉCIES'!B:H,7,FALSE()),IF(AND(A177=0,B177=0,C177&lt;&gt;0),VLOOKUP(C177,'3 - LISTA DE ESPÉCIES'!C:H,6,FALSE()))))</f>
        <v>0</v>
      </c>
      <c r="H177" s="21" t="b">
        <f>IF(AND(A177&lt;&gt;0,B177=0,C177=0),VLOOKUP(A177,'3 - LISTA DE ESPÉCIES'!A:H,4,FALSE()),IF(AND(A177=0,B177&lt;&gt;0,C177=0),VLOOKUP(B177,'3 - LISTA DE ESPÉCIES'!B:H,3,FALSE()),IF(AND(A177=0,B177=0,C177&lt;&gt;0),VLOOKUP(C177,'3 - LISTA DE ESPÉCIES'!C:H,2,FALSE()))))</f>
        <v>0</v>
      </c>
      <c r="I177" s="21" t="b">
        <f>IF(AND(A177&lt;&gt;0,B177=0,C177=0),VLOOKUP(A177,'3 - LISTA DE ESPÉCIES'!A:H,5,FALSE()),IF(AND(A177=0,B177&lt;&gt;0,C177=0),VLOOKUP(B177,'3 - LISTA DE ESPÉCIES'!B:H,4,FALSE()),IF(AND(A177=0,B177=0,C177&lt;&gt;0),VLOOKUP(C177,'3 - LISTA DE ESPÉCIES'!C:H,3,FALSE()))))</f>
        <v>0</v>
      </c>
      <c r="J177" s="23"/>
      <c r="K177" s="23"/>
      <c r="L177" s="20"/>
      <c r="M177" s="20"/>
    </row>
    <row r="178" spans="1:13" x14ac:dyDescent="0.25">
      <c r="A178" s="20"/>
      <c r="B178" s="20"/>
      <c r="C178" s="20"/>
      <c r="E178" s="21" t="b">
        <f>IF(AND(A178&lt;&gt;0,B178=0,C178=0),VLOOKUP(A178,'3 - LISTA DE ESPÉCIES'!A:H,1,FALSE()),IF(AND(A178=0,B178&lt;&gt;0,C178=0),VLOOKUP(B178,'3 - LISTA DE ESPÉCIES'!B:H,5,FALSE()),IF(AND(A178=0,B178=0,C178&lt;&gt;0),VLOOKUP(C178,'3 - LISTA DE ESPÉCIES'!C:H,4,FALSE()))))</f>
        <v>0</v>
      </c>
      <c r="F178" s="21" t="b">
        <f>IF(AND(A178&lt;&gt;0,B178=0,C178=0),VLOOKUP(A178,'3 - LISTA DE ESPÉCIES'!A:H,2,FALSE()),IF(AND(A178=0,B178&lt;&gt;0,C178=0),VLOOKUP(B178,'3 - LISTA DE ESPÉCIES'!B:H,6,FALSE()),IF(AND(A178=0,B178=0,C178&lt;&gt;0),VLOOKUP(C178,'3 - LISTA DE ESPÉCIES'!C:H,5,FALSE()))))</f>
        <v>0</v>
      </c>
      <c r="G178" s="21" t="b">
        <f>IF(AND(A178&lt;&gt;0,B178=0,C178=0),VLOOKUP(A178,'3 - LISTA DE ESPÉCIES'!A:H,3,FALSE()),IF(AND(A178=0,B178&lt;&gt;0,C178=0),VLOOKUP(B178,'3 - LISTA DE ESPÉCIES'!B:H,7,FALSE()),IF(AND(A178=0,B178=0,C178&lt;&gt;0),VLOOKUP(C178,'3 - LISTA DE ESPÉCIES'!C:H,6,FALSE()))))</f>
        <v>0</v>
      </c>
      <c r="H178" s="21" t="b">
        <f>IF(AND(A178&lt;&gt;0,B178=0,C178=0),VLOOKUP(A178,'3 - LISTA DE ESPÉCIES'!A:H,4,FALSE()),IF(AND(A178=0,B178&lt;&gt;0,C178=0),VLOOKUP(B178,'3 - LISTA DE ESPÉCIES'!B:H,3,FALSE()),IF(AND(A178=0,B178=0,C178&lt;&gt;0),VLOOKUP(C178,'3 - LISTA DE ESPÉCIES'!C:H,2,FALSE()))))</f>
        <v>0</v>
      </c>
      <c r="I178" s="21" t="b">
        <f>IF(AND(A178&lt;&gt;0,B178=0,C178=0),VLOOKUP(A178,'3 - LISTA DE ESPÉCIES'!A:H,5,FALSE()),IF(AND(A178=0,B178&lt;&gt;0,C178=0),VLOOKUP(B178,'3 - LISTA DE ESPÉCIES'!B:H,4,FALSE()),IF(AND(A178=0,B178=0,C178&lt;&gt;0),VLOOKUP(C178,'3 - LISTA DE ESPÉCIES'!C:H,3,FALSE()))))</f>
        <v>0</v>
      </c>
      <c r="J178" s="23"/>
      <c r="K178" s="23"/>
      <c r="L178" s="20"/>
      <c r="M178" s="20"/>
    </row>
    <row r="179" spans="1:13" x14ac:dyDescent="0.25">
      <c r="A179" s="20"/>
      <c r="B179" s="20"/>
      <c r="C179" s="20"/>
      <c r="E179" s="21" t="b">
        <f>IF(AND(A179&lt;&gt;0,B179=0,C179=0),VLOOKUP(A179,'3 - LISTA DE ESPÉCIES'!A:H,1,FALSE()),IF(AND(A179=0,B179&lt;&gt;0,C179=0),VLOOKUP(B179,'3 - LISTA DE ESPÉCIES'!B:H,5,FALSE()),IF(AND(A179=0,B179=0,C179&lt;&gt;0),VLOOKUP(C179,'3 - LISTA DE ESPÉCIES'!C:H,4,FALSE()))))</f>
        <v>0</v>
      </c>
      <c r="F179" s="21" t="b">
        <f>IF(AND(A179&lt;&gt;0,B179=0,C179=0),VLOOKUP(A179,'3 - LISTA DE ESPÉCIES'!A:H,2,FALSE()),IF(AND(A179=0,B179&lt;&gt;0,C179=0),VLOOKUP(B179,'3 - LISTA DE ESPÉCIES'!B:H,6,FALSE()),IF(AND(A179=0,B179=0,C179&lt;&gt;0),VLOOKUP(C179,'3 - LISTA DE ESPÉCIES'!C:H,5,FALSE()))))</f>
        <v>0</v>
      </c>
      <c r="G179" s="21" t="b">
        <f>IF(AND(A179&lt;&gt;0,B179=0,C179=0),VLOOKUP(A179,'3 - LISTA DE ESPÉCIES'!A:H,3,FALSE()),IF(AND(A179=0,B179&lt;&gt;0,C179=0),VLOOKUP(B179,'3 - LISTA DE ESPÉCIES'!B:H,7,FALSE()),IF(AND(A179=0,B179=0,C179&lt;&gt;0),VLOOKUP(C179,'3 - LISTA DE ESPÉCIES'!C:H,6,FALSE()))))</f>
        <v>0</v>
      </c>
      <c r="H179" s="21" t="b">
        <f>IF(AND(A179&lt;&gt;0,B179=0,C179=0),VLOOKUP(A179,'3 - LISTA DE ESPÉCIES'!A:H,4,FALSE()),IF(AND(A179=0,B179&lt;&gt;0,C179=0),VLOOKUP(B179,'3 - LISTA DE ESPÉCIES'!B:H,3,FALSE()),IF(AND(A179=0,B179=0,C179&lt;&gt;0),VLOOKUP(C179,'3 - LISTA DE ESPÉCIES'!C:H,2,FALSE()))))</f>
        <v>0</v>
      </c>
      <c r="I179" s="21" t="b">
        <f>IF(AND(A179&lt;&gt;0,B179=0,C179=0),VLOOKUP(A179,'3 - LISTA DE ESPÉCIES'!A:H,5,FALSE()),IF(AND(A179=0,B179&lt;&gt;0,C179=0),VLOOKUP(B179,'3 - LISTA DE ESPÉCIES'!B:H,4,FALSE()),IF(AND(A179=0,B179=0,C179&lt;&gt;0),VLOOKUP(C179,'3 - LISTA DE ESPÉCIES'!C:H,3,FALSE()))))</f>
        <v>0</v>
      </c>
      <c r="J179" s="23"/>
      <c r="K179" s="23"/>
      <c r="L179" s="20"/>
      <c r="M179" s="20"/>
    </row>
    <row r="180" spans="1:13" x14ac:dyDescent="0.25">
      <c r="A180" s="20"/>
      <c r="B180" s="20"/>
      <c r="C180" s="20"/>
      <c r="E180" s="21" t="b">
        <f>IF(AND(A180&lt;&gt;0,B180=0,C180=0),VLOOKUP(A180,'3 - LISTA DE ESPÉCIES'!A:H,1,FALSE()),IF(AND(A180=0,B180&lt;&gt;0,C180=0),VLOOKUP(B180,'3 - LISTA DE ESPÉCIES'!B:H,5,FALSE()),IF(AND(A180=0,B180=0,C180&lt;&gt;0),VLOOKUP(C180,'3 - LISTA DE ESPÉCIES'!C:H,4,FALSE()))))</f>
        <v>0</v>
      </c>
      <c r="F180" s="21" t="b">
        <f>IF(AND(A180&lt;&gt;0,B180=0,C180=0),VLOOKUP(A180,'3 - LISTA DE ESPÉCIES'!A:H,2,FALSE()),IF(AND(A180=0,B180&lt;&gt;0,C180=0),VLOOKUP(B180,'3 - LISTA DE ESPÉCIES'!B:H,6,FALSE()),IF(AND(A180=0,B180=0,C180&lt;&gt;0),VLOOKUP(C180,'3 - LISTA DE ESPÉCIES'!C:H,5,FALSE()))))</f>
        <v>0</v>
      </c>
      <c r="G180" s="21" t="b">
        <f>IF(AND(A180&lt;&gt;0,B180=0,C180=0),VLOOKUP(A180,'3 - LISTA DE ESPÉCIES'!A:H,3,FALSE()),IF(AND(A180=0,B180&lt;&gt;0,C180=0),VLOOKUP(B180,'3 - LISTA DE ESPÉCIES'!B:H,7,FALSE()),IF(AND(A180=0,B180=0,C180&lt;&gt;0),VLOOKUP(C180,'3 - LISTA DE ESPÉCIES'!C:H,6,FALSE()))))</f>
        <v>0</v>
      </c>
      <c r="H180" s="21" t="b">
        <f>IF(AND(A180&lt;&gt;0,B180=0,C180=0),VLOOKUP(A180,'3 - LISTA DE ESPÉCIES'!A:H,4,FALSE()),IF(AND(A180=0,B180&lt;&gt;0,C180=0),VLOOKUP(B180,'3 - LISTA DE ESPÉCIES'!B:H,3,FALSE()),IF(AND(A180=0,B180=0,C180&lt;&gt;0),VLOOKUP(C180,'3 - LISTA DE ESPÉCIES'!C:H,2,FALSE()))))</f>
        <v>0</v>
      </c>
      <c r="I180" s="21" t="b">
        <f>IF(AND(A180&lt;&gt;0,B180=0,C180=0),VLOOKUP(A180,'3 - LISTA DE ESPÉCIES'!A:H,5,FALSE()),IF(AND(A180=0,B180&lt;&gt;0,C180=0),VLOOKUP(B180,'3 - LISTA DE ESPÉCIES'!B:H,4,FALSE()),IF(AND(A180=0,B180=0,C180&lt;&gt;0),VLOOKUP(C180,'3 - LISTA DE ESPÉCIES'!C:H,3,FALSE()))))</f>
        <v>0</v>
      </c>
      <c r="J180" s="23"/>
      <c r="K180" s="23"/>
      <c r="L180" s="20"/>
      <c r="M180" s="20"/>
    </row>
    <row r="181" spans="1:13" x14ac:dyDescent="0.25">
      <c r="A181" s="20"/>
      <c r="B181" s="20"/>
      <c r="C181" s="20"/>
      <c r="E181" s="21" t="b">
        <f>IF(AND(A181&lt;&gt;0,B181=0,C181=0),VLOOKUP(A181,'3 - LISTA DE ESPÉCIES'!A:H,1,FALSE()),IF(AND(A181=0,B181&lt;&gt;0,C181=0),VLOOKUP(B181,'3 - LISTA DE ESPÉCIES'!B:H,5,FALSE()),IF(AND(A181=0,B181=0,C181&lt;&gt;0),VLOOKUP(C181,'3 - LISTA DE ESPÉCIES'!C:H,4,FALSE()))))</f>
        <v>0</v>
      </c>
      <c r="F181" s="21" t="b">
        <f>IF(AND(A181&lt;&gt;0,B181=0,C181=0),VLOOKUP(A181,'3 - LISTA DE ESPÉCIES'!A:H,2,FALSE()),IF(AND(A181=0,B181&lt;&gt;0,C181=0),VLOOKUP(B181,'3 - LISTA DE ESPÉCIES'!B:H,6,FALSE()),IF(AND(A181=0,B181=0,C181&lt;&gt;0),VLOOKUP(C181,'3 - LISTA DE ESPÉCIES'!C:H,5,FALSE()))))</f>
        <v>0</v>
      </c>
      <c r="G181" s="21" t="b">
        <f>IF(AND(A181&lt;&gt;0,B181=0,C181=0),VLOOKUP(A181,'3 - LISTA DE ESPÉCIES'!A:H,3,FALSE()),IF(AND(A181=0,B181&lt;&gt;0,C181=0),VLOOKUP(B181,'3 - LISTA DE ESPÉCIES'!B:H,7,FALSE()),IF(AND(A181=0,B181=0,C181&lt;&gt;0),VLOOKUP(C181,'3 - LISTA DE ESPÉCIES'!C:H,6,FALSE()))))</f>
        <v>0</v>
      </c>
      <c r="H181" s="21" t="b">
        <f>IF(AND(A181&lt;&gt;0,B181=0,C181=0),VLOOKUP(A181,'3 - LISTA DE ESPÉCIES'!A:H,4,FALSE()),IF(AND(A181=0,B181&lt;&gt;0,C181=0),VLOOKUP(B181,'3 - LISTA DE ESPÉCIES'!B:H,3,FALSE()),IF(AND(A181=0,B181=0,C181&lt;&gt;0),VLOOKUP(C181,'3 - LISTA DE ESPÉCIES'!C:H,2,FALSE()))))</f>
        <v>0</v>
      </c>
      <c r="I181" s="21" t="b">
        <f>IF(AND(A181&lt;&gt;0,B181=0,C181=0),VLOOKUP(A181,'3 - LISTA DE ESPÉCIES'!A:H,5,FALSE()),IF(AND(A181=0,B181&lt;&gt;0,C181=0),VLOOKUP(B181,'3 - LISTA DE ESPÉCIES'!B:H,4,FALSE()),IF(AND(A181=0,B181=0,C181&lt;&gt;0),VLOOKUP(C181,'3 - LISTA DE ESPÉCIES'!C:H,3,FALSE()))))</f>
        <v>0</v>
      </c>
      <c r="J181" s="23"/>
      <c r="K181" s="23"/>
      <c r="L181" s="20"/>
      <c r="M181" s="20"/>
    </row>
    <row r="182" spans="1:13" x14ac:dyDescent="0.25">
      <c r="A182" s="20"/>
      <c r="B182" s="20"/>
      <c r="C182" s="20"/>
      <c r="E182" s="21" t="b">
        <f>IF(AND(A182&lt;&gt;0,B182=0,C182=0),VLOOKUP(A182,'3 - LISTA DE ESPÉCIES'!A:H,1,FALSE()),IF(AND(A182=0,B182&lt;&gt;0,C182=0),VLOOKUP(B182,'3 - LISTA DE ESPÉCIES'!B:H,5,FALSE()),IF(AND(A182=0,B182=0,C182&lt;&gt;0),VLOOKUP(C182,'3 - LISTA DE ESPÉCIES'!C:H,4,FALSE()))))</f>
        <v>0</v>
      </c>
      <c r="F182" s="21" t="b">
        <f>IF(AND(A182&lt;&gt;0,B182=0,C182=0),VLOOKUP(A182,'3 - LISTA DE ESPÉCIES'!A:H,2,FALSE()),IF(AND(A182=0,B182&lt;&gt;0,C182=0),VLOOKUP(B182,'3 - LISTA DE ESPÉCIES'!B:H,6,FALSE()),IF(AND(A182=0,B182=0,C182&lt;&gt;0),VLOOKUP(C182,'3 - LISTA DE ESPÉCIES'!C:H,5,FALSE()))))</f>
        <v>0</v>
      </c>
      <c r="G182" s="21" t="b">
        <f>IF(AND(A182&lt;&gt;0,B182=0,C182=0),VLOOKUP(A182,'3 - LISTA DE ESPÉCIES'!A:H,3,FALSE()),IF(AND(A182=0,B182&lt;&gt;0,C182=0),VLOOKUP(B182,'3 - LISTA DE ESPÉCIES'!B:H,7,FALSE()),IF(AND(A182=0,B182=0,C182&lt;&gt;0),VLOOKUP(C182,'3 - LISTA DE ESPÉCIES'!C:H,6,FALSE()))))</f>
        <v>0</v>
      </c>
      <c r="H182" s="21" t="b">
        <f>IF(AND(A182&lt;&gt;0,B182=0,C182=0),VLOOKUP(A182,'3 - LISTA DE ESPÉCIES'!A:H,4,FALSE()),IF(AND(A182=0,B182&lt;&gt;0,C182=0),VLOOKUP(B182,'3 - LISTA DE ESPÉCIES'!B:H,3,FALSE()),IF(AND(A182=0,B182=0,C182&lt;&gt;0),VLOOKUP(C182,'3 - LISTA DE ESPÉCIES'!C:H,2,FALSE()))))</f>
        <v>0</v>
      </c>
      <c r="I182" s="21" t="b">
        <f>IF(AND(A182&lt;&gt;0,B182=0,C182=0),VLOOKUP(A182,'3 - LISTA DE ESPÉCIES'!A:H,5,FALSE()),IF(AND(A182=0,B182&lt;&gt;0,C182=0),VLOOKUP(B182,'3 - LISTA DE ESPÉCIES'!B:H,4,FALSE()),IF(AND(A182=0,B182=0,C182&lt;&gt;0),VLOOKUP(C182,'3 - LISTA DE ESPÉCIES'!C:H,3,FALSE()))))</f>
        <v>0</v>
      </c>
      <c r="J182" s="23"/>
      <c r="K182" s="23"/>
      <c r="L182" s="20"/>
      <c r="M182" s="20"/>
    </row>
    <row r="183" spans="1:13" x14ac:dyDescent="0.25">
      <c r="A183" s="20"/>
      <c r="B183" s="20"/>
      <c r="C183" s="20"/>
      <c r="E183" s="21" t="b">
        <f>IF(AND(A183&lt;&gt;0,B183=0,C183=0),VLOOKUP(A183,'3 - LISTA DE ESPÉCIES'!A:H,1,FALSE()),IF(AND(A183=0,B183&lt;&gt;0,C183=0),VLOOKUP(B183,'3 - LISTA DE ESPÉCIES'!B:H,5,FALSE()),IF(AND(A183=0,B183=0,C183&lt;&gt;0),VLOOKUP(C183,'3 - LISTA DE ESPÉCIES'!C:H,4,FALSE()))))</f>
        <v>0</v>
      </c>
      <c r="F183" s="21" t="b">
        <f>IF(AND(A183&lt;&gt;0,B183=0,C183=0),VLOOKUP(A183,'3 - LISTA DE ESPÉCIES'!A:H,2,FALSE()),IF(AND(A183=0,B183&lt;&gt;0,C183=0),VLOOKUP(B183,'3 - LISTA DE ESPÉCIES'!B:H,6,FALSE()),IF(AND(A183=0,B183=0,C183&lt;&gt;0),VLOOKUP(C183,'3 - LISTA DE ESPÉCIES'!C:H,5,FALSE()))))</f>
        <v>0</v>
      </c>
      <c r="G183" s="21" t="b">
        <f>IF(AND(A183&lt;&gt;0,B183=0,C183=0),VLOOKUP(A183,'3 - LISTA DE ESPÉCIES'!A:H,3,FALSE()),IF(AND(A183=0,B183&lt;&gt;0,C183=0),VLOOKUP(B183,'3 - LISTA DE ESPÉCIES'!B:H,7,FALSE()),IF(AND(A183=0,B183=0,C183&lt;&gt;0),VLOOKUP(C183,'3 - LISTA DE ESPÉCIES'!C:H,6,FALSE()))))</f>
        <v>0</v>
      </c>
      <c r="H183" s="21" t="b">
        <f>IF(AND(A183&lt;&gt;0,B183=0,C183=0),VLOOKUP(A183,'3 - LISTA DE ESPÉCIES'!A:H,4,FALSE()),IF(AND(A183=0,B183&lt;&gt;0,C183=0),VLOOKUP(B183,'3 - LISTA DE ESPÉCIES'!B:H,3,FALSE()),IF(AND(A183=0,B183=0,C183&lt;&gt;0),VLOOKUP(C183,'3 - LISTA DE ESPÉCIES'!C:H,2,FALSE()))))</f>
        <v>0</v>
      </c>
      <c r="I183" s="21" t="b">
        <f>IF(AND(A183&lt;&gt;0,B183=0,C183=0),VLOOKUP(A183,'3 - LISTA DE ESPÉCIES'!A:H,5,FALSE()),IF(AND(A183=0,B183&lt;&gt;0,C183=0),VLOOKUP(B183,'3 - LISTA DE ESPÉCIES'!B:H,4,FALSE()),IF(AND(A183=0,B183=0,C183&lt;&gt;0),VLOOKUP(C183,'3 - LISTA DE ESPÉCIES'!C:H,3,FALSE()))))</f>
        <v>0</v>
      </c>
      <c r="J183" s="23"/>
      <c r="K183" s="23"/>
      <c r="L183" s="20"/>
      <c r="M183" s="20"/>
    </row>
    <row r="184" spans="1:13" x14ac:dyDescent="0.25">
      <c r="A184" s="20"/>
      <c r="B184" s="20"/>
      <c r="C184" s="20"/>
      <c r="E184" s="21" t="b">
        <f>IF(AND(A184&lt;&gt;0,B184=0,C184=0),VLOOKUP(A184,'3 - LISTA DE ESPÉCIES'!A:H,1,FALSE()),IF(AND(A184=0,B184&lt;&gt;0,C184=0),VLOOKUP(B184,'3 - LISTA DE ESPÉCIES'!B:H,5,FALSE()),IF(AND(A184=0,B184=0,C184&lt;&gt;0),VLOOKUP(C184,'3 - LISTA DE ESPÉCIES'!C:H,4,FALSE()))))</f>
        <v>0</v>
      </c>
      <c r="F184" s="21" t="b">
        <f>IF(AND(A184&lt;&gt;0,B184=0,C184=0),VLOOKUP(A184,'3 - LISTA DE ESPÉCIES'!A:H,2,FALSE()),IF(AND(A184=0,B184&lt;&gt;0,C184=0),VLOOKUP(B184,'3 - LISTA DE ESPÉCIES'!B:H,6,FALSE()),IF(AND(A184=0,B184=0,C184&lt;&gt;0),VLOOKUP(C184,'3 - LISTA DE ESPÉCIES'!C:H,5,FALSE()))))</f>
        <v>0</v>
      </c>
      <c r="G184" s="21" t="b">
        <f>IF(AND(A184&lt;&gt;0,B184=0,C184=0),VLOOKUP(A184,'3 - LISTA DE ESPÉCIES'!A:H,3,FALSE()),IF(AND(A184=0,B184&lt;&gt;0,C184=0),VLOOKUP(B184,'3 - LISTA DE ESPÉCIES'!B:H,7,FALSE()),IF(AND(A184=0,B184=0,C184&lt;&gt;0),VLOOKUP(C184,'3 - LISTA DE ESPÉCIES'!C:H,6,FALSE()))))</f>
        <v>0</v>
      </c>
      <c r="H184" s="21" t="b">
        <f>IF(AND(A184&lt;&gt;0,B184=0,C184=0),VLOOKUP(A184,'3 - LISTA DE ESPÉCIES'!A:H,4,FALSE()),IF(AND(A184=0,B184&lt;&gt;0,C184=0),VLOOKUP(B184,'3 - LISTA DE ESPÉCIES'!B:H,3,FALSE()),IF(AND(A184=0,B184=0,C184&lt;&gt;0),VLOOKUP(C184,'3 - LISTA DE ESPÉCIES'!C:H,2,FALSE()))))</f>
        <v>0</v>
      </c>
      <c r="I184" s="21" t="b">
        <f>IF(AND(A184&lt;&gt;0,B184=0,C184=0),VLOOKUP(A184,'3 - LISTA DE ESPÉCIES'!A:H,5,FALSE()),IF(AND(A184=0,B184&lt;&gt;0,C184=0),VLOOKUP(B184,'3 - LISTA DE ESPÉCIES'!B:H,4,FALSE()),IF(AND(A184=0,B184=0,C184&lt;&gt;0),VLOOKUP(C184,'3 - LISTA DE ESPÉCIES'!C:H,3,FALSE()))))</f>
        <v>0</v>
      </c>
      <c r="J184" s="23"/>
      <c r="K184" s="23"/>
      <c r="L184" s="20"/>
      <c r="M184" s="20"/>
    </row>
    <row r="185" spans="1:13" x14ac:dyDescent="0.25">
      <c r="A185" s="20"/>
      <c r="B185" s="20"/>
      <c r="C185" s="20"/>
      <c r="E185" s="21" t="b">
        <f>IF(AND(A185&lt;&gt;0,B185=0,C185=0),VLOOKUP(A185,'3 - LISTA DE ESPÉCIES'!A:H,1,FALSE()),IF(AND(A185=0,B185&lt;&gt;0,C185=0),VLOOKUP(B185,'3 - LISTA DE ESPÉCIES'!B:H,5,FALSE()),IF(AND(A185=0,B185=0,C185&lt;&gt;0),VLOOKUP(C185,'3 - LISTA DE ESPÉCIES'!C:H,4,FALSE()))))</f>
        <v>0</v>
      </c>
      <c r="F185" s="21" t="b">
        <f>IF(AND(A185&lt;&gt;0,B185=0,C185=0),VLOOKUP(A185,'3 - LISTA DE ESPÉCIES'!A:H,2,FALSE()),IF(AND(A185=0,B185&lt;&gt;0,C185=0),VLOOKUP(B185,'3 - LISTA DE ESPÉCIES'!B:H,6,FALSE()),IF(AND(A185=0,B185=0,C185&lt;&gt;0),VLOOKUP(C185,'3 - LISTA DE ESPÉCIES'!C:H,5,FALSE()))))</f>
        <v>0</v>
      </c>
      <c r="G185" s="21" t="b">
        <f>IF(AND(A185&lt;&gt;0,B185=0,C185=0),VLOOKUP(A185,'3 - LISTA DE ESPÉCIES'!A:H,3,FALSE()),IF(AND(A185=0,B185&lt;&gt;0,C185=0),VLOOKUP(B185,'3 - LISTA DE ESPÉCIES'!B:H,7,FALSE()),IF(AND(A185=0,B185=0,C185&lt;&gt;0),VLOOKUP(C185,'3 - LISTA DE ESPÉCIES'!C:H,6,FALSE()))))</f>
        <v>0</v>
      </c>
      <c r="H185" s="21" t="b">
        <f>IF(AND(A185&lt;&gt;0,B185=0,C185=0),VLOOKUP(A185,'3 - LISTA DE ESPÉCIES'!A:H,4,FALSE()),IF(AND(A185=0,B185&lt;&gt;0,C185=0),VLOOKUP(B185,'3 - LISTA DE ESPÉCIES'!B:H,3,FALSE()),IF(AND(A185=0,B185=0,C185&lt;&gt;0),VLOOKUP(C185,'3 - LISTA DE ESPÉCIES'!C:H,2,FALSE()))))</f>
        <v>0</v>
      </c>
      <c r="I185" s="21" t="b">
        <f>IF(AND(A185&lt;&gt;0,B185=0,C185=0),VLOOKUP(A185,'3 - LISTA DE ESPÉCIES'!A:H,5,FALSE()),IF(AND(A185=0,B185&lt;&gt;0,C185=0),VLOOKUP(B185,'3 - LISTA DE ESPÉCIES'!B:H,4,FALSE()),IF(AND(A185=0,B185=0,C185&lt;&gt;0),VLOOKUP(C185,'3 - LISTA DE ESPÉCIES'!C:H,3,FALSE()))))</f>
        <v>0</v>
      </c>
      <c r="J185" s="23"/>
      <c r="K185" s="23"/>
      <c r="L185" s="20"/>
      <c r="M185" s="20"/>
    </row>
    <row r="186" spans="1:13" x14ac:dyDescent="0.25">
      <c r="A186" s="20"/>
      <c r="B186" s="20"/>
      <c r="C186" s="20"/>
      <c r="E186" s="21" t="b">
        <f>IF(AND(A186&lt;&gt;0,B186=0,C186=0),VLOOKUP(A186,'3 - LISTA DE ESPÉCIES'!A:H,1,FALSE()),IF(AND(A186=0,B186&lt;&gt;0,C186=0),VLOOKUP(B186,'3 - LISTA DE ESPÉCIES'!B:H,5,FALSE()),IF(AND(A186=0,B186=0,C186&lt;&gt;0),VLOOKUP(C186,'3 - LISTA DE ESPÉCIES'!C:H,4,FALSE()))))</f>
        <v>0</v>
      </c>
      <c r="F186" s="21" t="b">
        <f>IF(AND(A186&lt;&gt;0,B186=0,C186=0),VLOOKUP(A186,'3 - LISTA DE ESPÉCIES'!A:H,2,FALSE()),IF(AND(A186=0,B186&lt;&gt;0,C186=0),VLOOKUP(B186,'3 - LISTA DE ESPÉCIES'!B:H,6,FALSE()),IF(AND(A186=0,B186=0,C186&lt;&gt;0),VLOOKUP(C186,'3 - LISTA DE ESPÉCIES'!C:H,5,FALSE()))))</f>
        <v>0</v>
      </c>
      <c r="G186" s="21" t="b">
        <f>IF(AND(A186&lt;&gt;0,B186=0,C186=0),VLOOKUP(A186,'3 - LISTA DE ESPÉCIES'!A:H,3,FALSE()),IF(AND(A186=0,B186&lt;&gt;0,C186=0),VLOOKUP(B186,'3 - LISTA DE ESPÉCIES'!B:H,7,FALSE()),IF(AND(A186=0,B186=0,C186&lt;&gt;0),VLOOKUP(C186,'3 - LISTA DE ESPÉCIES'!C:H,6,FALSE()))))</f>
        <v>0</v>
      </c>
      <c r="H186" s="21" t="b">
        <f>IF(AND(A186&lt;&gt;0,B186=0,C186=0),VLOOKUP(A186,'3 - LISTA DE ESPÉCIES'!A:H,4,FALSE()),IF(AND(A186=0,B186&lt;&gt;0,C186=0),VLOOKUP(B186,'3 - LISTA DE ESPÉCIES'!B:H,3,FALSE()),IF(AND(A186=0,B186=0,C186&lt;&gt;0),VLOOKUP(C186,'3 - LISTA DE ESPÉCIES'!C:H,2,FALSE()))))</f>
        <v>0</v>
      </c>
      <c r="I186" s="21" t="b">
        <f>IF(AND(A186&lt;&gt;0,B186=0,C186=0),VLOOKUP(A186,'3 - LISTA DE ESPÉCIES'!A:H,5,FALSE()),IF(AND(A186=0,B186&lt;&gt;0,C186=0),VLOOKUP(B186,'3 - LISTA DE ESPÉCIES'!B:H,4,FALSE()),IF(AND(A186=0,B186=0,C186&lt;&gt;0),VLOOKUP(C186,'3 - LISTA DE ESPÉCIES'!C:H,3,FALSE()))))</f>
        <v>0</v>
      </c>
      <c r="J186" s="23"/>
      <c r="K186" s="23"/>
      <c r="L186" s="20"/>
      <c r="M186" s="20"/>
    </row>
    <row r="187" spans="1:13" x14ac:dyDescent="0.25">
      <c r="A187" s="20"/>
      <c r="B187" s="20"/>
      <c r="C187" s="20"/>
      <c r="E187" s="21" t="b">
        <f>IF(AND(A187&lt;&gt;0,B187=0,C187=0),VLOOKUP(A187,'3 - LISTA DE ESPÉCIES'!A:H,1,FALSE()),IF(AND(A187=0,B187&lt;&gt;0,C187=0),VLOOKUP(B187,'3 - LISTA DE ESPÉCIES'!B:H,5,FALSE()),IF(AND(A187=0,B187=0,C187&lt;&gt;0),VLOOKUP(C187,'3 - LISTA DE ESPÉCIES'!C:H,4,FALSE()))))</f>
        <v>0</v>
      </c>
      <c r="F187" s="21" t="b">
        <f>IF(AND(A187&lt;&gt;0,B187=0,C187=0),VLOOKUP(A187,'3 - LISTA DE ESPÉCIES'!A:H,2,FALSE()),IF(AND(A187=0,B187&lt;&gt;0,C187=0),VLOOKUP(B187,'3 - LISTA DE ESPÉCIES'!B:H,6,FALSE()),IF(AND(A187=0,B187=0,C187&lt;&gt;0),VLOOKUP(C187,'3 - LISTA DE ESPÉCIES'!C:H,5,FALSE()))))</f>
        <v>0</v>
      </c>
      <c r="G187" s="21" t="b">
        <f>IF(AND(A187&lt;&gt;0,B187=0,C187=0),VLOOKUP(A187,'3 - LISTA DE ESPÉCIES'!A:H,3,FALSE()),IF(AND(A187=0,B187&lt;&gt;0,C187=0),VLOOKUP(B187,'3 - LISTA DE ESPÉCIES'!B:H,7,FALSE()),IF(AND(A187=0,B187=0,C187&lt;&gt;0),VLOOKUP(C187,'3 - LISTA DE ESPÉCIES'!C:H,6,FALSE()))))</f>
        <v>0</v>
      </c>
      <c r="H187" s="21" t="b">
        <f>IF(AND(A187&lt;&gt;0,B187=0,C187=0),VLOOKUP(A187,'3 - LISTA DE ESPÉCIES'!A:H,4,FALSE()),IF(AND(A187=0,B187&lt;&gt;0,C187=0),VLOOKUP(B187,'3 - LISTA DE ESPÉCIES'!B:H,3,FALSE()),IF(AND(A187=0,B187=0,C187&lt;&gt;0),VLOOKUP(C187,'3 - LISTA DE ESPÉCIES'!C:H,2,FALSE()))))</f>
        <v>0</v>
      </c>
      <c r="I187" s="21" t="b">
        <f>IF(AND(A187&lt;&gt;0,B187=0,C187=0),VLOOKUP(A187,'3 - LISTA DE ESPÉCIES'!A:H,5,FALSE()),IF(AND(A187=0,B187&lt;&gt;0,C187=0),VLOOKUP(B187,'3 - LISTA DE ESPÉCIES'!B:H,4,FALSE()),IF(AND(A187=0,B187=0,C187&lt;&gt;0),VLOOKUP(C187,'3 - LISTA DE ESPÉCIES'!C:H,3,FALSE()))))</f>
        <v>0</v>
      </c>
      <c r="J187" s="23"/>
      <c r="K187" s="23"/>
      <c r="L187" s="20"/>
      <c r="M187" s="20"/>
    </row>
    <row r="188" spans="1:13" x14ac:dyDescent="0.25">
      <c r="A188" s="20"/>
      <c r="B188" s="20"/>
      <c r="C188" s="20"/>
      <c r="E188" s="21" t="b">
        <f>IF(AND(A188&lt;&gt;0,B188=0,C188=0),VLOOKUP(A188,'3 - LISTA DE ESPÉCIES'!A:H,1,FALSE()),IF(AND(A188=0,B188&lt;&gt;0,C188=0),VLOOKUP(B188,'3 - LISTA DE ESPÉCIES'!B:H,5,FALSE()),IF(AND(A188=0,B188=0,C188&lt;&gt;0),VLOOKUP(C188,'3 - LISTA DE ESPÉCIES'!C:H,4,FALSE()))))</f>
        <v>0</v>
      </c>
      <c r="F188" s="21" t="b">
        <f>IF(AND(A188&lt;&gt;0,B188=0,C188=0),VLOOKUP(A188,'3 - LISTA DE ESPÉCIES'!A:H,2,FALSE()),IF(AND(A188=0,B188&lt;&gt;0,C188=0),VLOOKUP(B188,'3 - LISTA DE ESPÉCIES'!B:H,6,FALSE()),IF(AND(A188=0,B188=0,C188&lt;&gt;0),VLOOKUP(C188,'3 - LISTA DE ESPÉCIES'!C:H,5,FALSE()))))</f>
        <v>0</v>
      </c>
      <c r="G188" s="21" t="b">
        <f>IF(AND(A188&lt;&gt;0,B188=0,C188=0),VLOOKUP(A188,'3 - LISTA DE ESPÉCIES'!A:H,3,FALSE()),IF(AND(A188=0,B188&lt;&gt;0,C188=0),VLOOKUP(B188,'3 - LISTA DE ESPÉCIES'!B:H,7,FALSE()),IF(AND(A188=0,B188=0,C188&lt;&gt;0),VLOOKUP(C188,'3 - LISTA DE ESPÉCIES'!C:H,6,FALSE()))))</f>
        <v>0</v>
      </c>
      <c r="H188" s="21" t="b">
        <f>IF(AND(A188&lt;&gt;0,B188=0,C188=0),VLOOKUP(A188,'3 - LISTA DE ESPÉCIES'!A:H,4,FALSE()),IF(AND(A188=0,B188&lt;&gt;0,C188=0),VLOOKUP(B188,'3 - LISTA DE ESPÉCIES'!B:H,3,FALSE()),IF(AND(A188=0,B188=0,C188&lt;&gt;0),VLOOKUP(C188,'3 - LISTA DE ESPÉCIES'!C:H,2,FALSE()))))</f>
        <v>0</v>
      </c>
      <c r="I188" s="21" t="b">
        <f>IF(AND(A188&lt;&gt;0,B188=0,C188=0),VLOOKUP(A188,'3 - LISTA DE ESPÉCIES'!A:H,5,FALSE()),IF(AND(A188=0,B188&lt;&gt;0,C188=0),VLOOKUP(B188,'3 - LISTA DE ESPÉCIES'!B:H,4,FALSE()),IF(AND(A188=0,B188=0,C188&lt;&gt;0),VLOOKUP(C188,'3 - LISTA DE ESPÉCIES'!C:H,3,FALSE()))))</f>
        <v>0</v>
      </c>
      <c r="J188" s="23"/>
      <c r="K188" s="23"/>
      <c r="L188" s="20"/>
      <c r="M188" s="20"/>
    </row>
    <row r="189" spans="1:13" x14ac:dyDescent="0.25">
      <c r="A189" s="20"/>
      <c r="B189" s="20"/>
      <c r="C189" s="20"/>
      <c r="E189" s="21" t="b">
        <f>IF(AND(A189&lt;&gt;0,B189=0,C189=0),VLOOKUP(A189,'3 - LISTA DE ESPÉCIES'!A:H,1,FALSE()),IF(AND(A189=0,B189&lt;&gt;0,C189=0),VLOOKUP(B189,'3 - LISTA DE ESPÉCIES'!B:H,5,FALSE()),IF(AND(A189=0,B189=0,C189&lt;&gt;0),VLOOKUP(C189,'3 - LISTA DE ESPÉCIES'!C:H,4,FALSE()))))</f>
        <v>0</v>
      </c>
      <c r="F189" s="21" t="b">
        <f>IF(AND(A189&lt;&gt;0,B189=0,C189=0),VLOOKUP(A189,'3 - LISTA DE ESPÉCIES'!A:H,2,FALSE()),IF(AND(A189=0,B189&lt;&gt;0,C189=0),VLOOKUP(B189,'3 - LISTA DE ESPÉCIES'!B:H,6,FALSE()),IF(AND(A189=0,B189=0,C189&lt;&gt;0),VLOOKUP(C189,'3 - LISTA DE ESPÉCIES'!C:H,5,FALSE()))))</f>
        <v>0</v>
      </c>
      <c r="G189" s="21" t="b">
        <f>IF(AND(A189&lt;&gt;0,B189=0,C189=0),VLOOKUP(A189,'3 - LISTA DE ESPÉCIES'!A:H,3,FALSE()),IF(AND(A189=0,B189&lt;&gt;0,C189=0),VLOOKUP(B189,'3 - LISTA DE ESPÉCIES'!B:H,7,FALSE()),IF(AND(A189=0,B189=0,C189&lt;&gt;0),VLOOKUP(C189,'3 - LISTA DE ESPÉCIES'!C:H,6,FALSE()))))</f>
        <v>0</v>
      </c>
      <c r="H189" s="21" t="b">
        <f>IF(AND(A189&lt;&gt;0,B189=0,C189=0),VLOOKUP(A189,'3 - LISTA DE ESPÉCIES'!A:H,4,FALSE()),IF(AND(A189=0,B189&lt;&gt;0,C189=0),VLOOKUP(B189,'3 - LISTA DE ESPÉCIES'!B:H,3,FALSE()),IF(AND(A189=0,B189=0,C189&lt;&gt;0),VLOOKUP(C189,'3 - LISTA DE ESPÉCIES'!C:H,2,FALSE()))))</f>
        <v>0</v>
      </c>
      <c r="I189" s="21" t="b">
        <f>IF(AND(A189&lt;&gt;0,B189=0,C189=0),VLOOKUP(A189,'3 - LISTA DE ESPÉCIES'!A:H,5,FALSE()),IF(AND(A189=0,B189&lt;&gt;0,C189=0),VLOOKUP(B189,'3 - LISTA DE ESPÉCIES'!B:H,4,FALSE()),IF(AND(A189=0,B189=0,C189&lt;&gt;0),VLOOKUP(C189,'3 - LISTA DE ESPÉCIES'!C:H,3,FALSE()))))</f>
        <v>0</v>
      </c>
      <c r="J189" s="23"/>
      <c r="K189" s="23"/>
      <c r="L189" s="20"/>
      <c r="M189" s="20"/>
    </row>
    <row r="190" spans="1:13" x14ac:dyDescent="0.25">
      <c r="A190" s="20"/>
      <c r="B190" s="20"/>
      <c r="C190" s="20"/>
      <c r="E190" s="21" t="b">
        <f>IF(AND(A190&lt;&gt;0,B190=0,C190=0),VLOOKUP(A190,'3 - LISTA DE ESPÉCIES'!A:H,1,FALSE()),IF(AND(A190=0,B190&lt;&gt;0,C190=0),VLOOKUP(B190,'3 - LISTA DE ESPÉCIES'!B:H,5,FALSE()),IF(AND(A190=0,B190=0,C190&lt;&gt;0),VLOOKUP(C190,'3 - LISTA DE ESPÉCIES'!C:H,4,FALSE()))))</f>
        <v>0</v>
      </c>
      <c r="F190" s="21" t="b">
        <f>IF(AND(A190&lt;&gt;0,B190=0,C190=0),VLOOKUP(A190,'3 - LISTA DE ESPÉCIES'!A:H,2,FALSE()),IF(AND(A190=0,B190&lt;&gt;0,C190=0),VLOOKUP(B190,'3 - LISTA DE ESPÉCIES'!B:H,6,FALSE()),IF(AND(A190=0,B190=0,C190&lt;&gt;0),VLOOKUP(C190,'3 - LISTA DE ESPÉCIES'!C:H,5,FALSE()))))</f>
        <v>0</v>
      </c>
      <c r="G190" s="21" t="b">
        <f>IF(AND(A190&lt;&gt;0,B190=0,C190=0),VLOOKUP(A190,'3 - LISTA DE ESPÉCIES'!A:H,3,FALSE()),IF(AND(A190=0,B190&lt;&gt;0,C190=0),VLOOKUP(B190,'3 - LISTA DE ESPÉCIES'!B:H,7,FALSE()),IF(AND(A190=0,B190=0,C190&lt;&gt;0),VLOOKUP(C190,'3 - LISTA DE ESPÉCIES'!C:H,6,FALSE()))))</f>
        <v>0</v>
      </c>
      <c r="H190" s="21" t="b">
        <f>IF(AND(A190&lt;&gt;0,B190=0,C190=0),VLOOKUP(A190,'3 - LISTA DE ESPÉCIES'!A:H,4,FALSE()),IF(AND(A190=0,B190&lt;&gt;0,C190=0),VLOOKUP(B190,'3 - LISTA DE ESPÉCIES'!B:H,3,FALSE()),IF(AND(A190=0,B190=0,C190&lt;&gt;0),VLOOKUP(C190,'3 - LISTA DE ESPÉCIES'!C:H,2,FALSE()))))</f>
        <v>0</v>
      </c>
      <c r="I190" s="21" t="b">
        <f>IF(AND(A190&lt;&gt;0,B190=0,C190=0),VLOOKUP(A190,'3 - LISTA DE ESPÉCIES'!A:H,5,FALSE()),IF(AND(A190=0,B190&lt;&gt;0,C190=0),VLOOKUP(B190,'3 - LISTA DE ESPÉCIES'!B:H,4,FALSE()),IF(AND(A190=0,B190=0,C190&lt;&gt;0),VLOOKUP(C190,'3 - LISTA DE ESPÉCIES'!C:H,3,FALSE()))))</f>
        <v>0</v>
      </c>
      <c r="J190" s="23"/>
      <c r="K190" s="23"/>
      <c r="L190" s="20"/>
      <c r="M190" s="20"/>
    </row>
    <row r="191" spans="1:13" x14ac:dyDescent="0.25">
      <c r="A191" s="20"/>
      <c r="B191" s="20"/>
      <c r="C191" s="20"/>
      <c r="E191" s="21" t="b">
        <f>IF(AND(A191&lt;&gt;0,B191=0,C191=0),VLOOKUP(A191,'3 - LISTA DE ESPÉCIES'!A:H,1,FALSE()),IF(AND(A191=0,B191&lt;&gt;0,C191=0),VLOOKUP(B191,'3 - LISTA DE ESPÉCIES'!B:H,5,FALSE()),IF(AND(A191=0,B191=0,C191&lt;&gt;0),VLOOKUP(C191,'3 - LISTA DE ESPÉCIES'!C:H,4,FALSE()))))</f>
        <v>0</v>
      </c>
      <c r="F191" s="21" t="b">
        <f>IF(AND(A191&lt;&gt;0,B191=0,C191=0),VLOOKUP(A191,'3 - LISTA DE ESPÉCIES'!A:H,2,FALSE()),IF(AND(A191=0,B191&lt;&gt;0,C191=0),VLOOKUP(B191,'3 - LISTA DE ESPÉCIES'!B:H,6,FALSE()),IF(AND(A191=0,B191=0,C191&lt;&gt;0),VLOOKUP(C191,'3 - LISTA DE ESPÉCIES'!C:H,5,FALSE()))))</f>
        <v>0</v>
      </c>
      <c r="G191" s="21" t="b">
        <f>IF(AND(A191&lt;&gt;0,B191=0,C191=0),VLOOKUP(A191,'3 - LISTA DE ESPÉCIES'!A:H,3,FALSE()),IF(AND(A191=0,B191&lt;&gt;0,C191=0),VLOOKUP(B191,'3 - LISTA DE ESPÉCIES'!B:H,7,FALSE()),IF(AND(A191=0,B191=0,C191&lt;&gt;0),VLOOKUP(C191,'3 - LISTA DE ESPÉCIES'!C:H,6,FALSE()))))</f>
        <v>0</v>
      </c>
      <c r="H191" s="21" t="b">
        <f>IF(AND(A191&lt;&gt;0,B191=0,C191=0),VLOOKUP(A191,'3 - LISTA DE ESPÉCIES'!A:H,4,FALSE()),IF(AND(A191=0,B191&lt;&gt;0,C191=0),VLOOKUP(B191,'3 - LISTA DE ESPÉCIES'!B:H,3,FALSE()),IF(AND(A191=0,B191=0,C191&lt;&gt;0),VLOOKUP(C191,'3 - LISTA DE ESPÉCIES'!C:H,2,FALSE()))))</f>
        <v>0</v>
      </c>
      <c r="I191" s="21" t="b">
        <f>IF(AND(A191&lt;&gt;0,B191=0,C191=0),VLOOKUP(A191,'3 - LISTA DE ESPÉCIES'!A:H,5,FALSE()),IF(AND(A191=0,B191&lt;&gt;0,C191=0),VLOOKUP(B191,'3 - LISTA DE ESPÉCIES'!B:H,4,FALSE()),IF(AND(A191=0,B191=0,C191&lt;&gt;0),VLOOKUP(C191,'3 - LISTA DE ESPÉCIES'!C:H,3,FALSE()))))</f>
        <v>0</v>
      </c>
      <c r="J191" s="23"/>
      <c r="K191" s="23"/>
      <c r="L191" s="20"/>
      <c r="M191" s="20"/>
    </row>
    <row r="192" spans="1:13" x14ac:dyDescent="0.25">
      <c r="A192" s="20"/>
      <c r="B192" s="20"/>
      <c r="C192" s="20"/>
      <c r="E192" s="21" t="b">
        <f>IF(AND(A192&lt;&gt;0,B192=0,C192=0),VLOOKUP(A192,'3 - LISTA DE ESPÉCIES'!A:H,1,FALSE()),IF(AND(A192=0,B192&lt;&gt;0,C192=0),VLOOKUP(B192,'3 - LISTA DE ESPÉCIES'!B:H,5,FALSE()),IF(AND(A192=0,B192=0,C192&lt;&gt;0),VLOOKUP(C192,'3 - LISTA DE ESPÉCIES'!C:H,4,FALSE()))))</f>
        <v>0</v>
      </c>
      <c r="F192" s="21" t="b">
        <f>IF(AND(A192&lt;&gt;0,B192=0,C192=0),VLOOKUP(A192,'3 - LISTA DE ESPÉCIES'!A:H,2,FALSE()),IF(AND(A192=0,B192&lt;&gt;0,C192=0),VLOOKUP(B192,'3 - LISTA DE ESPÉCIES'!B:H,6,FALSE()),IF(AND(A192=0,B192=0,C192&lt;&gt;0),VLOOKUP(C192,'3 - LISTA DE ESPÉCIES'!C:H,5,FALSE()))))</f>
        <v>0</v>
      </c>
      <c r="G192" s="21" t="b">
        <f>IF(AND(A192&lt;&gt;0,B192=0,C192=0),VLOOKUP(A192,'3 - LISTA DE ESPÉCIES'!A:H,3,FALSE()),IF(AND(A192=0,B192&lt;&gt;0,C192=0),VLOOKUP(B192,'3 - LISTA DE ESPÉCIES'!B:H,7,FALSE()),IF(AND(A192=0,B192=0,C192&lt;&gt;0),VLOOKUP(C192,'3 - LISTA DE ESPÉCIES'!C:H,6,FALSE()))))</f>
        <v>0</v>
      </c>
      <c r="H192" s="21" t="b">
        <f>IF(AND(A192&lt;&gt;0,B192=0,C192=0),VLOOKUP(A192,'3 - LISTA DE ESPÉCIES'!A:H,4,FALSE()),IF(AND(A192=0,B192&lt;&gt;0,C192=0),VLOOKUP(B192,'3 - LISTA DE ESPÉCIES'!B:H,3,FALSE()),IF(AND(A192=0,B192=0,C192&lt;&gt;0),VLOOKUP(C192,'3 - LISTA DE ESPÉCIES'!C:H,2,FALSE()))))</f>
        <v>0</v>
      </c>
      <c r="I192" s="21" t="b">
        <f>IF(AND(A192&lt;&gt;0,B192=0,C192=0),VLOOKUP(A192,'3 - LISTA DE ESPÉCIES'!A:H,5,FALSE()),IF(AND(A192=0,B192&lt;&gt;0,C192=0),VLOOKUP(B192,'3 - LISTA DE ESPÉCIES'!B:H,4,FALSE()),IF(AND(A192=0,B192=0,C192&lt;&gt;0),VLOOKUP(C192,'3 - LISTA DE ESPÉCIES'!C:H,3,FALSE()))))</f>
        <v>0</v>
      </c>
      <c r="J192" s="23"/>
      <c r="K192" s="23"/>
      <c r="L192" s="20"/>
      <c r="M192" s="20"/>
    </row>
    <row r="193" spans="1:13" x14ac:dyDescent="0.25">
      <c r="A193" s="20"/>
      <c r="B193" s="20"/>
      <c r="C193" s="20"/>
      <c r="E193" s="21" t="b">
        <f>IF(AND(A193&lt;&gt;0,B193=0,C193=0),VLOOKUP(A193,'3 - LISTA DE ESPÉCIES'!A:H,1,FALSE()),IF(AND(A193=0,B193&lt;&gt;0,C193=0),VLOOKUP(B193,'3 - LISTA DE ESPÉCIES'!B:H,5,FALSE()),IF(AND(A193=0,B193=0,C193&lt;&gt;0),VLOOKUP(C193,'3 - LISTA DE ESPÉCIES'!C:H,4,FALSE()))))</f>
        <v>0</v>
      </c>
      <c r="F193" s="21" t="b">
        <f>IF(AND(A193&lt;&gt;0,B193=0,C193=0),VLOOKUP(A193,'3 - LISTA DE ESPÉCIES'!A:H,2,FALSE()),IF(AND(A193=0,B193&lt;&gt;0,C193=0),VLOOKUP(B193,'3 - LISTA DE ESPÉCIES'!B:H,6,FALSE()),IF(AND(A193=0,B193=0,C193&lt;&gt;0),VLOOKUP(C193,'3 - LISTA DE ESPÉCIES'!C:H,5,FALSE()))))</f>
        <v>0</v>
      </c>
      <c r="G193" s="21" t="b">
        <f>IF(AND(A193&lt;&gt;0,B193=0,C193=0),VLOOKUP(A193,'3 - LISTA DE ESPÉCIES'!A:H,3,FALSE()),IF(AND(A193=0,B193&lt;&gt;0,C193=0),VLOOKUP(B193,'3 - LISTA DE ESPÉCIES'!B:H,7,FALSE()),IF(AND(A193=0,B193=0,C193&lt;&gt;0),VLOOKUP(C193,'3 - LISTA DE ESPÉCIES'!C:H,6,FALSE()))))</f>
        <v>0</v>
      </c>
      <c r="H193" s="21" t="b">
        <f>IF(AND(A193&lt;&gt;0,B193=0,C193=0),VLOOKUP(A193,'3 - LISTA DE ESPÉCIES'!A:H,4,FALSE()),IF(AND(A193=0,B193&lt;&gt;0,C193=0),VLOOKUP(B193,'3 - LISTA DE ESPÉCIES'!B:H,3,FALSE()),IF(AND(A193=0,B193=0,C193&lt;&gt;0),VLOOKUP(C193,'3 - LISTA DE ESPÉCIES'!C:H,2,FALSE()))))</f>
        <v>0</v>
      </c>
      <c r="I193" s="21" t="b">
        <f>IF(AND(A193&lt;&gt;0,B193=0,C193=0),VLOOKUP(A193,'3 - LISTA DE ESPÉCIES'!A:H,5,FALSE()),IF(AND(A193=0,B193&lt;&gt;0,C193=0),VLOOKUP(B193,'3 - LISTA DE ESPÉCIES'!B:H,4,FALSE()),IF(AND(A193=0,B193=0,C193&lt;&gt;0),VLOOKUP(C193,'3 - LISTA DE ESPÉCIES'!C:H,3,FALSE()))))</f>
        <v>0</v>
      </c>
      <c r="J193" s="23"/>
      <c r="K193" s="23"/>
      <c r="L193" s="20"/>
      <c r="M193" s="20"/>
    </row>
    <row r="194" spans="1:13" x14ac:dyDescent="0.25">
      <c r="A194" s="20"/>
      <c r="B194" s="20"/>
      <c r="C194" s="20"/>
      <c r="E194" s="21" t="b">
        <f>IF(AND(A194&lt;&gt;0,B194=0,C194=0),VLOOKUP(A194,'3 - LISTA DE ESPÉCIES'!A:H,1,FALSE()),IF(AND(A194=0,B194&lt;&gt;0,C194=0),VLOOKUP(B194,'3 - LISTA DE ESPÉCIES'!B:H,5,FALSE()),IF(AND(A194=0,B194=0,C194&lt;&gt;0),VLOOKUP(C194,'3 - LISTA DE ESPÉCIES'!C:H,4,FALSE()))))</f>
        <v>0</v>
      </c>
      <c r="F194" s="21" t="b">
        <f>IF(AND(A194&lt;&gt;0,B194=0,C194=0),VLOOKUP(A194,'3 - LISTA DE ESPÉCIES'!A:H,2,FALSE()),IF(AND(A194=0,B194&lt;&gt;0,C194=0),VLOOKUP(B194,'3 - LISTA DE ESPÉCIES'!B:H,6,FALSE()),IF(AND(A194=0,B194=0,C194&lt;&gt;0),VLOOKUP(C194,'3 - LISTA DE ESPÉCIES'!C:H,5,FALSE()))))</f>
        <v>0</v>
      </c>
      <c r="G194" s="21" t="b">
        <f>IF(AND(A194&lt;&gt;0,B194=0,C194=0),VLOOKUP(A194,'3 - LISTA DE ESPÉCIES'!A:H,3,FALSE()),IF(AND(A194=0,B194&lt;&gt;0,C194=0),VLOOKUP(B194,'3 - LISTA DE ESPÉCIES'!B:H,7,FALSE()),IF(AND(A194=0,B194=0,C194&lt;&gt;0),VLOOKUP(C194,'3 - LISTA DE ESPÉCIES'!C:H,6,FALSE()))))</f>
        <v>0</v>
      </c>
      <c r="H194" s="21" t="b">
        <f>IF(AND(A194&lt;&gt;0,B194=0,C194=0),VLOOKUP(A194,'3 - LISTA DE ESPÉCIES'!A:H,4,FALSE()),IF(AND(A194=0,B194&lt;&gt;0,C194=0),VLOOKUP(B194,'3 - LISTA DE ESPÉCIES'!B:H,3,FALSE()),IF(AND(A194=0,B194=0,C194&lt;&gt;0),VLOOKUP(C194,'3 - LISTA DE ESPÉCIES'!C:H,2,FALSE()))))</f>
        <v>0</v>
      </c>
      <c r="I194" s="21" t="b">
        <f>IF(AND(A194&lt;&gt;0,B194=0,C194=0),VLOOKUP(A194,'3 - LISTA DE ESPÉCIES'!A:H,5,FALSE()),IF(AND(A194=0,B194&lt;&gt;0,C194=0),VLOOKUP(B194,'3 - LISTA DE ESPÉCIES'!B:H,4,FALSE()),IF(AND(A194=0,B194=0,C194&lt;&gt;0),VLOOKUP(C194,'3 - LISTA DE ESPÉCIES'!C:H,3,FALSE()))))</f>
        <v>0</v>
      </c>
      <c r="J194" s="23"/>
      <c r="K194" s="23"/>
      <c r="L194" s="20"/>
      <c r="M194" s="20"/>
    </row>
    <row r="195" spans="1:13" x14ac:dyDescent="0.25">
      <c r="A195" s="20"/>
      <c r="B195" s="20"/>
      <c r="C195" s="20"/>
      <c r="E195" s="21" t="b">
        <f>IF(AND(A195&lt;&gt;0,B195=0,C195=0),VLOOKUP(A195,'3 - LISTA DE ESPÉCIES'!A:H,1,FALSE()),IF(AND(A195=0,B195&lt;&gt;0,C195=0),VLOOKUP(B195,'3 - LISTA DE ESPÉCIES'!B:H,5,FALSE()),IF(AND(A195=0,B195=0,C195&lt;&gt;0),VLOOKUP(C195,'3 - LISTA DE ESPÉCIES'!C:H,4,FALSE()))))</f>
        <v>0</v>
      </c>
      <c r="F195" s="21" t="b">
        <f>IF(AND(A195&lt;&gt;0,B195=0,C195=0),VLOOKUP(A195,'3 - LISTA DE ESPÉCIES'!A:H,2,FALSE()),IF(AND(A195=0,B195&lt;&gt;0,C195=0),VLOOKUP(B195,'3 - LISTA DE ESPÉCIES'!B:H,6,FALSE()),IF(AND(A195=0,B195=0,C195&lt;&gt;0),VLOOKUP(C195,'3 - LISTA DE ESPÉCIES'!C:H,5,FALSE()))))</f>
        <v>0</v>
      </c>
      <c r="G195" s="21" t="b">
        <f>IF(AND(A195&lt;&gt;0,B195=0,C195=0),VLOOKUP(A195,'3 - LISTA DE ESPÉCIES'!A:H,3,FALSE()),IF(AND(A195=0,B195&lt;&gt;0,C195=0),VLOOKUP(B195,'3 - LISTA DE ESPÉCIES'!B:H,7,FALSE()),IF(AND(A195=0,B195=0,C195&lt;&gt;0),VLOOKUP(C195,'3 - LISTA DE ESPÉCIES'!C:H,6,FALSE()))))</f>
        <v>0</v>
      </c>
      <c r="H195" s="21" t="b">
        <f>IF(AND(A195&lt;&gt;0,B195=0,C195=0),VLOOKUP(A195,'3 - LISTA DE ESPÉCIES'!A:H,4,FALSE()),IF(AND(A195=0,B195&lt;&gt;0,C195=0),VLOOKUP(B195,'3 - LISTA DE ESPÉCIES'!B:H,3,FALSE()),IF(AND(A195=0,B195=0,C195&lt;&gt;0),VLOOKUP(C195,'3 - LISTA DE ESPÉCIES'!C:H,2,FALSE()))))</f>
        <v>0</v>
      </c>
      <c r="I195" s="21" t="b">
        <f>IF(AND(A195&lt;&gt;0,B195=0,C195=0),VLOOKUP(A195,'3 - LISTA DE ESPÉCIES'!A:H,5,FALSE()),IF(AND(A195=0,B195&lt;&gt;0,C195=0),VLOOKUP(B195,'3 - LISTA DE ESPÉCIES'!B:H,4,FALSE()),IF(AND(A195=0,B195=0,C195&lt;&gt;0),VLOOKUP(C195,'3 - LISTA DE ESPÉCIES'!C:H,3,FALSE()))))</f>
        <v>0</v>
      </c>
      <c r="J195" s="23"/>
      <c r="K195" s="23"/>
      <c r="L195" s="20"/>
      <c r="M195" s="20"/>
    </row>
    <row r="196" spans="1:13" x14ac:dyDescent="0.25">
      <c r="A196" s="20"/>
      <c r="B196" s="20"/>
      <c r="C196" s="20"/>
      <c r="E196" s="21" t="b">
        <f>IF(AND(A196&lt;&gt;0,B196=0,C196=0),VLOOKUP(A196,'3 - LISTA DE ESPÉCIES'!A:H,1,FALSE()),IF(AND(A196=0,B196&lt;&gt;0,C196=0),VLOOKUP(B196,'3 - LISTA DE ESPÉCIES'!B:H,5,FALSE()),IF(AND(A196=0,B196=0,C196&lt;&gt;0),VLOOKUP(C196,'3 - LISTA DE ESPÉCIES'!C:H,4,FALSE()))))</f>
        <v>0</v>
      </c>
      <c r="F196" s="21" t="b">
        <f>IF(AND(A196&lt;&gt;0,B196=0,C196=0),VLOOKUP(A196,'3 - LISTA DE ESPÉCIES'!A:H,2,FALSE()),IF(AND(A196=0,B196&lt;&gt;0,C196=0),VLOOKUP(B196,'3 - LISTA DE ESPÉCIES'!B:H,6,FALSE()),IF(AND(A196=0,B196=0,C196&lt;&gt;0),VLOOKUP(C196,'3 - LISTA DE ESPÉCIES'!C:H,5,FALSE()))))</f>
        <v>0</v>
      </c>
      <c r="G196" s="21" t="b">
        <f>IF(AND(A196&lt;&gt;0,B196=0,C196=0),VLOOKUP(A196,'3 - LISTA DE ESPÉCIES'!A:H,3,FALSE()),IF(AND(A196=0,B196&lt;&gt;0,C196=0),VLOOKUP(B196,'3 - LISTA DE ESPÉCIES'!B:H,7,FALSE()),IF(AND(A196=0,B196=0,C196&lt;&gt;0),VLOOKUP(C196,'3 - LISTA DE ESPÉCIES'!C:H,6,FALSE()))))</f>
        <v>0</v>
      </c>
      <c r="H196" s="21" t="b">
        <f>IF(AND(A196&lt;&gt;0,B196=0,C196=0),VLOOKUP(A196,'3 - LISTA DE ESPÉCIES'!A:H,4,FALSE()),IF(AND(A196=0,B196&lt;&gt;0,C196=0),VLOOKUP(B196,'3 - LISTA DE ESPÉCIES'!B:H,3,FALSE()),IF(AND(A196=0,B196=0,C196&lt;&gt;0),VLOOKUP(C196,'3 - LISTA DE ESPÉCIES'!C:H,2,FALSE()))))</f>
        <v>0</v>
      </c>
      <c r="I196" s="21" t="b">
        <f>IF(AND(A196&lt;&gt;0,B196=0,C196=0),VLOOKUP(A196,'3 - LISTA DE ESPÉCIES'!A:H,5,FALSE()),IF(AND(A196=0,B196&lt;&gt;0,C196=0),VLOOKUP(B196,'3 - LISTA DE ESPÉCIES'!B:H,4,FALSE()),IF(AND(A196=0,B196=0,C196&lt;&gt;0),VLOOKUP(C196,'3 - LISTA DE ESPÉCIES'!C:H,3,FALSE()))))</f>
        <v>0</v>
      </c>
      <c r="J196" s="23"/>
      <c r="K196" s="23"/>
      <c r="L196" s="20"/>
      <c r="M196" s="20"/>
    </row>
    <row r="197" spans="1:13" x14ac:dyDescent="0.25">
      <c r="A197" s="20"/>
      <c r="B197" s="20"/>
      <c r="C197" s="20"/>
      <c r="E197" s="21" t="b">
        <f>IF(AND(A197&lt;&gt;0,B197=0,C197=0),VLOOKUP(A197,'3 - LISTA DE ESPÉCIES'!A:H,1,FALSE()),IF(AND(A197=0,B197&lt;&gt;0,C197=0),VLOOKUP(B197,'3 - LISTA DE ESPÉCIES'!B:H,5,FALSE()),IF(AND(A197=0,B197=0,C197&lt;&gt;0),VLOOKUP(C197,'3 - LISTA DE ESPÉCIES'!C:H,4,FALSE()))))</f>
        <v>0</v>
      </c>
      <c r="F197" s="21" t="b">
        <f>IF(AND(A197&lt;&gt;0,B197=0,C197=0),VLOOKUP(A197,'3 - LISTA DE ESPÉCIES'!A:H,2,FALSE()),IF(AND(A197=0,B197&lt;&gt;0,C197=0),VLOOKUP(B197,'3 - LISTA DE ESPÉCIES'!B:H,6,FALSE()),IF(AND(A197=0,B197=0,C197&lt;&gt;0),VLOOKUP(C197,'3 - LISTA DE ESPÉCIES'!C:H,5,FALSE()))))</f>
        <v>0</v>
      </c>
      <c r="G197" s="21" t="b">
        <f>IF(AND(A197&lt;&gt;0,B197=0,C197=0),VLOOKUP(A197,'3 - LISTA DE ESPÉCIES'!A:H,3,FALSE()),IF(AND(A197=0,B197&lt;&gt;0,C197=0),VLOOKUP(B197,'3 - LISTA DE ESPÉCIES'!B:H,7,FALSE()),IF(AND(A197=0,B197=0,C197&lt;&gt;0),VLOOKUP(C197,'3 - LISTA DE ESPÉCIES'!C:H,6,FALSE()))))</f>
        <v>0</v>
      </c>
      <c r="H197" s="21" t="b">
        <f>IF(AND(A197&lt;&gt;0,B197=0,C197=0),VLOOKUP(A197,'3 - LISTA DE ESPÉCIES'!A:H,4,FALSE()),IF(AND(A197=0,B197&lt;&gt;0,C197=0),VLOOKUP(B197,'3 - LISTA DE ESPÉCIES'!B:H,3,FALSE()),IF(AND(A197=0,B197=0,C197&lt;&gt;0),VLOOKUP(C197,'3 - LISTA DE ESPÉCIES'!C:H,2,FALSE()))))</f>
        <v>0</v>
      </c>
      <c r="I197" s="21" t="b">
        <f>IF(AND(A197&lt;&gt;0,B197=0,C197=0),VLOOKUP(A197,'3 - LISTA DE ESPÉCIES'!A:H,5,FALSE()),IF(AND(A197=0,B197&lt;&gt;0,C197=0),VLOOKUP(B197,'3 - LISTA DE ESPÉCIES'!B:H,4,FALSE()),IF(AND(A197=0,B197=0,C197&lt;&gt;0),VLOOKUP(C197,'3 - LISTA DE ESPÉCIES'!C:H,3,FALSE()))))</f>
        <v>0</v>
      </c>
      <c r="J197" s="23"/>
      <c r="K197" s="23"/>
      <c r="L197" s="20"/>
      <c r="M197" s="20"/>
    </row>
    <row r="198" spans="1:13" x14ac:dyDescent="0.25">
      <c r="A198" s="20"/>
      <c r="B198" s="20"/>
      <c r="C198" s="20"/>
      <c r="E198" s="21" t="b">
        <f>IF(AND(A198&lt;&gt;0,B198=0,C198=0),VLOOKUP(A198,'3 - LISTA DE ESPÉCIES'!A:H,1,FALSE()),IF(AND(A198=0,B198&lt;&gt;0,C198=0),VLOOKUP(B198,'3 - LISTA DE ESPÉCIES'!B:H,5,FALSE()),IF(AND(A198=0,B198=0,C198&lt;&gt;0),VLOOKUP(C198,'3 - LISTA DE ESPÉCIES'!C:H,4,FALSE()))))</f>
        <v>0</v>
      </c>
      <c r="F198" s="21" t="b">
        <f>IF(AND(A198&lt;&gt;0,B198=0,C198=0),VLOOKUP(A198,'3 - LISTA DE ESPÉCIES'!A:H,2,FALSE()),IF(AND(A198=0,B198&lt;&gt;0,C198=0),VLOOKUP(B198,'3 - LISTA DE ESPÉCIES'!B:H,6,FALSE()),IF(AND(A198=0,B198=0,C198&lt;&gt;0),VLOOKUP(C198,'3 - LISTA DE ESPÉCIES'!C:H,5,FALSE()))))</f>
        <v>0</v>
      </c>
      <c r="G198" s="21" t="b">
        <f>IF(AND(A198&lt;&gt;0,B198=0,C198=0),VLOOKUP(A198,'3 - LISTA DE ESPÉCIES'!A:H,3,FALSE()),IF(AND(A198=0,B198&lt;&gt;0,C198=0),VLOOKUP(B198,'3 - LISTA DE ESPÉCIES'!B:H,7,FALSE()),IF(AND(A198=0,B198=0,C198&lt;&gt;0),VLOOKUP(C198,'3 - LISTA DE ESPÉCIES'!C:H,6,FALSE()))))</f>
        <v>0</v>
      </c>
      <c r="H198" s="21" t="b">
        <f>IF(AND(A198&lt;&gt;0,B198=0,C198=0),VLOOKUP(A198,'3 - LISTA DE ESPÉCIES'!A:H,4,FALSE()),IF(AND(A198=0,B198&lt;&gt;0,C198=0),VLOOKUP(B198,'3 - LISTA DE ESPÉCIES'!B:H,3,FALSE()),IF(AND(A198=0,B198=0,C198&lt;&gt;0),VLOOKUP(C198,'3 - LISTA DE ESPÉCIES'!C:H,2,FALSE()))))</f>
        <v>0</v>
      </c>
      <c r="I198" s="21" t="b">
        <f>IF(AND(A198&lt;&gt;0,B198=0,C198=0),VLOOKUP(A198,'3 - LISTA DE ESPÉCIES'!A:H,5,FALSE()),IF(AND(A198=0,B198&lt;&gt;0,C198=0),VLOOKUP(B198,'3 - LISTA DE ESPÉCIES'!B:H,4,FALSE()),IF(AND(A198=0,B198=0,C198&lt;&gt;0),VLOOKUP(C198,'3 - LISTA DE ESPÉCIES'!C:H,3,FALSE()))))</f>
        <v>0</v>
      </c>
      <c r="J198" s="23"/>
      <c r="K198" s="23"/>
      <c r="L198" s="20"/>
      <c r="M198" s="20"/>
    </row>
    <row r="199" spans="1:13" x14ac:dyDescent="0.25">
      <c r="A199" s="20"/>
      <c r="B199" s="20"/>
      <c r="C199" s="20"/>
      <c r="E199" s="21" t="b">
        <f>IF(AND(A199&lt;&gt;0,B199=0,C199=0),VLOOKUP(A199,'3 - LISTA DE ESPÉCIES'!A:H,1,FALSE()),IF(AND(A199=0,B199&lt;&gt;0,C199=0),VLOOKUP(B199,'3 - LISTA DE ESPÉCIES'!B:H,5,FALSE()),IF(AND(A199=0,B199=0,C199&lt;&gt;0),VLOOKUP(C199,'3 - LISTA DE ESPÉCIES'!C:H,4,FALSE()))))</f>
        <v>0</v>
      </c>
      <c r="F199" s="21" t="b">
        <f>IF(AND(A199&lt;&gt;0,B199=0,C199=0),VLOOKUP(A199,'3 - LISTA DE ESPÉCIES'!A:H,2,FALSE()),IF(AND(A199=0,B199&lt;&gt;0,C199=0),VLOOKUP(B199,'3 - LISTA DE ESPÉCIES'!B:H,6,FALSE()),IF(AND(A199=0,B199=0,C199&lt;&gt;0),VLOOKUP(C199,'3 - LISTA DE ESPÉCIES'!C:H,5,FALSE()))))</f>
        <v>0</v>
      </c>
      <c r="G199" s="21" t="b">
        <f>IF(AND(A199&lt;&gt;0,B199=0,C199=0),VLOOKUP(A199,'3 - LISTA DE ESPÉCIES'!A:H,3,FALSE()),IF(AND(A199=0,B199&lt;&gt;0,C199=0),VLOOKUP(B199,'3 - LISTA DE ESPÉCIES'!B:H,7,FALSE()),IF(AND(A199=0,B199=0,C199&lt;&gt;0),VLOOKUP(C199,'3 - LISTA DE ESPÉCIES'!C:H,6,FALSE()))))</f>
        <v>0</v>
      </c>
      <c r="H199" s="21" t="b">
        <f>IF(AND(A199&lt;&gt;0,B199=0,C199=0),VLOOKUP(A199,'3 - LISTA DE ESPÉCIES'!A:H,4,FALSE()),IF(AND(A199=0,B199&lt;&gt;0,C199=0),VLOOKUP(B199,'3 - LISTA DE ESPÉCIES'!B:H,3,FALSE()),IF(AND(A199=0,B199=0,C199&lt;&gt;0),VLOOKUP(C199,'3 - LISTA DE ESPÉCIES'!C:H,2,FALSE()))))</f>
        <v>0</v>
      </c>
      <c r="I199" s="21" t="b">
        <f>IF(AND(A199&lt;&gt;0,B199=0,C199=0),VLOOKUP(A199,'3 - LISTA DE ESPÉCIES'!A:H,5,FALSE()),IF(AND(A199=0,B199&lt;&gt;0,C199=0),VLOOKUP(B199,'3 - LISTA DE ESPÉCIES'!B:H,4,FALSE()),IF(AND(A199=0,B199=0,C199&lt;&gt;0),VLOOKUP(C199,'3 - LISTA DE ESPÉCIES'!C:H,3,FALSE()))))</f>
        <v>0</v>
      </c>
      <c r="J199" s="23"/>
      <c r="K199" s="23"/>
      <c r="L199" s="20"/>
      <c r="M199" s="20"/>
    </row>
    <row r="200" spans="1:13" x14ac:dyDescent="0.25">
      <c r="A200" s="20"/>
      <c r="B200" s="20"/>
      <c r="C200" s="20"/>
      <c r="E200" s="21" t="b">
        <f>IF(AND(A200&lt;&gt;0,B200=0,C200=0),VLOOKUP(A200,'3 - LISTA DE ESPÉCIES'!A:H,1,FALSE()),IF(AND(A200=0,B200&lt;&gt;0,C200=0),VLOOKUP(B200,'3 - LISTA DE ESPÉCIES'!B:H,5,FALSE()),IF(AND(A200=0,B200=0,C200&lt;&gt;0),VLOOKUP(C200,'3 - LISTA DE ESPÉCIES'!C:H,4,FALSE()))))</f>
        <v>0</v>
      </c>
      <c r="F200" s="21" t="b">
        <f>IF(AND(A200&lt;&gt;0,B200=0,C200=0),VLOOKUP(A200,'3 - LISTA DE ESPÉCIES'!A:H,2,FALSE()),IF(AND(A200=0,B200&lt;&gt;0,C200=0),VLOOKUP(B200,'3 - LISTA DE ESPÉCIES'!B:H,6,FALSE()),IF(AND(A200=0,B200=0,C200&lt;&gt;0),VLOOKUP(C200,'3 - LISTA DE ESPÉCIES'!C:H,5,FALSE()))))</f>
        <v>0</v>
      </c>
      <c r="G200" s="21" t="b">
        <f>IF(AND(A200&lt;&gt;0,B200=0,C200=0),VLOOKUP(A200,'3 - LISTA DE ESPÉCIES'!A:H,3,FALSE()),IF(AND(A200=0,B200&lt;&gt;0,C200=0),VLOOKUP(B200,'3 - LISTA DE ESPÉCIES'!B:H,7,FALSE()),IF(AND(A200=0,B200=0,C200&lt;&gt;0),VLOOKUP(C200,'3 - LISTA DE ESPÉCIES'!C:H,6,FALSE()))))</f>
        <v>0</v>
      </c>
      <c r="H200" s="21" t="b">
        <f>IF(AND(A200&lt;&gt;0,B200=0,C200=0),VLOOKUP(A200,'3 - LISTA DE ESPÉCIES'!A:H,4,FALSE()),IF(AND(A200=0,B200&lt;&gt;0,C200=0),VLOOKUP(B200,'3 - LISTA DE ESPÉCIES'!B:H,3,FALSE()),IF(AND(A200=0,B200=0,C200&lt;&gt;0),VLOOKUP(C200,'3 - LISTA DE ESPÉCIES'!C:H,2,FALSE()))))</f>
        <v>0</v>
      </c>
      <c r="I200" s="21" t="b">
        <f>IF(AND(A200&lt;&gt;0,B200=0,C200=0),VLOOKUP(A200,'3 - LISTA DE ESPÉCIES'!A:H,5,FALSE()),IF(AND(A200=0,B200&lt;&gt;0,C200=0),VLOOKUP(B200,'3 - LISTA DE ESPÉCIES'!B:H,4,FALSE()),IF(AND(A200=0,B200=0,C200&lt;&gt;0),VLOOKUP(C200,'3 - LISTA DE ESPÉCIES'!C:H,3,FALSE()))))</f>
        <v>0</v>
      </c>
      <c r="J200" s="23"/>
      <c r="K200" s="23"/>
      <c r="L200" s="20"/>
      <c r="M200" s="20"/>
    </row>
    <row r="201" spans="1:13" x14ac:dyDescent="0.25">
      <c r="A201" s="20"/>
      <c r="B201" s="20"/>
      <c r="C201" s="20"/>
      <c r="E201" s="21" t="b">
        <f>IF(AND(A201&lt;&gt;0,B201=0,C201=0),VLOOKUP(A201,'3 - LISTA DE ESPÉCIES'!A:H,1,FALSE()),IF(AND(A201=0,B201&lt;&gt;0,C201=0),VLOOKUP(B201,'3 - LISTA DE ESPÉCIES'!B:H,5,FALSE()),IF(AND(A201=0,B201=0,C201&lt;&gt;0),VLOOKUP(C201,'3 - LISTA DE ESPÉCIES'!C:H,4,FALSE()))))</f>
        <v>0</v>
      </c>
      <c r="F201" s="21" t="b">
        <f>IF(AND(A201&lt;&gt;0,B201=0,C201=0),VLOOKUP(A201,'3 - LISTA DE ESPÉCIES'!A:H,2,FALSE()),IF(AND(A201=0,B201&lt;&gt;0,C201=0),VLOOKUP(B201,'3 - LISTA DE ESPÉCIES'!B:H,6,FALSE()),IF(AND(A201=0,B201=0,C201&lt;&gt;0),VLOOKUP(C201,'3 - LISTA DE ESPÉCIES'!C:H,5,FALSE()))))</f>
        <v>0</v>
      </c>
      <c r="G201" s="21" t="b">
        <f>IF(AND(A201&lt;&gt;0,B201=0,C201=0),VLOOKUP(A201,'3 - LISTA DE ESPÉCIES'!A:H,3,FALSE()),IF(AND(A201=0,B201&lt;&gt;0,C201=0),VLOOKUP(B201,'3 - LISTA DE ESPÉCIES'!B:H,7,FALSE()),IF(AND(A201=0,B201=0,C201&lt;&gt;0),VLOOKUP(C201,'3 - LISTA DE ESPÉCIES'!C:H,6,FALSE()))))</f>
        <v>0</v>
      </c>
      <c r="H201" s="21" t="b">
        <f>IF(AND(A201&lt;&gt;0,B201=0,C201=0),VLOOKUP(A201,'3 - LISTA DE ESPÉCIES'!A:H,4,FALSE()),IF(AND(A201=0,B201&lt;&gt;0,C201=0),VLOOKUP(B201,'3 - LISTA DE ESPÉCIES'!B:H,3,FALSE()),IF(AND(A201=0,B201=0,C201&lt;&gt;0),VLOOKUP(C201,'3 - LISTA DE ESPÉCIES'!C:H,2,FALSE()))))</f>
        <v>0</v>
      </c>
      <c r="I201" s="21" t="b">
        <f>IF(AND(A201&lt;&gt;0,B201=0,C201=0),VLOOKUP(A201,'3 - LISTA DE ESPÉCIES'!A:H,5,FALSE()),IF(AND(A201=0,B201&lt;&gt;0,C201=0),VLOOKUP(B201,'3 - LISTA DE ESPÉCIES'!B:H,4,FALSE()),IF(AND(A201=0,B201=0,C201&lt;&gt;0),VLOOKUP(C201,'3 - LISTA DE ESPÉCIES'!C:H,3,FALSE()))))</f>
        <v>0</v>
      </c>
      <c r="J201" s="23"/>
      <c r="K201" s="23"/>
      <c r="L201" s="20"/>
      <c r="M201" s="20"/>
    </row>
    <row r="202" spans="1:13" x14ac:dyDescent="0.25">
      <c r="A202" s="20"/>
      <c r="B202" s="20"/>
      <c r="C202" s="20"/>
      <c r="E202" s="21" t="b">
        <f>IF(AND(A202&lt;&gt;0,B202=0,C202=0),VLOOKUP(A202,'3 - LISTA DE ESPÉCIES'!A:H,1,FALSE()),IF(AND(A202=0,B202&lt;&gt;0,C202=0),VLOOKUP(B202,'3 - LISTA DE ESPÉCIES'!B:H,5,FALSE()),IF(AND(A202=0,B202=0,C202&lt;&gt;0),VLOOKUP(C202,'3 - LISTA DE ESPÉCIES'!C:H,4,FALSE()))))</f>
        <v>0</v>
      </c>
      <c r="F202" s="21" t="b">
        <f>IF(AND(A202&lt;&gt;0,B202=0,C202=0),VLOOKUP(A202,'3 - LISTA DE ESPÉCIES'!A:H,2,FALSE()),IF(AND(A202=0,B202&lt;&gt;0,C202=0),VLOOKUP(B202,'3 - LISTA DE ESPÉCIES'!B:H,6,FALSE()),IF(AND(A202=0,B202=0,C202&lt;&gt;0),VLOOKUP(C202,'3 - LISTA DE ESPÉCIES'!C:H,5,FALSE()))))</f>
        <v>0</v>
      </c>
      <c r="G202" s="21" t="b">
        <f>IF(AND(A202&lt;&gt;0,B202=0,C202=0),VLOOKUP(A202,'3 - LISTA DE ESPÉCIES'!A:H,3,FALSE()),IF(AND(A202=0,B202&lt;&gt;0,C202=0),VLOOKUP(B202,'3 - LISTA DE ESPÉCIES'!B:H,7,FALSE()),IF(AND(A202=0,B202=0,C202&lt;&gt;0),VLOOKUP(C202,'3 - LISTA DE ESPÉCIES'!C:H,6,FALSE()))))</f>
        <v>0</v>
      </c>
      <c r="H202" s="21" t="b">
        <f>IF(AND(A202&lt;&gt;0,B202=0,C202=0),VLOOKUP(A202,'3 - LISTA DE ESPÉCIES'!A:H,4,FALSE()),IF(AND(A202=0,B202&lt;&gt;0,C202=0),VLOOKUP(B202,'3 - LISTA DE ESPÉCIES'!B:H,3,FALSE()),IF(AND(A202=0,B202=0,C202&lt;&gt;0),VLOOKUP(C202,'3 - LISTA DE ESPÉCIES'!C:H,2,FALSE()))))</f>
        <v>0</v>
      </c>
      <c r="I202" s="21" t="b">
        <f>IF(AND(A202&lt;&gt;0,B202=0,C202=0),VLOOKUP(A202,'3 - LISTA DE ESPÉCIES'!A:H,5,FALSE()),IF(AND(A202=0,B202&lt;&gt;0,C202=0),VLOOKUP(B202,'3 - LISTA DE ESPÉCIES'!B:H,4,FALSE()),IF(AND(A202=0,B202=0,C202&lt;&gt;0),VLOOKUP(C202,'3 - LISTA DE ESPÉCIES'!C:H,3,FALSE()))))</f>
        <v>0</v>
      </c>
      <c r="J202" s="23"/>
      <c r="K202" s="23"/>
      <c r="L202" s="20"/>
      <c r="M202" s="20"/>
    </row>
    <row r="203" spans="1:13" x14ac:dyDescent="0.25">
      <c r="A203" s="20"/>
      <c r="B203" s="20"/>
      <c r="C203" s="20"/>
      <c r="E203" s="21" t="b">
        <f>IF(AND(A203&lt;&gt;0,B203=0,C203=0),VLOOKUP(A203,'3 - LISTA DE ESPÉCIES'!A:H,1,FALSE()),IF(AND(A203=0,B203&lt;&gt;0,C203=0),VLOOKUP(B203,'3 - LISTA DE ESPÉCIES'!B:H,5,FALSE()),IF(AND(A203=0,B203=0,C203&lt;&gt;0),VLOOKUP(C203,'3 - LISTA DE ESPÉCIES'!C:H,4,FALSE()))))</f>
        <v>0</v>
      </c>
      <c r="F203" s="21" t="b">
        <f>IF(AND(A203&lt;&gt;0,B203=0,C203=0),VLOOKUP(A203,'3 - LISTA DE ESPÉCIES'!A:H,2,FALSE()),IF(AND(A203=0,B203&lt;&gt;0,C203=0),VLOOKUP(B203,'3 - LISTA DE ESPÉCIES'!B:H,6,FALSE()),IF(AND(A203=0,B203=0,C203&lt;&gt;0),VLOOKUP(C203,'3 - LISTA DE ESPÉCIES'!C:H,5,FALSE()))))</f>
        <v>0</v>
      </c>
      <c r="G203" s="21" t="b">
        <f>IF(AND(A203&lt;&gt;0,B203=0,C203=0),VLOOKUP(A203,'3 - LISTA DE ESPÉCIES'!A:H,3,FALSE()),IF(AND(A203=0,B203&lt;&gt;0,C203=0),VLOOKUP(B203,'3 - LISTA DE ESPÉCIES'!B:H,7,FALSE()),IF(AND(A203=0,B203=0,C203&lt;&gt;0),VLOOKUP(C203,'3 - LISTA DE ESPÉCIES'!C:H,6,FALSE()))))</f>
        <v>0</v>
      </c>
      <c r="H203" s="21" t="b">
        <f>IF(AND(A203&lt;&gt;0,B203=0,C203=0),VLOOKUP(A203,'3 - LISTA DE ESPÉCIES'!A:H,4,FALSE()),IF(AND(A203=0,B203&lt;&gt;0,C203=0),VLOOKUP(B203,'3 - LISTA DE ESPÉCIES'!B:H,3,FALSE()),IF(AND(A203=0,B203=0,C203&lt;&gt;0),VLOOKUP(C203,'3 - LISTA DE ESPÉCIES'!C:H,2,FALSE()))))</f>
        <v>0</v>
      </c>
      <c r="I203" s="21" t="b">
        <f>IF(AND(A203&lt;&gt;0,B203=0,C203=0),VLOOKUP(A203,'3 - LISTA DE ESPÉCIES'!A:H,5,FALSE()),IF(AND(A203=0,B203&lt;&gt;0,C203=0),VLOOKUP(B203,'3 - LISTA DE ESPÉCIES'!B:H,4,FALSE()),IF(AND(A203=0,B203=0,C203&lt;&gt;0),VLOOKUP(C203,'3 - LISTA DE ESPÉCIES'!C:H,3,FALSE()))))</f>
        <v>0</v>
      </c>
      <c r="J203" s="23"/>
      <c r="K203" s="23"/>
      <c r="L203" s="20"/>
      <c r="M203" s="20"/>
    </row>
    <row r="204" spans="1:13" x14ac:dyDescent="0.25">
      <c r="A204" s="20"/>
      <c r="B204" s="20"/>
      <c r="C204" s="20"/>
      <c r="E204" s="21" t="b">
        <f>IF(AND(A204&lt;&gt;0,B204=0,C204=0),VLOOKUP(A204,'3 - LISTA DE ESPÉCIES'!A:H,1,FALSE()),IF(AND(A204=0,B204&lt;&gt;0,C204=0),VLOOKUP(B204,'3 - LISTA DE ESPÉCIES'!B:H,5,FALSE()),IF(AND(A204=0,B204=0,C204&lt;&gt;0),VLOOKUP(C204,'3 - LISTA DE ESPÉCIES'!C:H,4,FALSE()))))</f>
        <v>0</v>
      </c>
      <c r="F204" s="21" t="b">
        <f>IF(AND(A204&lt;&gt;0,B204=0,C204=0),VLOOKUP(A204,'3 - LISTA DE ESPÉCIES'!A:H,2,FALSE()),IF(AND(A204=0,B204&lt;&gt;0,C204=0),VLOOKUP(B204,'3 - LISTA DE ESPÉCIES'!B:H,6,FALSE()),IF(AND(A204=0,B204=0,C204&lt;&gt;0),VLOOKUP(C204,'3 - LISTA DE ESPÉCIES'!C:H,5,FALSE()))))</f>
        <v>0</v>
      </c>
      <c r="G204" s="21" t="b">
        <f>IF(AND(A204&lt;&gt;0,B204=0,C204=0),VLOOKUP(A204,'3 - LISTA DE ESPÉCIES'!A:H,3,FALSE()),IF(AND(A204=0,B204&lt;&gt;0,C204=0),VLOOKUP(B204,'3 - LISTA DE ESPÉCIES'!B:H,7,FALSE()),IF(AND(A204=0,B204=0,C204&lt;&gt;0),VLOOKUP(C204,'3 - LISTA DE ESPÉCIES'!C:H,6,FALSE()))))</f>
        <v>0</v>
      </c>
      <c r="H204" s="21" t="b">
        <f>IF(AND(A204&lt;&gt;0,B204=0,C204=0),VLOOKUP(A204,'3 - LISTA DE ESPÉCIES'!A:H,4,FALSE()),IF(AND(A204=0,B204&lt;&gt;0,C204=0),VLOOKUP(B204,'3 - LISTA DE ESPÉCIES'!B:H,3,FALSE()),IF(AND(A204=0,B204=0,C204&lt;&gt;0),VLOOKUP(C204,'3 - LISTA DE ESPÉCIES'!C:H,2,FALSE()))))</f>
        <v>0</v>
      </c>
      <c r="I204" s="21" t="b">
        <f>IF(AND(A204&lt;&gt;0,B204=0,C204=0),VLOOKUP(A204,'3 - LISTA DE ESPÉCIES'!A:H,5,FALSE()),IF(AND(A204=0,B204&lt;&gt;0,C204=0),VLOOKUP(B204,'3 - LISTA DE ESPÉCIES'!B:H,4,FALSE()),IF(AND(A204=0,B204=0,C204&lt;&gt;0),VLOOKUP(C204,'3 - LISTA DE ESPÉCIES'!C:H,3,FALSE()))))</f>
        <v>0</v>
      </c>
      <c r="J204" s="23"/>
      <c r="K204" s="23"/>
      <c r="L204" s="20"/>
      <c r="M204" s="20"/>
    </row>
    <row r="205" spans="1:13" x14ac:dyDescent="0.25">
      <c r="A205" s="20"/>
      <c r="B205" s="20"/>
      <c r="C205" s="20"/>
      <c r="E205" s="21" t="b">
        <f>IF(AND(A205&lt;&gt;0,B205=0,C205=0),VLOOKUP(A205,'3 - LISTA DE ESPÉCIES'!A:H,1,FALSE()),IF(AND(A205=0,B205&lt;&gt;0,C205=0),VLOOKUP(B205,'3 - LISTA DE ESPÉCIES'!B:H,5,FALSE()),IF(AND(A205=0,B205=0,C205&lt;&gt;0),VLOOKUP(C205,'3 - LISTA DE ESPÉCIES'!C:H,4,FALSE()))))</f>
        <v>0</v>
      </c>
      <c r="F205" s="21" t="b">
        <f>IF(AND(A205&lt;&gt;0,B205=0,C205=0),VLOOKUP(A205,'3 - LISTA DE ESPÉCIES'!A:H,2,FALSE()),IF(AND(A205=0,B205&lt;&gt;0,C205=0),VLOOKUP(B205,'3 - LISTA DE ESPÉCIES'!B:H,6,FALSE()),IF(AND(A205=0,B205=0,C205&lt;&gt;0),VLOOKUP(C205,'3 - LISTA DE ESPÉCIES'!C:H,5,FALSE()))))</f>
        <v>0</v>
      </c>
      <c r="G205" s="21" t="b">
        <f>IF(AND(A205&lt;&gt;0,B205=0,C205=0),VLOOKUP(A205,'3 - LISTA DE ESPÉCIES'!A:H,3,FALSE()),IF(AND(A205=0,B205&lt;&gt;0,C205=0),VLOOKUP(B205,'3 - LISTA DE ESPÉCIES'!B:H,7,FALSE()),IF(AND(A205=0,B205=0,C205&lt;&gt;0),VLOOKUP(C205,'3 - LISTA DE ESPÉCIES'!C:H,6,FALSE()))))</f>
        <v>0</v>
      </c>
      <c r="H205" s="21" t="b">
        <f>IF(AND(A205&lt;&gt;0,B205=0,C205=0),VLOOKUP(A205,'3 - LISTA DE ESPÉCIES'!A:H,4,FALSE()),IF(AND(A205=0,B205&lt;&gt;0,C205=0),VLOOKUP(B205,'3 - LISTA DE ESPÉCIES'!B:H,3,FALSE()),IF(AND(A205=0,B205=0,C205&lt;&gt;0),VLOOKUP(C205,'3 - LISTA DE ESPÉCIES'!C:H,2,FALSE()))))</f>
        <v>0</v>
      </c>
      <c r="I205" s="21" t="b">
        <f>IF(AND(A205&lt;&gt;0,B205=0,C205=0),VLOOKUP(A205,'3 - LISTA DE ESPÉCIES'!A:H,5,FALSE()),IF(AND(A205=0,B205&lt;&gt;0,C205=0),VLOOKUP(B205,'3 - LISTA DE ESPÉCIES'!B:H,4,FALSE()),IF(AND(A205=0,B205=0,C205&lt;&gt;0),VLOOKUP(C205,'3 - LISTA DE ESPÉCIES'!C:H,3,FALSE()))))</f>
        <v>0</v>
      </c>
      <c r="J205" s="23"/>
      <c r="K205" s="23"/>
      <c r="L205" s="20"/>
      <c r="M205" s="20"/>
    </row>
    <row r="206" spans="1:13" x14ac:dyDescent="0.25">
      <c r="A206" s="20"/>
      <c r="B206" s="20"/>
      <c r="C206" s="20"/>
      <c r="E206" s="21" t="b">
        <f>IF(AND(A206&lt;&gt;0,B206=0,C206=0),VLOOKUP(A206,'3 - LISTA DE ESPÉCIES'!A:H,1,FALSE()),IF(AND(A206=0,B206&lt;&gt;0,C206=0),VLOOKUP(B206,'3 - LISTA DE ESPÉCIES'!B:H,5,FALSE()),IF(AND(A206=0,B206=0,C206&lt;&gt;0),VLOOKUP(C206,'3 - LISTA DE ESPÉCIES'!C:H,4,FALSE()))))</f>
        <v>0</v>
      </c>
      <c r="F206" s="21" t="b">
        <f>IF(AND(A206&lt;&gt;0,B206=0,C206=0),VLOOKUP(A206,'3 - LISTA DE ESPÉCIES'!A:H,2,FALSE()),IF(AND(A206=0,B206&lt;&gt;0,C206=0),VLOOKUP(B206,'3 - LISTA DE ESPÉCIES'!B:H,6,FALSE()),IF(AND(A206=0,B206=0,C206&lt;&gt;0),VLOOKUP(C206,'3 - LISTA DE ESPÉCIES'!C:H,5,FALSE()))))</f>
        <v>0</v>
      </c>
      <c r="G206" s="21" t="b">
        <f>IF(AND(A206&lt;&gt;0,B206=0,C206=0),VLOOKUP(A206,'3 - LISTA DE ESPÉCIES'!A:H,3,FALSE()),IF(AND(A206=0,B206&lt;&gt;0,C206=0),VLOOKUP(B206,'3 - LISTA DE ESPÉCIES'!B:H,7,FALSE()),IF(AND(A206=0,B206=0,C206&lt;&gt;0),VLOOKUP(C206,'3 - LISTA DE ESPÉCIES'!C:H,6,FALSE()))))</f>
        <v>0</v>
      </c>
      <c r="H206" s="21" t="b">
        <f>IF(AND(A206&lt;&gt;0,B206=0,C206=0),VLOOKUP(A206,'3 - LISTA DE ESPÉCIES'!A:H,4,FALSE()),IF(AND(A206=0,B206&lt;&gt;0,C206=0),VLOOKUP(B206,'3 - LISTA DE ESPÉCIES'!B:H,3,FALSE()),IF(AND(A206=0,B206=0,C206&lt;&gt;0),VLOOKUP(C206,'3 - LISTA DE ESPÉCIES'!C:H,2,FALSE()))))</f>
        <v>0</v>
      </c>
      <c r="I206" s="21" t="b">
        <f>IF(AND(A206&lt;&gt;0,B206=0,C206=0),VLOOKUP(A206,'3 - LISTA DE ESPÉCIES'!A:H,5,FALSE()),IF(AND(A206=0,B206&lt;&gt;0,C206=0),VLOOKUP(B206,'3 - LISTA DE ESPÉCIES'!B:H,4,FALSE()),IF(AND(A206=0,B206=0,C206&lt;&gt;0),VLOOKUP(C206,'3 - LISTA DE ESPÉCIES'!C:H,3,FALSE()))))</f>
        <v>0</v>
      </c>
      <c r="J206" s="23"/>
      <c r="K206" s="23"/>
      <c r="L206" s="20"/>
      <c r="M206" s="20"/>
    </row>
    <row r="207" spans="1:13" x14ac:dyDescent="0.25">
      <c r="A207" s="20"/>
      <c r="B207" s="20"/>
      <c r="C207" s="20"/>
      <c r="E207" s="21" t="b">
        <f>IF(AND(A207&lt;&gt;0,B207=0,C207=0),VLOOKUP(A207,'3 - LISTA DE ESPÉCIES'!A:H,1,FALSE()),IF(AND(A207=0,B207&lt;&gt;0,C207=0),VLOOKUP(B207,'3 - LISTA DE ESPÉCIES'!B:H,5,FALSE()),IF(AND(A207=0,B207=0,C207&lt;&gt;0),VLOOKUP(C207,'3 - LISTA DE ESPÉCIES'!C:H,4,FALSE()))))</f>
        <v>0</v>
      </c>
      <c r="F207" s="21" t="b">
        <f>IF(AND(A207&lt;&gt;0,B207=0,C207=0),VLOOKUP(A207,'3 - LISTA DE ESPÉCIES'!A:H,2,FALSE()),IF(AND(A207=0,B207&lt;&gt;0,C207=0),VLOOKUP(B207,'3 - LISTA DE ESPÉCIES'!B:H,6,FALSE()),IF(AND(A207=0,B207=0,C207&lt;&gt;0),VLOOKUP(C207,'3 - LISTA DE ESPÉCIES'!C:H,5,FALSE()))))</f>
        <v>0</v>
      </c>
      <c r="G207" s="21" t="b">
        <f>IF(AND(A207&lt;&gt;0,B207=0,C207=0),VLOOKUP(A207,'3 - LISTA DE ESPÉCIES'!A:H,3,FALSE()),IF(AND(A207=0,B207&lt;&gt;0,C207=0),VLOOKUP(B207,'3 - LISTA DE ESPÉCIES'!B:H,7,FALSE()),IF(AND(A207=0,B207=0,C207&lt;&gt;0),VLOOKUP(C207,'3 - LISTA DE ESPÉCIES'!C:H,6,FALSE()))))</f>
        <v>0</v>
      </c>
      <c r="H207" s="21" t="b">
        <f>IF(AND(A207&lt;&gt;0,B207=0,C207=0),VLOOKUP(A207,'3 - LISTA DE ESPÉCIES'!A:H,4,FALSE()),IF(AND(A207=0,B207&lt;&gt;0,C207=0),VLOOKUP(B207,'3 - LISTA DE ESPÉCIES'!B:H,3,FALSE()),IF(AND(A207=0,B207=0,C207&lt;&gt;0),VLOOKUP(C207,'3 - LISTA DE ESPÉCIES'!C:H,2,FALSE()))))</f>
        <v>0</v>
      </c>
      <c r="I207" s="21" t="b">
        <f>IF(AND(A207&lt;&gt;0,B207=0,C207=0),VLOOKUP(A207,'3 - LISTA DE ESPÉCIES'!A:H,5,FALSE()),IF(AND(A207=0,B207&lt;&gt;0,C207=0),VLOOKUP(B207,'3 - LISTA DE ESPÉCIES'!B:H,4,FALSE()),IF(AND(A207=0,B207=0,C207&lt;&gt;0),VLOOKUP(C207,'3 - LISTA DE ESPÉCIES'!C:H,3,FALSE()))))</f>
        <v>0</v>
      </c>
      <c r="J207" s="23"/>
      <c r="K207" s="23"/>
      <c r="L207" s="20"/>
      <c r="M207" s="20"/>
    </row>
    <row r="208" spans="1:13" x14ac:dyDescent="0.25">
      <c r="A208" s="20"/>
      <c r="B208" s="20"/>
      <c r="C208" s="20"/>
      <c r="E208" s="21" t="b">
        <f>IF(AND(A208&lt;&gt;0,B208=0,C208=0),VLOOKUP(A208,'3 - LISTA DE ESPÉCIES'!A:H,1,FALSE()),IF(AND(A208=0,B208&lt;&gt;0,C208=0),VLOOKUP(B208,'3 - LISTA DE ESPÉCIES'!B:H,5,FALSE()),IF(AND(A208=0,B208=0,C208&lt;&gt;0),VLOOKUP(C208,'3 - LISTA DE ESPÉCIES'!C:H,4,FALSE()))))</f>
        <v>0</v>
      </c>
      <c r="F208" s="21" t="b">
        <f>IF(AND(A208&lt;&gt;0,B208=0,C208=0),VLOOKUP(A208,'3 - LISTA DE ESPÉCIES'!A:H,2,FALSE()),IF(AND(A208=0,B208&lt;&gt;0,C208=0),VLOOKUP(B208,'3 - LISTA DE ESPÉCIES'!B:H,6,FALSE()),IF(AND(A208=0,B208=0,C208&lt;&gt;0),VLOOKUP(C208,'3 - LISTA DE ESPÉCIES'!C:H,5,FALSE()))))</f>
        <v>0</v>
      </c>
      <c r="G208" s="21" t="b">
        <f>IF(AND(A208&lt;&gt;0,B208=0,C208=0),VLOOKUP(A208,'3 - LISTA DE ESPÉCIES'!A:H,3,FALSE()),IF(AND(A208=0,B208&lt;&gt;0,C208=0),VLOOKUP(B208,'3 - LISTA DE ESPÉCIES'!B:H,7,FALSE()),IF(AND(A208=0,B208=0,C208&lt;&gt;0),VLOOKUP(C208,'3 - LISTA DE ESPÉCIES'!C:H,6,FALSE()))))</f>
        <v>0</v>
      </c>
      <c r="H208" s="21" t="b">
        <f>IF(AND(A208&lt;&gt;0,B208=0,C208=0),VLOOKUP(A208,'3 - LISTA DE ESPÉCIES'!A:H,4,FALSE()),IF(AND(A208=0,B208&lt;&gt;0,C208=0),VLOOKUP(B208,'3 - LISTA DE ESPÉCIES'!B:H,3,FALSE()),IF(AND(A208=0,B208=0,C208&lt;&gt;0),VLOOKUP(C208,'3 - LISTA DE ESPÉCIES'!C:H,2,FALSE()))))</f>
        <v>0</v>
      </c>
      <c r="I208" s="21" t="b">
        <f>IF(AND(A208&lt;&gt;0,B208=0,C208=0),VLOOKUP(A208,'3 - LISTA DE ESPÉCIES'!A:H,5,FALSE()),IF(AND(A208=0,B208&lt;&gt;0,C208=0),VLOOKUP(B208,'3 - LISTA DE ESPÉCIES'!B:H,4,FALSE()),IF(AND(A208=0,B208=0,C208&lt;&gt;0),VLOOKUP(C208,'3 - LISTA DE ESPÉCIES'!C:H,3,FALSE()))))</f>
        <v>0</v>
      </c>
      <c r="J208" s="23"/>
      <c r="K208" s="23"/>
      <c r="L208" s="20"/>
      <c r="M208" s="20"/>
    </row>
    <row r="209" spans="1:13" x14ac:dyDescent="0.25">
      <c r="A209" s="20"/>
      <c r="B209" s="20"/>
      <c r="C209" s="20"/>
      <c r="E209" s="21" t="b">
        <f>IF(AND(A209&lt;&gt;0,B209=0,C209=0),VLOOKUP(A209,'3 - LISTA DE ESPÉCIES'!A:H,1,FALSE()),IF(AND(A209=0,B209&lt;&gt;0,C209=0),VLOOKUP(B209,'3 - LISTA DE ESPÉCIES'!B:H,5,FALSE()),IF(AND(A209=0,B209=0,C209&lt;&gt;0),VLOOKUP(C209,'3 - LISTA DE ESPÉCIES'!C:H,4,FALSE()))))</f>
        <v>0</v>
      </c>
      <c r="F209" s="21" t="b">
        <f>IF(AND(A209&lt;&gt;0,B209=0,C209=0),VLOOKUP(A209,'3 - LISTA DE ESPÉCIES'!A:H,2,FALSE()),IF(AND(A209=0,B209&lt;&gt;0,C209=0),VLOOKUP(B209,'3 - LISTA DE ESPÉCIES'!B:H,6,FALSE()),IF(AND(A209=0,B209=0,C209&lt;&gt;0),VLOOKUP(C209,'3 - LISTA DE ESPÉCIES'!C:H,5,FALSE()))))</f>
        <v>0</v>
      </c>
      <c r="G209" s="21" t="b">
        <f>IF(AND(A209&lt;&gt;0,B209=0,C209=0),VLOOKUP(A209,'3 - LISTA DE ESPÉCIES'!A:H,3,FALSE()),IF(AND(A209=0,B209&lt;&gt;0,C209=0),VLOOKUP(B209,'3 - LISTA DE ESPÉCIES'!B:H,7,FALSE()),IF(AND(A209=0,B209=0,C209&lt;&gt;0),VLOOKUP(C209,'3 - LISTA DE ESPÉCIES'!C:H,6,FALSE()))))</f>
        <v>0</v>
      </c>
      <c r="H209" s="21" t="b">
        <f>IF(AND(A209&lt;&gt;0,B209=0,C209=0),VLOOKUP(A209,'3 - LISTA DE ESPÉCIES'!A:H,4,FALSE()),IF(AND(A209=0,B209&lt;&gt;0,C209=0),VLOOKUP(B209,'3 - LISTA DE ESPÉCIES'!B:H,3,FALSE()),IF(AND(A209=0,B209=0,C209&lt;&gt;0),VLOOKUP(C209,'3 - LISTA DE ESPÉCIES'!C:H,2,FALSE()))))</f>
        <v>0</v>
      </c>
      <c r="I209" s="21" t="b">
        <f>IF(AND(A209&lt;&gt;0,B209=0,C209=0),VLOOKUP(A209,'3 - LISTA DE ESPÉCIES'!A:H,5,FALSE()),IF(AND(A209=0,B209&lt;&gt;0,C209=0),VLOOKUP(B209,'3 - LISTA DE ESPÉCIES'!B:H,4,FALSE()),IF(AND(A209=0,B209=0,C209&lt;&gt;0),VLOOKUP(C209,'3 - LISTA DE ESPÉCIES'!C:H,3,FALSE()))))</f>
        <v>0</v>
      </c>
      <c r="J209" s="23"/>
      <c r="K209" s="23"/>
      <c r="L209" s="20"/>
      <c r="M209" s="20"/>
    </row>
    <row r="210" spans="1:13" x14ac:dyDescent="0.25">
      <c r="A210" s="20"/>
      <c r="B210" s="20"/>
      <c r="C210" s="20"/>
      <c r="E210" s="21" t="b">
        <f>IF(AND(A210&lt;&gt;0,B210=0,C210=0),VLOOKUP(A210,'3 - LISTA DE ESPÉCIES'!A:H,1,FALSE()),IF(AND(A210=0,B210&lt;&gt;0,C210=0),VLOOKUP(B210,'3 - LISTA DE ESPÉCIES'!B:H,5,FALSE()),IF(AND(A210=0,B210=0,C210&lt;&gt;0),VLOOKUP(C210,'3 - LISTA DE ESPÉCIES'!C:H,4,FALSE()))))</f>
        <v>0</v>
      </c>
      <c r="F210" s="21" t="b">
        <f>IF(AND(A210&lt;&gt;0,B210=0,C210=0),VLOOKUP(A210,'3 - LISTA DE ESPÉCIES'!A:H,2,FALSE()),IF(AND(A210=0,B210&lt;&gt;0,C210=0),VLOOKUP(B210,'3 - LISTA DE ESPÉCIES'!B:H,6,FALSE()),IF(AND(A210=0,B210=0,C210&lt;&gt;0),VLOOKUP(C210,'3 - LISTA DE ESPÉCIES'!C:H,5,FALSE()))))</f>
        <v>0</v>
      </c>
      <c r="G210" s="21" t="b">
        <f>IF(AND(A210&lt;&gt;0,B210=0,C210=0),VLOOKUP(A210,'3 - LISTA DE ESPÉCIES'!A:H,3,FALSE()),IF(AND(A210=0,B210&lt;&gt;0,C210=0),VLOOKUP(B210,'3 - LISTA DE ESPÉCIES'!B:H,7,FALSE()),IF(AND(A210=0,B210=0,C210&lt;&gt;0),VLOOKUP(C210,'3 - LISTA DE ESPÉCIES'!C:H,6,FALSE()))))</f>
        <v>0</v>
      </c>
      <c r="H210" s="21" t="b">
        <f>IF(AND(A210&lt;&gt;0,B210=0,C210=0),VLOOKUP(A210,'3 - LISTA DE ESPÉCIES'!A:H,4,FALSE()),IF(AND(A210=0,B210&lt;&gt;0,C210=0),VLOOKUP(B210,'3 - LISTA DE ESPÉCIES'!B:H,3,FALSE()),IF(AND(A210=0,B210=0,C210&lt;&gt;0),VLOOKUP(C210,'3 - LISTA DE ESPÉCIES'!C:H,2,FALSE()))))</f>
        <v>0</v>
      </c>
      <c r="I210" s="21" t="b">
        <f>IF(AND(A210&lt;&gt;0,B210=0,C210=0),VLOOKUP(A210,'3 - LISTA DE ESPÉCIES'!A:H,5,FALSE()),IF(AND(A210=0,B210&lt;&gt;0,C210=0),VLOOKUP(B210,'3 - LISTA DE ESPÉCIES'!B:H,4,FALSE()),IF(AND(A210=0,B210=0,C210&lt;&gt;0),VLOOKUP(C210,'3 - LISTA DE ESPÉCIES'!C:H,3,FALSE()))))</f>
        <v>0</v>
      </c>
      <c r="J210" s="23"/>
      <c r="K210" s="23"/>
      <c r="L210" s="20"/>
      <c r="M210" s="20"/>
    </row>
    <row r="211" spans="1:13" x14ac:dyDescent="0.25">
      <c r="A211" s="20"/>
      <c r="B211" s="20"/>
      <c r="C211" s="20"/>
      <c r="E211" s="21" t="b">
        <f>IF(AND(A211&lt;&gt;0,B211=0,C211=0),VLOOKUP(A211,'3 - LISTA DE ESPÉCIES'!A:H,1,FALSE()),IF(AND(A211=0,B211&lt;&gt;0,C211=0),VLOOKUP(B211,'3 - LISTA DE ESPÉCIES'!B:H,5,FALSE()),IF(AND(A211=0,B211=0,C211&lt;&gt;0),VLOOKUP(C211,'3 - LISTA DE ESPÉCIES'!C:H,4,FALSE()))))</f>
        <v>0</v>
      </c>
      <c r="F211" s="21" t="b">
        <f>IF(AND(A211&lt;&gt;0,B211=0,C211=0),VLOOKUP(A211,'3 - LISTA DE ESPÉCIES'!A:H,2,FALSE()),IF(AND(A211=0,B211&lt;&gt;0,C211=0),VLOOKUP(B211,'3 - LISTA DE ESPÉCIES'!B:H,6,FALSE()),IF(AND(A211=0,B211=0,C211&lt;&gt;0),VLOOKUP(C211,'3 - LISTA DE ESPÉCIES'!C:H,5,FALSE()))))</f>
        <v>0</v>
      </c>
      <c r="G211" s="21" t="b">
        <f>IF(AND(A211&lt;&gt;0,B211=0,C211=0),VLOOKUP(A211,'3 - LISTA DE ESPÉCIES'!A:H,3,FALSE()),IF(AND(A211=0,B211&lt;&gt;0,C211=0),VLOOKUP(B211,'3 - LISTA DE ESPÉCIES'!B:H,7,FALSE()),IF(AND(A211=0,B211=0,C211&lt;&gt;0),VLOOKUP(C211,'3 - LISTA DE ESPÉCIES'!C:H,6,FALSE()))))</f>
        <v>0</v>
      </c>
      <c r="H211" s="21" t="b">
        <f>IF(AND(A211&lt;&gt;0,B211=0,C211=0),VLOOKUP(A211,'3 - LISTA DE ESPÉCIES'!A:H,4,FALSE()),IF(AND(A211=0,B211&lt;&gt;0,C211=0),VLOOKUP(B211,'3 - LISTA DE ESPÉCIES'!B:H,3,FALSE()),IF(AND(A211=0,B211=0,C211&lt;&gt;0),VLOOKUP(C211,'3 - LISTA DE ESPÉCIES'!C:H,2,FALSE()))))</f>
        <v>0</v>
      </c>
      <c r="I211" s="21" t="b">
        <f>IF(AND(A211&lt;&gt;0,B211=0,C211=0),VLOOKUP(A211,'3 - LISTA DE ESPÉCIES'!A:H,5,FALSE()),IF(AND(A211=0,B211&lt;&gt;0,C211=0),VLOOKUP(B211,'3 - LISTA DE ESPÉCIES'!B:H,4,FALSE()),IF(AND(A211=0,B211=0,C211&lt;&gt;0),VLOOKUP(C211,'3 - LISTA DE ESPÉCIES'!C:H,3,FALSE()))))</f>
        <v>0</v>
      </c>
      <c r="J211" s="23"/>
      <c r="K211" s="23"/>
      <c r="L211" s="20"/>
      <c r="M211" s="20"/>
    </row>
    <row r="212" spans="1:13" x14ac:dyDescent="0.25">
      <c r="A212" s="20"/>
      <c r="B212" s="20"/>
      <c r="C212" s="20"/>
      <c r="E212" s="21" t="b">
        <f>IF(AND(A212&lt;&gt;0,B212=0,C212=0),VLOOKUP(A212,'3 - LISTA DE ESPÉCIES'!A:H,1,FALSE()),IF(AND(A212=0,B212&lt;&gt;0,C212=0),VLOOKUP(B212,'3 - LISTA DE ESPÉCIES'!B:H,5,FALSE()),IF(AND(A212=0,B212=0,C212&lt;&gt;0),VLOOKUP(C212,'3 - LISTA DE ESPÉCIES'!C:H,4,FALSE()))))</f>
        <v>0</v>
      </c>
      <c r="F212" s="21" t="b">
        <f>IF(AND(A212&lt;&gt;0,B212=0,C212=0),VLOOKUP(A212,'3 - LISTA DE ESPÉCIES'!A:H,2,FALSE()),IF(AND(A212=0,B212&lt;&gt;0,C212=0),VLOOKUP(B212,'3 - LISTA DE ESPÉCIES'!B:H,6,FALSE()),IF(AND(A212=0,B212=0,C212&lt;&gt;0),VLOOKUP(C212,'3 - LISTA DE ESPÉCIES'!C:H,5,FALSE()))))</f>
        <v>0</v>
      </c>
      <c r="G212" s="21" t="b">
        <f>IF(AND(A212&lt;&gt;0,B212=0,C212=0),VLOOKUP(A212,'3 - LISTA DE ESPÉCIES'!A:H,3,FALSE()),IF(AND(A212=0,B212&lt;&gt;0,C212=0),VLOOKUP(B212,'3 - LISTA DE ESPÉCIES'!B:H,7,FALSE()),IF(AND(A212=0,B212=0,C212&lt;&gt;0),VLOOKUP(C212,'3 - LISTA DE ESPÉCIES'!C:H,6,FALSE()))))</f>
        <v>0</v>
      </c>
      <c r="H212" s="21" t="b">
        <f>IF(AND(A212&lt;&gt;0,B212=0,C212=0),VLOOKUP(A212,'3 - LISTA DE ESPÉCIES'!A:H,4,FALSE()),IF(AND(A212=0,B212&lt;&gt;0,C212=0),VLOOKUP(B212,'3 - LISTA DE ESPÉCIES'!B:H,3,FALSE()),IF(AND(A212=0,B212=0,C212&lt;&gt;0),VLOOKUP(C212,'3 - LISTA DE ESPÉCIES'!C:H,2,FALSE()))))</f>
        <v>0</v>
      </c>
      <c r="I212" s="21" t="b">
        <f>IF(AND(A212&lt;&gt;0,B212=0,C212=0),VLOOKUP(A212,'3 - LISTA DE ESPÉCIES'!A:H,5,FALSE()),IF(AND(A212=0,B212&lt;&gt;0,C212=0),VLOOKUP(B212,'3 - LISTA DE ESPÉCIES'!B:H,4,FALSE()),IF(AND(A212=0,B212=0,C212&lt;&gt;0),VLOOKUP(C212,'3 - LISTA DE ESPÉCIES'!C:H,3,FALSE()))))</f>
        <v>0</v>
      </c>
      <c r="J212" s="23"/>
      <c r="K212" s="23"/>
      <c r="L212" s="20"/>
      <c r="M212" s="20"/>
    </row>
    <row r="213" spans="1:13" x14ac:dyDescent="0.25">
      <c r="A213" s="20"/>
      <c r="B213" s="20"/>
      <c r="C213" s="20"/>
      <c r="E213" s="21" t="b">
        <f>IF(AND(A213&lt;&gt;0,B213=0,C213=0),VLOOKUP(A213,'3 - LISTA DE ESPÉCIES'!A:H,1,FALSE()),IF(AND(A213=0,B213&lt;&gt;0,C213=0),VLOOKUP(B213,'3 - LISTA DE ESPÉCIES'!B:H,5,FALSE()),IF(AND(A213=0,B213=0,C213&lt;&gt;0),VLOOKUP(C213,'3 - LISTA DE ESPÉCIES'!C:H,4,FALSE()))))</f>
        <v>0</v>
      </c>
      <c r="F213" s="21" t="b">
        <f>IF(AND(A213&lt;&gt;0,B213=0,C213=0),VLOOKUP(A213,'3 - LISTA DE ESPÉCIES'!A:H,2,FALSE()),IF(AND(A213=0,B213&lt;&gt;0,C213=0),VLOOKUP(B213,'3 - LISTA DE ESPÉCIES'!B:H,6,FALSE()),IF(AND(A213=0,B213=0,C213&lt;&gt;0),VLOOKUP(C213,'3 - LISTA DE ESPÉCIES'!C:H,5,FALSE()))))</f>
        <v>0</v>
      </c>
      <c r="G213" s="21" t="b">
        <f>IF(AND(A213&lt;&gt;0,B213=0,C213=0),VLOOKUP(A213,'3 - LISTA DE ESPÉCIES'!A:H,3,FALSE()),IF(AND(A213=0,B213&lt;&gt;0,C213=0),VLOOKUP(B213,'3 - LISTA DE ESPÉCIES'!B:H,7,FALSE()),IF(AND(A213=0,B213=0,C213&lt;&gt;0),VLOOKUP(C213,'3 - LISTA DE ESPÉCIES'!C:H,6,FALSE()))))</f>
        <v>0</v>
      </c>
      <c r="H213" s="21" t="b">
        <f>IF(AND(A213&lt;&gt;0,B213=0,C213=0),VLOOKUP(A213,'3 - LISTA DE ESPÉCIES'!A:H,4,FALSE()),IF(AND(A213=0,B213&lt;&gt;0,C213=0),VLOOKUP(B213,'3 - LISTA DE ESPÉCIES'!B:H,3,FALSE()),IF(AND(A213=0,B213=0,C213&lt;&gt;0),VLOOKUP(C213,'3 - LISTA DE ESPÉCIES'!C:H,2,FALSE()))))</f>
        <v>0</v>
      </c>
      <c r="I213" s="21" t="b">
        <f>IF(AND(A213&lt;&gt;0,B213=0,C213=0),VLOOKUP(A213,'3 - LISTA DE ESPÉCIES'!A:H,5,FALSE()),IF(AND(A213=0,B213&lt;&gt;0,C213=0),VLOOKUP(B213,'3 - LISTA DE ESPÉCIES'!B:H,4,FALSE()),IF(AND(A213=0,B213=0,C213&lt;&gt;0),VLOOKUP(C213,'3 - LISTA DE ESPÉCIES'!C:H,3,FALSE()))))</f>
        <v>0</v>
      </c>
      <c r="J213" s="23"/>
      <c r="K213" s="23"/>
      <c r="L213" s="20"/>
      <c r="M213" s="20"/>
    </row>
    <row r="214" spans="1:13" x14ac:dyDescent="0.25">
      <c r="A214" s="20"/>
      <c r="B214" s="20"/>
      <c r="C214" s="20"/>
      <c r="E214" s="21" t="b">
        <f>IF(AND(A214&lt;&gt;0,B214=0,C214=0),VLOOKUP(A214,'3 - LISTA DE ESPÉCIES'!A:H,1,FALSE()),IF(AND(A214=0,B214&lt;&gt;0,C214=0),VLOOKUP(B214,'3 - LISTA DE ESPÉCIES'!B:H,5,FALSE()),IF(AND(A214=0,B214=0,C214&lt;&gt;0),VLOOKUP(C214,'3 - LISTA DE ESPÉCIES'!C:H,4,FALSE()))))</f>
        <v>0</v>
      </c>
      <c r="F214" s="21" t="b">
        <f>IF(AND(A214&lt;&gt;0,B214=0,C214=0),VLOOKUP(A214,'3 - LISTA DE ESPÉCIES'!A:H,2,FALSE()),IF(AND(A214=0,B214&lt;&gt;0,C214=0),VLOOKUP(B214,'3 - LISTA DE ESPÉCIES'!B:H,6,FALSE()),IF(AND(A214=0,B214=0,C214&lt;&gt;0),VLOOKUP(C214,'3 - LISTA DE ESPÉCIES'!C:H,5,FALSE()))))</f>
        <v>0</v>
      </c>
      <c r="G214" s="21" t="b">
        <f>IF(AND(A214&lt;&gt;0,B214=0,C214=0),VLOOKUP(A214,'3 - LISTA DE ESPÉCIES'!A:H,3,FALSE()),IF(AND(A214=0,B214&lt;&gt;0,C214=0),VLOOKUP(B214,'3 - LISTA DE ESPÉCIES'!B:H,7,FALSE()),IF(AND(A214=0,B214=0,C214&lt;&gt;0),VLOOKUP(C214,'3 - LISTA DE ESPÉCIES'!C:H,6,FALSE()))))</f>
        <v>0</v>
      </c>
      <c r="H214" s="21" t="b">
        <f>IF(AND(A214&lt;&gt;0,B214=0,C214=0),VLOOKUP(A214,'3 - LISTA DE ESPÉCIES'!A:H,4,FALSE()),IF(AND(A214=0,B214&lt;&gt;0,C214=0),VLOOKUP(B214,'3 - LISTA DE ESPÉCIES'!B:H,3,FALSE()),IF(AND(A214=0,B214=0,C214&lt;&gt;0),VLOOKUP(C214,'3 - LISTA DE ESPÉCIES'!C:H,2,FALSE()))))</f>
        <v>0</v>
      </c>
      <c r="I214" s="21" t="b">
        <f>IF(AND(A214&lt;&gt;0,B214=0,C214=0),VLOOKUP(A214,'3 - LISTA DE ESPÉCIES'!A:H,5,FALSE()),IF(AND(A214=0,B214&lt;&gt;0,C214=0),VLOOKUP(B214,'3 - LISTA DE ESPÉCIES'!B:H,4,FALSE()),IF(AND(A214=0,B214=0,C214&lt;&gt;0),VLOOKUP(C214,'3 - LISTA DE ESPÉCIES'!C:H,3,FALSE()))))</f>
        <v>0</v>
      </c>
      <c r="J214" s="23"/>
      <c r="K214" s="23"/>
      <c r="L214" s="20"/>
      <c r="M214" s="20"/>
    </row>
    <row r="215" spans="1:13" x14ac:dyDescent="0.25">
      <c r="A215" s="20"/>
      <c r="B215" s="20"/>
      <c r="C215" s="20"/>
      <c r="E215" s="21" t="b">
        <f>IF(AND(A215&lt;&gt;0,B215=0,C215=0),VLOOKUP(A215,'3 - LISTA DE ESPÉCIES'!A:H,1,FALSE()),IF(AND(A215=0,B215&lt;&gt;0,C215=0),VLOOKUP(B215,'3 - LISTA DE ESPÉCIES'!B:H,5,FALSE()),IF(AND(A215=0,B215=0,C215&lt;&gt;0),VLOOKUP(C215,'3 - LISTA DE ESPÉCIES'!C:H,4,FALSE()))))</f>
        <v>0</v>
      </c>
      <c r="F215" s="21" t="b">
        <f>IF(AND(A215&lt;&gt;0,B215=0,C215=0),VLOOKUP(A215,'3 - LISTA DE ESPÉCIES'!A:H,2,FALSE()),IF(AND(A215=0,B215&lt;&gt;0,C215=0),VLOOKUP(B215,'3 - LISTA DE ESPÉCIES'!B:H,6,FALSE()),IF(AND(A215=0,B215=0,C215&lt;&gt;0),VLOOKUP(C215,'3 - LISTA DE ESPÉCIES'!C:H,5,FALSE()))))</f>
        <v>0</v>
      </c>
      <c r="G215" s="21" t="b">
        <f>IF(AND(A215&lt;&gt;0,B215=0,C215=0),VLOOKUP(A215,'3 - LISTA DE ESPÉCIES'!A:H,3,FALSE()),IF(AND(A215=0,B215&lt;&gt;0,C215=0),VLOOKUP(B215,'3 - LISTA DE ESPÉCIES'!B:H,7,FALSE()),IF(AND(A215=0,B215=0,C215&lt;&gt;0),VLOOKUP(C215,'3 - LISTA DE ESPÉCIES'!C:H,6,FALSE()))))</f>
        <v>0</v>
      </c>
      <c r="H215" s="21" t="b">
        <f>IF(AND(A215&lt;&gt;0,B215=0,C215=0),VLOOKUP(A215,'3 - LISTA DE ESPÉCIES'!A:H,4,FALSE()),IF(AND(A215=0,B215&lt;&gt;0,C215=0),VLOOKUP(B215,'3 - LISTA DE ESPÉCIES'!B:H,3,FALSE()),IF(AND(A215=0,B215=0,C215&lt;&gt;0),VLOOKUP(C215,'3 - LISTA DE ESPÉCIES'!C:H,2,FALSE()))))</f>
        <v>0</v>
      </c>
      <c r="I215" s="21" t="b">
        <f>IF(AND(A215&lt;&gt;0,B215=0,C215=0),VLOOKUP(A215,'3 - LISTA DE ESPÉCIES'!A:H,5,FALSE()),IF(AND(A215=0,B215&lt;&gt;0,C215=0),VLOOKUP(B215,'3 - LISTA DE ESPÉCIES'!B:H,4,FALSE()),IF(AND(A215=0,B215=0,C215&lt;&gt;0),VLOOKUP(C215,'3 - LISTA DE ESPÉCIES'!C:H,3,FALSE()))))</f>
        <v>0</v>
      </c>
      <c r="J215" s="23"/>
      <c r="K215" s="23"/>
      <c r="L215" s="20"/>
      <c r="M215" s="20"/>
    </row>
    <row r="216" spans="1:13" x14ac:dyDescent="0.25">
      <c r="A216" s="20"/>
      <c r="B216" s="20"/>
      <c r="C216" s="20"/>
      <c r="E216" s="21" t="b">
        <f>IF(AND(A216&lt;&gt;0,B216=0,C216=0),VLOOKUP(A216,'3 - LISTA DE ESPÉCIES'!A:H,1,FALSE()),IF(AND(A216=0,B216&lt;&gt;0,C216=0),VLOOKUP(B216,'3 - LISTA DE ESPÉCIES'!B:H,5,FALSE()),IF(AND(A216=0,B216=0,C216&lt;&gt;0),VLOOKUP(C216,'3 - LISTA DE ESPÉCIES'!C:H,4,FALSE()))))</f>
        <v>0</v>
      </c>
      <c r="F216" s="21" t="b">
        <f>IF(AND(A216&lt;&gt;0,B216=0,C216=0),VLOOKUP(A216,'3 - LISTA DE ESPÉCIES'!A:H,2,FALSE()),IF(AND(A216=0,B216&lt;&gt;0,C216=0),VLOOKUP(B216,'3 - LISTA DE ESPÉCIES'!B:H,6,FALSE()),IF(AND(A216=0,B216=0,C216&lt;&gt;0),VLOOKUP(C216,'3 - LISTA DE ESPÉCIES'!C:H,5,FALSE()))))</f>
        <v>0</v>
      </c>
      <c r="G216" s="21" t="b">
        <f>IF(AND(A216&lt;&gt;0,B216=0,C216=0),VLOOKUP(A216,'3 - LISTA DE ESPÉCIES'!A:H,3,FALSE()),IF(AND(A216=0,B216&lt;&gt;0,C216=0),VLOOKUP(B216,'3 - LISTA DE ESPÉCIES'!B:H,7,FALSE()),IF(AND(A216=0,B216=0,C216&lt;&gt;0),VLOOKUP(C216,'3 - LISTA DE ESPÉCIES'!C:H,6,FALSE()))))</f>
        <v>0</v>
      </c>
      <c r="H216" s="21" t="b">
        <f>IF(AND(A216&lt;&gt;0,B216=0,C216=0),VLOOKUP(A216,'3 - LISTA DE ESPÉCIES'!A:H,4,FALSE()),IF(AND(A216=0,B216&lt;&gt;0,C216=0),VLOOKUP(B216,'3 - LISTA DE ESPÉCIES'!B:H,3,FALSE()),IF(AND(A216=0,B216=0,C216&lt;&gt;0),VLOOKUP(C216,'3 - LISTA DE ESPÉCIES'!C:H,2,FALSE()))))</f>
        <v>0</v>
      </c>
      <c r="I216" s="21" t="b">
        <f>IF(AND(A216&lt;&gt;0,B216=0,C216=0),VLOOKUP(A216,'3 - LISTA DE ESPÉCIES'!A:H,5,FALSE()),IF(AND(A216=0,B216&lt;&gt;0,C216=0),VLOOKUP(B216,'3 - LISTA DE ESPÉCIES'!B:H,4,FALSE()),IF(AND(A216=0,B216=0,C216&lt;&gt;0),VLOOKUP(C216,'3 - LISTA DE ESPÉCIES'!C:H,3,FALSE()))))</f>
        <v>0</v>
      </c>
      <c r="J216" s="23"/>
      <c r="K216" s="23"/>
      <c r="L216" s="20"/>
      <c r="M216" s="20"/>
    </row>
    <row r="217" spans="1:13" x14ac:dyDescent="0.25">
      <c r="A217" s="20"/>
      <c r="B217" s="20"/>
      <c r="C217" s="20"/>
      <c r="E217" s="21" t="b">
        <f>IF(AND(A217&lt;&gt;0,B217=0,C217=0),VLOOKUP(A217,'3 - LISTA DE ESPÉCIES'!A:H,1,FALSE()),IF(AND(A217=0,B217&lt;&gt;0,C217=0),VLOOKUP(B217,'3 - LISTA DE ESPÉCIES'!B:H,5,FALSE()),IF(AND(A217=0,B217=0,C217&lt;&gt;0),VLOOKUP(C217,'3 - LISTA DE ESPÉCIES'!C:H,4,FALSE()))))</f>
        <v>0</v>
      </c>
      <c r="F217" s="21" t="b">
        <f>IF(AND(A217&lt;&gt;0,B217=0,C217=0),VLOOKUP(A217,'3 - LISTA DE ESPÉCIES'!A:H,2,FALSE()),IF(AND(A217=0,B217&lt;&gt;0,C217=0),VLOOKUP(B217,'3 - LISTA DE ESPÉCIES'!B:H,6,FALSE()),IF(AND(A217=0,B217=0,C217&lt;&gt;0),VLOOKUP(C217,'3 - LISTA DE ESPÉCIES'!C:H,5,FALSE()))))</f>
        <v>0</v>
      </c>
      <c r="G217" s="21" t="b">
        <f>IF(AND(A217&lt;&gt;0,B217=0,C217=0),VLOOKUP(A217,'3 - LISTA DE ESPÉCIES'!A:H,3,FALSE()),IF(AND(A217=0,B217&lt;&gt;0,C217=0),VLOOKUP(B217,'3 - LISTA DE ESPÉCIES'!B:H,7,FALSE()),IF(AND(A217=0,B217=0,C217&lt;&gt;0),VLOOKUP(C217,'3 - LISTA DE ESPÉCIES'!C:H,6,FALSE()))))</f>
        <v>0</v>
      </c>
      <c r="H217" s="21" t="b">
        <f>IF(AND(A217&lt;&gt;0,B217=0,C217=0),VLOOKUP(A217,'3 - LISTA DE ESPÉCIES'!A:H,4,FALSE()),IF(AND(A217=0,B217&lt;&gt;0,C217=0),VLOOKUP(B217,'3 - LISTA DE ESPÉCIES'!B:H,3,FALSE()),IF(AND(A217=0,B217=0,C217&lt;&gt;0),VLOOKUP(C217,'3 - LISTA DE ESPÉCIES'!C:H,2,FALSE()))))</f>
        <v>0</v>
      </c>
      <c r="I217" s="21" t="b">
        <f>IF(AND(A217&lt;&gt;0,B217=0,C217=0),VLOOKUP(A217,'3 - LISTA DE ESPÉCIES'!A:H,5,FALSE()),IF(AND(A217=0,B217&lt;&gt;0,C217=0),VLOOKUP(B217,'3 - LISTA DE ESPÉCIES'!B:H,4,FALSE()),IF(AND(A217=0,B217=0,C217&lt;&gt;0),VLOOKUP(C217,'3 - LISTA DE ESPÉCIES'!C:H,3,FALSE()))))</f>
        <v>0</v>
      </c>
      <c r="J217" s="23"/>
      <c r="K217" s="23"/>
      <c r="L217" s="20"/>
      <c r="M217" s="20"/>
    </row>
    <row r="218" spans="1:13" x14ac:dyDescent="0.25">
      <c r="A218" s="20"/>
      <c r="B218" s="20"/>
      <c r="C218" s="20"/>
      <c r="E218" s="21" t="b">
        <f>IF(AND(A218&lt;&gt;0,B218=0,C218=0),VLOOKUP(A218,'3 - LISTA DE ESPÉCIES'!A:H,1,FALSE()),IF(AND(A218=0,B218&lt;&gt;0,C218=0),VLOOKUP(B218,'3 - LISTA DE ESPÉCIES'!B:H,5,FALSE()),IF(AND(A218=0,B218=0,C218&lt;&gt;0),VLOOKUP(C218,'3 - LISTA DE ESPÉCIES'!C:H,4,FALSE()))))</f>
        <v>0</v>
      </c>
      <c r="F218" s="21" t="b">
        <f>IF(AND(A218&lt;&gt;0,B218=0,C218=0),VLOOKUP(A218,'3 - LISTA DE ESPÉCIES'!A:H,2,FALSE()),IF(AND(A218=0,B218&lt;&gt;0,C218=0),VLOOKUP(B218,'3 - LISTA DE ESPÉCIES'!B:H,6,FALSE()),IF(AND(A218=0,B218=0,C218&lt;&gt;0),VLOOKUP(C218,'3 - LISTA DE ESPÉCIES'!C:H,5,FALSE()))))</f>
        <v>0</v>
      </c>
      <c r="G218" s="21" t="b">
        <f>IF(AND(A218&lt;&gt;0,B218=0,C218=0),VLOOKUP(A218,'3 - LISTA DE ESPÉCIES'!A:H,3,FALSE()),IF(AND(A218=0,B218&lt;&gt;0,C218=0),VLOOKUP(B218,'3 - LISTA DE ESPÉCIES'!B:H,7,FALSE()),IF(AND(A218=0,B218=0,C218&lt;&gt;0),VLOOKUP(C218,'3 - LISTA DE ESPÉCIES'!C:H,6,FALSE()))))</f>
        <v>0</v>
      </c>
      <c r="H218" s="21" t="b">
        <f>IF(AND(A218&lt;&gt;0,B218=0,C218=0),VLOOKUP(A218,'3 - LISTA DE ESPÉCIES'!A:H,4,FALSE()),IF(AND(A218=0,B218&lt;&gt;0,C218=0),VLOOKUP(B218,'3 - LISTA DE ESPÉCIES'!B:H,3,FALSE()),IF(AND(A218=0,B218=0,C218&lt;&gt;0),VLOOKUP(C218,'3 - LISTA DE ESPÉCIES'!C:H,2,FALSE()))))</f>
        <v>0</v>
      </c>
      <c r="I218" s="21" t="b">
        <f>IF(AND(A218&lt;&gt;0,B218=0,C218=0),VLOOKUP(A218,'3 - LISTA DE ESPÉCIES'!A:H,5,FALSE()),IF(AND(A218=0,B218&lt;&gt;0,C218=0),VLOOKUP(B218,'3 - LISTA DE ESPÉCIES'!B:H,4,FALSE()),IF(AND(A218=0,B218=0,C218&lt;&gt;0),VLOOKUP(C218,'3 - LISTA DE ESPÉCIES'!C:H,3,FALSE()))))</f>
        <v>0</v>
      </c>
      <c r="J218" s="23"/>
      <c r="K218" s="23"/>
      <c r="L218" s="20"/>
      <c r="M218" s="20"/>
    </row>
    <row r="219" spans="1:13" x14ac:dyDescent="0.25">
      <c r="A219" s="20"/>
      <c r="B219" s="20"/>
      <c r="C219" s="20"/>
      <c r="E219" s="21" t="b">
        <f>IF(AND(A219&lt;&gt;0,B219=0,C219=0),VLOOKUP(A219,'3 - LISTA DE ESPÉCIES'!A:H,1,FALSE()),IF(AND(A219=0,B219&lt;&gt;0,C219=0),VLOOKUP(B219,'3 - LISTA DE ESPÉCIES'!B:H,5,FALSE()),IF(AND(A219=0,B219=0,C219&lt;&gt;0),VLOOKUP(C219,'3 - LISTA DE ESPÉCIES'!C:H,4,FALSE()))))</f>
        <v>0</v>
      </c>
      <c r="F219" s="21" t="b">
        <f>IF(AND(A219&lt;&gt;0,B219=0,C219=0),VLOOKUP(A219,'3 - LISTA DE ESPÉCIES'!A:H,2,FALSE()),IF(AND(A219=0,B219&lt;&gt;0,C219=0),VLOOKUP(B219,'3 - LISTA DE ESPÉCIES'!B:H,6,FALSE()),IF(AND(A219=0,B219=0,C219&lt;&gt;0),VLOOKUP(C219,'3 - LISTA DE ESPÉCIES'!C:H,5,FALSE()))))</f>
        <v>0</v>
      </c>
      <c r="G219" s="21" t="b">
        <f>IF(AND(A219&lt;&gt;0,B219=0,C219=0),VLOOKUP(A219,'3 - LISTA DE ESPÉCIES'!A:H,3,FALSE()),IF(AND(A219=0,B219&lt;&gt;0,C219=0),VLOOKUP(B219,'3 - LISTA DE ESPÉCIES'!B:H,7,FALSE()),IF(AND(A219=0,B219=0,C219&lt;&gt;0),VLOOKUP(C219,'3 - LISTA DE ESPÉCIES'!C:H,6,FALSE()))))</f>
        <v>0</v>
      </c>
      <c r="H219" s="21" t="b">
        <f>IF(AND(A219&lt;&gt;0,B219=0,C219=0),VLOOKUP(A219,'3 - LISTA DE ESPÉCIES'!A:H,4,FALSE()),IF(AND(A219=0,B219&lt;&gt;0,C219=0),VLOOKUP(B219,'3 - LISTA DE ESPÉCIES'!B:H,3,FALSE()),IF(AND(A219=0,B219=0,C219&lt;&gt;0),VLOOKUP(C219,'3 - LISTA DE ESPÉCIES'!C:H,2,FALSE()))))</f>
        <v>0</v>
      </c>
      <c r="I219" s="21" t="b">
        <f>IF(AND(A219&lt;&gt;0,B219=0,C219=0),VLOOKUP(A219,'3 - LISTA DE ESPÉCIES'!A:H,5,FALSE()),IF(AND(A219=0,B219&lt;&gt;0,C219=0),VLOOKUP(B219,'3 - LISTA DE ESPÉCIES'!B:H,4,FALSE()),IF(AND(A219=0,B219=0,C219&lt;&gt;0),VLOOKUP(C219,'3 - LISTA DE ESPÉCIES'!C:H,3,FALSE()))))</f>
        <v>0</v>
      </c>
      <c r="J219" s="23"/>
      <c r="K219" s="23"/>
      <c r="L219" s="20"/>
      <c r="M219" s="20"/>
    </row>
    <row r="220" spans="1:13" x14ac:dyDescent="0.25">
      <c r="A220" s="20"/>
      <c r="B220" s="20"/>
      <c r="C220" s="20"/>
      <c r="E220" s="21" t="b">
        <f>IF(AND(A220&lt;&gt;0,B220=0,C220=0),VLOOKUP(A220,'3 - LISTA DE ESPÉCIES'!A:H,1,FALSE()),IF(AND(A220=0,B220&lt;&gt;0,C220=0),VLOOKUP(B220,'3 - LISTA DE ESPÉCIES'!B:H,5,FALSE()),IF(AND(A220=0,B220=0,C220&lt;&gt;0),VLOOKUP(C220,'3 - LISTA DE ESPÉCIES'!C:H,4,FALSE()))))</f>
        <v>0</v>
      </c>
      <c r="F220" s="21" t="b">
        <f>IF(AND(A220&lt;&gt;0,B220=0,C220=0),VLOOKUP(A220,'3 - LISTA DE ESPÉCIES'!A:H,2,FALSE()),IF(AND(A220=0,B220&lt;&gt;0,C220=0),VLOOKUP(B220,'3 - LISTA DE ESPÉCIES'!B:H,6,FALSE()),IF(AND(A220=0,B220=0,C220&lt;&gt;0),VLOOKUP(C220,'3 - LISTA DE ESPÉCIES'!C:H,5,FALSE()))))</f>
        <v>0</v>
      </c>
      <c r="G220" s="21" t="b">
        <f>IF(AND(A220&lt;&gt;0,B220=0,C220=0),VLOOKUP(A220,'3 - LISTA DE ESPÉCIES'!A:H,3,FALSE()),IF(AND(A220=0,B220&lt;&gt;0,C220=0),VLOOKUP(B220,'3 - LISTA DE ESPÉCIES'!B:H,7,FALSE()),IF(AND(A220=0,B220=0,C220&lt;&gt;0),VLOOKUP(C220,'3 - LISTA DE ESPÉCIES'!C:H,6,FALSE()))))</f>
        <v>0</v>
      </c>
      <c r="H220" s="21" t="b">
        <f>IF(AND(A220&lt;&gt;0,B220=0,C220=0),VLOOKUP(A220,'3 - LISTA DE ESPÉCIES'!A:H,4,FALSE()),IF(AND(A220=0,B220&lt;&gt;0,C220=0),VLOOKUP(B220,'3 - LISTA DE ESPÉCIES'!B:H,3,FALSE()),IF(AND(A220=0,B220=0,C220&lt;&gt;0),VLOOKUP(C220,'3 - LISTA DE ESPÉCIES'!C:H,2,FALSE()))))</f>
        <v>0</v>
      </c>
      <c r="I220" s="21" t="b">
        <f>IF(AND(A220&lt;&gt;0,B220=0,C220=0),VLOOKUP(A220,'3 - LISTA DE ESPÉCIES'!A:H,5,FALSE()),IF(AND(A220=0,B220&lt;&gt;0,C220=0),VLOOKUP(B220,'3 - LISTA DE ESPÉCIES'!B:H,4,FALSE()),IF(AND(A220=0,B220=0,C220&lt;&gt;0),VLOOKUP(C220,'3 - LISTA DE ESPÉCIES'!C:H,3,FALSE()))))</f>
        <v>0</v>
      </c>
      <c r="J220" s="23"/>
      <c r="K220" s="23"/>
      <c r="L220" s="20"/>
      <c r="M220" s="20"/>
    </row>
    <row r="221" spans="1:13" x14ac:dyDescent="0.25">
      <c r="A221" s="20"/>
      <c r="B221" s="20"/>
      <c r="C221" s="20"/>
      <c r="E221" s="21" t="b">
        <f>IF(AND(A221&lt;&gt;0,B221=0,C221=0),VLOOKUP(A221,'3 - LISTA DE ESPÉCIES'!A:H,1,FALSE()),IF(AND(A221=0,B221&lt;&gt;0,C221=0),VLOOKUP(B221,'3 - LISTA DE ESPÉCIES'!B:H,5,FALSE()),IF(AND(A221=0,B221=0,C221&lt;&gt;0),VLOOKUP(C221,'3 - LISTA DE ESPÉCIES'!C:H,4,FALSE()))))</f>
        <v>0</v>
      </c>
      <c r="F221" s="21" t="b">
        <f>IF(AND(A221&lt;&gt;0,B221=0,C221=0),VLOOKUP(A221,'3 - LISTA DE ESPÉCIES'!A:H,2,FALSE()),IF(AND(A221=0,B221&lt;&gt;0,C221=0),VLOOKUP(B221,'3 - LISTA DE ESPÉCIES'!B:H,6,FALSE()),IF(AND(A221=0,B221=0,C221&lt;&gt;0),VLOOKUP(C221,'3 - LISTA DE ESPÉCIES'!C:H,5,FALSE()))))</f>
        <v>0</v>
      </c>
      <c r="G221" s="21" t="b">
        <f>IF(AND(A221&lt;&gt;0,B221=0,C221=0),VLOOKUP(A221,'3 - LISTA DE ESPÉCIES'!A:H,3,FALSE()),IF(AND(A221=0,B221&lt;&gt;0,C221=0),VLOOKUP(B221,'3 - LISTA DE ESPÉCIES'!B:H,7,FALSE()),IF(AND(A221=0,B221=0,C221&lt;&gt;0),VLOOKUP(C221,'3 - LISTA DE ESPÉCIES'!C:H,6,FALSE()))))</f>
        <v>0</v>
      </c>
      <c r="H221" s="21" t="b">
        <f>IF(AND(A221&lt;&gt;0,B221=0,C221=0),VLOOKUP(A221,'3 - LISTA DE ESPÉCIES'!A:H,4,FALSE()),IF(AND(A221=0,B221&lt;&gt;0,C221=0),VLOOKUP(B221,'3 - LISTA DE ESPÉCIES'!B:H,3,FALSE()),IF(AND(A221=0,B221=0,C221&lt;&gt;0),VLOOKUP(C221,'3 - LISTA DE ESPÉCIES'!C:H,2,FALSE()))))</f>
        <v>0</v>
      </c>
      <c r="I221" s="21" t="b">
        <f>IF(AND(A221&lt;&gt;0,B221=0,C221=0),VLOOKUP(A221,'3 - LISTA DE ESPÉCIES'!A:H,5,FALSE()),IF(AND(A221=0,B221&lt;&gt;0,C221=0),VLOOKUP(B221,'3 - LISTA DE ESPÉCIES'!B:H,4,FALSE()),IF(AND(A221=0,B221=0,C221&lt;&gt;0),VLOOKUP(C221,'3 - LISTA DE ESPÉCIES'!C:H,3,FALSE()))))</f>
        <v>0</v>
      </c>
      <c r="J221" s="23"/>
      <c r="K221" s="23"/>
      <c r="L221" s="20"/>
      <c r="M221" s="20"/>
    </row>
    <row r="222" spans="1:13" x14ac:dyDescent="0.25">
      <c r="A222" s="20"/>
      <c r="B222" s="20"/>
      <c r="C222" s="20"/>
      <c r="E222" s="21" t="b">
        <f>IF(AND(A222&lt;&gt;0,B222=0,C222=0),VLOOKUP(A222,'3 - LISTA DE ESPÉCIES'!A:H,1,FALSE()),IF(AND(A222=0,B222&lt;&gt;0,C222=0),VLOOKUP(B222,'3 - LISTA DE ESPÉCIES'!B:H,5,FALSE()),IF(AND(A222=0,B222=0,C222&lt;&gt;0),VLOOKUP(C222,'3 - LISTA DE ESPÉCIES'!C:H,4,FALSE()))))</f>
        <v>0</v>
      </c>
      <c r="F222" s="21" t="b">
        <f>IF(AND(A222&lt;&gt;0,B222=0,C222=0),VLOOKUP(A222,'3 - LISTA DE ESPÉCIES'!A:H,2,FALSE()),IF(AND(A222=0,B222&lt;&gt;0,C222=0),VLOOKUP(B222,'3 - LISTA DE ESPÉCIES'!B:H,6,FALSE()),IF(AND(A222=0,B222=0,C222&lt;&gt;0),VLOOKUP(C222,'3 - LISTA DE ESPÉCIES'!C:H,5,FALSE()))))</f>
        <v>0</v>
      </c>
      <c r="G222" s="21" t="b">
        <f>IF(AND(A222&lt;&gt;0,B222=0,C222=0),VLOOKUP(A222,'3 - LISTA DE ESPÉCIES'!A:H,3,FALSE()),IF(AND(A222=0,B222&lt;&gt;0,C222=0),VLOOKUP(B222,'3 - LISTA DE ESPÉCIES'!B:H,7,FALSE()),IF(AND(A222=0,B222=0,C222&lt;&gt;0),VLOOKUP(C222,'3 - LISTA DE ESPÉCIES'!C:H,6,FALSE()))))</f>
        <v>0</v>
      </c>
      <c r="H222" s="21" t="b">
        <f>IF(AND(A222&lt;&gt;0,B222=0,C222=0),VLOOKUP(A222,'3 - LISTA DE ESPÉCIES'!A:H,4,FALSE()),IF(AND(A222=0,B222&lt;&gt;0,C222=0),VLOOKUP(B222,'3 - LISTA DE ESPÉCIES'!B:H,3,FALSE()),IF(AND(A222=0,B222=0,C222&lt;&gt;0),VLOOKUP(C222,'3 - LISTA DE ESPÉCIES'!C:H,2,FALSE()))))</f>
        <v>0</v>
      </c>
      <c r="I222" s="21" t="b">
        <f>IF(AND(A222&lt;&gt;0,B222=0,C222=0),VLOOKUP(A222,'3 - LISTA DE ESPÉCIES'!A:H,5,FALSE()),IF(AND(A222=0,B222&lt;&gt;0,C222=0),VLOOKUP(B222,'3 - LISTA DE ESPÉCIES'!B:H,4,FALSE()),IF(AND(A222=0,B222=0,C222&lt;&gt;0),VLOOKUP(C222,'3 - LISTA DE ESPÉCIES'!C:H,3,FALSE()))))</f>
        <v>0</v>
      </c>
      <c r="J222" s="23"/>
      <c r="K222" s="23"/>
      <c r="L222" s="20"/>
      <c r="M222" s="20"/>
    </row>
    <row r="223" spans="1:13" x14ac:dyDescent="0.25">
      <c r="A223" s="20"/>
      <c r="B223" s="20"/>
      <c r="C223" s="20"/>
      <c r="E223" s="21" t="b">
        <f>IF(AND(A223&lt;&gt;0,B223=0,C223=0),VLOOKUP(A223,'3 - LISTA DE ESPÉCIES'!A:H,1,FALSE()),IF(AND(A223=0,B223&lt;&gt;0,C223=0),VLOOKUP(B223,'3 - LISTA DE ESPÉCIES'!B:H,5,FALSE()),IF(AND(A223=0,B223=0,C223&lt;&gt;0),VLOOKUP(C223,'3 - LISTA DE ESPÉCIES'!C:H,4,FALSE()))))</f>
        <v>0</v>
      </c>
      <c r="F223" s="21" t="b">
        <f>IF(AND(A223&lt;&gt;0,B223=0,C223=0),VLOOKUP(A223,'3 - LISTA DE ESPÉCIES'!A:H,2,FALSE()),IF(AND(A223=0,B223&lt;&gt;0,C223=0),VLOOKUP(B223,'3 - LISTA DE ESPÉCIES'!B:H,6,FALSE()),IF(AND(A223=0,B223=0,C223&lt;&gt;0),VLOOKUP(C223,'3 - LISTA DE ESPÉCIES'!C:H,5,FALSE()))))</f>
        <v>0</v>
      </c>
      <c r="G223" s="21" t="b">
        <f>IF(AND(A223&lt;&gt;0,B223=0,C223=0),VLOOKUP(A223,'3 - LISTA DE ESPÉCIES'!A:H,3,FALSE()),IF(AND(A223=0,B223&lt;&gt;0,C223=0),VLOOKUP(B223,'3 - LISTA DE ESPÉCIES'!B:H,7,FALSE()),IF(AND(A223=0,B223=0,C223&lt;&gt;0),VLOOKUP(C223,'3 - LISTA DE ESPÉCIES'!C:H,6,FALSE()))))</f>
        <v>0</v>
      </c>
      <c r="H223" s="21" t="b">
        <f>IF(AND(A223&lt;&gt;0,B223=0,C223=0),VLOOKUP(A223,'3 - LISTA DE ESPÉCIES'!A:H,4,FALSE()),IF(AND(A223=0,B223&lt;&gt;0,C223=0),VLOOKUP(B223,'3 - LISTA DE ESPÉCIES'!B:H,3,FALSE()),IF(AND(A223=0,B223=0,C223&lt;&gt;0),VLOOKUP(C223,'3 - LISTA DE ESPÉCIES'!C:H,2,FALSE()))))</f>
        <v>0</v>
      </c>
      <c r="I223" s="21" t="b">
        <f>IF(AND(A223&lt;&gt;0,B223=0,C223=0),VLOOKUP(A223,'3 - LISTA DE ESPÉCIES'!A:H,5,FALSE()),IF(AND(A223=0,B223&lt;&gt;0,C223=0),VLOOKUP(B223,'3 - LISTA DE ESPÉCIES'!B:H,4,FALSE()),IF(AND(A223=0,B223=0,C223&lt;&gt;0),VLOOKUP(C223,'3 - LISTA DE ESPÉCIES'!C:H,3,FALSE()))))</f>
        <v>0</v>
      </c>
      <c r="J223" s="23"/>
      <c r="K223" s="23"/>
      <c r="L223" s="20"/>
      <c r="M223" s="20"/>
    </row>
    <row r="224" spans="1:13" x14ac:dyDescent="0.25">
      <c r="A224" s="20"/>
      <c r="B224" s="20"/>
      <c r="C224" s="20"/>
      <c r="E224" s="21" t="b">
        <f>IF(AND(A224&lt;&gt;0,B224=0,C224=0),VLOOKUP(A224,'3 - LISTA DE ESPÉCIES'!A:H,1,FALSE()),IF(AND(A224=0,B224&lt;&gt;0,C224=0),VLOOKUP(B224,'3 - LISTA DE ESPÉCIES'!B:H,5,FALSE()),IF(AND(A224=0,B224=0,C224&lt;&gt;0),VLOOKUP(C224,'3 - LISTA DE ESPÉCIES'!C:H,4,FALSE()))))</f>
        <v>0</v>
      </c>
      <c r="F224" s="21" t="b">
        <f>IF(AND(A224&lt;&gt;0,B224=0,C224=0),VLOOKUP(A224,'3 - LISTA DE ESPÉCIES'!A:H,2,FALSE()),IF(AND(A224=0,B224&lt;&gt;0,C224=0),VLOOKUP(B224,'3 - LISTA DE ESPÉCIES'!B:H,6,FALSE()),IF(AND(A224=0,B224=0,C224&lt;&gt;0),VLOOKUP(C224,'3 - LISTA DE ESPÉCIES'!C:H,5,FALSE()))))</f>
        <v>0</v>
      </c>
      <c r="G224" s="21" t="b">
        <f>IF(AND(A224&lt;&gt;0,B224=0,C224=0),VLOOKUP(A224,'3 - LISTA DE ESPÉCIES'!A:H,3,FALSE()),IF(AND(A224=0,B224&lt;&gt;0,C224=0),VLOOKUP(B224,'3 - LISTA DE ESPÉCIES'!B:H,7,FALSE()),IF(AND(A224=0,B224=0,C224&lt;&gt;0),VLOOKUP(C224,'3 - LISTA DE ESPÉCIES'!C:H,6,FALSE()))))</f>
        <v>0</v>
      </c>
      <c r="H224" s="21" t="b">
        <f>IF(AND(A224&lt;&gt;0,B224=0,C224=0),VLOOKUP(A224,'3 - LISTA DE ESPÉCIES'!A:H,4,FALSE()),IF(AND(A224=0,B224&lt;&gt;0,C224=0),VLOOKUP(B224,'3 - LISTA DE ESPÉCIES'!B:H,3,FALSE()),IF(AND(A224=0,B224=0,C224&lt;&gt;0),VLOOKUP(C224,'3 - LISTA DE ESPÉCIES'!C:H,2,FALSE()))))</f>
        <v>0</v>
      </c>
      <c r="I224" s="21" t="b">
        <f>IF(AND(A224&lt;&gt;0,B224=0,C224=0),VLOOKUP(A224,'3 - LISTA DE ESPÉCIES'!A:H,5,FALSE()),IF(AND(A224=0,B224&lt;&gt;0,C224=0),VLOOKUP(B224,'3 - LISTA DE ESPÉCIES'!B:H,4,FALSE()),IF(AND(A224=0,B224=0,C224&lt;&gt;0),VLOOKUP(C224,'3 - LISTA DE ESPÉCIES'!C:H,3,FALSE()))))</f>
        <v>0</v>
      </c>
      <c r="J224" s="23"/>
      <c r="K224" s="23"/>
      <c r="L224" s="20"/>
      <c r="M224" s="20"/>
    </row>
    <row r="225" spans="1:13" x14ac:dyDescent="0.25">
      <c r="A225" s="20"/>
      <c r="B225" s="20"/>
      <c r="C225" s="20"/>
      <c r="E225" s="21" t="b">
        <f>IF(AND(A225&lt;&gt;0,B225=0,C225=0),VLOOKUP(A225,'3 - LISTA DE ESPÉCIES'!A:H,1,FALSE()),IF(AND(A225=0,B225&lt;&gt;0,C225=0),VLOOKUP(B225,'3 - LISTA DE ESPÉCIES'!B:H,5,FALSE()),IF(AND(A225=0,B225=0,C225&lt;&gt;0),VLOOKUP(C225,'3 - LISTA DE ESPÉCIES'!C:H,4,FALSE()))))</f>
        <v>0</v>
      </c>
      <c r="F225" s="21" t="b">
        <f>IF(AND(A225&lt;&gt;0,B225=0,C225=0),VLOOKUP(A225,'3 - LISTA DE ESPÉCIES'!A:H,2,FALSE()),IF(AND(A225=0,B225&lt;&gt;0,C225=0),VLOOKUP(B225,'3 - LISTA DE ESPÉCIES'!B:H,6,FALSE()),IF(AND(A225=0,B225=0,C225&lt;&gt;0),VLOOKUP(C225,'3 - LISTA DE ESPÉCIES'!C:H,5,FALSE()))))</f>
        <v>0</v>
      </c>
      <c r="G225" s="21" t="b">
        <f>IF(AND(A225&lt;&gt;0,B225=0,C225=0),VLOOKUP(A225,'3 - LISTA DE ESPÉCIES'!A:H,3,FALSE()),IF(AND(A225=0,B225&lt;&gt;0,C225=0),VLOOKUP(B225,'3 - LISTA DE ESPÉCIES'!B:H,7,FALSE()),IF(AND(A225=0,B225=0,C225&lt;&gt;0),VLOOKUP(C225,'3 - LISTA DE ESPÉCIES'!C:H,6,FALSE()))))</f>
        <v>0</v>
      </c>
      <c r="H225" s="21" t="b">
        <f>IF(AND(A225&lt;&gt;0,B225=0,C225=0),VLOOKUP(A225,'3 - LISTA DE ESPÉCIES'!A:H,4,FALSE()),IF(AND(A225=0,B225&lt;&gt;0,C225=0),VLOOKUP(B225,'3 - LISTA DE ESPÉCIES'!B:H,3,FALSE()),IF(AND(A225=0,B225=0,C225&lt;&gt;0),VLOOKUP(C225,'3 - LISTA DE ESPÉCIES'!C:H,2,FALSE()))))</f>
        <v>0</v>
      </c>
      <c r="I225" s="21" t="b">
        <f>IF(AND(A225&lt;&gt;0,B225=0,C225=0),VLOOKUP(A225,'3 - LISTA DE ESPÉCIES'!A:H,5,FALSE()),IF(AND(A225=0,B225&lt;&gt;0,C225=0),VLOOKUP(B225,'3 - LISTA DE ESPÉCIES'!B:H,4,FALSE()),IF(AND(A225=0,B225=0,C225&lt;&gt;0),VLOOKUP(C225,'3 - LISTA DE ESPÉCIES'!C:H,3,FALSE()))))</f>
        <v>0</v>
      </c>
      <c r="J225" s="23"/>
      <c r="K225" s="23"/>
      <c r="L225" s="20"/>
      <c r="M225" s="20"/>
    </row>
    <row r="226" spans="1:13" x14ac:dyDescent="0.25">
      <c r="A226" s="20"/>
      <c r="B226" s="20"/>
      <c r="C226" s="20"/>
      <c r="E226" s="21" t="b">
        <f>IF(AND(A226&lt;&gt;0,B226=0,C226=0),VLOOKUP(A226,'3 - LISTA DE ESPÉCIES'!A:H,1,FALSE()),IF(AND(A226=0,B226&lt;&gt;0,C226=0),VLOOKUP(B226,'3 - LISTA DE ESPÉCIES'!B:H,5,FALSE()),IF(AND(A226=0,B226=0,C226&lt;&gt;0),VLOOKUP(C226,'3 - LISTA DE ESPÉCIES'!C:H,4,FALSE()))))</f>
        <v>0</v>
      </c>
      <c r="F226" s="21" t="b">
        <f>IF(AND(A226&lt;&gt;0,B226=0,C226=0),VLOOKUP(A226,'3 - LISTA DE ESPÉCIES'!A:H,2,FALSE()),IF(AND(A226=0,B226&lt;&gt;0,C226=0),VLOOKUP(B226,'3 - LISTA DE ESPÉCIES'!B:H,6,FALSE()),IF(AND(A226=0,B226=0,C226&lt;&gt;0),VLOOKUP(C226,'3 - LISTA DE ESPÉCIES'!C:H,5,FALSE()))))</f>
        <v>0</v>
      </c>
      <c r="G226" s="21" t="b">
        <f>IF(AND(A226&lt;&gt;0,B226=0,C226=0),VLOOKUP(A226,'3 - LISTA DE ESPÉCIES'!A:H,3,FALSE()),IF(AND(A226=0,B226&lt;&gt;0,C226=0),VLOOKUP(B226,'3 - LISTA DE ESPÉCIES'!B:H,7,FALSE()),IF(AND(A226=0,B226=0,C226&lt;&gt;0),VLOOKUP(C226,'3 - LISTA DE ESPÉCIES'!C:H,6,FALSE()))))</f>
        <v>0</v>
      </c>
      <c r="H226" s="21" t="b">
        <f>IF(AND(A226&lt;&gt;0,B226=0,C226=0),VLOOKUP(A226,'3 - LISTA DE ESPÉCIES'!A:H,4,FALSE()),IF(AND(A226=0,B226&lt;&gt;0,C226=0),VLOOKUP(B226,'3 - LISTA DE ESPÉCIES'!B:H,3,FALSE()),IF(AND(A226=0,B226=0,C226&lt;&gt;0),VLOOKUP(C226,'3 - LISTA DE ESPÉCIES'!C:H,2,FALSE()))))</f>
        <v>0</v>
      </c>
      <c r="I226" s="21" t="b">
        <f>IF(AND(A226&lt;&gt;0,B226=0,C226=0),VLOOKUP(A226,'3 - LISTA DE ESPÉCIES'!A:H,5,FALSE()),IF(AND(A226=0,B226&lt;&gt;0,C226=0),VLOOKUP(B226,'3 - LISTA DE ESPÉCIES'!B:H,4,FALSE()),IF(AND(A226=0,B226=0,C226&lt;&gt;0),VLOOKUP(C226,'3 - LISTA DE ESPÉCIES'!C:H,3,FALSE()))))</f>
        <v>0</v>
      </c>
      <c r="J226" s="23"/>
      <c r="K226" s="23"/>
      <c r="L226" s="20"/>
      <c r="M226" s="20"/>
    </row>
    <row r="227" spans="1:13" x14ac:dyDescent="0.25">
      <c r="A227" s="20"/>
      <c r="B227" s="20"/>
      <c r="C227" s="20"/>
      <c r="E227" s="21" t="b">
        <f>IF(AND(A227&lt;&gt;0,B227=0,C227=0),VLOOKUP(A227,'3 - LISTA DE ESPÉCIES'!A:H,1,FALSE()),IF(AND(A227=0,B227&lt;&gt;0,C227=0),VLOOKUP(B227,'3 - LISTA DE ESPÉCIES'!B:H,5,FALSE()),IF(AND(A227=0,B227=0,C227&lt;&gt;0),VLOOKUP(C227,'3 - LISTA DE ESPÉCIES'!C:H,4,FALSE()))))</f>
        <v>0</v>
      </c>
      <c r="F227" s="21" t="b">
        <f>IF(AND(A227&lt;&gt;0,B227=0,C227=0),VLOOKUP(A227,'3 - LISTA DE ESPÉCIES'!A:H,2,FALSE()),IF(AND(A227=0,B227&lt;&gt;0,C227=0),VLOOKUP(B227,'3 - LISTA DE ESPÉCIES'!B:H,6,FALSE()),IF(AND(A227=0,B227=0,C227&lt;&gt;0),VLOOKUP(C227,'3 - LISTA DE ESPÉCIES'!C:H,5,FALSE()))))</f>
        <v>0</v>
      </c>
      <c r="G227" s="21" t="b">
        <f>IF(AND(A227&lt;&gt;0,B227=0,C227=0),VLOOKUP(A227,'3 - LISTA DE ESPÉCIES'!A:H,3,FALSE()),IF(AND(A227=0,B227&lt;&gt;0,C227=0),VLOOKUP(B227,'3 - LISTA DE ESPÉCIES'!B:H,7,FALSE()),IF(AND(A227=0,B227=0,C227&lt;&gt;0),VLOOKUP(C227,'3 - LISTA DE ESPÉCIES'!C:H,6,FALSE()))))</f>
        <v>0</v>
      </c>
      <c r="H227" s="21" t="b">
        <f>IF(AND(A227&lt;&gt;0,B227=0,C227=0),VLOOKUP(A227,'3 - LISTA DE ESPÉCIES'!A:H,4,FALSE()),IF(AND(A227=0,B227&lt;&gt;0,C227=0),VLOOKUP(B227,'3 - LISTA DE ESPÉCIES'!B:H,3,FALSE()),IF(AND(A227=0,B227=0,C227&lt;&gt;0),VLOOKUP(C227,'3 - LISTA DE ESPÉCIES'!C:H,2,FALSE()))))</f>
        <v>0</v>
      </c>
      <c r="I227" s="21" t="b">
        <f>IF(AND(A227&lt;&gt;0,B227=0,C227=0),VLOOKUP(A227,'3 - LISTA DE ESPÉCIES'!A:H,5,FALSE()),IF(AND(A227=0,B227&lt;&gt;0,C227=0),VLOOKUP(B227,'3 - LISTA DE ESPÉCIES'!B:H,4,FALSE()),IF(AND(A227=0,B227=0,C227&lt;&gt;0),VLOOKUP(C227,'3 - LISTA DE ESPÉCIES'!C:H,3,FALSE()))))</f>
        <v>0</v>
      </c>
      <c r="J227" s="23"/>
      <c r="K227" s="23"/>
      <c r="L227" s="20"/>
      <c r="M227" s="20"/>
    </row>
    <row r="228" spans="1:13" x14ac:dyDescent="0.25">
      <c r="A228" s="20"/>
      <c r="B228" s="20"/>
      <c r="C228" s="20"/>
      <c r="E228" s="21" t="b">
        <f>IF(AND(A228&lt;&gt;0,B228=0,C228=0),VLOOKUP(A228,'3 - LISTA DE ESPÉCIES'!A:H,1,FALSE()),IF(AND(A228=0,B228&lt;&gt;0,C228=0),VLOOKUP(B228,'3 - LISTA DE ESPÉCIES'!B:H,5,FALSE()),IF(AND(A228=0,B228=0,C228&lt;&gt;0),VLOOKUP(C228,'3 - LISTA DE ESPÉCIES'!C:H,4,FALSE()))))</f>
        <v>0</v>
      </c>
      <c r="F228" s="21" t="b">
        <f>IF(AND(A228&lt;&gt;0,B228=0,C228=0),VLOOKUP(A228,'3 - LISTA DE ESPÉCIES'!A:H,2,FALSE()),IF(AND(A228=0,B228&lt;&gt;0,C228=0),VLOOKUP(B228,'3 - LISTA DE ESPÉCIES'!B:H,6,FALSE()),IF(AND(A228=0,B228=0,C228&lt;&gt;0),VLOOKUP(C228,'3 - LISTA DE ESPÉCIES'!C:H,5,FALSE()))))</f>
        <v>0</v>
      </c>
      <c r="G228" s="21" t="b">
        <f>IF(AND(A228&lt;&gt;0,B228=0,C228=0),VLOOKUP(A228,'3 - LISTA DE ESPÉCIES'!A:H,3,FALSE()),IF(AND(A228=0,B228&lt;&gt;0,C228=0),VLOOKUP(B228,'3 - LISTA DE ESPÉCIES'!B:H,7,FALSE()),IF(AND(A228=0,B228=0,C228&lt;&gt;0),VLOOKUP(C228,'3 - LISTA DE ESPÉCIES'!C:H,6,FALSE()))))</f>
        <v>0</v>
      </c>
      <c r="H228" s="21" t="b">
        <f>IF(AND(A228&lt;&gt;0,B228=0,C228=0),VLOOKUP(A228,'3 - LISTA DE ESPÉCIES'!A:H,4,FALSE()),IF(AND(A228=0,B228&lt;&gt;0,C228=0),VLOOKUP(B228,'3 - LISTA DE ESPÉCIES'!B:H,3,FALSE()),IF(AND(A228=0,B228=0,C228&lt;&gt;0),VLOOKUP(C228,'3 - LISTA DE ESPÉCIES'!C:H,2,FALSE()))))</f>
        <v>0</v>
      </c>
      <c r="I228" s="21" t="b">
        <f>IF(AND(A228&lt;&gt;0,B228=0,C228=0),VLOOKUP(A228,'3 - LISTA DE ESPÉCIES'!A:H,5,FALSE()),IF(AND(A228=0,B228&lt;&gt;0,C228=0),VLOOKUP(B228,'3 - LISTA DE ESPÉCIES'!B:H,4,FALSE()),IF(AND(A228=0,B228=0,C228&lt;&gt;0),VLOOKUP(C228,'3 - LISTA DE ESPÉCIES'!C:H,3,FALSE()))))</f>
        <v>0</v>
      </c>
      <c r="J228" s="23"/>
      <c r="K228" s="23"/>
      <c r="L228" s="20"/>
      <c r="M228" s="20"/>
    </row>
    <row r="229" spans="1:13" x14ac:dyDescent="0.25">
      <c r="A229" s="20"/>
      <c r="B229" s="20"/>
      <c r="C229" s="20"/>
      <c r="E229" s="21" t="b">
        <f>IF(AND(A229&lt;&gt;0,B229=0,C229=0),VLOOKUP(A229,'3 - LISTA DE ESPÉCIES'!A:H,1,FALSE()),IF(AND(A229=0,B229&lt;&gt;0,C229=0),VLOOKUP(B229,'3 - LISTA DE ESPÉCIES'!B:H,5,FALSE()),IF(AND(A229=0,B229=0,C229&lt;&gt;0),VLOOKUP(C229,'3 - LISTA DE ESPÉCIES'!C:H,4,FALSE()))))</f>
        <v>0</v>
      </c>
      <c r="F229" s="21" t="b">
        <f>IF(AND(A229&lt;&gt;0,B229=0,C229=0),VLOOKUP(A229,'3 - LISTA DE ESPÉCIES'!A:H,2,FALSE()),IF(AND(A229=0,B229&lt;&gt;0,C229=0),VLOOKUP(B229,'3 - LISTA DE ESPÉCIES'!B:H,6,FALSE()),IF(AND(A229=0,B229=0,C229&lt;&gt;0),VLOOKUP(C229,'3 - LISTA DE ESPÉCIES'!C:H,5,FALSE()))))</f>
        <v>0</v>
      </c>
      <c r="G229" s="21" t="b">
        <f>IF(AND(A229&lt;&gt;0,B229=0,C229=0),VLOOKUP(A229,'3 - LISTA DE ESPÉCIES'!A:H,3,FALSE()),IF(AND(A229=0,B229&lt;&gt;0,C229=0),VLOOKUP(B229,'3 - LISTA DE ESPÉCIES'!B:H,7,FALSE()),IF(AND(A229=0,B229=0,C229&lt;&gt;0),VLOOKUP(C229,'3 - LISTA DE ESPÉCIES'!C:H,6,FALSE()))))</f>
        <v>0</v>
      </c>
      <c r="H229" s="21" t="b">
        <f>IF(AND(A229&lt;&gt;0,B229=0,C229=0),VLOOKUP(A229,'3 - LISTA DE ESPÉCIES'!A:H,4,FALSE()),IF(AND(A229=0,B229&lt;&gt;0,C229=0),VLOOKUP(B229,'3 - LISTA DE ESPÉCIES'!B:H,3,FALSE()),IF(AND(A229=0,B229=0,C229&lt;&gt;0),VLOOKUP(C229,'3 - LISTA DE ESPÉCIES'!C:H,2,FALSE()))))</f>
        <v>0</v>
      </c>
      <c r="I229" s="21" t="b">
        <f>IF(AND(A229&lt;&gt;0,B229=0,C229=0),VLOOKUP(A229,'3 - LISTA DE ESPÉCIES'!A:H,5,FALSE()),IF(AND(A229=0,B229&lt;&gt;0,C229=0),VLOOKUP(B229,'3 - LISTA DE ESPÉCIES'!B:H,4,FALSE()),IF(AND(A229=0,B229=0,C229&lt;&gt;0),VLOOKUP(C229,'3 - LISTA DE ESPÉCIES'!C:H,3,FALSE()))))</f>
        <v>0</v>
      </c>
      <c r="J229" s="23"/>
      <c r="K229" s="23"/>
      <c r="L229" s="20"/>
      <c r="M229" s="20"/>
    </row>
    <row r="230" spans="1:13" x14ac:dyDescent="0.25">
      <c r="A230" s="20"/>
      <c r="B230" s="20"/>
      <c r="C230" s="20"/>
      <c r="E230" s="21" t="b">
        <f>IF(AND(A230&lt;&gt;0,B230=0,C230=0),VLOOKUP(A230,'3 - LISTA DE ESPÉCIES'!A:H,1,FALSE()),IF(AND(A230=0,B230&lt;&gt;0,C230=0),VLOOKUP(B230,'3 - LISTA DE ESPÉCIES'!B:H,5,FALSE()),IF(AND(A230=0,B230=0,C230&lt;&gt;0),VLOOKUP(C230,'3 - LISTA DE ESPÉCIES'!C:H,4,FALSE()))))</f>
        <v>0</v>
      </c>
      <c r="F230" s="21" t="b">
        <f>IF(AND(A230&lt;&gt;0,B230=0,C230=0),VLOOKUP(A230,'3 - LISTA DE ESPÉCIES'!A:H,2,FALSE()),IF(AND(A230=0,B230&lt;&gt;0,C230=0),VLOOKUP(B230,'3 - LISTA DE ESPÉCIES'!B:H,6,FALSE()),IF(AND(A230=0,B230=0,C230&lt;&gt;0),VLOOKUP(C230,'3 - LISTA DE ESPÉCIES'!C:H,5,FALSE()))))</f>
        <v>0</v>
      </c>
      <c r="G230" s="21" t="b">
        <f>IF(AND(A230&lt;&gt;0,B230=0,C230=0),VLOOKUP(A230,'3 - LISTA DE ESPÉCIES'!A:H,3,FALSE()),IF(AND(A230=0,B230&lt;&gt;0,C230=0),VLOOKUP(B230,'3 - LISTA DE ESPÉCIES'!B:H,7,FALSE()),IF(AND(A230=0,B230=0,C230&lt;&gt;0),VLOOKUP(C230,'3 - LISTA DE ESPÉCIES'!C:H,6,FALSE()))))</f>
        <v>0</v>
      </c>
      <c r="H230" s="21" t="b">
        <f>IF(AND(A230&lt;&gt;0,B230=0,C230=0),VLOOKUP(A230,'3 - LISTA DE ESPÉCIES'!A:H,4,FALSE()),IF(AND(A230=0,B230&lt;&gt;0,C230=0),VLOOKUP(B230,'3 - LISTA DE ESPÉCIES'!B:H,3,FALSE()),IF(AND(A230=0,B230=0,C230&lt;&gt;0),VLOOKUP(C230,'3 - LISTA DE ESPÉCIES'!C:H,2,FALSE()))))</f>
        <v>0</v>
      </c>
      <c r="I230" s="21" t="b">
        <f>IF(AND(A230&lt;&gt;0,B230=0,C230=0),VLOOKUP(A230,'3 - LISTA DE ESPÉCIES'!A:H,5,FALSE()),IF(AND(A230=0,B230&lt;&gt;0,C230=0),VLOOKUP(B230,'3 - LISTA DE ESPÉCIES'!B:H,4,FALSE()),IF(AND(A230=0,B230=0,C230&lt;&gt;0),VLOOKUP(C230,'3 - LISTA DE ESPÉCIES'!C:H,3,FALSE()))))</f>
        <v>0</v>
      </c>
      <c r="J230" s="23"/>
      <c r="K230" s="23"/>
      <c r="L230" s="20"/>
      <c r="M230" s="20"/>
    </row>
    <row r="231" spans="1:13" x14ac:dyDescent="0.25">
      <c r="A231" s="20"/>
      <c r="B231" s="20"/>
      <c r="C231" s="20"/>
      <c r="E231" s="21" t="b">
        <f>IF(AND(A231&lt;&gt;0,B231=0,C231=0),VLOOKUP(A231,'3 - LISTA DE ESPÉCIES'!A:H,1,FALSE()),IF(AND(A231=0,B231&lt;&gt;0,C231=0),VLOOKUP(B231,'3 - LISTA DE ESPÉCIES'!B:H,5,FALSE()),IF(AND(A231=0,B231=0,C231&lt;&gt;0),VLOOKUP(C231,'3 - LISTA DE ESPÉCIES'!C:H,4,FALSE()))))</f>
        <v>0</v>
      </c>
      <c r="F231" s="21" t="b">
        <f>IF(AND(A231&lt;&gt;0,B231=0,C231=0),VLOOKUP(A231,'3 - LISTA DE ESPÉCIES'!A:H,2,FALSE()),IF(AND(A231=0,B231&lt;&gt;0,C231=0),VLOOKUP(B231,'3 - LISTA DE ESPÉCIES'!B:H,6,FALSE()),IF(AND(A231=0,B231=0,C231&lt;&gt;0),VLOOKUP(C231,'3 - LISTA DE ESPÉCIES'!C:H,5,FALSE()))))</f>
        <v>0</v>
      </c>
      <c r="G231" s="21" t="b">
        <f>IF(AND(A231&lt;&gt;0,B231=0,C231=0),VLOOKUP(A231,'3 - LISTA DE ESPÉCIES'!A:H,3,FALSE()),IF(AND(A231=0,B231&lt;&gt;0,C231=0),VLOOKUP(B231,'3 - LISTA DE ESPÉCIES'!B:H,7,FALSE()),IF(AND(A231=0,B231=0,C231&lt;&gt;0),VLOOKUP(C231,'3 - LISTA DE ESPÉCIES'!C:H,6,FALSE()))))</f>
        <v>0</v>
      </c>
      <c r="H231" s="21" t="b">
        <f>IF(AND(A231&lt;&gt;0,B231=0,C231=0),VLOOKUP(A231,'3 - LISTA DE ESPÉCIES'!A:H,4,FALSE()),IF(AND(A231=0,B231&lt;&gt;0,C231=0),VLOOKUP(B231,'3 - LISTA DE ESPÉCIES'!B:H,3,FALSE()),IF(AND(A231=0,B231=0,C231&lt;&gt;0),VLOOKUP(C231,'3 - LISTA DE ESPÉCIES'!C:H,2,FALSE()))))</f>
        <v>0</v>
      </c>
      <c r="I231" s="21" t="b">
        <f>IF(AND(A231&lt;&gt;0,B231=0,C231=0),VLOOKUP(A231,'3 - LISTA DE ESPÉCIES'!A:H,5,FALSE()),IF(AND(A231=0,B231&lt;&gt;0,C231=0),VLOOKUP(B231,'3 - LISTA DE ESPÉCIES'!B:H,4,FALSE()),IF(AND(A231=0,B231=0,C231&lt;&gt;0),VLOOKUP(C231,'3 - LISTA DE ESPÉCIES'!C:H,3,FALSE()))))</f>
        <v>0</v>
      </c>
      <c r="J231" s="23"/>
      <c r="K231" s="23"/>
      <c r="L231" s="20"/>
      <c r="M231" s="20"/>
    </row>
    <row r="232" spans="1:13" x14ac:dyDescent="0.25">
      <c r="A232" s="20"/>
      <c r="B232" s="20"/>
      <c r="C232" s="20"/>
      <c r="E232" s="21" t="b">
        <f>IF(AND(A232&lt;&gt;0,B232=0,C232=0),VLOOKUP(A232,'3 - LISTA DE ESPÉCIES'!A:H,1,FALSE()),IF(AND(A232=0,B232&lt;&gt;0,C232=0),VLOOKUP(B232,'3 - LISTA DE ESPÉCIES'!B:H,5,FALSE()),IF(AND(A232=0,B232=0,C232&lt;&gt;0),VLOOKUP(C232,'3 - LISTA DE ESPÉCIES'!C:H,4,FALSE()))))</f>
        <v>0</v>
      </c>
      <c r="F232" s="21" t="b">
        <f>IF(AND(A232&lt;&gt;0,B232=0,C232=0),VLOOKUP(A232,'3 - LISTA DE ESPÉCIES'!A:H,2,FALSE()),IF(AND(A232=0,B232&lt;&gt;0,C232=0),VLOOKUP(B232,'3 - LISTA DE ESPÉCIES'!B:H,6,FALSE()),IF(AND(A232=0,B232=0,C232&lt;&gt;0),VLOOKUP(C232,'3 - LISTA DE ESPÉCIES'!C:H,5,FALSE()))))</f>
        <v>0</v>
      </c>
      <c r="G232" s="21" t="b">
        <f>IF(AND(A232&lt;&gt;0,B232=0,C232=0),VLOOKUP(A232,'3 - LISTA DE ESPÉCIES'!A:H,3,FALSE()),IF(AND(A232=0,B232&lt;&gt;0,C232=0),VLOOKUP(B232,'3 - LISTA DE ESPÉCIES'!B:H,7,FALSE()),IF(AND(A232=0,B232=0,C232&lt;&gt;0),VLOOKUP(C232,'3 - LISTA DE ESPÉCIES'!C:H,6,FALSE()))))</f>
        <v>0</v>
      </c>
      <c r="H232" s="21" t="b">
        <f>IF(AND(A232&lt;&gt;0,B232=0,C232=0),VLOOKUP(A232,'3 - LISTA DE ESPÉCIES'!A:H,4,FALSE()),IF(AND(A232=0,B232&lt;&gt;0,C232=0),VLOOKUP(B232,'3 - LISTA DE ESPÉCIES'!B:H,3,FALSE()),IF(AND(A232=0,B232=0,C232&lt;&gt;0),VLOOKUP(C232,'3 - LISTA DE ESPÉCIES'!C:H,2,FALSE()))))</f>
        <v>0</v>
      </c>
      <c r="I232" s="21" t="b">
        <f>IF(AND(A232&lt;&gt;0,B232=0,C232=0),VLOOKUP(A232,'3 - LISTA DE ESPÉCIES'!A:H,5,FALSE()),IF(AND(A232=0,B232&lt;&gt;0,C232=0),VLOOKUP(B232,'3 - LISTA DE ESPÉCIES'!B:H,4,FALSE()),IF(AND(A232=0,B232=0,C232&lt;&gt;0),VLOOKUP(C232,'3 - LISTA DE ESPÉCIES'!C:H,3,FALSE()))))</f>
        <v>0</v>
      </c>
      <c r="J232" s="23"/>
      <c r="K232" s="23"/>
      <c r="L232" s="20"/>
      <c r="M232" s="20"/>
    </row>
    <row r="233" spans="1:13" x14ac:dyDescent="0.25">
      <c r="A233" s="20"/>
      <c r="B233" s="20"/>
      <c r="C233" s="20"/>
      <c r="E233" s="21" t="b">
        <f>IF(AND(A233&lt;&gt;0,B233=0,C233=0),VLOOKUP(A233,'3 - LISTA DE ESPÉCIES'!A:H,1,FALSE()),IF(AND(A233=0,B233&lt;&gt;0,C233=0),VLOOKUP(B233,'3 - LISTA DE ESPÉCIES'!B:H,5,FALSE()),IF(AND(A233=0,B233=0,C233&lt;&gt;0),VLOOKUP(C233,'3 - LISTA DE ESPÉCIES'!C:H,4,FALSE()))))</f>
        <v>0</v>
      </c>
      <c r="F233" s="21" t="b">
        <f>IF(AND(A233&lt;&gt;0,B233=0,C233=0),VLOOKUP(A233,'3 - LISTA DE ESPÉCIES'!A:H,2,FALSE()),IF(AND(A233=0,B233&lt;&gt;0,C233=0),VLOOKUP(B233,'3 - LISTA DE ESPÉCIES'!B:H,6,FALSE()),IF(AND(A233=0,B233=0,C233&lt;&gt;0),VLOOKUP(C233,'3 - LISTA DE ESPÉCIES'!C:H,5,FALSE()))))</f>
        <v>0</v>
      </c>
      <c r="G233" s="21" t="b">
        <f>IF(AND(A233&lt;&gt;0,B233=0,C233=0),VLOOKUP(A233,'3 - LISTA DE ESPÉCIES'!A:H,3,FALSE()),IF(AND(A233=0,B233&lt;&gt;0,C233=0),VLOOKUP(B233,'3 - LISTA DE ESPÉCIES'!B:H,7,FALSE()),IF(AND(A233=0,B233=0,C233&lt;&gt;0),VLOOKUP(C233,'3 - LISTA DE ESPÉCIES'!C:H,6,FALSE()))))</f>
        <v>0</v>
      </c>
      <c r="H233" s="21" t="b">
        <f>IF(AND(A233&lt;&gt;0,B233=0,C233=0),VLOOKUP(A233,'3 - LISTA DE ESPÉCIES'!A:H,4,FALSE()),IF(AND(A233=0,B233&lt;&gt;0,C233=0),VLOOKUP(B233,'3 - LISTA DE ESPÉCIES'!B:H,3,FALSE()),IF(AND(A233=0,B233=0,C233&lt;&gt;0),VLOOKUP(C233,'3 - LISTA DE ESPÉCIES'!C:H,2,FALSE()))))</f>
        <v>0</v>
      </c>
      <c r="I233" s="21" t="b">
        <f>IF(AND(A233&lt;&gt;0,B233=0,C233=0),VLOOKUP(A233,'3 - LISTA DE ESPÉCIES'!A:H,5,FALSE()),IF(AND(A233=0,B233&lt;&gt;0,C233=0),VLOOKUP(B233,'3 - LISTA DE ESPÉCIES'!B:H,4,FALSE()),IF(AND(A233=0,B233=0,C233&lt;&gt;0),VLOOKUP(C233,'3 - LISTA DE ESPÉCIES'!C:H,3,FALSE()))))</f>
        <v>0</v>
      </c>
      <c r="J233" s="23"/>
      <c r="K233" s="23"/>
      <c r="L233" s="20"/>
      <c r="M233" s="20"/>
    </row>
    <row r="234" spans="1:13" x14ac:dyDescent="0.25">
      <c r="A234" s="20"/>
      <c r="B234" s="20"/>
      <c r="C234" s="20"/>
      <c r="E234" s="21" t="b">
        <f>IF(AND(A234&lt;&gt;0,B234=0,C234=0),VLOOKUP(A234,'3 - LISTA DE ESPÉCIES'!A:H,1,FALSE()),IF(AND(A234=0,B234&lt;&gt;0,C234=0),VLOOKUP(B234,'3 - LISTA DE ESPÉCIES'!B:H,5,FALSE()),IF(AND(A234=0,B234=0,C234&lt;&gt;0),VLOOKUP(C234,'3 - LISTA DE ESPÉCIES'!C:H,4,FALSE()))))</f>
        <v>0</v>
      </c>
      <c r="F234" s="21" t="b">
        <f>IF(AND(A234&lt;&gt;0,B234=0,C234=0),VLOOKUP(A234,'3 - LISTA DE ESPÉCIES'!A:H,2,FALSE()),IF(AND(A234=0,B234&lt;&gt;0,C234=0),VLOOKUP(B234,'3 - LISTA DE ESPÉCIES'!B:H,6,FALSE()),IF(AND(A234=0,B234=0,C234&lt;&gt;0),VLOOKUP(C234,'3 - LISTA DE ESPÉCIES'!C:H,5,FALSE()))))</f>
        <v>0</v>
      </c>
      <c r="G234" s="21" t="b">
        <f>IF(AND(A234&lt;&gt;0,B234=0,C234=0),VLOOKUP(A234,'3 - LISTA DE ESPÉCIES'!A:H,3,FALSE()),IF(AND(A234=0,B234&lt;&gt;0,C234=0),VLOOKUP(B234,'3 - LISTA DE ESPÉCIES'!B:H,7,FALSE()),IF(AND(A234=0,B234=0,C234&lt;&gt;0),VLOOKUP(C234,'3 - LISTA DE ESPÉCIES'!C:H,6,FALSE()))))</f>
        <v>0</v>
      </c>
      <c r="H234" s="21" t="b">
        <f>IF(AND(A234&lt;&gt;0,B234=0,C234=0),VLOOKUP(A234,'3 - LISTA DE ESPÉCIES'!A:H,4,FALSE()),IF(AND(A234=0,B234&lt;&gt;0,C234=0),VLOOKUP(B234,'3 - LISTA DE ESPÉCIES'!B:H,3,FALSE()),IF(AND(A234=0,B234=0,C234&lt;&gt;0),VLOOKUP(C234,'3 - LISTA DE ESPÉCIES'!C:H,2,FALSE()))))</f>
        <v>0</v>
      </c>
      <c r="I234" s="21" t="b">
        <f>IF(AND(A234&lt;&gt;0,B234=0,C234=0),VLOOKUP(A234,'3 - LISTA DE ESPÉCIES'!A:H,5,FALSE()),IF(AND(A234=0,B234&lt;&gt;0,C234=0),VLOOKUP(B234,'3 - LISTA DE ESPÉCIES'!B:H,4,FALSE()),IF(AND(A234=0,B234=0,C234&lt;&gt;0),VLOOKUP(C234,'3 - LISTA DE ESPÉCIES'!C:H,3,FALSE()))))</f>
        <v>0</v>
      </c>
      <c r="J234" s="23"/>
      <c r="K234" s="23"/>
      <c r="L234" s="20"/>
      <c r="M234" s="20"/>
    </row>
    <row r="235" spans="1:13" x14ac:dyDescent="0.25">
      <c r="A235" s="20"/>
      <c r="B235" s="20"/>
      <c r="C235" s="20"/>
      <c r="E235" s="21" t="b">
        <f>IF(AND(A235&lt;&gt;0,B235=0,C235=0),VLOOKUP(A235,'3 - LISTA DE ESPÉCIES'!A:H,1,FALSE()),IF(AND(A235=0,B235&lt;&gt;0,C235=0),VLOOKUP(B235,'3 - LISTA DE ESPÉCIES'!B:H,5,FALSE()),IF(AND(A235=0,B235=0,C235&lt;&gt;0),VLOOKUP(C235,'3 - LISTA DE ESPÉCIES'!C:H,4,FALSE()))))</f>
        <v>0</v>
      </c>
      <c r="F235" s="21" t="b">
        <f>IF(AND(A235&lt;&gt;0,B235=0,C235=0),VLOOKUP(A235,'3 - LISTA DE ESPÉCIES'!A:H,2,FALSE()),IF(AND(A235=0,B235&lt;&gt;0,C235=0),VLOOKUP(B235,'3 - LISTA DE ESPÉCIES'!B:H,6,FALSE()),IF(AND(A235=0,B235=0,C235&lt;&gt;0),VLOOKUP(C235,'3 - LISTA DE ESPÉCIES'!C:H,5,FALSE()))))</f>
        <v>0</v>
      </c>
      <c r="G235" s="21" t="b">
        <f>IF(AND(A235&lt;&gt;0,B235=0,C235=0),VLOOKUP(A235,'3 - LISTA DE ESPÉCIES'!A:H,3,FALSE()),IF(AND(A235=0,B235&lt;&gt;0,C235=0),VLOOKUP(B235,'3 - LISTA DE ESPÉCIES'!B:H,7,FALSE()),IF(AND(A235=0,B235=0,C235&lt;&gt;0),VLOOKUP(C235,'3 - LISTA DE ESPÉCIES'!C:H,6,FALSE()))))</f>
        <v>0</v>
      </c>
      <c r="H235" s="21" t="b">
        <f>IF(AND(A235&lt;&gt;0,B235=0,C235=0),VLOOKUP(A235,'3 - LISTA DE ESPÉCIES'!A:H,4,FALSE()),IF(AND(A235=0,B235&lt;&gt;0,C235=0),VLOOKUP(B235,'3 - LISTA DE ESPÉCIES'!B:H,3,FALSE()),IF(AND(A235=0,B235=0,C235&lt;&gt;0),VLOOKUP(C235,'3 - LISTA DE ESPÉCIES'!C:H,2,FALSE()))))</f>
        <v>0</v>
      </c>
      <c r="I235" s="21" t="b">
        <f>IF(AND(A235&lt;&gt;0,B235=0,C235=0),VLOOKUP(A235,'3 - LISTA DE ESPÉCIES'!A:H,5,FALSE()),IF(AND(A235=0,B235&lt;&gt;0,C235=0),VLOOKUP(B235,'3 - LISTA DE ESPÉCIES'!B:H,4,FALSE()),IF(AND(A235=0,B235=0,C235&lt;&gt;0),VLOOKUP(C235,'3 - LISTA DE ESPÉCIES'!C:H,3,FALSE()))))</f>
        <v>0</v>
      </c>
      <c r="J235" s="23"/>
      <c r="K235" s="23"/>
      <c r="L235" s="20"/>
      <c r="M235" s="20"/>
    </row>
    <row r="236" spans="1:13" x14ac:dyDescent="0.25">
      <c r="A236" s="20"/>
      <c r="B236" s="20"/>
      <c r="C236" s="20"/>
      <c r="E236" s="21" t="b">
        <f>IF(AND(A236&lt;&gt;0,B236=0,C236=0),VLOOKUP(A236,'3 - LISTA DE ESPÉCIES'!A:H,1,FALSE()),IF(AND(A236=0,B236&lt;&gt;0,C236=0),VLOOKUP(B236,'3 - LISTA DE ESPÉCIES'!B:H,5,FALSE()),IF(AND(A236=0,B236=0,C236&lt;&gt;0),VLOOKUP(C236,'3 - LISTA DE ESPÉCIES'!C:H,4,FALSE()))))</f>
        <v>0</v>
      </c>
      <c r="F236" s="21" t="b">
        <f>IF(AND(A236&lt;&gt;0,B236=0,C236=0),VLOOKUP(A236,'3 - LISTA DE ESPÉCIES'!A:H,2,FALSE()),IF(AND(A236=0,B236&lt;&gt;0,C236=0),VLOOKUP(B236,'3 - LISTA DE ESPÉCIES'!B:H,6,FALSE()),IF(AND(A236=0,B236=0,C236&lt;&gt;0),VLOOKUP(C236,'3 - LISTA DE ESPÉCIES'!C:H,5,FALSE()))))</f>
        <v>0</v>
      </c>
      <c r="G236" s="21" t="b">
        <f>IF(AND(A236&lt;&gt;0,B236=0,C236=0),VLOOKUP(A236,'3 - LISTA DE ESPÉCIES'!A:H,3,FALSE()),IF(AND(A236=0,B236&lt;&gt;0,C236=0),VLOOKUP(B236,'3 - LISTA DE ESPÉCIES'!B:H,7,FALSE()),IF(AND(A236=0,B236=0,C236&lt;&gt;0),VLOOKUP(C236,'3 - LISTA DE ESPÉCIES'!C:H,6,FALSE()))))</f>
        <v>0</v>
      </c>
      <c r="H236" s="21" t="b">
        <f>IF(AND(A236&lt;&gt;0,B236=0,C236=0),VLOOKUP(A236,'3 - LISTA DE ESPÉCIES'!A:H,4,FALSE()),IF(AND(A236=0,B236&lt;&gt;0,C236=0),VLOOKUP(B236,'3 - LISTA DE ESPÉCIES'!B:H,3,FALSE()),IF(AND(A236=0,B236=0,C236&lt;&gt;0),VLOOKUP(C236,'3 - LISTA DE ESPÉCIES'!C:H,2,FALSE()))))</f>
        <v>0</v>
      </c>
      <c r="I236" s="21" t="b">
        <f>IF(AND(A236&lt;&gt;0,B236=0,C236=0),VLOOKUP(A236,'3 - LISTA DE ESPÉCIES'!A:H,5,FALSE()),IF(AND(A236=0,B236&lt;&gt;0,C236=0),VLOOKUP(B236,'3 - LISTA DE ESPÉCIES'!B:H,4,FALSE()),IF(AND(A236=0,B236=0,C236&lt;&gt;0),VLOOKUP(C236,'3 - LISTA DE ESPÉCIES'!C:H,3,FALSE()))))</f>
        <v>0</v>
      </c>
      <c r="J236" s="23"/>
      <c r="K236" s="23"/>
      <c r="L236" s="20"/>
      <c r="M236" s="20"/>
    </row>
    <row r="237" spans="1:13" x14ac:dyDescent="0.25">
      <c r="A237" s="20"/>
      <c r="B237" s="20"/>
      <c r="C237" s="20"/>
      <c r="E237" s="21" t="b">
        <f>IF(AND(A237&lt;&gt;0,B237=0,C237=0),VLOOKUP(A237,'3 - LISTA DE ESPÉCIES'!A:H,1,FALSE()),IF(AND(A237=0,B237&lt;&gt;0,C237=0),VLOOKUP(B237,'3 - LISTA DE ESPÉCIES'!B:H,5,FALSE()),IF(AND(A237=0,B237=0,C237&lt;&gt;0),VLOOKUP(C237,'3 - LISTA DE ESPÉCIES'!C:H,4,FALSE()))))</f>
        <v>0</v>
      </c>
      <c r="F237" s="21" t="b">
        <f>IF(AND(A237&lt;&gt;0,B237=0,C237=0),VLOOKUP(A237,'3 - LISTA DE ESPÉCIES'!A:H,2,FALSE()),IF(AND(A237=0,B237&lt;&gt;0,C237=0),VLOOKUP(B237,'3 - LISTA DE ESPÉCIES'!B:H,6,FALSE()),IF(AND(A237=0,B237=0,C237&lt;&gt;0),VLOOKUP(C237,'3 - LISTA DE ESPÉCIES'!C:H,5,FALSE()))))</f>
        <v>0</v>
      </c>
      <c r="G237" s="21" t="b">
        <f>IF(AND(A237&lt;&gt;0,B237=0,C237=0),VLOOKUP(A237,'3 - LISTA DE ESPÉCIES'!A:H,3,FALSE()),IF(AND(A237=0,B237&lt;&gt;0,C237=0),VLOOKUP(B237,'3 - LISTA DE ESPÉCIES'!B:H,7,FALSE()),IF(AND(A237=0,B237=0,C237&lt;&gt;0),VLOOKUP(C237,'3 - LISTA DE ESPÉCIES'!C:H,6,FALSE()))))</f>
        <v>0</v>
      </c>
      <c r="H237" s="21" t="b">
        <f>IF(AND(A237&lt;&gt;0,B237=0,C237=0),VLOOKUP(A237,'3 - LISTA DE ESPÉCIES'!A:H,4,FALSE()),IF(AND(A237=0,B237&lt;&gt;0,C237=0),VLOOKUP(B237,'3 - LISTA DE ESPÉCIES'!B:H,3,FALSE()),IF(AND(A237=0,B237=0,C237&lt;&gt;0),VLOOKUP(C237,'3 - LISTA DE ESPÉCIES'!C:H,2,FALSE()))))</f>
        <v>0</v>
      </c>
      <c r="I237" s="21" t="b">
        <f>IF(AND(A237&lt;&gt;0,B237=0,C237=0),VLOOKUP(A237,'3 - LISTA DE ESPÉCIES'!A:H,5,FALSE()),IF(AND(A237=0,B237&lt;&gt;0,C237=0),VLOOKUP(B237,'3 - LISTA DE ESPÉCIES'!B:H,4,FALSE()),IF(AND(A237=0,B237=0,C237&lt;&gt;0),VLOOKUP(C237,'3 - LISTA DE ESPÉCIES'!C:H,3,FALSE()))))</f>
        <v>0</v>
      </c>
      <c r="J237" s="23"/>
      <c r="K237" s="23"/>
      <c r="L237" s="20"/>
      <c r="M237" s="20"/>
    </row>
    <row r="238" spans="1:13" x14ac:dyDescent="0.25">
      <c r="A238" s="20"/>
      <c r="B238" s="20"/>
      <c r="C238" s="20"/>
      <c r="E238" s="21" t="b">
        <f>IF(AND(A238&lt;&gt;0,B238=0,C238=0),VLOOKUP(A238,'3 - LISTA DE ESPÉCIES'!A:H,1,FALSE()),IF(AND(A238=0,B238&lt;&gt;0,C238=0),VLOOKUP(B238,'3 - LISTA DE ESPÉCIES'!B:H,5,FALSE()),IF(AND(A238=0,B238=0,C238&lt;&gt;0),VLOOKUP(C238,'3 - LISTA DE ESPÉCIES'!C:H,4,FALSE()))))</f>
        <v>0</v>
      </c>
      <c r="F238" s="21" t="b">
        <f>IF(AND(A238&lt;&gt;0,B238=0,C238=0),VLOOKUP(A238,'3 - LISTA DE ESPÉCIES'!A:H,2,FALSE()),IF(AND(A238=0,B238&lt;&gt;0,C238=0),VLOOKUP(B238,'3 - LISTA DE ESPÉCIES'!B:H,6,FALSE()),IF(AND(A238=0,B238=0,C238&lt;&gt;0),VLOOKUP(C238,'3 - LISTA DE ESPÉCIES'!C:H,5,FALSE()))))</f>
        <v>0</v>
      </c>
      <c r="G238" s="21" t="b">
        <f>IF(AND(A238&lt;&gt;0,B238=0,C238=0),VLOOKUP(A238,'3 - LISTA DE ESPÉCIES'!A:H,3,FALSE()),IF(AND(A238=0,B238&lt;&gt;0,C238=0),VLOOKUP(B238,'3 - LISTA DE ESPÉCIES'!B:H,7,FALSE()),IF(AND(A238=0,B238=0,C238&lt;&gt;0),VLOOKUP(C238,'3 - LISTA DE ESPÉCIES'!C:H,6,FALSE()))))</f>
        <v>0</v>
      </c>
      <c r="H238" s="21" t="b">
        <f>IF(AND(A238&lt;&gt;0,B238=0,C238=0),VLOOKUP(A238,'3 - LISTA DE ESPÉCIES'!A:H,4,FALSE()),IF(AND(A238=0,B238&lt;&gt;0,C238=0),VLOOKUP(B238,'3 - LISTA DE ESPÉCIES'!B:H,3,FALSE()),IF(AND(A238=0,B238=0,C238&lt;&gt;0),VLOOKUP(C238,'3 - LISTA DE ESPÉCIES'!C:H,2,FALSE()))))</f>
        <v>0</v>
      </c>
      <c r="I238" s="21" t="b">
        <f>IF(AND(A238&lt;&gt;0,B238=0,C238=0),VLOOKUP(A238,'3 - LISTA DE ESPÉCIES'!A:H,5,FALSE()),IF(AND(A238=0,B238&lt;&gt;0,C238=0),VLOOKUP(B238,'3 - LISTA DE ESPÉCIES'!B:H,4,FALSE()),IF(AND(A238=0,B238=0,C238&lt;&gt;0),VLOOKUP(C238,'3 - LISTA DE ESPÉCIES'!C:H,3,FALSE()))))</f>
        <v>0</v>
      </c>
      <c r="J238" s="23"/>
      <c r="K238" s="23"/>
      <c r="L238" s="20"/>
      <c r="M238" s="20"/>
    </row>
    <row r="239" spans="1:13" x14ac:dyDescent="0.25">
      <c r="A239" s="20"/>
      <c r="B239" s="20"/>
      <c r="C239" s="20"/>
      <c r="E239" s="21" t="b">
        <f>IF(AND(A239&lt;&gt;0,B239=0,C239=0),VLOOKUP(A239,'3 - LISTA DE ESPÉCIES'!A:H,1,FALSE()),IF(AND(A239=0,B239&lt;&gt;0,C239=0),VLOOKUP(B239,'3 - LISTA DE ESPÉCIES'!B:H,5,FALSE()),IF(AND(A239=0,B239=0,C239&lt;&gt;0),VLOOKUP(C239,'3 - LISTA DE ESPÉCIES'!C:H,4,FALSE()))))</f>
        <v>0</v>
      </c>
      <c r="F239" s="21" t="b">
        <f>IF(AND(A239&lt;&gt;0,B239=0,C239=0),VLOOKUP(A239,'3 - LISTA DE ESPÉCIES'!A:H,2,FALSE()),IF(AND(A239=0,B239&lt;&gt;0,C239=0),VLOOKUP(B239,'3 - LISTA DE ESPÉCIES'!B:H,6,FALSE()),IF(AND(A239=0,B239=0,C239&lt;&gt;0),VLOOKUP(C239,'3 - LISTA DE ESPÉCIES'!C:H,5,FALSE()))))</f>
        <v>0</v>
      </c>
      <c r="G239" s="21" t="b">
        <f>IF(AND(A239&lt;&gt;0,B239=0,C239=0),VLOOKUP(A239,'3 - LISTA DE ESPÉCIES'!A:H,3,FALSE()),IF(AND(A239=0,B239&lt;&gt;0,C239=0),VLOOKUP(B239,'3 - LISTA DE ESPÉCIES'!B:H,7,FALSE()),IF(AND(A239=0,B239=0,C239&lt;&gt;0),VLOOKUP(C239,'3 - LISTA DE ESPÉCIES'!C:H,6,FALSE()))))</f>
        <v>0</v>
      </c>
      <c r="H239" s="21" t="b">
        <f>IF(AND(A239&lt;&gt;0,B239=0,C239=0),VLOOKUP(A239,'3 - LISTA DE ESPÉCIES'!A:H,4,FALSE()),IF(AND(A239=0,B239&lt;&gt;0,C239=0),VLOOKUP(B239,'3 - LISTA DE ESPÉCIES'!B:H,3,FALSE()),IF(AND(A239=0,B239=0,C239&lt;&gt;0),VLOOKUP(C239,'3 - LISTA DE ESPÉCIES'!C:H,2,FALSE()))))</f>
        <v>0</v>
      </c>
      <c r="I239" s="21" t="b">
        <f>IF(AND(A239&lt;&gt;0,B239=0,C239=0),VLOOKUP(A239,'3 - LISTA DE ESPÉCIES'!A:H,5,FALSE()),IF(AND(A239=0,B239&lt;&gt;0,C239=0),VLOOKUP(B239,'3 - LISTA DE ESPÉCIES'!B:H,4,FALSE()),IF(AND(A239=0,B239=0,C239&lt;&gt;0),VLOOKUP(C239,'3 - LISTA DE ESPÉCIES'!C:H,3,FALSE()))))</f>
        <v>0</v>
      </c>
      <c r="J239" s="23"/>
      <c r="K239" s="23"/>
      <c r="L239" s="20"/>
      <c r="M239" s="20"/>
    </row>
    <row r="240" spans="1:13" x14ac:dyDescent="0.25">
      <c r="A240" s="20"/>
      <c r="B240" s="20"/>
      <c r="C240" s="20"/>
      <c r="E240" s="21" t="b">
        <f>IF(AND(A240&lt;&gt;0,B240=0,C240=0),VLOOKUP(A240,'3 - LISTA DE ESPÉCIES'!A:H,1,FALSE()),IF(AND(A240=0,B240&lt;&gt;0,C240=0),VLOOKUP(B240,'3 - LISTA DE ESPÉCIES'!B:H,5,FALSE()),IF(AND(A240=0,B240=0,C240&lt;&gt;0),VLOOKUP(C240,'3 - LISTA DE ESPÉCIES'!C:H,4,FALSE()))))</f>
        <v>0</v>
      </c>
      <c r="F240" s="21" t="b">
        <f>IF(AND(A240&lt;&gt;0,B240=0,C240=0),VLOOKUP(A240,'3 - LISTA DE ESPÉCIES'!A:H,2,FALSE()),IF(AND(A240=0,B240&lt;&gt;0,C240=0),VLOOKUP(B240,'3 - LISTA DE ESPÉCIES'!B:H,6,FALSE()),IF(AND(A240=0,B240=0,C240&lt;&gt;0),VLOOKUP(C240,'3 - LISTA DE ESPÉCIES'!C:H,5,FALSE()))))</f>
        <v>0</v>
      </c>
      <c r="G240" s="21" t="b">
        <f>IF(AND(A240&lt;&gt;0,B240=0,C240=0),VLOOKUP(A240,'3 - LISTA DE ESPÉCIES'!A:H,3,FALSE()),IF(AND(A240=0,B240&lt;&gt;0,C240=0),VLOOKUP(B240,'3 - LISTA DE ESPÉCIES'!B:H,7,FALSE()),IF(AND(A240=0,B240=0,C240&lt;&gt;0),VLOOKUP(C240,'3 - LISTA DE ESPÉCIES'!C:H,6,FALSE()))))</f>
        <v>0</v>
      </c>
      <c r="H240" s="21" t="b">
        <f>IF(AND(A240&lt;&gt;0,B240=0,C240=0),VLOOKUP(A240,'3 - LISTA DE ESPÉCIES'!A:H,4,FALSE()),IF(AND(A240=0,B240&lt;&gt;0,C240=0),VLOOKUP(B240,'3 - LISTA DE ESPÉCIES'!B:H,3,FALSE()),IF(AND(A240=0,B240=0,C240&lt;&gt;0),VLOOKUP(C240,'3 - LISTA DE ESPÉCIES'!C:H,2,FALSE()))))</f>
        <v>0</v>
      </c>
      <c r="I240" s="21" t="b">
        <f>IF(AND(A240&lt;&gt;0,B240=0,C240=0),VLOOKUP(A240,'3 - LISTA DE ESPÉCIES'!A:H,5,FALSE()),IF(AND(A240=0,B240&lt;&gt;0,C240=0),VLOOKUP(B240,'3 - LISTA DE ESPÉCIES'!B:H,4,FALSE()),IF(AND(A240=0,B240=0,C240&lt;&gt;0),VLOOKUP(C240,'3 - LISTA DE ESPÉCIES'!C:H,3,FALSE()))))</f>
        <v>0</v>
      </c>
      <c r="J240" s="23"/>
      <c r="K240" s="23"/>
      <c r="L240" s="20"/>
      <c r="M240" s="20"/>
    </row>
    <row r="241" spans="1:13" x14ac:dyDescent="0.25">
      <c r="A241" s="20"/>
      <c r="B241" s="20"/>
      <c r="C241" s="20"/>
      <c r="E241" s="21" t="b">
        <f>IF(AND(A241&lt;&gt;0,B241=0,C241=0),VLOOKUP(A241,'3 - LISTA DE ESPÉCIES'!A:H,1,FALSE()),IF(AND(A241=0,B241&lt;&gt;0,C241=0),VLOOKUP(B241,'3 - LISTA DE ESPÉCIES'!B:H,5,FALSE()),IF(AND(A241=0,B241=0,C241&lt;&gt;0),VLOOKUP(C241,'3 - LISTA DE ESPÉCIES'!C:H,4,FALSE()))))</f>
        <v>0</v>
      </c>
      <c r="F241" s="21" t="b">
        <f>IF(AND(A241&lt;&gt;0,B241=0,C241=0),VLOOKUP(A241,'3 - LISTA DE ESPÉCIES'!A:H,2,FALSE()),IF(AND(A241=0,B241&lt;&gt;0,C241=0),VLOOKUP(B241,'3 - LISTA DE ESPÉCIES'!B:H,6,FALSE()),IF(AND(A241=0,B241=0,C241&lt;&gt;0),VLOOKUP(C241,'3 - LISTA DE ESPÉCIES'!C:H,5,FALSE()))))</f>
        <v>0</v>
      </c>
      <c r="G241" s="21" t="b">
        <f>IF(AND(A241&lt;&gt;0,B241=0,C241=0),VLOOKUP(A241,'3 - LISTA DE ESPÉCIES'!A:H,3,FALSE()),IF(AND(A241=0,B241&lt;&gt;0,C241=0),VLOOKUP(B241,'3 - LISTA DE ESPÉCIES'!B:H,7,FALSE()),IF(AND(A241=0,B241=0,C241&lt;&gt;0),VLOOKUP(C241,'3 - LISTA DE ESPÉCIES'!C:H,6,FALSE()))))</f>
        <v>0</v>
      </c>
      <c r="H241" s="21" t="b">
        <f>IF(AND(A241&lt;&gt;0,B241=0,C241=0),VLOOKUP(A241,'3 - LISTA DE ESPÉCIES'!A:H,4,FALSE()),IF(AND(A241=0,B241&lt;&gt;0,C241=0),VLOOKUP(B241,'3 - LISTA DE ESPÉCIES'!B:H,3,FALSE()),IF(AND(A241=0,B241=0,C241&lt;&gt;0),VLOOKUP(C241,'3 - LISTA DE ESPÉCIES'!C:H,2,FALSE()))))</f>
        <v>0</v>
      </c>
      <c r="I241" s="21" t="b">
        <f>IF(AND(A241&lt;&gt;0,B241=0,C241=0),VLOOKUP(A241,'3 - LISTA DE ESPÉCIES'!A:H,5,FALSE()),IF(AND(A241=0,B241&lt;&gt;0,C241=0),VLOOKUP(B241,'3 - LISTA DE ESPÉCIES'!B:H,4,FALSE()),IF(AND(A241=0,B241=0,C241&lt;&gt;0),VLOOKUP(C241,'3 - LISTA DE ESPÉCIES'!C:H,3,FALSE()))))</f>
        <v>0</v>
      </c>
      <c r="J241" s="23"/>
      <c r="K241" s="23"/>
      <c r="L241" s="20"/>
      <c r="M241" s="20"/>
    </row>
    <row r="242" spans="1:13" x14ac:dyDescent="0.25">
      <c r="A242" s="20"/>
      <c r="B242" s="20"/>
      <c r="C242" s="20"/>
      <c r="E242" s="21" t="b">
        <f>IF(AND(A242&lt;&gt;0,B242=0,C242=0),VLOOKUP(A242,'3 - LISTA DE ESPÉCIES'!A:H,1,FALSE()),IF(AND(A242=0,B242&lt;&gt;0,C242=0),VLOOKUP(B242,'3 - LISTA DE ESPÉCIES'!B:H,5,FALSE()),IF(AND(A242=0,B242=0,C242&lt;&gt;0),VLOOKUP(C242,'3 - LISTA DE ESPÉCIES'!C:H,4,FALSE()))))</f>
        <v>0</v>
      </c>
      <c r="F242" s="21" t="b">
        <f>IF(AND(A242&lt;&gt;0,B242=0,C242=0),VLOOKUP(A242,'3 - LISTA DE ESPÉCIES'!A:H,2,FALSE()),IF(AND(A242=0,B242&lt;&gt;0,C242=0),VLOOKUP(B242,'3 - LISTA DE ESPÉCIES'!B:H,6,FALSE()),IF(AND(A242=0,B242=0,C242&lt;&gt;0),VLOOKUP(C242,'3 - LISTA DE ESPÉCIES'!C:H,5,FALSE()))))</f>
        <v>0</v>
      </c>
      <c r="G242" s="21" t="b">
        <f>IF(AND(A242&lt;&gt;0,B242=0,C242=0),VLOOKUP(A242,'3 - LISTA DE ESPÉCIES'!A:H,3,FALSE()),IF(AND(A242=0,B242&lt;&gt;0,C242=0),VLOOKUP(B242,'3 - LISTA DE ESPÉCIES'!B:H,7,FALSE()),IF(AND(A242=0,B242=0,C242&lt;&gt;0),VLOOKUP(C242,'3 - LISTA DE ESPÉCIES'!C:H,6,FALSE()))))</f>
        <v>0</v>
      </c>
      <c r="H242" s="21" t="b">
        <f>IF(AND(A242&lt;&gt;0,B242=0,C242=0),VLOOKUP(A242,'3 - LISTA DE ESPÉCIES'!A:H,4,FALSE()),IF(AND(A242=0,B242&lt;&gt;0,C242=0),VLOOKUP(B242,'3 - LISTA DE ESPÉCIES'!B:H,3,FALSE()),IF(AND(A242=0,B242=0,C242&lt;&gt;0),VLOOKUP(C242,'3 - LISTA DE ESPÉCIES'!C:H,2,FALSE()))))</f>
        <v>0</v>
      </c>
      <c r="I242" s="21" t="b">
        <f>IF(AND(A242&lt;&gt;0,B242=0,C242=0),VLOOKUP(A242,'3 - LISTA DE ESPÉCIES'!A:H,5,FALSE()),IF(AND(A242=0,B242&lt;&gt;0,C242=0),VLOOKUP(B242,'3 - LISTA DE ESPÉCIES'!B:H,4,FALSE()),IF(AND(A242=0,B242=0,C242&lt;&gt;0),VLOOKUP(C242,'3 - LISTA DE ESPÉCIES'!C:H,3,FALSE()))))</f>
        <v>0</v>
      </c>
      <c r="J242" s="23"/>
      <c r="K242" s="23"/>
      <c r="L242" s="20"/>
      <c r="M242" s="20"/>
    </row>
    <row r="243" spans="1:13" x14ac:dyDescent="0.25">
      <c r="A243" s="20"/>
      <c r="B243" s="20"/>
      <c r="C243" s="20"/>
      <c r="E243" s="21" t="b">
        <f>IF(AND(A243&lt;&gt;0,B243=0,C243=0),VLOOKUP(A243,'3 - LISTA DE ESPÉCIES'!A:H,1,FALSE()),IF(AND(A243=0,B243&lt;&gt;0,C243=0),VLOOKUP(B243,'3 - LISTA DE ESPÉCIES'!B:H,5,FALSE()),IF(AND(A243=0,B243=0,C243&lt;&gt;0),VLOOKUP(C243,'3 - LISTA DE ESPÉCIES'!C:H,4,FALSE()))))</f>
        <v>0</v>
      </c>
      <c r="F243" s="21" t="b">
        <f>IF(AND(A243&lt;&gt;0,B243=0,C243=0),VLOOKUP(A243,'3 - LISTA DE ESPÉCIES'!A:H,2,FALSE()),IF(AND(A243=0,B243&lt;&gt;0,C243=0),VLOOKUP(B243,'3 - LISTA DE ESPÉCIES'!B:H,6,FALSE()),IF(AND(A243=0,B243=0,C243&lt;&gt;0),VLOOKUP(C243,'3 - LISTA DE ESPÉCIES'!C:H,5,FALSE()))))</f>
        <v>0</v>
      </c>
      <c r="G243" s="21" t="b">
        <f>IF(AND(A243&lt;&gt;0,B243=0,C243=0),VLOOKUP(A243,'3 - LISTA DE ESPÉCIES'!A:H,3,FALSE()),IF(AND(A243=0,B243&lt;&gt;0,C243=0),VLOOKUP(B243,'3 - LISTA DE ESPÉCIES'!B:H,7,FALSE()),IF(AND(A243=0,B243=0,C243&lt;&gt;0),VLOOKUP(C243,'3 - LISTA DE ESPÉCIES'!C:H,6,FALSE()))))</f>
        <v>0</v>
      </c>
      <c r="H243" s="21" t="b">
        <f>IF(AND(A243&lt;&gt;0,B243=0,C243=0),VLOOKUP(A243,'3 - LISTA DE ESPÉCIES'!A:H,4,FALSE()),IF(AND(A243=0,B243&lt;&gt;0,C243=0),VLOOKUP(B243,'3 - LISTA DE ESPÉCIES'!B:H,3,FALSE()),IF(AND(A243=0,B243=0,C243&lt;&gt;0),VLOOKUP(C243,'3 - LISTA DE ESPÉCIES'!C:H,2,FALSE()))))</f>
        <v>0</v>
      </c>
      <c r="I243" s="21" t="b">
        <f>IF(AND(A243&lt;&gt;0,B243=0,C243=0),VLOOKUP(A243,'3 - LISTA DE ESPÉCIES'!A:H,5,FALSE()),IF(AND(A243=0,B243&lt;&gt;0,C243=0),VLOOKUP(B243,'3 - LISTA DE ESPÉCIES'!B:H,4,FALSE()),IF(AND(A243=0,B243=0,C243&lt;&gt;0),VLOOKUP(C243,'3 - LISTA DE ESPÉCIES'!C:H,3,FALSE()))))</f>
        <v>0</v>
      </c>
      <c r="J243" s="23"/>
      <c r="K243" s="23"/>
      <c r="L243" s="20"/>
      <c r="M243" s="20"/>
    </row>
    <row r="244" spans="1:13" x14ac:dyDescent="0.25">
      <c r="A244" s="20"/>
      <c r="B244" s="20"/>
      <c r="C244" s="20"/>
      <c r="E244" s="21" t="b">
        <f>IF(AND(A244&lt;&gt;0,B244=0,C244=0),VLOOKUP(A244,'3 - LISTA DE ESPÉCIES'!A:H,1,FALSE()),IF(AND(A244=0,B244&lt;&gt;0,C244=0),VLOOKUP(B244,'3 - LISTA DE ESPÉCIES'!B:H,5,FALSE()),IF(AND(A244=0,B244=0,C244&lt;&gt;0),VLOOKUP(C244,'3 - LISTA DE ESPÉCIES'!C:H,4,FALSE()))))</f>
        <v>0</v>
      </c>
      <c r="F244" s="21" t="b">
        <f>IF(AND(A244&lt;&gt;0,B244=0,C244=0),VLOOKUP(A244,'3 - LISTA DE ESPÉCIES'!A:H,2,FALSE()),IF(AND(A244=0,B244&lt;&gt;0,C244=0),VLOOKUP(B244,'3 - LISTA DE ESPÉCIES'!B:H,6,FALSE()),IF(AND(A244=0,B244=0,C244&lt;&gt;0),VLOOKUP(C244,'3 - LISTA DE ESPÉCIES'!C:H,5,FALSE()))))</f>
        <v>0</v>
      </c>
      <c r="G244" s="21" t="b">
        <f>IF(AND(A244&lt;&gt;0,B244=0,C244=0),VLOOKUP(A244,'3 - LISTA DE ESPÉCIES'!A:H,3,FALSE()),IF(AND(A244=0,B244&lt;&gt;0,C244=0),VLOOKUP(B244,'3 - LISTA DE ESPÉCIES'!B:H,7,FALSE()),IF(AND(A244=0,B244=0,C244&lt;&gt;0),VLOOKUP(C244,'3 - LISTA DE ESPÉCIES'!C:H,6,FALSE()))))</f>
        <v>0</v>
      </c>
      <c r="H244" s="21" t="b">
        <f>IF(AND(A244&lt;&gt;0,B244=0,C244=0),VLOOKUP(A244,'3 - LISTA DE ESPÉCIES'!A:H,4,FALSE()),IF(AND(A244=0,B244&lt;&gt;0,C244=0),VLOOKUP(B244,'3 - LISTA DE ESPÉCIES'!B:H,3,FALSE()),IF(AND(A244=0,B244=0,C244&lt;&gt;0),VLOOKUP(C244,'3 - LISTA DE ESPÉCIES'!C:H,2,FALSE()))))</f>
        <v>0</v>
      </c>
      <c r="I244" s="21" t="b">
        <f>IF(AND(A244&lt;&gt;0,B244=0,C244=0),VLOOKUP(A244,'3 - LISTA DE ESPÉCIES'!A:H,5,FALSE()),IF(AND(A244=0,B244&lt;&gt;0,C244=0),VLOOKUP(B244,'3 - LISTA DE ESPÉCIES'!B:H,4,FALSE()),IF(AND(A244=0,B244=0,C244&lt;&gt;0),VLOOKUP(C244,'3 - LISTA DE ESPÉCIES'!C:H,3,FALSE()))))</f>
        <v>0</v>
      </c>
      <c r="J244" s="23"/>
      <c r="K244" s="23"/>
      <c r="L244" s="20"/>
      <c r="M244" s="20"/>
    </row>
    <row r="245" spans="1:13" x14ac:dyDescent="0.25">
      <c r="A245" s="20"/>
      <c r="B245" s="20"/>
      <c r="C245" s="20"/>
      <c r="E245" s="21" t="b">
        <f>IF(AND(A245&lt;&gt;0,B245=0,C245=0),VLOOKUP(A245,'3 - LISTA DE ESPÉCIES'!A:H,1,FALSE()),IF(AND(A245=0,B245&lt;&gt;0,C245=0),VLOOKUP(B245,'3 - LISTA DE ESPÉCIES'!B:H,5,FALSE()),IF(AND(A245=0,B245=0,C245&lt;&gt;0),VLOOKUP(C245,'3 - LISTA DE ESPÉCIES'!C:H,4,FALSE()))))</f>
        <v>0</v>
      </c>
      <c r="F245" s="21" t="b">
        <f>IF(AND(A245&lt;&gt;0,B245=0,C245=0),VLOOKUP(A245,'3 - LISTA DE ESPÉCIES'!A:H,2,FALSE()),IF(AND(A245=0,B245&lt;&gt;0,C245=0),VLOOKUP(B245,'3 - LISTA DE ESPÉCIES'!B:H,6,FALSE()),IF(AND(A245=0,B245=0,C245&lt;&gt;0),VLOOKUP(C245,'3 - LISTA DE ESPÉCIES'!C:H,5,FALSE()))))</f>
        <v>0</v>
      </c>
      <c r="G245" s="21" t="b">
        <f>IF(AND(A245&lt;&gt;0,B245=0,C245=0),VLOOKUP(A245,'3 - LISTA DE ESPÉCIES'!A:H,3,FALSE()),IF(AND(A245=0,B245&lt;&gt;0,C245=0),VLOOKUP(B245,'3 - LISTA DE ESPÉCIES'!B:H,7,FALSE()),IF(AND(A245=0,B245=0,C245&lt;&gt;0),VLOOKUP(C245,'3 - LISTA DE ESPÉCIES'!C:H,6,FALSE()))))</f>
        <v>0</v>
      </c>
      <c r="H245" s="21" t="b">
        <f>IF(AND(A245&lt;&gt;0,B245=0,C245=0),VLOOKUP(A245,'3 - LISTA DE ESPÉCIES'!A:H,4,FALSE()),IF(AND(A245=0,B245&lt;&gt;0,C245=0),VLOOKUP(B245,'3 - LISTA DE ESPÉCIES'!B:H,3,FALSE()),IF(AND(A245=0,B245=0,C245&lt;&gt;0),VLOOKUP(C245,'3 - LISTA DE ESPÉCIES'!C:H,2,FALSE()))))</f>
        <v>0</v>
      </c>
      <c r="I245" s="21" t="b">
        <f>IF(AND(A245&lt;&gt;0,B245=0,C245=0),VLOOKUP(A245,'3 - LISTA DE ESPÉCIES'!A:H,5,FALSE()),IF(AND(A245=0,B245&lt;&gt;0,C245=0),VLOOKUP(B245,'3 - LISTA DE ESPÉCIES'!B:H,4,FALSE()),IF(AND(A245=0,B245=0,C245&lt;&gt;0),VLOOKUP(C245,'3 - LISTA DE ESPÉCIES'!C:H,3,FALSE()))))</f>
        <v>0</v>
      </c>
      <c r="J245" s="23"/>
      <c r="K245" s="23"/>
      <c r="L245" s="20"/>
      <c r="M245" s="20"/>
    </row>
    <row r="246" spans="1:13" x14ac:dyDescent="0.25">
      <c r="A246" s="20"/>
      <c r="B246" s="20"/>
      <c r="C246" s="20"/>
      <c r="E246" s="21" t="b">
        <f>IF(AND(A246&lt;&gt;0,B246=0,C246=0),VLOOKUP(A246,'3 - LISTA DE ESPÉCIES'!A:H,1,FALSE()),IF(AND(A246=0,B246&lt;&gt;0,C246=0),VLOOKUP(B246,'3 - LISTA DE ESPÉCIES'!B:H,5,FALSE()),IF(AND(A246=0,B246=0,C246&lt;&gt;0),VLOOKUP(C246,'3 - LISTA DE ESPÉCIES'!C:H,4,FALSE()))))</f>
        <v>0</v>
      </c>
      <c r="F246" s="21" t="b">
        <f>IF(AND(A246&lt;&gt;0,B246=0,C246=0),VLOOKUP(A246,'3 - LISTA DE ESPÉCIES'!A:H,2,FALSE()),IF(AND(A246=0,B246&lt;&gt;0,C246=0),VLOOKUP(B246,'3 - LISTA DE ESPÉCIES'!B:H,6,FALSE()),IF(AND(A246=0,B246=0,C246&lt;&gt;0),VLOOKUP(C246,'3 - LISTA DE ESPÉCIES'!C:H,5,FALSE()))))</f>
        <v>0</v>
      </c>
      <c r="G246" s="21" t="b">
        <f>IF(AND(A246&lt;&gt;0,B246=0,C246=0),VLOOKUP(A246,'3 - LISTA DE ESPÉCIES'!A:H,3,FALSE()),IF(AND(A246=0,B246&lt;&gt;0,C246=0),VLOOKUP(B246,'3 - LISTA DE ESPÉCIES'!B:H,7,FALSE()),IF(AND(A246=0,B246=0,C246&lt;&gt;0),VLOOKUP(C246,'3 - LISTA DE ESPÉCIES'!C:H,6,FALSE()))))</f>
        <v>0</v>
      </c>
      <c r="H246" s="21" t="b">
        <f>IF(AND(A246&lt;&gt;0,B246=0,C246=0),VLOOKUP(A246,'3 - LISTA DE ESPÉCIES'!A:H,4,FALSE()),IF(AND(A246=0,B246&lt;&gt;0,C246=0),VLOOKUP(B246,'3 - LISTA DE ESPÉCIES'!B:H,3,FALSE()),IF(AND(A246=0,B246=0,C246&lt;&gt;0),VLOOKUP(C246,'3 - LISTA DE ESPÉCIES'!C:H,2,FALSE()))))</f>
        <v>0</v>
      </c>
      <c r="I246" s="21" t="b">
        <f>IF(AND(A246&lt;&gt;0,B246=0,C246=0),VLOOKUP(A246,'3 - LISTA DE ESPÉCIES'!A:H,5,FALSE()),IF(AND(A246=0,B246&lt;&gt;0,C246=0),VLOOKUP(B246,'3 - LISTA DE ESPÉCIES'!B:H,4,FALSE()),IF(AND(A246=0,B246=0,C246&lt;&gt;0),VLOOKUP(C246,'3 - LISTA DE ESPÉCIES'!C:H,3,FALSE()))))</f>
        <v>0</v>
      </c>
      <c r="J246" s="23"/>
      <c r="K246" s="23"/>
      <c r="L246" s="20"/>
      <c r="M246" s="20"/>
    </row>
    <row r="247" spans="1:13" x14ac:dyDescent="0.25">
      <c r="A247" s="20"/>
      <c r="B247" s="20"/>
      <c r="C247" s="20"/>
      <c r="E247" s="21" t="b">
        <f>IF(AND(A247&lt;&gt;0,B247=0,C247=0),VLOOKUP(A247,'3 - LISTA DE ESPÉCIES'!A:H,1,FALSE()),IF(AND(A247=0,B247&lt;&gt;0,C247=0),VLOOKUP(B247,'3 - LISTA DE ESPÉCIES'!B:H,5,FALSE()),IF(AND(A247=0,B247=0,C247&lt;&gt;0),VLOOKUP(C247,'3 - LISTA DE ESPÉCIES'!C:H,4,FALSE()))))</f>
        <v>0</v>
      </c>
      <c r="F247" s="21" t="b">
        <f>IF(AND(A247&lt;&gt;0,B247=0,C247=0),VLOOKUP(A247,'3 - LISTA DE ESPÉCIES'!A:H,2,FALSE()),IF(AND(A247=0,B247&lt;&gt;0,C247=0),VLOOKUP(B247,'3 - LISTA DE ESPÉCIES'!B:H,6,FALSE()),IF(AND(A247=0,B247=0,C247&lt;&gt;0),VLOOKUP(C247,'3 - LISTA DE ESPÉCIES'!C:H,5,FALSE()))))</f>
        <v>0</v>
      </c>
      <c r="G247" s="21" t="b">
        <f>IF(AND(A247&lt;&gt;0,B247=0,C247=0),VLOOKUP(A247,'3 - LISTA DE ESPÉCIES'!A:H,3,FALSE()),IF(AND(A247=0,B247&lt;&gt;0,C247=0),VLOOKUP(B247,'3 - LISTA DE ESPÉCIES'!B:H,7,FALSE()),IF(AND(A247=0,B247=0,C247&lt;&gt;0),VLOOKUP(C247,'3 - LISTA DE ESPÉCIES'!C:H,6,FALSE()))))</f>
        <v>0</v>
      </c>
      <c r="H247" s="21" t="b">
        <f>IF(AND(A247&lt;&gt;0,B247=0,C247=0),VLOOKUP(A247,'3 - LISTA DE ESPÉCIES'!A:H,4,FALSE()),IF(AND(A247=0,B247&lt;&gt;0,C247=0),VLOOKUP(B247,'3 - LISTA DE ESPÉCIES'!B:H,3,FALSE()),IF(AND(A247=0,B247=0,C247&lt;&gt;0),VLOOKUP(C247,'3 - LISTA DE ESPÉCIES'!C:H,2,FALSE()))))</f>
        <v>0</v>
      </c>
      <c r="I247" s="21" t="b">
        <f>IF(AND(A247&lt;&gt;0,B247=0,C247=0),VLOOKUP(A247,'3 - LISTA DE ESPÉCIES'!A:H,5,FALSE()),IF(AND(A247=0,B247&lt;&gt;0,C247=0),VLOOKUP(B247,'3 - LISTA DE ESPÉCIES'!B:H,4,FALSE()),IF(AND(A247=0,B247=0,C247&lt;&gt;0),VLOOKUP(C247,'3 - LISTA DE ESPÉCIES'!C:H,3,FALSE()))))</f>
        <v>0</v>
      </c>
      <c r="J247" s="23"/>
      <c r="K247" s="23"/>
      <c r="L247" s="20"/>
      <c r="M247" s="20"/>
    </row>
    <row r="248" spans="1:13" x14ac:dyDescent="0.25">
      <c r="A248" s="20"/>
      <c r="B248" s="20"/>
      <c r="C248" s="20"/>
      <c r="E248" s="21" t="b">
        <f>IF(AND(A248&lt;&gt;0,B248=0,C248=0),VLOOKUP(A248,'3 - LISTA DE ESPÉCIES'!A:H,1,FALSE()),IF(AND(A248=0,B248&lt;&gt;0,C248=0),VLOOKUP(B248,'3 - LISTA DE ESPÉCIES'!B:H,5,FALSE()),IF(AND(A248=0,B248=0,C248&lt;&gt;0),VLOOKUP(C248,'3 - LISTA DE ESPÉCIES'!C:H,4,FALSE()))))</f>
        <v>0</v>
      </c>
      <c r="F248" s="21" t="b">
        <f>IF(AND(A248&lt;&gt;0,B248=0,C248=0),VLOOKUP(A248,'3 - LISTA DE ESPÉCIES'!A:H,2,FALSE()),IF(AND(A248=0,B248&lt;&gt;0,C248=0),VLOOKUP(B248,'3 - LISTA DE ESPÉCIES'!B:H,6,FALSE()),IF(AND(A248=0,B248=0,C248&lt;&gt;0),VLOOKUP(C248,'3 - LISTA DE ESPÉCIES'!C:H,5,FALSE()))))</f>
        <v>0</v>
      </c>
      <c r="G248" s="21" t="b">
        <f>IF(AND(A248&lt;&gt;0,B248=0,C248=0),VLOOKUP(A248,'3 - LISTA DE ESPÉCIES'!A:H,3,FALSE()),IF(AND(A248=0,B248&lt;&gt;0,C248=0),VLOOKUP(B248,'3 - LISTA DE ESPÉCIES'!B:H,7,FALSE()),IF(AND(A248=0,B248=0,C248&lt;&gt;0),VLOOKUP(C248,'3 - LISTA DE ESPÉCIES'!C:H,6,FALSE()))))</f>
        <v>0</v>
      </c>
      <c r="H248" s="21" t="b">
        <f>IF(AND(A248&lt;&gt;0,B248=0,C248=0),VLOOKUP(A248,'3 - LISTA DE ESPÉCIES'!A:H,4,FALSE()),IF(AND(A248=0,B248&lt;&gt;0,C248=0),VLOOKUP(B248,'3 - LISTA DE ESPÉCIES'!B:H,3,FALSE()),IF(AND(A248=0,B248=0,C248&lt;&gt;0),VLOOKUP(C248,'3 - LISTA DE ESPÉCIES'!C:H,2,FALSE()))))</f>
        <v>0</v>
      </c>
      <c r="I248" s="21" t="b">
        <f>IF(AND(A248&lt;&gt;0,B248=0,C248=0),VLOOKUP(A248,'3 - LISTA DE ESPÉCIES'!A:H,5,FALSE()),IF(AND(A248=0,B248&lt;&gt;0,C248=0),VLOOKUP(B248,'3 - LISTA DE ESPÉCIES'!B:H,4,FALSE()),IF(AND(A248=0,B248=0,C248&lt;&gt;0),VLOOKUP(C248,'3 - LISTA DE ESPÉCIES'!C:H,3,FALSE()))))</f>
        <v>0</v>
      </c>
      <c r="J248" s="23"/>
      <c r="K248" s="23"/>
      <c r="L248" s="20"/>
      <c r="M248" s="20"/>
    </row>
    <row r="249" spans="1:13" x14ac:dyDescent="0.25">
      <c r="A249" s="20"/>
      <c r="B249" s="20"/>
      <c r="C249" s="20"/>
      <c r="E249" s="21" t="b">
        <f>IF(AND(A249&lt;&gt;0,B249=0,C249=0),VLOOKUP(A249,'3 - LISTA DE ESPÉCIES'!A:H,1,FALSE()),IF(AND(A249=0,B249&lt;&gt;0,C249=0),VLOOKUP(B249,'3 - LISTA DE ESPÉCIES'!B:H,5,FALSE()),IF(AND(A249=0,B249=0,C249&lt;&gt;0),VLOOKUP(C249,'3 - LISTA DE ESPÉCIES'!C:H,4,FALSE()))))</f>
        <v>0</v>
      </c>
      <c r="F249" s="21" t="b">
        <f>IF(AND(A249&lt;&gt;0,B249=0,C249=0),VLOOKUP(A249,'3 - LISTA DE ESPÉCIES'!A:H,2,FALSE()),IF(AND(A249=0,B249&lt;&gt;0,C249=0),VLOOKUP(B249,'3 - LISTA DE ESPÉCIES'!B:H,6,FALSE()),IF(AND(A249=0,B249=0,C249&lt;&gt;0),VLOOKUP(C249,'3 - LISTA DE ESPÉCIES'!C:H,5,FALSE()))))</f>
        <v>0</v>
      </c>
      <c r="G249" s="21" t="b">
        <f>IF(AND(A249&lt;&gt;0,B249=0,C249=0),VLOOKUP(A249,'3 - LISTA DE ESPÉCIES'!A:H,3,FALSE()),IF(AND(A249=0,B249&lt;&gt;0,C249=0),VLOOKUP(B249,'3 - LISTA DE ESPÉCIES'!B:H,7,FALSE()),IF(AND(A249=0,B249=0,C249&lt;&gt;0),VLOOKUP(C249,'3 - LISTA DE ESPÉCIES'!C:H,6,FALSE()))))</f>
        <v>0</v>
      </c>
      <c r="H249" s="21" t="b">
        <f>IF(AND(A249&lt;&gt;0,B249=0,C249=0),VLOOKUP(A249,'3 - LISTA DE ESPÉCIES'!A:H,4,FALSE()),IF(AND(A249=0,B249&lt;&gt;0,C249=0),VLOOKUP(B249,'3 - LISTA DE ESPÉCIES'!B:H,3,FALSE()),IF(AND(A249=0,B249=0,C249&lt;&gt;0),VLOOKUP(C249,'3 - LISTA DE ESPÉCIES'!C:H,2,FALSE()))))</f>
        <v>0</v>
      </c>
      <c r="I249" s="21" t="b">
        <f>IF(AND(A249&lt;&gt;0,B249=0,C249=0),VLOOKUP(A249,'3 - LISTA DE ESPÉCIES'!A:H,5,FALSE()),IF(AND(A249=0,B249&lt;&gt;0,C249=0),VLOOKUP(B249,'3 - LISTA DE ESPÉCIES'!B:H,4,FALSE()),IF(AND(A249=0,B249=0,C249&lt;&gt;0),VLOOKUP(C249,'3 - LISTA DE ESPÉCIES'!C:H,3,FALSE()))))</f>
        <v>0</v>
      </c>
      <c r="J249" s="23"/>
      <c r="K249" s="23"/>
      <c r="L249" s="20"/>
      <c r="M249" s="20"/>
    </row>
    <row r="250" spans="1:13" x14ac:dyDescent="0.25">
      <c r="A250" s="20"/>
      <c r="B250" s="20"/>
      <c r="C250" s="20"/>
      <c r="E250" s="21" t="b">
        <f>IF(AND(A250&lt;&gt;0,B250=0,C250=0),VLOOKUP(A250,'3 - LISTA DE ESPÉCIES'!A:H,1,FALSE()),IF(AND(A250=0,B250&lt;&gt;0,C250=0),VLOOKUP(B250,'3 - LISTA DE ESPÉCIES'!B:H,5,FALSE()),IF(AND(A250=0,B250=0,C250&lt;&gt;0),VLOOKUP(C250,'3 - LISTA DE ESPÉCIES'!C:H,4,FALSE()))))</f>
        <v>0</v>
      </c>
      <c r="F250" s="21" t="b">
        <f>IF(AND(A250&lt;&gt;0,B250=0,C250=0),VLOOKUP(A250,'3 - LISTA DE ESPÉCIES'!A:H,2,FALSE()),IF(AND(A250=0,B250&lt;&gt;0,C250=0),VLOOKUP(B250,'3 - LISTA DE ESPÉCIES'!B:H,6,FALSE()),IF(AND(A250=0,B250=0,C250&lt;&gt;0),VLOOKUP(C250,'3 - LISTA DE ESPÉCIES'!C:H,5,FALSE()))))</f>
        <v>0</v>
      </c>
      <c r="G250" s="21" t="b">
        <f>IF(AND(A250&lt;&gt;0,B250=0,C250=0),VLOOKUP(A250,'3 - LISTA DE ESPÉCIES'!A:H,3,FALSE()),IF(AND(A250=0,B250&lt;&gt;0,C250=0),VLOOKUP(B250,'3 - LISTA DE ESPÉCIES'!B:H,7,FALSE()),IF(AND(A250=0,B250=0,C250&lt;&gt;0),VLOOKUP(C250,'3 - LISTA DE ESPÉCIES'!C:H,6,FALSE()))))</f>
        <v>0</v>
      </c>
      <c r="H250" s="21" t="b">
        <f>IF(AND(A250&lt;&gt;0,B250=0,C250=0),VLOOKUP(A250,'3 - LISTA DE ESPÉCIES'!A:H,4,FALSE()),IF(AND(A250=0,B250&lt;&gt;0,C250=0),VLOOKUP(B250,'3 - LISTA DE ESPÉCIES'!B:H,3,FALSE()),IF(AND(A250=0,B250=0,C250&lt;&gt;0),VLOOKUP(C250,'3 - LISTA DE ESPÉCIES'!C:H,2,FALSE()))))</f>
        <v>0</v>
      </c>
      <c r="I250" s="21" t="b">
        <f>IF(AND(A250&lt;&gt;0,B250=0,C250=0),VLOOKUP(A250,'3 - LISTA DE ESPÉCIES'!A:H,5,FALSE()),IF(AND(A250=0,B250&lt;&gt;0,C250=0),VLOOKUP(B250,'3 - LISTA DE ESPÉCIES'!B:H,4,FALSE()),IF(AND(A250=0,B250=0,C250&lt;&gt;0),VLOOKUP(C250,'3 - LISTA DE ESPÉCIES'!C:H,3,FALSE()))))</f>
        <v>0</v>
      </c>
      <c r="J250" s="23"/>
      <c r="K250" s="23"/>
      <c r="L250" s="20"/>
      <c r="M250" s="20"/>
    </row>
    <row r="251" spans="1:13" x14ac:dyDescent="0.25">
      <c r="A251" s="20"/>
      <c r="B251" s="20"/>
      <c r="C251" s="20"/>
      <c r="E251" s="21" t="b">
        <f>IF(AND(A251&lt;&gt;0,B251=0,C251=0),VLOOKUP(A251,'3 - LISTA DE ESPÉCIES'!A:H,1,FALSE()),IF(AND(A251=0,B251&lt;&gt;0,C251=0),VLOOKUP(B251,'3 - LISTA DE ESPÉCIES'!B:H,5,FALSE()),IF(AND(A251=0,B251=0,C251&lt;&gt;0),VLOOKUP(C251,'3 - LISTA DE ESPÉCIES'!C:H,4,FALSE()))))</f>
        <v>0</v>
      </c>
      <c r="F251" s="21" t="b">
        <f>IF(AND(A251&lt;&gt;0,B251=0,C251=0),VLOOKUP(A251,'3 - LISTA DE ESPÉCIES'!A:H,2,FALSE()),IF(AND(A251=0,B251&lt;&gt;0,C251=0),VLOOKUP(B251,'3 - LISTA DE ESPÉCIES'!B:H,6,FALSE()),IF(AND(A251=0,B251=0,C251&lt;&gt;0),VLOOKUP(C251,'3 - LISTA DE ESPÉCIES'!C:H,5,FALSE()))))</f>
        <v>0</v>
      </c>
      <c r="G251" s="21" t="b">
        <f>IF(AND(A251&lt;&gt;0,B251=0,C251=0),VLOOKUP(A251,'3 - LISTA DE ESPÉCIES'!A:H,3,FALSE()),IF(AND(A251=0,B251&lt;&gt;0,C251=0),VLOOKUP(B251,'3 - LISTA DE ESPÉCIES'!B:H,7,FALSE()),IF(AND(A251=0,B251=0,C251&lt;&gt;0),VLOOKUP(C251,'3 - LISTA DE ESPÉCIES'!C:H,6,FALSE()))))</f>
        <v>0</v>
      </c>
      <c r="H251" s="21" t="b">
        <f>IF(AND(A251&lt;&gt;0,B251=0,C251=0),VLOOKUP(A251,'3 - LISTA DE ESPÉCIES'!A:H,4,FALSE()),IF(AND(A251=0,B251&lt;&gt;0,C251=0),VLOOKUP(B251,'3 - LISTA DE ESPÉCIES'!B:H,3,FALSE()),IF(AND(A251=0,B251=0,C251&lt;&gt;0),VLOOKUP(C251,'3 - LISTA DE ESPÉCIES'!C:H,2,FALSE()))))</f>
        <v>0</v>
      </c>
      <c r="I251" s="21" t="b">
        <f>IF(AND(A251&lt;&gt;0,B251=0,C251=0),VLOOKUP(A251,'3 - LISTA DE ESPÉCIES'!A:H,5,FALSE()),IF(AND(A251=0,B251&lt;&gt;0,C251=0),VLOOKUP(B251,'3 - LISTA DE ESPÉCIES'!B:H,4,FALSE()),IF(AND(A251=0,B251=0,C251&lt;&gt;0),VLOOKUP(C251,'3 - LISTA DE ESPÉCIES'!C:H,3,FALSE()))))</f>
        <v>0</v>
      </c>
      <c r="J251" s="23"/>
      <c r="K251" s="23"/>
      <c r="L251" s="20"/>
      <c r="M251" s="20"/>
    </row>
    <row r="252" spans="1:13" x14ac:dyDescent="0.25">
      <c r="A252" s="20"/>
      <c r="B252" s="20"/>
      <c r="C252" s="20"/>
      <c r="E252" s="21" t="b">
        <f>IF(AND(A252&lt;&gt;0,B252=0,C252=0),VLOOKUP(A252,'3 - LISTA DE ESPÉCIES'!A:H,1,FALSE()),IF(AND(A252=0,B252&lt;&gt;0,C252=0),VLOOKUP(B252,'3 - LISTA DE ESPÉCIES'!B:H,5,FALSE()),IF(AND(A252=0,B252=0,C252&lt;&gt;0),VLOOKUP(C252,'3 - LISTA DE ESPÉCIES'!C:H,4,FALSE()))))</f>
        <v>0</v>
      </c>
      <c r="F252" s="21" t="b">
        <f>IF(AND(A252&lt;&gt;0,B252=0,C252=0),VLOOKUP(A252,'3 - LISTA DE ESPÉCIES'!A:H,2,FALSE()),IF(AND(A252=0,B252&lt;&gt;0,C252=0),VLOOKUP(B252,'3 - LISTA DE ESPÉCIES'!B:H,6,FALSE()),IF(AND(A252=0,B252=0,C252&lt;&gt;0),VLOOKUP(C252,'3 - LISTA DE ESPÉCIES'!C:H,5,FALSE()))))</f>
        <v>0</v>
      </c>
      <c r="G252" s="21" t="b">
        <f>IF(AND(A252&lt;&gt;0,B252=0,C252=0),VLOOKUP(A252,'3 - LISTA DE ESPÉCIES'!A:H,3,FALSE()),IF(AND(A252=0,B252&lt;&gt;0,C252=0),VLOOKUP(B252,'3 - LISTA DE ESPÉCIES'!B:H,7,FALSE()),IF(AND(A252=0,B252=0,C252&lt;&gt;0),VLOOKUP(C252,'3 - LISTA DE ESPÉCIES'!C:H,6,FALSE()))))</f>
        <v>0</v>
      </c>
      <c r="H252" s="21" t="b">
        <f>IF(AND(A252&lt;&gt;0,B252=0,C252=0),VLOOKUP(A252,'3 - LISTA DE ESPÉCIES'!A:H,4,FALSE()),IF(AND(A252=0,B252&lt;&gt;0,C252=0),VLOOKUP(B252,'3 - LISTA DE ESPÉCIES'!B:H,3,FALSE()),IF(AND(A252=0,B252=0,C252&lt;&gt;0),VLOOKUP(C252,'3 - LISTA DE ESPÉCIES'!C:H,2,FALSE()))))</f>
        <v>0</v>
      </c>
      <c r="I252" s="21" t="b">
        <f>IF(AND(A252&lt;&gt;0,B252=0,C252=0),VLOOKUP(A252,'3 - LISTA DE ESPÉCIES'!A:H,5,FALSE()),IF(AND(A252=0,B252&lt;&gt;0,C252=0),VLOOKUP(B252,'3 - LISTA DE ESPÉCIES'!B:H,4,FALSE()),IF(AND(A252=0,B252=0,C252&lt;&gt;0),VLOOKUP(C252,'3 - LISTA DE ESPÉCIES'!C:H,3,FALSE()))))</f>
        <v>0</v>
      </c>
      <c r="J252" s="23"/>
      <c r="K252" s="23"/>
      <c r="L252" s="20"/>
      <c r="M252" s="20"/>
    </row>
    <row r="253" spans="1:13" x14ac:dyDescent="0.25">
      <c r="A253" s="20"/>
      <c r="B253" s="20"/>
      <c r="C253" s="20"/>
      <c r="E253" s="21" t="b">
        <f>IF(AND(A253&lt;&gt;0,B253=0,C253=0),VLOOKUP(A253,'3 - LISTA DE ESPÉCIES'!A:H,1,FALSE()),IF(AND(A253=0,B253&lt;&gt;0,C253=0),VLOOKUP(B253,'3 - LISTA DE ESPÉCIES'!B:H,5,FALSE()),IF(AND(A253=0,B253=0,C253&lt;&gt;0),VLOOKUP(C253,'3 - LISTA DE ESPÉCIES'!C:H,4,FALSE()))))</f>
        <v>0</v>
      </c>
      <c r="F253" s="21" t="b">
        <f>IF(AND(A253&lt;&gt;0,B253=0,C253=0),VLOOKUP(A253,'3 - LISTA DE ESPÉCIES'!A:H,2,FALSE()),IF(AND(A253=0,B253&lt;&gt;0,C253=0),VLOOKUP(B253,'3 - LISTA DE ESPÉCIES'!B:H,6,FALSE()),IF(AND(A253=0,B253=0,C253&lt;&gt;0),VLOOKUP(C253,'3 - LISTA DE ESPÉCIES'!C:H,5,FALSE()))))</f>
        <v>0</v>
      </c>
      <c r="G253" s="21" t="b">
        <f>IF(AND(A253&lt;&gt;0,B253=0,C253=0),VLOOKUP(A253,'3 - LISTA DE ESPÉCIES'!A:H,3,FALSE()),IF(AND(A253=0,B253&lt;&gt;0,C253=0),VLOOKUP(B253,'3 - LISTA DE ESPÉCIES'!B:H,7,FALSE()),IF(AND(A253=0,B253=0,C253&lt;&gt;0),VLOOKUP(C253,'3 - LISTA DE ESPÉCIES'!C:H,6,FALSE()))))</f>
        <v>0</v>
      </c>
      <c r="H253" s="21" t="b">
        <f>IF(AND(A253&lt;&gt;0,B253=0,C253=0),VLOOKUP(A253,'3 - LISTA DE ESPÉCIES'!A:H,4,FALSE()),IF(AND(A253=0,B253&lt;&gt;0,C253=0),VLOOKUP(B253,'3 - LISTA DE ESPÉCIES'!B:H,3,FALSE()),IF(AND(A253=0,B253=0,C253&lt;&gt;0),VLOOKUP(C253,'3 - LISTA DE ESPÉCIES'!C:H,2,FALSE()))))</f>
        <v>0</v>
      </c>
      <c r="I253" s="21" t="b">
        <f>IF(AND(A253&lt;&gt;0,B253=0,C253=0),VLOOKUP(A253,'3 - LISTA DE ESPÉCIES'!A:H,5,FALSE()),IF(AND(A253=0,B253&lt;&gt;0,C253=0),VLOOKUP(B253,'3 - LISTA DE ESPÉCIES'!B:H,4,FALSE()),IF(AND(A253=0,B253=0,C253&lt;&gt;0),VLOOKUP(C253,'3 - LISTA DE ESPÉCIES'!C:H,3,FALSE()))))</f>
        <v>0</v>
      </c>
      <c r="J253" s="23"/>
      <c r="K253" s="23"/>
      <c r="L253" s="20"/>
      <c r="M253" s="20"/>
    </row>
    <row r="254" spans="1:13" x14ac:dyDescent="0.25">
      <c r="A254" s="20"/>
      <c r="B254" s="20"/>
      <c r="C254" s="20"/>
      <c r="E254" s="21" t="b">
        <f>IF(AND(A254&lt;&gt;0,B254=0,C254=0),VLOOKUP(A254,'3 - LISTA DE ESPÉCIES'!A:H,1,FALSE()),IF(AND(A254=0,B254&lt;&gt;0,C254=0),VLOOKUP(B254,'3 - LISTA DE ESPÉCIES'!B:H,5,FALSE()),IF(AND(A254=0,B254=0,C254&lt;&gt;0),VLOOKUP(C254,'3 - LISTA DE ESPÉCIES'!C:H,4,FALSE()))))</f>
        <v>0</v>
      </c>
      <c r="F254" s="21" t="b">
        <f>IF(AND(A254&lt;&gt;0,B254=0,C254=0),VLOOKUP(A254,'3 - LISTA DE ESPÉCIES'!A:H,2,FALSE()),IF(AND(A254=0,B254&lt;&gt;0,C254=0),VLOOKUP(B254,'3 - LISTA DE ESPÉCIES'!B:H,6,FALSE()),IF(AND(A254=0,B254=0,C254&lt;&gt;0),VLOOKUP(C254,'3 - LISTA DE ESPÉCIES'!C:H,5,FALSE()))))</f>
        <v>0</v>
      </c>
      <c r="G254" s="21" t="b">
        <f>IF(AND(A254&lt;&gt;0,B254=0,C254=0),VLOOKUP(A254,'3 - LISTA DE ESPÉCIES'!A:H,3,FALSE()),IF(AND(A254=0,B254&lt;&gt;0,C254=0),VLOOKUP(B254,'3 - LISTA DE ESPÉCIES'!B:H,7,FALSE()),IF(AND(A254=0,B254=0,C254&lt;&gt;0),VLOOKUP(C254,'3 - LISTA DE ESPÉCIES'!C:H,6,FALSE()))))</f>
        <v>0</v>
      </c>
      <c r="H254" s="21" t="b">
        <f>IF(AND(A254&lt;&gt;0,B254=0,C254=0),VLOOKUP(A254,'3 - LISTA DE ESPÉCIES'!A:H,4,FALSE()),IF(AND(A254=0,B254&lt;&gt;0,C254=0),VLOOKUP(B254,'3 - LISTA DE ESPÉCIES'!B:H,3,FALSE()),IF(AND(A254=0,B254=0,C254&lt;&gt;0),VLOOKUP(C254,'3 - LISTA DE ESPÉCIES'!C:H,2,FALSE()))))</f>
        <v>0</v>
      </c>
      <c r="I254" s="21" t="b">
        <f>IF(AND(A254&lt;&gt;0,B254=0,C254=0),VLOOKUP(A254,'3 - LISTA DE ESPÉCIES'!A:H,5,FALSE()),IF(AND(A254=0,B254&lt;&gt;0,C254=0),VLOOKUP(B254,'3 - LISTA DE ESPÉCIES'!B:H,4,FALSE()),IF(AND(A254=0,B254=0,C254&lt;&gt;0),VLOOKUP(C254,'3 - LISTA DE ESPÉCIES'!C:H,3,FALSE()))))</f>
        <v>0</v>
      </c>
      <c r="J254" s="23"/>
      <c r="K254" s="23"/>
      <c r="L254" s="20"/>
      <c r="M254" s="20"/>
    </row>
    <row r="255" spans="1:13" x14ac:dyDescent="0.25">
      <c r="A255" s="20"/>
      <c r="B255" s="20"/>
      <c r="C255" s="20"/>
      <c r="E255" s="21" t="b">
        <f>IF(AND(A255&lt;&gt;0,B255=0,C255=0),VLOOKUP(A255,'3 - LISTA DE ESPÉCIES'!A:H,1,FALSE()),IF(AND(A255=0,B255&lt;&gt;0,C255=0),VLOOKUP(B255,'3 - LISTA DE ESPÉCIES'!B:H,5,FALSE()),IF(AND(A255=0,B255=0,C255&lt;&gt;0),VLOOKUP(C255,'3 - LISTA DE ESPÉCIES'!C:H,4,FALSE()))))</f>
        <v>0</v>
      </c>
      <c r="F255" s="21" t="b">
        <f>IF(AND(A255&lt;&gt;0,B255=0,C255=0),VLOOKUP(A255,'3 - LISTA DE ESPÉCIES'!A:H,2,FALSE()),IF(AND(A255=0,B255&lt;&gt;0,C255=0),VLOOKUP(B255,'3 - LISTA DE ESPÉCIES'!B:H,6,FALSE()),IF(AND(A255=0,B255=0,C255&lt;&gt;0),VLOOKUP(C255,'3 - LISTA DE ESPÉCIES'!C:H,5,FALSE()))))</f>
        <v>0</v>
      </c>
      <c r="G255" s="21" t="b">
        <f>IF(AND(A255&lt;&gt;0,B255=0,C255=0),VLOOKUP(A255,'3 - LISTA DE ESPÉCIES'!A:H,3,FALSE()),IF(AND(A255=0,B255&lt;&gt;0,C255=0),VLOOKUP(B255,'3 - LISTA DE ESPÉCIES'!B:H,7,FALSE()),IF(AND(A255=0,B255=0,C255&lt;&gt;0),VLOOKUP(C255,'3 - LISTA DE ESPÉCIES'!C:H,6,FALSE()))))</f>
        <v>0</v>
      </c>
      <c r="H255" s="21" t="b">
        <f>IF(AND(A255&lt;&gt;0,B255=0,C255=0),VLOOKUP(A255,'3 - LISTA DE ESPÉCIES'!A:H,4,FALSE()),IF(AND(A255=0,B255&lt;&gt;0,C255=0),VLOOKUP(B255,'3 - LISTA DE ESPÉCIES'!B:H,3,FALSE()),IF(AND(A255=0,B255=0,C255&lt;&gt;0),VLOOKUP(C255,'3 - LISTA DE ESPÉCIES'!C:H,2,FALSE()))))</f>
        <v>0</v>
      </c>
      <c r="I255" s="21" t="b">
        <f>IF(AND(A255&lt;&gt;0,B255=0,C255=0),VLOOKUP(A255,'3 - LISTA DE ESPÉCIES'!A:H,5,FALSE()),IF(AND(A255=0,B255&lt;&gt;0,C255=0),VLOOKUP(B255,'3 - LISTA DE ESPÉCIES'!B:H,4,FALSE()),IF(AND(A255=0,B255=0,C255&lt;&gt;0),VLOOKUP(C255,'3 - LISTA DE ESPÉCIES'!C:H,3,FALSE()))))</f>
        <v>0</v>
      </c>
      <c r="J255" s="23"/>
      <c r="K255" s="23"/>
      <c r="L255" s="20"/>
      <c r="M255" s="20"/>
    </row>
    <row r="256" spans="1:13" x14ac:dyDescent="0.25">
      <c r="A256" s="20"/>
      <c r="B256" s="20"/>
      <c r="C256" s="20"/>
      <c r="E256" s="21" t="b">
        <f>IF(AND(A256&lt;&gt;0,B256=0,C256=0),VLOOKUP(A256,'3 - LISTA DE ESPÉCIES'!A:H,1,FALSE()),IF(AND(A256=0,B256&lt;&gt;0,C256=0),VLOOKUP(B256,'3 - LISTA DE ESPÉCIES'!B:H,5,FALSE()),IF(AND(A256=0,B256=0,C256&lt;&gt;0),VLOOKUP(C256,'3 - LISTA DE ESPÉCIES'!C:H,4,FALSE()))))</f>
        <v>0</v>
      </c>
      <c r="F256" s="21" t="b">
        <f>IF(AND(A256&lt;&gt;0,B256=0,C256=0),VLOOKUP(A256,'3 - LISTA DE ESPÉCIES'!A:H,2,FALSE()),IF(AND(A256=0,B256&lt;&gt;0,C256=0),VLOOKUP(B256,'3 - LISTA DE ESPÉCIES'!B:H,6,FALSE()),IF(AND(A256=0,B256=0,C256&lt;&gt;0),VLOOKUP(C256,'3 - LISTA DE ESPÉCIES'!C:H,5,FALSE()))))</f>
        <v>0</v>
      </c>
      <c r="G256" s="21" t="b">
        <f>IF(AND(A256&lt;&gt;0,B256=0,C256=0),VLOOKUP(A256,'3 - LISTA DE ESPÉCIES'!A:H,3,FALSE()),IF(AND(A256=0,B256&lt;&gt;0,C256=0),VLOOKUP(B256,'3 - LISTA DE ESPÉCIES'!B:H,7,FALSE()),IF(AND(A256=0,B256=0,C256&lt;&gt;0),VLOOKUP(C256,'3 - LISTA DE ESPÉCIES'!C:H,6,FALSE()))))</f>
        <v>0</v>
      </c>
      <c r="H256" s="21" t="b">
        <f>IF(AND(A256&lt;&gt;0,B256=0,C256=0),VLOOKUP(A256,'3 - LISTA DE ESPÉCIES'!A:H,4,FALSE()),IF(AND(A256=0,B256&lt;&gt;0,C256=0),VLOOKUP(B256,'3 - LISTA DE ESPÉCIES'!B:H,3,FALSE()),IF(AND(A256=0,B256=0,C256&lt;&gt;0),VLOOKUP(C256,'3 - LISTA DE ESPÉCIES'!C:H,2,FALSE()))))</f>
        <v>0</v>
      </c>
      <c r="I256" s="21" t="b">
        <f>IF(AND(A256&lt;&gt;0,B256=0,C256=0),VLOOKUP(A256,'3 - LISTA DE ESPÉCIES'!A:H,5,FALSE()),IF(AND(A256=0,B256&lt;&gt;0,C256=0),VLOOKUP(B256,'3 - LISTA DE ESPÉCIES'!B:H,4,FALSE()),IF(AND(A256=0,B256=0,C256&lt;&gt;0),VLOOKUP(C256,'3 - LISTA DE ESPÉCIES'!C:H,3,FALSE()))))</f>
        <v>0</v>
      </c>
      <c r="J256" s="23"/>
      <c r="K256" s="23"/>
      <c r="L256" s="20"/>
      <c r="M256" s="20"/>
    </row>
    <row r="257" spans="1:13" x14ac:dyDescent="0.25">
      <c r="A257" s="20"/>
      <c r="B257" s="20"/>
      <c r="C257" s="20"/>
      <c r="E257" s="21" t="b">
        <f>IF(AND(A257&lt;&gt;0,B257=0,C257=0),VLOOKUP(A257,'3 - LISTA DE ESPÉCIES'!A:H,1,FALSE()),IF(AND(A257=0,B257&lt;&gt;0,C257=0),VLOOKUP(B257,'3 - LISTA DE ESPÉCIES'!B:H,5,FALSE()),IF(AND(A257=0,B257=0,C257&lt;&gt;0),VLOOKUP(C257,'3 - LISTA DE ESPÉCIES'!C:H,4,FALSE()))))</f>
        <v>0</v>
      </c>
      <c r="F257" s="21" t="b">
        <f>IF(AND(A257&lt;&gt;0,B257=0,C257=0),VLOOKUP(A257,'3 - LISTA DE ESPÉCIES'!A:H,2,FALSE()),IF(AND(A257=0,B257&lt;&gt;0,C257=0),VLOOKUP(B257,'3 - LISTA DE ESPÉCIES'!B:H,6,FALSE()),IF(AND(A257=0,B257=0,C257&lt;&gt;0),VLOOKUP(C257,'3 - LISTA DE ESPÉCIES'!C:H,5,FALSE()))))</f>
        <v>0</v>
      </c>
      <c r="G257" s="21" t="b">
        <f>IF(AND(A257&lt;&gt;0,B257=0,C257=0),VLOOKUP(A257,'3 - LISTA DE ESPÉCIES'!A:H,3,FALSE()),IF(AND(A257=0,B257&lt;&gt;0,C257=0),VLOOKUP(B257,'3 - LISTA DE ESPÉCIES'!B:H,7,FALSE()),IF(AND(A257=0,B257=0,C257&lt;&gt;0),VLOOKUP(C257,'3 - LISTA DE ESPÉCIES'!C:H,6,FALSE()))))</f>
        <v>0</v>
      </c>
      <c r="H257" s="21" t="b">
        <f>IF(AND(A257&lt;&gt;0,B257=0,C257=0),VLOOKUP(A257,'3 - LISTA DE ESPÉCIES'!A:H,4,FALSE()),IF(AND(A257=0,B257&lt;&gt;0,C257=0),VLOOKUP(B257,'3 - LISTA DE ESPÉCIES'!B:H,3,FALSE()),IF(AND(A257=0,B257=0,C257&lt;&gt;0),VLOOKUP(C257,'3 - LISTA DE ESPÉCIES'!C:H,2,FALSE()))))</f>
        <v>0</v>
      </c>
      <c r="I257" s="21" t="b">
        <f>IF(AND(A257&lt;&gt;0,B257=0,C257=0),VLOOKUP(A257,'3 - LISTA DE ESPÉCIES'!A:H,5,FALSE()),IF(AND(A257=0,B257&lt;&gt;0,C257=0),VLOOKUP(B257,'3 - LISTA DE ESPÉCIES'!B:H,4,FALSE()),IF(AND(A257=0,B257=0,C257&lt;&gt;0),VLOOKUP(C257,'3 - LISTA DE ESPÉCIES'!C:H,3,FALSE()))))</f>
        <v>0</v>
      </c>
      <c r="J257" s="23"/>
      <c r="K257" s="23"/>
      <c r="L257" s="20"/>
      <c r="M257" s="20"/>
    </row>
    <row r="258" spans="1:13" x14ac:dyDescent="0.25">
      <c r="A258" s="20"/>
      <c r="B258" s="20"/>
      <c r="C258" s="20"/>
      <c r="E258" s="21" t="b">
        <f>IF(AND(A258&lt;&gt;0,B258=0,C258=0),VLOOKUP(A258,'3 - LISTA DE ESPÉCIES'!A:H,1,FALSE()),IF(AND(A258=0,B258&lt;&gt;0,C258=0),VLOOKUP(B258,'3 - LISTA DE ESPÉCIES'!B:H,5,FALSE()),IF(AND(A258=0,B258=0,C258&lt;&gt;0),VLOOKUP(C258,'3 - LISTA DE ESPÉCIES'!C:H,4,FALSE()))))</f>
        <v>0</v>
      </c>
      <c r="F258" s="21" t="b">
        <f>IF(AND(A258&lt;&gt;0,B258=0,C258=0),VLOOKUP(A258,'3 - LISTA DE ESPÉCIES'!A:H,2,FALSE()),IF(AND(A258=0,B258&lt;&gt;0,C258=0),VLOOKUP(B258,'3 - LISTA DE ESPÉCIES'!B:H,6,FALSE()),IF(AND(A258=0,B258=0,C258&lt;&gt;0),VLOOKUP(C258,'3 - LISTA DE ESPÉCIES'!C:H,5,FALSE()))))</f>
        <v>0</v>
      </c>
      <c r="G258" s="21" t="b">
        <f>IF(AND(A258&lt;&gt;0,B258=0,C258=0),VLOOKUP(A258,'3 - LISTA DE ESPÉCIES'!A:H,3,FALSE()),IF(AND(A258=0,B258&lt;&gt;0,C258=0),VLOOKUP(B258,'3 - LISTA DE ESPÉCIES'!B:H,7,FALSE()),IF(AND(A258=0,B258=0,C258&lt;&gt;0),VLOOKUP(C258,'3 - LISTA DE ESPÉCIES'!C:H,6,FALSE()))))</f>
        <v>0</v>
      </c>
      <c r="H258" s="21" t="b">
        <f>IF(AND(A258&lt;&gt;0,B258=0,C258=0),VLOOKUP(A258,'3 - LISTA DE ESPÉCIES'!A:H,4,FALSE()),IF(AND(A258=0,B258&lt;&gt;0,C258=0),VLOOKUP(B258,'3 - LISTA DE ESPÉCIES'!B:H,3,FALSE()),IF(AND(A258=0,B258=0,C258&lt;&gt;0),VLOOKUP(C258,'3 - LISTA DE ESPÉCIES'!C:H,2,FALSE()))))</f>
        <v>0</v>
      </c>
      <c r="I258" s="21" t="b">
        <f>IF(AND(A258&lt;&gt;0,B258=0,C258=0),VLOOKUP(A258,'3 - LISTA DE ESPÉCIES'!A:H,5,FALSE()),IF(AND(A258=0,B258&lt;&gt;0,C258=0),VLOOKUP(B258,'3 - LISTA DE ESPÉCIES'!B:H,4,FALSE()),IF(AND(A258=0,B258=0,C258&lt;&gt;0),VLOOKUP(C258,'3 - LISTA DE ESPÉCIES'!C:H,3,FALSE()))))</f>
        <v>0</v>
      </c>
      <c r="J258" s="23"/>
      <c r="K258" s="23"/>
      <c r="L258" s="20"/>
      <c r="M258" s="20"/>
    </row>
    <row r="259" spans="1:13" x14ac:dyDescent="0.25">
      <c r="A259" s="20"/>
      <c r="B259" s="20"/>
      <c r="C259" s="20"/>
      <c r="E259" s="21" t="b">
        <f>IF(AND(A259&lt;&gt;0,B259=0,C259=0),VLOOKUP(A259,'3 - LISTA DE ESPÉCIES'!A:H,1,FALSE()),IF(AND(A259=0,B259&lt;&gt;0,C259=0),VLOOKUP(B259,'3 - LISTA DE ESPÉCIES'!B:H,5,FALSE()),IF(AND(A259=0,B259=0,C259&lt;&gt;0),VLOOKUP(C259,'3 - LISTA DE ESPÉCIES'!C:H,4,FALSE()))))</f>
        <v>0</v>
      </c>
      <c r="F259" s="21" t="b">
        <f>IF(AND(A259&lt;&gt;0,B259=0,C259=0),VLOOKUP(A259,'3 - LISTA DE ESPÉCIES'!A:H,2,FALSE()),IF(AND(A259=0,B259&lt;&gt;0,C259=0),VLOOKUP(B259,'3 - LISTA DE ESPÉCIES'!B:H,6,FALSE()),IF(AND(A259=0,B259=0,C259&lt;&gt;0),VLOOKUP(C259,'3 - LISTA DE ESPÉCIES'!C:H,5,FALSE()))))</f>
        <v>0</v>
      </c>
      <c r="G259" s="21" t="b">
        <f>IF(AND(A259&lt;&gt;0,B259=0,C259=0),VLOOKUP(A259,'3 - LISTA DE ESPÉCIES'!A:H,3,FALSE()),IF(AND(A259=0,B259&lt;&gt;0,C259=0),VLOOKUP(B259,'3 - LISTA DE ESPÉCIES'!B:H,7,FALSE()),IF(AND(A259=0,B259=0,C259&lt;&gt;0),VLOOKUP(C259,'3 - LISTA DE ESPÉCIES'!C:H,6,FALSE()))))</f>
        <v>0</v>
      </c>
      <c r="H259" s="21" t="b">
        <f>IF(AND(A259&lt;&gt;0,B259=0,C259=0),VLOOKUP(A259,'3 - LISTA DE ESPÉCIES'!A:H,4,FALSE()),IF(AND(A259=0,B259&lt;&gt;0,C259=0),VLOOKUP(B259,'3 - LISTA DE ESPÉCIES'!B:H,3,FALSE()),IF(AND(A259=0,B259=0,C259&lt;&gt;0),VLOOKUP(C259,'3 - LISTA DE ESPÉCIES'!C:H,2,FALSE()))))</f>
        <v>0</v>
      </c>
      <c r="I259" s="21" t="b">
        <f>IF(AND(A259&lt;&gt;0,B259=0,C259=0),VLOOKUP(A259,'3 - LISTA DE ESPÉCIES'!A:H,5,FALSE()),IF(AND(A259=0,B259&lt;&gt;0,C259=0),VLOOKUP(B259,'3 - LISTA DE ESPÉCIES'!B:H,4,FALSE()),IF(AND(A259=0,B259=0,C259&lt;&gt;0),VLOOKUP(C259,'3 - LISTA DE ESPÉCIES'!C:H,3,FALSE()))))</f>
        <v>0</v>
      </c>
      <c r="J259" s="23"/>
      <c r="K259" s="23"/>
      <c r="L259" s="20"/>
      <c r="M259" s="20"/>
    </row>
    <row r="260" spans="1:13" x14ac:dyDescent="0.25">
      <c r="A260" s="20"/>
      <c r="B260" s="20"/>
      <c r="C260" s="20"/>
      <c r="E260" s="21" t="b">
        <f>IF(AND(A260&lt;&gt;0,B260=0,C260=0),VLOOKUP(A260,'3 - LISTA DE ESPÉCIES'!A:H,1,FALSE()),IF(AND(A260=0,B260&lt;&gt;0,C260=0),VLOOKUP(B260,'3 - LISTA DE ESPÉCIES'!B:H,5,FALSE()),IF(AND(A260=0,B260=0,C260&lt;&gt;0),VLOOKUP(C260,'3 - LISTA DE ESPÉCIES'!C:H,4,FALSE()))))</f>
        <v>0</v>
      </c>
      <c r="F260" s="21" t="b">
        <f>IF(AND(A260&lt;&gt;0,B260=0,C260=0),VLOOKUP(A260,'3 - LISTA DE ESPÉCIES'!A:H,2,FALSE()),IF(AND(A260=0,B260&lt;&gt;0,C260=0),VLOOKUP(B260,'3 - LISTA DE ESPÉCIES'!B:H,6,FALSE()),IF(AND(A260=0,B260=0,C260&lt;&gt;0),VLOOKUP(C260,'3 - LISTA DE ESPÉCIES'!C:H,5,FALSE()))))</f>
        <v>0</v>
      </c>
      <c r="G260" s="21" t="b">
        <f>IF(AND(A260&lt;&gt;0,B260=0,C260=0),VLOOKUP(A260,'3 - LISTA DE ESPÉCIES'!A:H,3,FALSE()),IF(AND(A260=0,B260&lt;&gt;0,C260=0),VLOOKUP(B260,'3 - LISTA DE ESPÉCIES'!B:H,7,FALSE()),IF(AND(A260=0,B260=0,C260&lt;&gt;0),VLOOKUP(C260,'3 - LISTA DE ESPÉCIES'!C:H,6,FALSE()))))</f>
        <v>0</v>
      </c>
      <c r="H260" s="21" t="b">
        <f>IF(AND(A260&lt;&gt;0,B260=0,C260=0),VLOOKUP(A260,'3 - LISTA DE ESPÉCIES'!A:H,4,FALSE()),IF(AND(A260=0,B260&lt;&gt;0,C260=0),VLOOKUP(B260,'3 - LISTA DE ESPÉCIES'!B:H,3,FALSE()),IF(AND(A260=0,B260=0,C260&lt;&gt;0),VLOOKUP(C260,'3 - LISTA DE ESPÉCIES'!C:H,2,FALSE()))))</f>
        <v>0</v>
      </c>
      <c r="I260" s="21" t="b">
        <f>IF(AND(A260&lt;&gt;0,B260=0,C260=0),VLOOKUP(A260,'3 - LISTA DE ESPÉCIES'!A:H,5,FALSE()),IF(AND(A260=0,B260&lt;&gt;0,C260=0),VLOOKUP(B260,'3 - LISTA DE ESPÉCIES'!B:H,4,FALSE()),IF(AND(A260=0,B260=0,C260&lt;&gt;0),VLOOKUP(C260,'3 - LISTA DE ESPÉCIES'!C:H,3,FALSE()))))</f>
        <v>0</v>
      </c>
      <c r="J260" s="23"/>
      <c r="K260" s="23"/>
      <c r="L260" s="20"/>
      <c r="M260" s="20"/>
    </row>
    <row r="261" spans="1:13" x14ac:dyDescent="0.25">
      <c r="A261" s="20"/>
      <c r="B261" s="20"/>
      <c r="C261" s="20"/>
      <c r="E261" s="21" t="b">
        <f>IF(AND(A261&lt;&gt;0,B261=0,C261=0),VLOOKUP(A261,'3 - LISTA DE ESPÉCIES'!A:H,1,FALSE()),IF(AND(A261=0,B261&lt;&gt;0,C261=0),VLOOKUP(B261,'3 - LISTA DE ESPÉCIES'!B:H,5,FALSE()),IF(AND(A261=0,B261=0,C261&lt;&gt;0),VLOOKUP(C261,'3 - LISTA DE ESPÉCIES'!C:H,4,FALSE()))))</f>
        <v>0</v>
      </c>
      <c r="F261" s="21" t="b">
        <f>IF(AND(A261&lt;&gt;0,B261=0,C261=0),VLOOKUP(A261,'3 - LISTA DE ESPÉCIES'!A:H,2,FALSE()),IF(AND(A261=0,B261&lt;&gt;0,C261=0),VLOOKUP(B261,'3 - LISTA DE ESPÉCIES'!B:H,6,FALSE()),IF(AND(A261=0,B261=0,C261&lt;&gt;0),VLOOKUP(C261,'3 - LISTA DE ESPÉCIES'!C:H,5,FALSE()))))</f>
        <v>0</v>
      </c>
      <c r="G261" s="21" t="b">
        <f>IF(AND(A261&lt;&gt;0,B261=0,C261=0),VLOOKUP(A261,'3 - LISTA DE ESPÉCIES'!A:H,3,FALSE()),IF(AND(A261=0,B261&lt;&gt;0,C261=0),VLOOKUP(B261,'3 - LISTA DE ESPÉCIES'!B:H,7,FALSE()),IF(AND(A261=0,B261=0,C261&lt;&gt;0),VLOOKUP(C261,'3 - LISTA DE ESPÉCIES'!C:H,6,FALSE()))))</f>
        <v>0</v>
      </c>
      <c r="H261" s="21" t="b">
        <f>IF(AND(A261&lt;&gt;0,B261=0,C261=0),VLOOKUP(A261,'3 - LISTA DE ESPÉCIES'!A:H,4,FALSE()),IF(AND(A261=0,B261&lt;&gt;0,C261=0),VLOOKUP(B261,'3 - LISTA DE ESPÉCIES'!B:H,3,FALSE()),IF(AND(A261=0,B261=0,C261&lt;&gt;0),VLOOKUP(C261,'3 - LISTA DE ESPÉCIES'!C:H,2,FALSE()))))</f>
        <v>0</v>
      </c>
      <c r="I261" s="21" t="b">
        <f>IF(AND(A261&lt;&gt;0,B261=0,C261=0),VLOOKUP(A261,'3 - LISTA DE ESPÉCIES'!A:H,5,FALSE()),IF(AND(A261=0,B261&lt;&gt;0,C261=0),VLOOKUP(B261,'3 - LISTA DE ESPÉCIES'!B:H,4,FALSE()),IF(AND(A261=0,B261=0,C261&lt;&gt;0),VLOOKUP(C261,'3 - LISTA DE ESPÉCIES'!C:H,3,FALSE()))))</f>
        <v>0</v>
      </c>
      <c r="J261" s="23"/>
      <c r="K261" s="23"/>
      <c r="L261" s="20"/>
      <c r="M261" s="20"/>
    </row>
    <row r="262" spans="1:13" x14ac:dyDescent="0.25">
      <c r="A262" s="20"/>
      <c r="B262" s="20"/>
      <c r="C262" s="20"/>
      <c r="E262" s="21" t="b">
        <f>IF(AND(A262&lt;&gt;0,B262=0,C262=0),VLOOKUP(A262,'3 - LISTA DE ESPÉCIES'!A:H,1,FALSE()),IF(AND(A262=0,B262&lt;&gt;0,C262=0),VLOOKUP(B262,'3 - LISTA DE ESPÉCIES'!B:H,5,FALSE()),IF(AND(A262=0,B262=0,C262&lt;&gt;0),VLOOKUP(C262,'3 - LISTA DE ESPÉCIES'!C:H,4,FALSE()))))</f>
        <v>0</v>
      </c>
      <c r="F262" s="21" t="b">
        <f>IF(AND(A262&lt;&gt;0,B262=0,C262=0),VLOOKUP(A262,'3 - LISTA DE ESPÉCIES'!A:H,2,FALSE()),IF(AND(A262=0,B262&lt;&gt;0,C262=0),VLOOKUP(B262,'3 - LISTA DE ESPÉCIES'!B:H,6,FALSE()),IF(AND(A262=0,B262=0,C262&lt;&gt;0),VLOOKUP(C262,'3 - LISTA DE ESPÉCIES'!C:H,5,FALSE()))))</f>
        <v>0</v>
      </c>
      <c r="G262" s="21" t="b">
        <f>IF(AND(A262&lt;&gt;0,B262=0,C262=0),VLOOKUP(A262,'3 - LISTA DE ESPÉCIES'!A:H,3,FALSE()),IF(AND(A262=0,B262&lt;&gt;0,C262=0),VLOOKUP(B262,'3 - LISTA DE ESPÉCIES'!B:H,7,FALSE()),IF(AND(A262=0,B262=0,C262&lt;&gt;0),VLOOKUP(C262,'3 - LISTA DE ESPÉCIES'!C:H,6,FALSE()))))</f>
        <v>0</v>
      </c>
      <c r="H262" s="21" t="b">
        <f>IF(AND(A262&lt;&gt;0,B262=0,C262=0),VLOOKUP(A262,'3 - LISTA DE ESPÉCIES'!A:H,4,FALSE()),IF(AND(A262=0,B262&lt;&gt;0,C262=0),VLOOKUP(B262,'3 - LISTA DE ESPÉCIES'!B:H,3,FALSE()),IF(AND(A262=0,B262=0,C262&lt;&gt;0),VLOOKUP(C262,'3 - LISTA DE ESPÉCIES'!C:H,2,FALSE()))))</f>
        <v>0</v>
      </c>
      <c r="I262" s="21" t="b">
        <f>IF(AND(A262&lt;&gt;0,B262=0,C262=0),VLOOKUP(A262,'3 - LISTA DE ESPÉCIES'!A:H,5,FALSE()),IF(AND(A262=0,B262&lt;&gt;0,C262=0),VLOOKUP(B262,'3 - LISTA DE ESPÉCIES'!B:H,4,FALSE()),IF(AND(A262=0,B262=0,C262&lt;&gt;0),VLOOKUP(C262,'3 - LISTA DE ESPÉCIES'!C:H,3,FALSE()))))</f>
        <v>0</v>
      </c>
      <c r="J262" s="23"/>
      <c r="K262" s="23"/>
      <c r="L262" s="20"/>
      <c r="M262" s="20"/>
    </row>
    <row r="263" spans="1:13" x14ac:dyDescent="0.25">
      <c r="A263" s="20"/>
      <c r="B263" s="20"/>
      <c r="C263" s="20"/>
      <c r="E263" s="21" t="b">
        <f>IF(AND(A263&lt;&gt;0,B263=0,C263=0),VLOOKUP(A263,'3 - LISTA DE ESPÉCIES'!A:H,1,FALSE()),IF(AND(A263=0,B263&lt;&gt;0,C263=0),VLOOKUP(B263,'3 - LISTA DE ESPÉCIES'!B:H,5,FALSE()),IF(AND(A263=0,B263=0,C263&lt;&gt;0),VLOOKUP(C263,'3 - LISTA DE ESPÉCIES'!C:H,4,FALSE()))))</f>
        <v>0</v>
      </c>
      <c r="F263" s="21" t="b">
        <f>IF(AND(A263&lt;&gt;0,B263=0,C263=0),VLOOKUP(A263,'3 - LISTA DE ESPÉCIES'!A:H,2,FALSE()),IF(AND(A263=0,B263&lt;&gt;0,C263=0),VLOOKUP(B263,'3 - LISTA DE ESPÉCIES'!B:H,6,FALSE()),IF(AND(A263=0,B263=0,C263&lt;&gt;0),VLOOKUP(C263,'3 - LISTA DE ESPÉCIES'!C:H,5,FALSE()))))</f>
        <v>0</v>
      </c>
      <c r="G263" s="21" t="b">
        <f>IF(AND(A263&lt;&gt;0,B263=0,C263=0),VLOOKUP(A263,'3 - LISTA DE ESPÉCIES'!A:H,3,FALSE()),IF(AND(A263=0,B263&lt;&gt;0,C263=0),VLOOKUP(B263,'3 - LISTA DE ESPÉCIES'!B:H,7,FALSE()),IF(AND(A263=0,B263=0,C263&lt;&gt;0),VLOOKUP(C263,'3 - LISTA DE ESPÉCIES'!C:H,6,FALSE()))))</f>
        <v>0</v>
      </c>
      <c r="H263" s="21" t="b">
        <f>IF(AND(A263&lt;&gt;0,B263=0,C263=0),VLOOKUP(A263,'3 - LISTA DE ESPÉCIES'!A:H,4,FALSE()),IF(AND(A263=0,B263&lt;&gt;0,C263=0),VLOOKUP(B263,'3 - LISTA DE ESPÉCIES'!B:H,3,FALSE()),IF(AND(A263=0,B263=0,C263&lt;&gt;0),VLOOKUP(C263,'3 - LISTA DE ESPÉCIES'!C:H,2,FALSE()))))</f>
        <v>0</v>
      </c>
      <c r="I263" s="21" t="b">
        <f>IF(AND(A263&lt;&gt;0,B263=0,C263=0),VLOOKUP(A263,'3 - LISTA DE ESPÉCIES'!A:H,5,FALSE()),IF(AND(A263=0,B263&lt;&gt;0,C263=0),VLOOKUP(B263,'3 - LISTA DE ESPÉCIES'!B:H,4,FALSE()),IF(AND(A263=0,B263=0,C263&lt;&gt;0),VLOOKUP(C263,'3 - LISTA DE ESPÉCIES'!C:H,3,FALSE()))))</f>
        <v>0</v>
      </c>
      <c r="J263" s="23"/>
      <c r="K263" s="23"/>
      <c r="L263" s="20"/>
      <c r="M263" s="20"/>
    </row>
    <row r="264" spans="1:13" x14ac:dyDescent="0.25">
      <c r="A264" s="20"/>
      <c r="B264" s="20"/>
      <c r="C264" s="20"/>
      <c r="E264" s="21" t="b">
        <f>IF(AND(A264&lt;&gt;0,B264=0,C264=0),VLOOKUP(A264,'3 - LISTA DE ESPÉCIES'!A:H,1,FALSE()),IF(AND(A264=0,B264&lt;&gt;0,C264=0),VLOOKUP(B264,'3 - LISTA DE ESPÉCIES'!B:H,5,FALSE()),IF(AND(A264=0,B264=0,C264&lt;&gt;0),VLOOKUP(C264,'3 - LISTA DE ESPÉCIES'!C:H,4,FALSE()))))</f>
        <v>0</v>
      </c>
      <c r="F264" s="21" t="b">
        <f>IF(AND(A264&lt;&gt;0,B264=0,C264=0),VLOOKUP(A264,'3 - LISTA DE ESPÉCIES'!A:H,2,FALSE()),IF(AND(A264=0,B264&lt;&gt;0,C264=0),VLOOKUP(B264,'3 - LISTA DE ESPÉCIES'!B:H,6,FALSE()),IF(AND(A264=0,B264=0,C264&lt;&gt;0),VLOOKUP(C264,'3 - LISTA DE ESPÉCIES'!C:H,5,FALSE()))))</f>
        <v>0</v>
      </c>
      <c r="G264" s="21" t="b">
        <f>IF(AND(A264&lt;&gt;0,B264=0,C264=0),VLOOKUP(A264,'3 - LISTA DE ESPÉCIES'!A:H,3,FALSE()),IF(AND(A264=0,B264&lt;&gt;0,C264=0),VLOOKUP(B264,'3 - LISTA DE ESPÉCIES'!B:H,7,FALSE()),IF(AND(A264=0,B264=0,C264&lt;&gt;0),VLOOKUP(C264,'3 - LISTA DE ESPÉCIES'!C:H,6,FALSE()))))</f>
        <v>0</v>
      </c>
      <c r="H264" s="21" t="b">
        <f>IF(AND(A264&lt;&gt;0,B264=0,C264=0),VLOOKUP(A264,'3 - LISTA DE ESPÉCIES'!A:H,4,FALSE()),IF(AND(A264=0,B264&lt;&gt;0,C264=0),VLOOKUP(B264,'3 - LISTA DE ESPÉCIES'!B:H,3,FALSE()),IF(AND(A264=0,B264=0,C264&lt;&gt;0),VLOOKUP(C264,'3 - LISTA DE ESPÉCIES'!C:H,2,FALSE()))))</f>
        <v>0</v>
      </c>
      <c r="I264" s="21" t="b">
        <f>IF(AND(A264&lt;&gt;0,B264=0,C264=0),VLOOKUP(A264,'3 - LISTA DE ESPÉCIES'!A:H,5,FALSE()),IF(AND(A264=0,B264&lt;&gt;0,C264=0),VLOOKUP(B264,'3 - LISTA DE ESPÉCIES'!B:H,4,FALSE()),IF(AND(A264=0,B264=0,C264&lt;&gt;0),VLOOKUP(C264,'3 - LISTA DE ESPÉCIES'!C:H,3,FALSE()))))</f>
        <v>0</v>
      </c>
      <c r="J264" s="23"/>
      <c r="K264" s="23"/>
      <c r="L264" s="20"/>
      <c r="M264" s="20"/>
    </row>
    <row r="265" spans="1:13" x14ac:dyDescent="0.25">
      <c r="A265" s="20"/>
      <c r="B265" s="20"/>
      <c r="C265" s="20"/>
      <c r="E265" s="21" t="b">
        <f>IF(AND(A265&lt;&gt;0,B265=0,C265=0),VLOOKUP(A265,'3 - LISTA DE ESPÉCIES'!A:H,1,FALSE()),IF(AND(A265=0,B265&lt;&gt;0,C265=0),VLOOKUP(B265,'3 - LISTA DE ESPÉCIES'!B:H,5,FALSE()),IF(AND(A265=0,B265=0,C265&lt;&gt;0),VLOOKUP(C265,'3 - LISTA DE ESPÉCIES'!C:H,4,FALSE()))))</f>
        <v>0</v>
      </c>
      <c r="F265" s="21" t="b">
        <f>IF(AND(A265&lt;&gt;0,B265=0,C265=0),VLOOKUP(A265,'3 - LISTA DE ESPÉCIES'!A:H,2,FALSE()),IF(AND(A265=0,B265&lt;&gt;0,C265=0),VLOOKUP(B265,'3 - LISTA DE ESPÉCIES'!B:H,6,FALSE()),IF(AND(A265=0,B265=0,C265&lt;&gt;0),VLOOKUP(C265,'3 - LISTA DE ESPÉCIES'!C:H,5,FALSE()))))</f>
        <v>0</v>
      </c>
      <c r="G265" s="21" t="b">
        <f>IF(AND(A265&lt;&gt;0,B265=0,C265=0),VLOOKUP(A265,'3 - LISTA DE ESPÉCIES'!A:H,3,FALSE()),IF(AND(A265=0,B265&lt;&gt;0,C265=0),VLOOKUP(B265,'3 - LISTA DE ESPÉCIES'!B:H,7,FALSE()),IF(AND(A265=0,B265=0,C265&lt;&gt;0),VLOOKUP(C265,'3 - LISTA DE ESPÉCIES'!C:H,6,FALSE()))))</f>
        <v>0</v>
      </c>
      <c r="H265" s="21" t="b">
        <f>IF(AND(A265&lt;&gt;0,B265=0,C265=0),VLOOKUP(A265,'3 - LISTA DE ESPÉCIES'!A:H,4,FALSE()),IF(AND(A265=0,B265&lt;&gt;0,C265=0),VLOOKUP(B265,'3 - LISTA DE ESPÉCIES'!B:H,3,FALSE()),IF(AND(A265=0,B265=0,C265&lt;&gt;0),VLOOKUP(C265,'3 - LISTA DE ESPÉCIES'!C:H,2,FALSE()))))</f>
        <v>0</v>
      </c>
      <c r="I265" s="21" t="b">
        <f>IF(AND(A265&lt;&gt;0,B265=0,C265=0),VLOOKUP(A265,'3 - LISTA DE ESPÉCIES'!A:H,5,FALSE()),IF(AND(A265=0,B265&lt;&gt;0,C265=0),VLOOKUP(B265,'3 - LISTA DE ESPÉCIES'!B:H,4,FALSE()),IF(AND(A265=0,B265=0,C265&lt;&gt;0),VLOOKUP(C265,'3 - LISTA DE ESPÉCIES'!C:H,3,FALSE()))))</f>
        <v>0</v>
      </c>
      <c r="J265" s="23"/>
      <c r="K265" s="23"/>
      <c r="L265" s="20"/>
      <c r="M265" s="20"/>
    </row>
    <row r="266" spans="1:13" x14ac:dyDescent="0.25">
      <c r="A266" s="20"/>
      <c r="B266" s="20"/>
      <c r="C266" s="20"/>
      <c r="E266" s="21" t="b">
        <f>IF(AND(A266&lt;&gt;0,B266=0,C266=0),VLOOKUP(A266,'3 - LISTA DE ESPÉCIES'!A:H,1,FALSE()),IF(AND(A266=0,B266&lt;&gt;0,C266=0),VLOOKUP(B266,'3 - LISTA DE ESPÉCIES'!B:H,5,FALSE()),IF(AND(A266=0,B266=0,C266&lt;&gt;0),VLOOKUP(C266,'3 - LISTA DE ESPÉCIES'!C:H,4,FALSE()))))</f>
        <v>0</v>
      </c>
      <c r="F266" s="21" t="b">
        <f>IF(AND(A266&lt;&gt;0,B266=0,C266=0),VLOOKUP(A266,'3 - LISTA DE ESPÉCIES'!A:H,2,FALSE()),IF(AND(A266=0,B266&lt;&gt;0,C266=0),VLOOKUP(B266,'3 - LISTA DE ESPÉCIES'!B:H,6,FALSE()),IF(AND(A266=0,B266=0,C266&lt;&gt;0),VLOOKUP(C266,'3 - LISTA DE ESPÉCIES'!C:H,5,FALSE()))))</f>
        <v>0</v>
      </c>
      <c r="G266" s="21" t="b">
        <f>IF(AND(A266&lt;&gt;0,B266=0,C266=0),VLOOKUP(A266,'3 - LISTA DE ESPÉCIES'!A:H,3,FALSE()),IF(AND(A266=0,B266&lt;&gt;0,C266=0),VLOOKUP(B266,'3 - LISTA DE ESPÉCIES'!B:H,7,FALSE()),IF(AND(A266=0,B266=0,C266&lt;&gt;0),VLOOKUP(C266,'3 - LISTA DE ESPÉCIES'!C:H,6,FALSE()))))</f>
        <v>0</v>
      </c>
      <c r="H266" s="21" t="b">
        <f>IF(AND(A266&lt;&gt;0,B266=0,C266=0),VLOOKUP(A266,'3 - LISTA DE ESPÉCIES'!A:H,4,FALSE()),IF(AND(A266=0,B266&lt;&gt;0,C266=0),VLOOKUP(B266,'3 - LISTA DE ESPÉCIES'!B:H,3,FALSE()),IF(AND(A266=0,B266=0,C266&lt;&gt;0),VLOOKUP(C266,'3 - LISTA DE ESPÉCIES'!C:H,2,FALSE()))))</f>
        <v>0</v>
      </c>
      <c r="I266" s="21" t="b">
        <f>IF(AND(A266&lt;&gt;0,B266=0,C266=0),VLOOKUP(A266,'3 - LISTA DE ESPÉCIES'!A:H,5,FALSE()),IF(AND(A266=0,B266&lt;&gt;0,C266=0),VLOOKUP(B266,'3 - LISTA DE ESPÉCIES'!B:H,4,FALSE()),IF(AND(A266=0,B266=0,C266&lt;&gt;0),VLOOKUP(C266,'3 - LISTA DE ESPÉCIES'!C:H,3,FALSE()))))</f>
        <v>0</v>
      </c>
      <c r="J266" s="23"/>
      <c r="K266" s="23"/>
      <c r="L266" s="20"/>
      <c r="M266" s="20"/>
    </row>
    <row r="267" spans="1:13" x14ac:dyDescent="0.25">
      <c r="A267" s="20"/>
      <c r="B267" s="20"/>
      <c r="C267" s="20"/>
      <c r="E267" s="21" t="b">
        <f>IF(AND(A267&lt;&gt;0,B267=0,C267=0),VLOOKUP(A267,'3 - LISTA DE ESPÉCIES'!A:H,1,FALSE()),IF(AND(A267=0,B267&lt;&gt;0,C267=0),VLOOKUP(B267,'3 - LISTA DE ESPÉCIES'!B:H,5,FALSE()),IF(AND(A267=0,B267=0,C267&lt;&gt;0),VLOOKUP(C267,'3 - LISTA DE ESPÉCIES'!C:H,4,FALSE()))))</f>
        <v>0</v>
      </c>
      <c r="F267" s="21" t="b">
        <f>IF(AND(A267&lt;&gt;0,B267=0,C267=0),VLOOKUP(A267,'3 - LISTA DE ESPÉCIES'!A:H,2,FALSE()),IF(AND(A267=0,B267&lt;&gt;0,C267=0),VLOOKUP(B267,'3 - LISTA DE ESPÉCIES'!B:H,6,FALSE()),IF(AND(A267=0,B267=0,C267&lt;&gt;0),VLOOKUP(C267,'3 - LISTA DE ESPÉCIES'!C:H,5,FALSE()))))</f>
        <v>0</v>
      </c>
      <c r="G267" s="21" t="b">
        <f>IF(AND(A267&lt;&gt;0,B267=0,C267=0),VLOOKUP(A267,'3 - LISTA DE ESPÉCIES'!A:H,3,FALSE()),IF(AND(A267=0,B267&lt;&gt;0,C267=0),VLOOKUP(B267,'3 - LISTA DE ESPÉCIES'!B:H,7,FALSE()),IF(AND(A267=0,B267=0,C267&lt;&gt;0),VLOOKUP(C267,'3 - LISTA DE ESPÉCIES'!C:H,6,FALSE()))))</f>
        <v>0</v>
      </c>
      <c r="H267" s="21" t="b">
        <f>IF(AND(A267&lt;&gt;0,B267=0,C267=0),VLOOKUP(A267,'3 - LISTA DE ESPÉCIES'!A:H,4,FALSE()),IF(AND(A267=0,B267&lt;&gt;0,C267=0),VLOOKUP(B267,'3 - LISTA DE ESPÉCIES'!B:H,3,FALSE()),IF(AND(A267=0,B267=0,C267&lt;&gt;0),VLOOKUP(C267,'3 - LISTA DE ESPÉCIES'!C:H,2,FALSE()))))</f>
        <v>0</v>
      </c>
      <c r="I267" s="21" t="b">
        <f>IF(AND(A267&lt;&gt;0,B267=0,C267=0),VLOOKUP(A267,'3 - LISTA DE ESPÉCIES'!A:H,5,FALSE()),IF(AND(A267=0,B267&lt;&gt;0,C267=0),VLOOKUP(B267,'3 - LISTA DE ESPÉCIES'!B:H,4,FALSE()),IF(AND(A267=0,B267=0,C267&lt;&gt;0),VLOOKUP(C267,'3 - LISTA DE ESPÉCIES'!C:H,3,FALSE()))))</f>
        <v>0</v>
      </c>
      <c r="J267" s="23"/>
      <c r="K267" s="23"/>
      <c r="L267" s="20"/>
      <c r="M267" s="20"/>
    </row>
    <row r="268" spans="1:13" x14ac:dyDescent="0.25">
      <c r="A268" s="20"/>
      <c r="B268" s="20"/>
      <c r="C268" s="20"/>
      <c r="E268" s="21" t="b">
        <f>IF(AND(A268&lt;&gt;0,B268=0,C268=0),VLOOKUP(A268,'3 - LISTA DE ESPÉCIES'!A:H,1,FALSE()),IF(AND(A268=0,B268&lt;&gt;0,C268=0),VLOOKUP(B268,'3 - LISTA DE ESPÉCIES'!B:H,5,FALSE()),IF(AND(A268=0,B268=0,C268&lt;&gt;0),VLOOKUP(C268,'3 - LISTA DE ESPÉCIES'!C:H,4,FALSE()))))</f>
        <v>0</v>
      </c>
      <c r="F268" s="21" t="b">
        <f>IF(AND(A268&lt;&gt;0,B268=0,C268=0),VLOOKUP(A268,'3 - LISTA DE ESPÉCIES'!A:H,2,FALSE()),IF(AND(A268=0,B268&lt;&gt;0,C268=0),VLOOKUP(B268,'3 - LISTA DE ESPÉCIES'!B:H,6,FALSE()),IF(AND(A268=0,B268=0,C268&lt;&gt;0),VLOOKUP(C268,'3 - LISTA DE ESPÉCIES'!C:H,5,FALSE()))))</f>
        <v>0</v>
      </c>
      <c r="G268" s="21" t="b">
        <f>IF(AND(A268&lt;&gt;0,B268=0,C268=0),VLOOKUP(A268,'3 - LISTA DE ESPÉCIES'!A:H,3,FALSE()),IF(AND(A268=0,B268&lt;&gt;0,C268=0),VLOOKUP(B268,'3 - LISTA DE ESPÉCIES'!B:H,7,FALSE()),IF(AND(A268=0,B268=0,C268&lt;&gt;0),VLOOKUP(C268,'3 - LISTA DE ESPÉCIES'!C:H,6,FALSE()))))</f>
        <v>0</v>
      </c>
      <c r="H268" s="21" t="b">
        <f>IF(AND(A268&lt;&gt;0,B268=0,C268=0),VLOOKUP(A268,'3 - LISTA DE ESPÉCIES'!A:H,4,FALSE()),IF(AND(A268=0,B268&lt;&gt;0,C268=0),VLOOKUP(B268,'3 - LISTA DE ESPÉCIES'!B:H,3,FALSE()),IF(AND(A268=0,B268=0,C268&lt;&gt;0),VLOOKUP(C268,'3 - LISTA DE ESPÉCIES'!C:H,2,FALSE()))))</f>
        <v>0</v>
      </c>
      <c r="I268" s="21" t="b">
        <f>IF(AND(A268&lt;&gt;0,B268=0,C268=0),VLOOKUP(A268,'3 - LISTA DE ESPÉCIES'!A:H,5,FALSE()),IF(AND(A268=0,B268&lt;&gt;0,C268=0),VLOOKUP(B268,'3 - LISTA DE ESPÉCIES'!B:H,4,FALSE()),IF(AND(A268=0,B268=0,C268&lt;&gt;0),VLOOKUP(C268,'3 - LISTA DE ESPÉCIES'!C:H,3,FALSE()))))</f>
        <v>0</v>
      </c>
      <c r="J268" s="23"/>
      <c r="K268" s="23"/>
      <c r="L268" s="20"/>
      <c r="M268" s="20"/>
    </row>
    <row r="269" spans="1:13" x14ac:dyDescent="0.25">
      <c r="A269" s="20"/>
      <c r="B269" s="20"/>
      <c r="C269" s="20"/>
      <c r="E269" s="21" t="b">
        <f>IF(AND(A269&lt;&gt;0,B269=0,C269=0),VLOOKUP(A269,'3 - LISTA DE ESPÉCIES'!A:H,1,FALSE()),IF(AND(A269=0,B269&lt;&gt;0,C269=0),VLOOKUP(B269,'3 - LISTA DE ESPÉCIES'!B:H,5,FALSE()),IF(AND(A269=0,B269=0,C269&lt;&gt;0),VLOOKUP(C269,'3 - LISTA DE ESPÉCIES'!C:H,4,FALSE()))))</f>
        <v>0</v>
      </c>
      <c r="F269" s="21" t="b">
        <f>IF(AND(A269&lt;&gt;0,B269=0,C269=0),VLOOKUP(A269,'3 - LISTA DE ESPÉCIES'!A:H,2,FALSE()),IF(AND(A269=0,B269&lt;&gt;0,C269=0),VLOOKUP(B269,'3 - LISTA DE ESPÉCIES'!B:H,6,FALSE()),IF(AND(A269=0,B269=0,C269&lt;&gt;0),VLOOKUP(C269,'3 - LISTA DE ESPÉCIES'!C:H,5,FALSE()))))</f>
        <v>0</v>
      </c>
      <c r="G269" s="21" t="b">
        <f>IF(AND(A269&lt;&gt;0,B269=0,C269=0),VLOOKUP(A269,'3 - LISTA DE ESPÉCIES'!A:H,3,FALSE()),IF(AND(A269=0,B269&lt;&gt;0,C269=0),VLOOKUP(B269,'3 - LISTA DE ESPÉCIES'!B:H,7,FALSE()),IF(AND(A269=0,B269=0,C269&lt;&gt;0),VLOOKUP(C269,'3 - LISTA DE ESPÉCIES'!C:H,6,FALSE()))))</f>
        <v>0</v>
      </c>
      <c r="H269" s="21" t="b">
        <f>IF(AND(A269&lt;&gt;0,B269=0,C269=0),VLOOKUP(A269,'3 - LISTA DE ESPÉCIES'!A:H,4,FALSE()),IF(AND(A269=0,B269&lt;&gt;0,C269=0),VLOOKUP(B269,'3 - LISTA DE ESPÉCIES'!B:H,3,FALSE()),IF(AND(A269=0,B269=0,C269&lt;&gt;0),VLOOKUP(C269,'3 - LISTA DE ESPÉCIES'!C:H,2,FALSE()))))</f>
        <v>0</v>
      </c>
      <c r="I269" s="21" t="b">
        <f>IF(AND(A269&lt;&gt;0,B269=0,C269=0),VLOOKUP(A269,'3 - LISTA DE ESPÉCIES'!A:H,5,FALSE()),IF(AND(A269=0,B269&lt;&gt;0,C269=0),VLOOKUP(B269,'3 - LISTA DE ESPÉCIES'!B:H,4,FALSE()),IF(AND(A269=0,B269=0,C269&lt;&gt;0),VLOOKUP(C269,'3 - LISTA DE ESPÉCIES'!C:H,3,FALSE()))))</f>
        <v>0</v>
      </c>
      <c r="J269" s="23"/>
      <c r="K269" s="23"/>
      <c r="L269" s="20"/>
      <c r="M269" s="20"/>
    </row>
    <row r="270" spans="1:13" x14ac:dyDescent="0.25">
      <c r="A270" s="20"/>
      <c r="B270" s="20"/>
      <c r="C270" s="20"/>
      <c r="E270" s="21" t="b">
        <f>IF(AND(A270&lt;&gt;0,B270=0,C270=0),VLOOKUP(A270,'3 - LISTA DE ESPÉCIES'!A:H,1,FALSE()),IF(AND(A270=0,B270&lt;&gt;0,C270=0),VLOOKUP(B270,'3 - LISTA DE ESPÉCIES'!B:H,5,FALSE()),IF(AND(A270=0,B270=0,C270&lt;&gt;0),VLOOKUP(C270,'3 - LISTA DE ESPÉCIES'!C:H,4,FALSE()))))</f>
        <v>0</v>
      </c>
      <c r="F270" s="21" t="b">
        <f>IF(AND(A270&lt;&gt;0,B270=0,C270=0),VLOOKUP(A270,'3 - LISTA DE ESPÉCIES'!A:H,2,FALSE()),IF(AND(A270=0,B270&lt;&gt;0,C270=0),VLOOKUP(B270,'3 - LISTA DE ESPÉCIES'!B:H,6,FALSE()),IF(AND(A270=0,B270=0,C270&lt;&gt;0),VLOOKUP(C270,'3 - LISTA DE ESPÉCIES'!C:H,5,FALSE()))))</f>
        <v>0</v>
      </c>
      <c r="G270" s="21" t="b">
        <f>IF(AND(A270&lt;&gt;0,B270=0,C270=0),VLOOKUP(A270,'3 - LISTA DE ESPÉCIES'!A:H,3,FALSE()),IF(AND(A270=0,B270&lt;&gt;0,C270=0),VLOOKUP(B270,'3 - LISTA DE ESPÉCIES'!B:H,7,FALSE()),IF(AND(A270=0,B270=0,C270&lt;&gt;0),VLOOKUP(C270,'3 - LISTA DE ESPÉCIES'!C:H,6,FALSE()))))</f>
        <v>0</v>
      </c>
      <c r="H270" s="21" t="b">
        <f>IF(AND(A270&lt;&gt;0,B270=0,C270=0),VLOOKUP(A270,'3 - LISTA DE ESPÉCIES'!A:H,4,FALSE()),IF(AND(A270=0,B270&lt;&gt;0,C270=0),VLOOKUP(B270,'3 - LISTA DE ESPÉCIES'!B:H,3,FALSE()),IF(AND(A270=0,B270=0,C270&lt;&gt;0),VLOOKUP(C270,'3 - LISTA DE ESPÉCIES'!C:H,2,FALSE()))))</f>
        <v>0</v>
      </c>
      <c r="I270" s="21" t="b">
        <f>IF(AND(A270&lt;&gt;0,B270=0,C270=0),VLOOKUP(A270,'3 - LISTA DE ESPÉCIES'!A:H,5,FALSE()),IF(AND(A270=0,B270&lt;&gt;0,C270=0),VLOOKUP(B270,'3 - LISTA DE ESPÉCIES'!B:H,4,FALSE()),IF(AND(A270=0,B270=0,C270&lt;&gt;0),VLOOKUP(C270,'3 - LISTA DE ESPÉCIES'!C:H,3,FALSE()))))</f>
        <v>0</v>
      </c>
      <c r="J270" s="23"/>
      <c r="K270" s="23"/>
      <c r="L270" s="20"/>
      <c r="M270" s="20"/>
    </row>
    <row r="271" spans="1:13" x14ac:dyDescent="0.25">
      <c r="A271" s="20"/>
      <c r="B271" s="20"/>
      <c r="C271" s="20"/>
      <c r="E271" s="21" t="b">
        <f>IF(AND(A271&lt;&gt;0,B271=0,C271=0),VLOOKUP(A271,'3 - LISTA DE ESPÉCIES'!A:H,1,FALSE()),IF(AND(A271=0,B271&lt;&gt;0,C271=0),VLOOKUP(B271,'3 - LISTA DE ESPÉCIES'!B:H,5,FALSE()),IF(AND(A271=0,B271=0,C271&lt;&gt;0),VLOOKUP(C271,'3 - LISTA DE ESPÉCIES'!C:H,4,FALSE()))))</f>
        <v>0</v>
      </c>
      <c r="F271" s="21" t="b">
        <f>IF(AND(A271&lt;&gt;0,B271=0,C271=0),VLOOKUP(A271,'3 - LISTA DE ESPÉCIES'!A:H,2,FALSE()),IF(AND(A271=0,B271&lt;&gt;0,C271=0),VLOOKUP(B271,'3 - LISTA DE ESPÉCIES'!B:H,6,FALSE()),IF(AND(A271=0,B271=0,C271&lt;&gt;0),VLOOKUP(C271,'3 - LISTA DE ESPÉCIES'!C:H,5,FALSE()))))</f>
        <v>0</v>
      </c>
      <c r="G271" s="21" t="b">
        <f>IF(AND(A271&lt;&gt;0,B271=0,C271=0),VLOOKUP(A271,'3 - LISTA DE ESPÉCIES'!A:H,3,FALSE()),IF(AND(A271=0,B271&lt;&gt;0,C271=0),VLOOKUP(B271,'3 - LISTA DE ESPÉCIES'!B:H,7,FALSE()),IF(AND(A271=0,B271=0,C271&lt;&gt;0),VLOOKUP(C271,'3 - LISTA DE ESPÉCIES'!C:H,6,FALSE()))))</f>
        <v>0</v>
      </c>
      <c r="H271" s="21" t="b">
        <f>IF(AND(A271&lt;&gt;0,B271=0,C271=0),VLOOKUP(A271,'3 - LISTA DE ESPÉCIES'!A:H,4,FALSE()),IF(AND(A271=0,B271&lt;&gt;0,C271=0),VLOOKUP(B271,'3 - LISTA DE ESPÉCIES'!B:H,3,FALSE()),IF(AND(A271=0,B271=0,C271&lt;&gt;0),VLOOKUP(C271,'3 - LISTA DE ESPÉCIES'!C:H,2,FALSE()))))</f>
        <v>0</v>
      </c>
      <c r="I271" s="21" t="b">
        <f>IF(AND(A271&lt;&gt;0,B271=0,C271=0),VLOOKUP(A271,'3 - LISTA DE ESPÉCIES'!A:H,5,FALSE()),IF(AND(A271=0,B271&lt;&gt;0,C271=0),VLOOKUP(B271,'3 - LISTA DE ESPÉCIES'!B:H,4,FALSE()),IF(AND(A271=0,B271=0,C271&lt;&gt;0),VLOOKUP(C271,'3 - LISTA DE ESPÉCIES'!C:H,3,FALSE()))))</f>
        <v>0</v>
      </c>
      <c r="J271" s="23"/>
      <c r="K271" s="23"/>
      <c r="L271" s="20"/>
      <c r="M271" s="20"/>
    </row>
    <row r="272" spans="1:13" x14ac:dyDescent="0.25">
      <c r="A272" s="20"/>
      <c r="B272" s="20"/>
      <c r="C272" s="20"/>
      <c r="E272" s="21" t="b">
        <f>IF(AND(A272&lt;&gt;0,B272=0,C272=0),VLOOKUP(A272,'3 - LISTA DE ESPÉCIES'!A:H,1,FALSE()),IF(AND(A272=0,B272&lt;&gt;0,C272=0),VLOOKUP(B272,'3 - LISTA DE ESPÉCIES'!B:H,5,FALSE()),IF(AND(A272=0,B272=0,C272&lt;&gt;0),VLOOKUP(C272,'3 - LISTA DE ESPÉCIES'!C:H,4,FALSE()))))</f>
        <v>0</v>
      </c>
      <c r="F272" s="21" t="b">
        <f>IF(AND(A272&lt;&gt;0,B272=0,C272=0),VLOOKUP(A272,'3 - LISTA DE ESPÉCIES'!A:H,2,FALSE()),IF(AND(A272=0,B272&lt;&gt;0,C272=0),VLOOKUP(B272,'3 - LISTA DE ESPÉCIES'!B:H,6,FALSE()),IF(AND(A272=0,B272=0,C272&lt;&gt;0),VLOOKUP(C272,'3 - LISTA DE ESPÉCIES'!C:H,5,FALSE()))))</f>
        <v>0</v>
      </c>
      <c r="G272" s="21" t="b">
        <f>IF(AND(A272&lt;&gt;0,B272=0,C272=0),VLOOKUP(A272,'3 - LISTA DE ESPÉCIES'!A:H,3,FALSE()),IF(AND(A272=0,B272&lt;&gt;0,C272=0),VLOOKUP(B272,'3 - LISTA DE ESPÉCIES'!B:H,7,FALSE()),IF(AND(A272=0,B272=0,C272&lt;&gt;0),VLOOKUP(C272,'3 - LISTA DE ESPÉCIES'!C:H,6,FALSE()))))</f>
        <v>0</v>
      </c>
      <c r="H272" s="21" t="b">
        <f>IF(AND(A272&lt;&gt;0,B272=0,C272=0),VLOOKUP(A272,'3 - LISTA DE ESPÉCIES'!A:H,4,FALSE()),IF(AND(A272=0,B272&lt;&gt;0,C272=0),VLOOKUP(B272,'3 - LISTA DE ESPÉCIES'!B:H,3,FALSE()),IF(AND(A272=0,B272=0,C272&lt;&gt;0),VLOOKUP(C272,'3 - LISTA DE ESPÉCIES'!C:H,2,FALSE()))))</f>
        <v>0</v>
      </c>
      <c r="I272" s="21" t="b">
        <f>IF(AND(A272&lt;&gt;0,B272=0,C272=0),VLOOKUP(A272,'3 - LISTA DE ESPÉCIES'!A:H,5,FALSE()),IF(AND(A272=0,B272&lt;&gt;0,C272=0),VLOOKUP(B272,'3 - LISTA DE ESPÉCIES'!B:H,4,FALSE()),IF(AND(A272=0,B272=0,C272&lt;&gt;0),VLOOKUP(C272,'3 - LISTA DE ESPÉCIES'!C:H,3,FALSE()))))</f>
        <v>0</v>
      </c>
      <c r="J272" s="23"/>
      <c r="K272" s="23"/>
      <c r="L272" s="20"/>
      <c r="M272" s="20"/>
    </row>
    <row r="273" spans="1:13" x14ac:dyDescent="0.25">
      <c r="A273" s="20"/>
      <c r="B273" s="20"/>
      <c r="C273" s="20"/>
      <c r="E273" s="21" t="b">
        <f>IF(AND(A273&lt;&gt;0,B273=0,C273=0),VLOOKUP(A273,'3 - LISTA DE ESPÉCIES'!A:H,1,FALSE()),IF(AND(A273=0,B273&lt;&gt;0,C273=0),VLOOKUP(B273,'3 - LISTA DE ESPÉCIES'!B:H,5,FALSE()),IF(AND(A273=0,B273=0,C273&lt;&gt;0),VLOOKUP(C273,'3 - LISTA DE ESPÉCIES'!C:H,4,FALSE()))))</f>
        <v>0</v>
      </c>
      <c r="F273" s="21" t="b">
        <f>IF(AND(A273&lt;&gt;0,B273=0,C273=0),VLOOKUP(A273,'3 - LISTA DE ESPÉCIES'!A:H,2,FALSE()),IF(AND(A273=0,B273&lt;&gt;0,C273=0),VLOOKUP(B273,'3 - LISTA DE ESPÉCIES'!B:H,6,FALSE()),IF(AND(A273=0,B273=0,C273&lt;&gt;0),VLOOKUP(C273,'3 - LISTA DE ESPÉCIES'!C:H,5,FALSE()))))</f>
        <v>0</v>
      </c>
      <c r="G273" s="21" t="b">
        <f>IF(AND(A273&lt;&gt;0,B273=0,C273=0),VLOOKUP(A273,'3 - LISTA DE ESPÉCIES'!A:H,3,FALSE()),IF(AND(A273=0,B273&lt;&gt;0,C273=0),VLOOKUP(B273,'3 - LISTA DE ESPÉCIES'!B:H,7,FALSE()),IF(AND(A273=0,B273=0,C273&lt;&gt;0),VLOOKUP(C273,'3 - LISTA DE ESPÉCIES'!C:H,6,FALSE()))))</f>
        <v>0</v>
      </c>
      <c r="H273" s="21" t="b">
        <f>IF(AND(A273&lt;&gt;0,B273=0,C273=0),VLOOKUP(A273,'3 - LISTA DE ESPÉCIES'!A:H,4,FALSE()),IF(AND(A273=0,B273&lt;&gt;0,C273=0),VLOOKUP(B273,'3 - LISTA DE ESPÉCIES'!B:H,3,FALSE()),IF(AND(A273=0,B273=0,C273&lt;&gt;0),VLOOKUP(C273,'3 - LISTA DE ESPÉCIES'!C:H,2,FALSE()))))</f>
        <v>0</v>
      </c>
      <c r="I273" s="21" t="b">
        <f>IF(AND(A273&lt;&gt;0,B273=0,C273=0),VLOOKUP(A273,'3 - LISTA DE ESPÉCIES'!A:H,5,FALSE()),IF(AND(A273=0,B273&lt;&gt;0,C273=0),VLOOKUP(B273,'3 - LISTA DE ESPÉCIES'!B:H,4,FALSE()),IF(AND(A273=0,B273=0,C273&lt;&gt;0),VLOOKUP(C273,'3 - LISTA DE ESPÉCIES'!C:H,3,FALSE()))))</f>
        <v>0</v>
      </c>
      <c r="J273" s="23"/>
      <c r="K273" s="23"/>
      <c r="L273" s="20"/>
      <c r="M273" s="20"/>
    </row>
    <row r="274" spans="1:13" x14ac:dyDescent="0.25">
      <c r="A274" s="20"/>
      <c r="B274" s="20"/>
      <c r="C274" s="20"/>
      <c r="E274" s="21" t="b">
        <f>IF(AND(A274&lt;&gt;0,B274=0,C274=0),VLOOKUP(A274,'3 - LISTA DE ESPÉCIES'!A:H,1,FALSE()),IF(AND(A274=0,B274&lt;&gt;0,C274=0),VLOOKUP(B274,'3 - LISTA DE ESPÉCIES'!B:H,5,FALSE()),IF(AND(A274=0,B274=0,C274&lt;&gt;0),VLOOKUP(C274,'3 - LISTA DE ESPÉCIES'!C:H,4,FALSE()))))</f>
        <v>0</v>
      </c>
      <c r="F274" s="21" t="b">
        <f>IF(AND(A274&lt;&gt;0,B274=0,C274=0),VLOOKUP(A274,'3 - LISTA DE ESPÉCIES'!A:H,2,FALSE()),IF(AND(A274=0,B274&lt;&gt;0,C274=0),VLOOKUP(B274,'3 - LISTA DE ESPÉCIES'!B:H,6,FALSE()),IF(AND(A274=0,B274=0,C274&lt;&gt;0),VLOOKUP(C274,'3 - LISTA DE ESPÉCIES'!C:H,5,FALSE()))))</f>
        <v>0</v>
      </c>
      <c r="G274" s="21" t="b">
        <f>IF(AND(A274&lt;&gt;0,B274=0,C274=0),VLOOKUP(A274,'3 - LISTA DE ESPÉCIES'!A:H,3,FALSE()),IF(AND(A274=0,B274&lt;&gt;0,C274=0),VLOOKUP(B274,'3 - LISTA DE ESPÉCIES'!B:H,7,FALSE()),IF(AND(A274=0,B274=0,C274&lt;&gt;0),VLOOKUP(C274,'3 - LISTA DE ESPÉCIES'!C:H,6,FALSE()))))</f>
        <v>0</v>
      </c>
      <c r="H274" s="21" t="b">
        <f>IF(AND(A274&lt;&gt;0,B274=0,C274=0),VLOOKUP(A274,'3 - LISTA DE ESPÉCIES'!A:H,4,FALSE()),IF(AND(A274=0,B274&lt;&gt;0,C274=0),VLOOKUP(B274,'3 - LISTA DE ESPÉCIES'!B:H,3,FALSE()),IF(AND(A274=0,B274=0,C274&lt;&gt;0),VLOOKUP(C274,'3 - LISTA DE ESPÉCIES'!C:H,2,FALSE()))))</f>
        <v>0</v>
      </c>
      <c r="I274" s="21" t="b">
        <f>IF(AND(A274&lt;&gt;0,B274=0,C274=0),VLOOKUP(A274,'3 - LISTA DE ESPÉCIES'!A:H,5,FALSE()),IF(AND(A274=0,B274&lt;&gt;0,C274=0),VLOOKUP(B274,'3 - LISTA DE ESPÉCIES'!B:H,4,FALSE()),IF(AND(A274=0,B274=0,C274&lt;&gt;0),VLOOKUP(C274,'3 - LISTA DE ESPÉCIES'!C:H,3,FALSE()))))</f>
        <v>0</v>
      </c>
      <c r="J274" s="23"/>
      <c r="K274" s="23"/>
      <c r="L274" s="20"/>
      <c r="M274" s="20"/>
    </row>
    <row r="275" spans="1:13" x14ac:dyDescent="0.25">
      <c r="A275" s="20"/>
      <c r="B275" s="20"/>
      <c r="C275" s="20"/>
      <c r="E275" s="21" t="b">
        <f>IF(AND(A275&lt;&gt;0,B275=0,C275=0),VLOOKUP(A275,'3 - LISTA DE ESPÉCIES'!A:H,1,FALSE()),IF(AND(A275=0,B275&lt;&gt;0,C275=0),VLOOKUP(B275,'3 - LISTA DE ESPÉCIES'!B:H,5,FALSE()),IF(AND(A275=0,B275=0,C275&lt;&gt;0),VLOOKUP(C275,'3 - LISTA DE ESPÉCIES'!C:H,4,FALSE()))))</f>
        <v>0</v>
      </c>
      <c r="F275" s="21" t="b">
        <f>IF(AND(A275&lt;&gt;0,B275=0,C275=0),VLOOKUP(A275,'3 - LISTA DE ESPÉCIES'!A:H,2,FALSE()),IF(AND(A275=0,B275&lt;&gt;0,C275=0),VLOOKUP(B275,'3 - LISTA DE ESPÉCIES'!B:H,6,FALSE()),IF(AND(A275=0,B275=0,C275&lt;&gt;0),VLOOKUP(C275,'3 - LISTA DE ESPÉCIES'!C:H,5,FALSE()))))</f>
        <v>0</v>
      </c>
      <c r="G275" s="21" t="b">
        <f>IF(AND(A275&lt;&gt;0,B275=0,C275=0),VLOOKUP(A275,'3 - LISTA DE ESPÉCIES'!A:H,3,FALSE()),IF(AND(A275=0,B275&lt;&gt;0,C275=0),VLOOKUP(B275,'3 - LISTA DE ESPÉCIES'!B:H,7,FALSE()),IF(AND(A275=0,B275=0,C275&lt;&gt;0),VLOOKUP(C275,'3 - LISTA DE ESPÉCIES'!C:H,6,FALSE()))))</f>
        <v>0</v>
      </c>
      <c r="H275" s="21" t="b">
        <f>IF(AND(A275&lt;&gt;0,B275=0,C275=0),VLOOKUP(A275,'3 - LISTA DE ESPÉCIES'!A:H,4,FALSE()),IF(AND(A275=0,B275&lt;&gt;0,C275=0),VLOOKUP(B275,'3 - LISTA DE ESPÉCIES'!B:H,3,FALSE()),IF(AND(A275=0,B275=0,C275&lt;&gt;0),VLOOKUP(C275,'3 - LISTA DE ESPÉCIES'!C:H,2,FALSE()))))</f>
        <v>0</v>
      </c>
      <c r="I275" s="21" t="b">
        <f>IF(AND(A275&lt;&gt;0,B275=0,C275=0),VLOOKUP(A275,'3 - LISTA DE ESPÉCIES'!A:H,5,FALSE()),IF(AND(A275=0,B275&lt;&gt;0,C275=0),VLOOKUP(B275,'3 - LISTA DE ESPÉCIES'!B:H,4,FALSE()),IF(AND(A275=0,B275=0,C275&lt;&gt;0),VLOOKUP(C275,'3 - LISTA DE ESPÉCIES'!C:H,3,FALSE()))))</f>
        <v>0</v>
      </c>
      <c r="J275" s="23"/>
      <c r="K275" s="23"/>
      <c r="L275" s="20"/>
      <c r="M275" s="20"/>
    </row>
    <row r="276" spans="1:13" x14ac:dyDescent="0.25">
      <c r="A276" s="20"/>
      <c r="B276" s="20"/>
      <c r="C276" s="20"/>
      <c r="E276" s="21" t="b">
        <f>IF(AND(A276&lt;&gt;0,B276=0,C276=0),VLOOKUP(A276,'3 - LISTA DE ESPÉCIES'!A:H,1,FALSE()),IF(AND(A276=0,B276&lt;&gt;0,C276=0),VLOOKUP(B276,'3 - LISTA DE ESPÉCIES'!B:H,5,FALSE()),IF(AND(A276=0,B276=0,C276&lt;&gt;0),VLOOKUP(C276,'3 - LISTA DE ESPÉCIES'!C:H,4,FALSE()))))</f>
        <v>0</v>
      </c>
      <c r="F276" s="21" t="b">
        <f>IF(AND(A276&lt;&gt;0,B276=0,C276=0),VLOOKUP(A276,'3 - LISTA DE ESPÉCIES'!A:H,2,FALSE()),IF(AND(A276=0,B276&lt;&gt;0,C276=0),VLOOKUP(B276,'3 - LISTA DE ESPÉCIES'!B:H,6,FALSE()),IF(AND(A276=0,B276=0,C276&lt;&gt;0),VLOOKUP(C276,'3 - LISTA DE ESPÉCIES'!C:H,5,FALSE()))))</f>
        <v>0</v>
      </c>
      <c r="G276" s="21" t="b">
        <f>IF(AND(A276&lt;&gt;0,B276=0,C276=0),VLOOKUP(A276,'3 - LISTA DE ESPÉCIES'!A:H,3,FALSE()),IF(AND(A276=0,B276&lt;&gt;0,C276=0),VLOOKUP(B276,'3 - LISTA DE ESPÉCIES'!B:H,7,FALSE()),IF(AND(A276=0,B276=0,C276&lt;&gt;0),VLOOKUP(C276,'3 - LISTA DE ESPÉCIES'!C:H,6,FALSE()))))</f>
        <v>0</v>
      </c>
      <c r="H276" s="21" t="b">
        <f>IF(AND(A276&lt;&gt;0,B276=0,C276=0),VLOOKUP(A276,'3 - LISTA DE ESPÉCIES'!A:H,4,FALSE()),IF(AND(A276=0,B276&lt;&gt;0,C276=0),VLOOKUP(B276,'3 - LISTA DE ESPÉCIES'!B:H,3,FALSE()),IF(AND(A276=0,B276=0,C276&lt;&gt;0),VLOOKUP(C276,'3 - LISTA DE ESPÉCIES'!C:H,2,FALSE()))))</f>
        <v>0</v>
      </c>
      <c r="I276" s="21" t="b">
        <f>IF(AND(A276&lt;&gt;0,B276=0,C276=0),VLOOKUP(A276,'3 - LISTA DE ESPÉCIES'!A:H,5,FALSE()),IF(AND(A276=0,B276&lt;&gt;0,C276=0),VLOOKUP(B276,'3 - LISTA DE ESPÉCIES'!B:H,4,FALSE()),IF(AND(A276=0,B276=0,C276&lt;&gt;0),VLOOKUP(C276,'3 - LISTA DE ESPÉCIES'!C:H,3,FALSE()))))</f>
        <v>0</v>
      </c>
      <c r="J276" s="23"/>
      <c r="K276" s="23"/>
      <c r="L276" s="20"/>
      <c r="M276" s="20"/>
    </row>
    <row r="277" spans="1:13" x14ac:dyDescent="0.25">
      <c r="A277" s="20"/>
      <c r="B277" s="20"/>
      <c r="C277" s="20"/>
      <c r="E277" s="21" t="b">
        <f>IF(AND(A277&lt;&gt;0,B277=0,C277=0),VLOOKUP(A277,'3 - LISTA DE ESPÉCIES'!A:H,1,FALSE()),IF(AND(A277=0,B277&lt;&gt;0,C277=0),VLOOKUP(B277,'3 - LISTA DE ESPÉCIES'!B:H,5,FALSE()),IF(AND(A277=0,B277=0,C277&lt;&gt;0),VLOOKUP(C277,'3 - LISTA DE ESPÉCIES'!C:H,4,FALSE()))))</f>
        <v>0</v>
      </c>
      <c r="F277" s="21" t="b">
        <f>IF(AND(A277&lt;&gt;0,B277=0,C277=0),VLOOKUP(A277,'3 - LISTA DE ESPÉCIES'!A:H,2,FALSE()),IF(AND(A277=0,B277&lt;&gt;0,C277=0),VLOOKUP(B277,'3 - LISTA DE ESPÉCIES'!B:H,6,FALSE()),IF(AND(A277=0,B277=0,C277&lt;&gt;0),VLOOKUP(C277,'3 - LISTA DE ESPÉCIES'!C:H,5,FALSE()))))</f>
        <v>0</v>
      </c>
      <c r="G277" s="21" t="b">
        <f>IF(AND(A277&lt;&gt;0,B277=0,C277=0),VLOOKUP(A277,'3 - LISTA DE ESPÉCIES'!A:H,3,FALSE()),IF(AND(A277=0,B277&lt;&gt;0,C277=0),VLOOKUP(B277,'3 - LISTA DE ESPÉCIES'!B:H,7,FALSE()),IF(AND(A277=0,B277=0,C277&lt;&gt;0),VLOOKUP(C277,'3 - LISTA DE ESPÉCIES'!C:H,6,FALSE()))))</f>
        <v>0</v>
      </c>
      <c r="H277" s="21" t="b">
        <f>IF(AND(A277&lt;&gt;0,B277=0,C277=0),VLOOKUP(A277,'3 - LISTA DE ESPÉCIES'!A:H,4,FALSE()),IF(AND(A277=0,B277&lt;&gt;0,C277=0),VLOOKUP(B277,'3 - LISTA DE ESPÉCIES'!B:H,3,FALSE()),IF(AND(A277=0,B277=0,C277&lt;&gt;0),VLOOKUP(C277,'3 - LISTA DE ESPÉCIES'!C:H,2,FALSE()))))</f>
        <v>0</v>
      </c>
      <c r="I277" s="21" t="b">
        <f>IF(AND(A277&lt;&gt;0,B277=0,C277=0),VLOOKUP(A277,'3 - LISTA DE ESPÉCIES'!A:H,5,FALSE()),IF(AND(A277=0,B277&lt;&gt;0,C277=0),VLOOKUP(B277,'3 - LISTA DE ESPÉCIES'!B:H,4,FALSE()),IF(AND(A277=0,B277=0,C277&lt;&gt;0),VLOOKUP(C277,'3 - LISTA DE ESPÉCIES'!C:H,3,FALSE()))))</f>
        <v>0</v>
      </c>
      <c r="J277" s="23"/>
      <c r="K277" s="23"/>
      <c r="L277" s="20"/>
      <c r="M277" s="20"/>
    </row>
    <row r="278" spans="1:13" x14ac:dyDescent="0.25">
      <c r="A278" s="20"/>
      <c r="B278" s="20"/>
      <c r="C278" s="20"/>
      <c r="E278" s="21" t="b">
        <f>IF(AND(A278&lt;&gt;0,B278=0,C278=0),VLOOKUP(A278,'3 - LISTA DE ESPÉCIES'!A:H,1,FALSE()),IF(AND(A278=0,B278&lt;&gt;0,C278=0),VLOOKUP(B278,'3 - LISTA DE ESPÉCIES'!B:H,5,FALSE()),IF(AND(A278=0,B278=0,C278&lt;&gt;0),VLOOKUP(C278,'3 - LISTA DE ESPÉCIES'!C:H,4,FALSE()))))</f>
        <v>0</v>
      </c>
      <c r="F278" s="21" t="b">
        <f>IF(AND(A278&lt;&gt;0,B278=0,C278=0),VLOOKUP(A278,'3 - LISTA DE ESPÉCIES'!A:H,2,FALSE()),IF(AND(A278=0,B278&lt;&gt;0,C278=0),VLOOKUP(B278,'3 - LISTA DE ESPÉCIES'!B:H,6,FALSE()),IF(AND(A278=0,B278=0,C278&lt;&gt;0),VLOOKUP(C278,'3 - LISTA DE ESPÉCIES'!C:H,5,FALSE()))))</f>
        <v>0</v>
      </c>
      <c r="G278" s="21" t="b">
        <f>IF(AND(A278&lt;&gt;0,B278=0,C278=0),VLOOKUP(A278,'3 - LISTA DE ESPÉCIES'!A:H,3,FALSE()),IF(AND(A278=0,B278&lt;&gt;0,C278=0),VLOOKUP(B278,'3 - LISTA DE ESPÉCIES'!B:H,7,FALSE()),IF(AND(A278=0,B278=0,C278&lt;&gt;0),VLOOKUP(C278,'3 - LISTA DE ESPÉCIES'!C:H,6,FALSE()))))</f>
        <v>0</v>
      </c>
      <c r="H278" s="21" t="b">
        <f>IF(AND(A278&lt;&gt;0,B278=0,C278=0),VLOOKUP(A278,'3 - LISTA DE ESPÉCIES'!A:H,4,FALSE()),IF(AND(A278=0,B278&lt;&gt;0,C278=0),VLOOKUP(B278,'3 - LISTA DE ESPÉCIES'!B:H,3,FALSE()),IF(AND(A278=0,B278=0,C278&lt;&gt;0),VLOOKUP(C278,'3 - LISTA DE ESPÉCIES'!C:H,2,FALSE()))))</f>
        <v>0</v>
      </c>
      <c r="I278" s="21" t="b">
        <f>IF(AND(A278&lt;&gt;0,B278=0,C278=0),VLOOKUP(A278,'3 - LISTA DE ESPÉCIES'!A:H,5,FALSE()),IF(AND(A278=0,B278&lt;&gt;0,C278=0),VLOOKUP(B278,'3 - LISTA DE ESPÉCIES'!B:H,4,FALSE()),IF(AND(A278=0,B278=0,C278&lt;&gt;0),VLOOKUP(C278,'3 - LISTA DE ESPÉCIES'!C:H,3,FALSE()))))</f>
        <v>0</v>
      </c>
      <c r="J278" s="23"/>
      <c r="K278" s="23"/>
      <c r="L278" s="20"/>
      <c r="M278" s="20"/>
    </row>
    <row r="279" spans="1:13" x14ac:dyDescent="0.25">
      <c r="A279" s="20"/>
      <c r="B279" s="20"/>
      <c r="C279" s="20"/>
      <c r="E279" s="21" t="b">
        <f>IF(AND(A279&lt;&gt;0,B279=0,C279=0),VLOOKUP(A279,'3 - LISTA DE ESPÉCIES'!A:H,1,FALSE()),IF(AND(A279=0,B279&lt;&gt;0,C279=0),VLOOKUP(B279,'3 - LISTA DE ESPÉCIES'!B:H,5,FALSE()),IF(AND(A279=0,B279=0,C279&lt;&gt;0),VLOOKUP(C279,'3 - LISTA DE ESPÉCIES'!C:H,4,FALSE()))))</f>
        <v>0</v>
      </c>
      <c r="F279" s="21" t="b">
        <f>IF(AND(A279&lt;&gt;0,B279=0,C279=0),VLOOKUP(A279,'3 - LISTA DE ESPÉCIES'!A:H,2,FALSE()),IF(AND(A279=0,B279&lt;&gt;0,C279=0),VLOOKUP(B279,'3 - LISTA DE ESPÉCIES'!B:H,6,FALSE()),IF(AND(A279=0,B279=0,C279&lt;&gt;0),VLOOKUP(C279,'3 - LISTA DE ESPÉCIES'!C:H,5,FALSE()))))</f>
        <v>0</v>
      </c>
      <c r="G279" s="21" t="b">
        <f>IF(AND(A279&lt;&gt;0,B279=0,C279=0),VLOOKUP(A279,'3 - LISTA DE ESPÉCIES'!A:H,3,FALSE()),IF(AND(A279=0,B279&lt;&gt;0,C279=0),VLOOKUP(B279,'3 - LISTA DE ESPÉCIES'!B:H,7,FALSE()),IF(AND(A279=0,B279=0,C279&lt;&gt;0),VLOOKUP(C279,'3 - LISTA DE ESPÉCIES'!C:H,6,FALSE()))))</f>
        <v>0</v>
      </c>
      <c r="H279" s="21" t="b">
        <f>IF(AND(A279&lt;&gt;0,B279=0,C279=0),VLOOKUP(A279,'3 - LISTA DE ESPÉCIES'!A:H,4,FALSE()),IF(AND(A279=0,B279&lt;&gt;0,C279=0),VLOOKUP(B279,'3 - LISTA DE ESPÉCIES'!B:H,3,FALSE()),IF(AND(A279=0,B279=0,C279&lt;&gt;0),VLOOKUP(C279,'3 - LISTA DE ESPÉCIES'!C:H,2,FALSE()))))</f>
        <v>0</v>
      </c>
      <c r="I279" s="21" t="b">
        <f>IF(AND(A279&lt;&gt;0,B279=0,C279=0),VLOOKUP(A279,'3 - LISTA DE ESPÉCIES'!A:H,5,FALSE()),IF(AND(A279=0,B279&lt;&gt;0,C279=0),VLOOKUP(B279,'3 - LISTA DE ESPÉCIES'!B:H,4,FALSE()),IF(AND(A279=0,B279=0,C279&lt;&gt;0),VLOOKUP(C279,'3 - LISTA DE ESPÉCIES'!C:H,3,FALSE()))))</f>
        <v>0</v>
      </c>
      <c r="J279" s="23"/>
      <c r="K279" s="23"/>
      <c r="L279" s="20"/>
      <c r="M279" s="20"/>
    </row>
    <row r="280" spans="1:13" x14ac:dyDescent="0.25">
      <c r="A280" s="20"/>
      <c r="B280" s="20"/>
      <c r="C280" s="20"/>
      <c r="E280" s="21" t="b">
        <f>IF(AND(A280&lt;&gt;0,B280=0,C280=0),VLOOKUP(A280,'3 - LISTA DE ESPÉCIES'!A:H,1,FALSE()),IF(AND(A280=0,B280&lt;&gt;0,C280=0),VLOOKUP(B280,'3 - LISTA DE ESPÉCIES'!B:H,5,FALSE()),IF(AND(A280=0,B280=0,C280&lt;&gt;0),VLOOKUP(C280,'3 - LISTA DE ESPÉCIES'!C:H,4,FALSE()))))</f>
        <v>0</v>
      </c>
      <c r="F280" s="21" t="b">
        <f>IF(AND(A280&lt;&gt;0,B280=0,C280=0),VLOOKUP(A280,'3 - LISTA DE ESPÉCIES'!A:H,2,FALSE()),IF(AND(A280=0,B280&lt;&gt;0,C280=0),VLOOKUP(B280,'3 - LISTA DE ESPÉCIES'!B:H,6,FALSE()),IF(AND(A280=0,B280=0,C280&lt;&gt;0),VLOOKUP(C280,'3 - LISTA DE ESPÉCIES'!C:H,5,FALSE()))))</f>
        <v>0</v>
      </c>
      <c r="G280" s="21" t="b">
        <f>IF(AND(A280&lt;&gt;0,B280=0,C280=0),VLOOKUP(A280,'3 - LISTA DE ESPÉCIES'!A:H,3,FALSE()),IF(AND(A280=0,B280&lt;&gt;0,C280=0),VLOOKUP(B280,'3 - LISTA DE ESPÉCIES'!B:H,7,FALSE()),IF(AND(A280=0,B280=0,C280&lt;&gt;0),VLOOKUP(C280,'3 - LISTA DE ESPÉCIES'!C:H,6,FALSE()))))</f>
        <v>0</v>
      </c>
      <c r="H280" s="21" t="b">
        <f>IF(AND(A280&lt;&gt;0,B280=0,C280=0),VLOOKUP(A280,'3 - LISTA DE ESPÉCIES'!A:H,4,FALSE()),IF(AND(A280=0,B280&lt;&gt;0,C280=0),VLOOKUP(B280,'3 - LISTA DE ESPÉCIES'!B:H,3,FALSE()),IF(AND(A280=0,B280=0,C280&lt;&gt;0),VLOOKUP(C280,'3 - LISTA DE ESPÉCIES'!C:H,2,FALSE()))))</f>
        <v>0</v>
      </c>
      <c r="I280" s="21" t="b">
        <f>IF(AND(A280&lt;&gt;0,B280=0,C280=0),VLOOKUP(A280,'3 - LISTA DE ESPÉCIES'!A:H,5,FALSE()),IF(AND(A280=0,B280&lt;&gt;0,C280=0),VLOOKUP(B280,'3 - LISTA DE ESPÉCIES'!B:H,4,FALSE()),IF(AND(A280=0,B280=0,C280&lt;&gt;0),VLOOKUP(C280,'3 - LISTA DE ESPÉCIES'!C:H,3,FALSE()))))</f>
        <v>0</v>
      </c>
      <c r="J280" s="23"/>
      <c r="K280" s="23"/>
      <c r="L280" s="20"/>
      <c r="M280" s="20"/>
    </row>
    <row r="281" spans="1:13" x14ac:dyDescent="0.25">
      <c r="A281" s="20"/>
      <c r="B281" s="20"/>
      <c r="C281" s="20"/>
      <c r="E281" s="21" t="b">
        <f>IF(AND(A281&lt;&gt;0,B281=0,C281=0),VLOOKUP(A281,'3 - LISTA DE ESPÉCIES'!A:H,1,FALSE()),IF(AND(A281=0,B281&lt;&gt;0,C281=0),VLOOKUP(B281,'3 - LISTA DE ESPÉCIES'!B:H,5,FALSE()),IF(AND(A281=0,B281=0,C281&lt;&gt;0),VLOOKUP(C281,'3 - LISTA DE ESPÉCIES'!C:H,4,FALSE()))))</f>
        <v>0</v>
      </c>
      <c r="F281" s="21" t="b">
        <f>IF(AND(A281&lt;&gt;0,B281=0,C281=0),VLOOKUP(A281,'3 - LISTA DE ESPÉCIES'!A:H,2,FALSE()),IF(AND(A281=0,B281&lt;&gt;0,C281=0),VLOOKUP(B281,'3 - LISTA DE ESPÉCIES'!B:H,6,FALSE()),IF(AND(A281=0,B281=0,C281&lt;&gt;0),VLOOKUP(C281,'3 - LISTA DE ESPÉCIES'!C:H,5,FALSE()))))</f>
        <v>0</v>
      </c>
      <c r="G281" s="21" t="b">
        <f>IF(AND(A281&lt;&gt;0,B281=0,C281=0),VLOOKUP(A281,'3 - LISTA DE ESPÉCIES'!A:H,3,FALSE()),IF(AND(A281=0,B281&lt;&gt;0,C281=0),VLOOKUP(B281,'3 - LISTA DE ESPÉCIES'!B:H,7,FALSE()),IF(AND(A281=0,B281=0,C281&lt;&gt;0),VLOOKUP(C281,'3 - LISTA DE ESPÉCIES'!C:H,6,FALSE()))))</f>
        <v>0</v>
      </c>
      <c r="H281" s="21" t="b">
        <f>IF(AND(A281&lt;&gt;0,B281=0,C281=0),VLOOKUP(A281,'3 - LISTA DE ESPÉCIES'!A:H,4,FALSE()),IF(AND(A281=0,B281&lt;&gt;0,C281=0),VLOOKUP(B281,'3 - LISTA DE ESPÉCIES'!B:H,3,FALSE()),IF(AND(A281=0,B281=0,C281&lt;&gt;0),VLOOKUP(C281,'3 - LISTA DE ESPÉCIES'!C:H,2,FALSE()))))</f>
        <v>0</v>
      </c>
      <c r="I281" s="21" t="b">
        <f>IF(AND(A281&lt;&gt;0,B281=0,C281=0),VLOOKUP(A281,'3 - LISTA DE ESPÉCIES'!A:H,5,FALSE()),IF(AND(A281=0,B281&lt;&gt;0,C281=0),VLOOKUP(B281,'3 - LISTA DE ESPÉCIES'!B:H,4,FALSE()),IF(AND(A281=0,B281=0,C281&lt;&gt;0),VLOOKUP(C281,'3 - LISTA DE ESPÉCIES'!C:H,3,FALSE()))))</f>
        <v>0</v>
      </c>
      <c r="J281" s="23"/>
      <c r="K281" s="23"/>
      <c r="L281" s="20"/>
      <c r="M281" s="20"/>
    </row>
    <row r="282" spans="1:13" x14ac:dyDescent="0.25">
      <c r="A282" s="20"/>
      <c r="B282" s="20"/>
      <c r="C282" s="20"/>
      <c r="E282" s="21" t="b">
        <f>IF(AND(A282&lt;&gt;0,B282=0,C282=0),VLOOKUP(A282,'3 - LISTA DE ESPÉCIES'!A:H,1,FALSE()),IF(AND(A282=0,B282&lt;&gt;0,C282=0),VLOOKUP(B282,'3 - LISTA DE ESPÉCIES'!B:H,5,FALSE()),IF(AND(A282=0,B282=0,C282&lt;&gt;0),VLOOKUP(C282,'3 - LISTA DE ESPÉCIES'!C:H,4,FALSE()))))</f>
        <v>0</v>
      </c>
      <c r="F282" s="21" t="b">
        <f>IF(AND(A282&lt;&gt;0,B282=0,C282=0),VLOOKUP(A282,'3 - LISTA DE ESPÉCIES'!A:H,2,FALSE()),IF(AND(A282=0,B282&lt;&gt;0,C282=0),VLOOKUP(B282,'3 - LISTA DE ESPÉCIES'!B:H,6,FALSE()),IF(AND(A282=0,B282=0,C282&lt;&gt;0),VLOOKUP(C282,'3 - LISTA DE ESPÉCIES'!C:H,5,FALSE()))))</f>
        <v>0</v>
      </c>
      <c r="G282" s="21" t="b">
        <f>IF(AND(A282&lt;&gt;0,B282=0,C282=0),VLOOKUP(A282,'3 - LISTA DE ESPÉCIES'!A:H,3,FALSE()),IF(AND(A282=0,B282&lt;&gt;0,C282=0),VLOOKUP(B282,'3 - LISTA DE ESPÉCIES'!B:H,7,FALSE()),IF(AND(A282=0,B282=0,C282&lt;&gt;0),VLOOKUP(C282,'3 - LISTA DE ESPÉCIES'!C:H,6,FALSE()))))</f>
        <v>0</v>
      </c>
      <c r="H282" s="21" t="b">
        <f>IF(AND(A282&lt;&gt;0,B282=0,C282=0),VLOOKUP(A282,'3 - LISTA DE ESPÉCIES'!A:H,4,FALSE()),IF(AND(A282=0,B282&lt;&gt;0,C282=0),VLOOKUP(B282,'3 - LISTA DE ESPÉCIES'!B:H,3,FALSE()),IF(AND(A282=0,B282=0,C282&lt;&gt;0),VLOOKUP(C282,'3 - LISTA DE ESPÉCIES'!C:H,2,FALSE()))))</f>
        <v>0</v>
      </c>
      <c r="I282" s="21" t="b">
        <f>IF(AND(A282&lt;&gt;0,B282=0,C282=0),VLOOKUP(A282,'3 - LISTA DE ESPÉCIES'!A:H,5,FALSE()),IF(AND(A282=0,B282&lt;&gt;0,C282=0),VLOOKUP(B282,'3 - LISTA DE ESPÉCIES'!B:H,4,FALSE()),IF(AND(A282=0,B282=0,C282&lt;&gt;0),VLOOKUP(C282,'3 - LISTA DE ESPÉCIES'!C:H,3,FALSE()))))</f>
        <v>0</v>
      </c>
      <c r="J282" s="23"/>
      <c r="K282" s="23"/>
      <c r="L282" s="20"/>
      <c r="M282" s="20"/>
    </row>
    <row r="283" spans="1:13" x14ac:dyDescent="0.25">
      <c r="A283" s="20"/>
      <c r="B283" s="20"/>
      <c r="C283" s="20"/>
      <c r="E283" s="21" t="b">
        <f>IF(AND(A283&lt;&gt;0,B283=0,C283=0),VLOOKUP(A283,'3 - LISTA DE ESPÉCIES'!A:H,1,FALSE()),IF(AND(A283=0,B283&lt;&gt;0,C283=0),VLOOKUP(B283,'3 - LISTA DE ESPÉCIES'!B:H,5,FALSE()),IF(AND(A283=0,B283=0,C283&lt;&gt;0),VLOOKUP(C283,'3 - LISTA DE ESPÉCIES'!C:H,4,FALSE()))))</f>
        <v>0</v>
      </c>
      <c r="F283" s="21" t="b">
        <f>IF(AND(A283&lt;&gt;0,B283=0,C283=0),VLOOKUP(A283,'3 - LISTA DE ESPÉCIES'!A:H,2,FALSE()),IF(AND(A283=0,B283&lt;&gt;0,C283=0),VLOOKUP(B283,'3 - LISTA DE ESPÉCIES'!B:H,6,FALSE()),IF(AND(A283=0,B283=0,C283&lt;&gt;0),VLOOKUP(C283,'3 - LISTA DE ESPÉCIES'!C:H,5,FALSE()))))</f>
        <v>0</v>
      </c>
      <c r="G283" s="21" t="b">
        <f>IF(AND(A283&lt;&gt;0,B283=0,C283=0),VLOOKUP(A283,'3 - LISTA DE ESPÉCIES'!A:H,3,FALSE()),IF(AND(A283=0,B283&lt;&gt;0,C283=0),VLOOKUP(B283,'3 - LISTA DE ESPÉCIES'!B:H,7,FALSE()),IF(AND(A283=0,B283=0,C283&lt;&gt;0),VLOOKUP(C283,'3 - LISTA DE ESPÉCIES'!C:H,6,FALSE()))))</f>
        <v>0</v>
      </c>
      <c r="H283" s="21" t="b">
        <f>IF(AND(A283&lt;&gt;0,B283=0,C283=0),VLOOKUP(A283,'3 - LISTA DE ESPÉCIES'!A:H,4,FALSE()),IF(AND(A283=0,B283&lt;&gt;0,C283=0),VLOOKUP(B283,'3 - LISTA DE ESPÉCIES'!B:H,3,FALSE()),IF(AND(A283=0,B283=0,C283&lt;&gt;0),VLOOKUP(C283,'3 - LISTA DE ESPÉCIES'!C:H,2,FALSE()))))</f>
        <v>0</v>
      </c>
      <c r="I283" s="21" t="b">
        <f>IF(AND(A283&lt;&gt;0,B283=0,C283=0),VLOOKUP(A283,'3 - LISTA DE ESPÉCIES'!A:H,5,FALSE()),IF(AND(A283=0,B283&lt;&gt;0,C283=0),VLOOKUP(B283,'3 - LISTA DE ESPÉCIES'!B:H,4,FALSE()),IF(AND(A283=0,B283=0,C283&lt;&gt;0),VLOOKUP(C283,'3 - LISTA DE ESPÉCIES'!C:H,3,FALSE()))))</f>
        <v>0</v>
      </c>
      <c r="J283" s="23"/>
      <c r="K283" s="23"/>
      <c r="L283" s="20"/>
      <c r="M283" s="20"/>
    </row>
    <row r="284" spans="1:13" x14ac:dyDescent="0.25">
      <c r="A284" s="20"/>
      <c r="B284" s="20"/>
      <c r="C284" s="20"/>
      <c r="E284" s="21" t="b">
        <f>IF(AND(A284&lt;&gt;0,B284=0,C284=0),VLOOKUP(A284,'3 - LISTA DE ESPÉCIES'!A:H,1,FALSE()),IF(AND(A284=0,B284&lt;&gt;0,C284=0),VLOOKUP(B284,'3 - LISTA DE ESPÉCIES'!B:H,5,FALSE()),IF(AND(A284=0,B284=0,C284&lt;&gt;0),VLOOKUP(C284,'3 - LISTA DE ESPÉCIES'!C:H,4,FALSE()))))</f>
        <v>0</v>
      </c>
      <c r="F284" s="21" t="b">
        <f>IF(AND(A284&lt;&gt;0,B284=0,C284=0),VLOOKUP(A284,'3 - LISTA DE ESPÉCIES'!A:H,2,FALSE()),IF(AND(A284=0,B284&lt;&gt;0,C284=0),VLOOKUP(B284,'3 - LISTA DE ESPÉCIES'!B:H,6,FALSE()),IF(AND(A284=0,B284=0,C284&lt;&gt;0),VLOOKUP(C284,'3 - LISTA DE ESPÉCIES'!C:H,5,FALSE()))))</f>
        <v>0</v>
      </c>
      <c r="G284" s="21" t="b">
        <f>IF(AND(A284&lt;&gt;0,B284=0,C284=0),VLOOKUP(A284,'3 - LISTA DE ESPÉCIES'!A:H,3,FALSE()),IF(AND(A284=0,B284&lt;&gt;0,C284=0),VLOOKUP(B284,'3 - LISTA DE ESPÉCIES'!B:H,7,FALSE()),IF(AND(A284=0,B284=0,C284&lt;&gt;0),VLOOKUP(C284,'3 - LISTA DE ESPÉCIES'!C:H,6,FALSE()))))</f>
        <v>0</v>
      </c>
      <c r="H284" s="21" t="b">
        <f>IF(AND(A284&lt;&gt;0,B284=0,C284=0),VLOOKUP(A284,'3 - LISTA DE ESPÉCIES'!A:H,4,FALSE()),IF(AND(A284=0,B284&lt;&gt;0,C284=0),VLOOKUP(B284,'3 - LISTA DE ESPÉCIES'!B:H,3,FALSE()),IF(AND(A284=0,B284=0,C284&lt;&gt;0),VLOOKUP(C284,'3 - LISTA DE ESPÉCIES'!C:H,2,FALSE()))))</f>
        <v>0</v>
      </c>
      <c r="I284" s="21" t="b">
        <f>IF(AND(A284&lt;&gt;0,B284=0,C284=0),VLOOKUP(A284,'3 - LISTA DE ESPÉCIES'!A:H,5,FALSE()),IF(AND(A284=0,B284&lt;&gt;0,C284=0),VLOOKUP(B284,'3 - LISTA DE ESPÉCIES'!B:H,4,FALSE()),IF(AND(A284=0,B284=0,C284&lt;&gt;0),VLOOKUP(C284,'3 - LISTA DE ESPÉCIES'!C:H,3,FALSE()))))</f>
        <v>0</v>
      </c>
      <c r="J284" s="23"/>
      <c r="K284" s="23"/>
      <c r="L284" s="20"/>
      <c r="M284" s="20"/>
    </row>
    <row r="285" spans="1:13" x14ac:dyDescent="0.25">
      <c r="A285" s="20"/>
      <c r="B285" s="20"/>
      <c r="C285" s="20"/>
      <c r="E285" s="21" t="b">
        <f>IF(AND(A285&lt;&gt;0,B285=0,C285=0),VLOOKUP(A285,'3 - LISTA DE ESPÉCIES'!A:H,1,FALSE()),IF(AND(A285=0,B285&lt;&gt;0,C285=0),VLOOKUP(B285,'3 - LISTA DE ESPÉCIES'!B:H,5,FALSE()),IF(AND(A285=0,B285=0,C285&lt;&gt;0),VLOOKUP(C285,'3 - LISTA DE ESPÉCIES'!C:H,4,FALSE()))))</f>
        <v>0</v>
      </c>
      <c r="F285" s="21" t="b">
        <f>IF(AND(A285&lt;&gt;0,B285=0,C285=0),VLOOKUP(A285,'3 - LISTA DE ESPÉCIES'!A:H,2,FALSE()),IF(AND(A285=0,B285&lt;&gt;0,C285=0),VLOOKUP(B285,'3 - LISTA DE ESPÉCIES'!B:H,6,FALSE()),IF(AND(A285=0,B285=0,C285&lt;&gt;0),VLOOKUP(C285,'3 - LISTA DE ESPÉCIES'!C:H,5,FALSE()))))</f>
        <v>0</v>
      </c>
      <c r="G285" s="21" t="b">
        <f>IF(AND(A285&lt;&gt;0,B285=0,C285=0),VLOOKUP(A285,'3 - LISTA DE ESPÉCIES'!A:H,3,FALSE()),IF(AND(A285=0,B285&lt;&gt;0,C285=0),VLOOKUP(B285,'3 - LISTA DE ESPÉCIES'!B:H,7,FALSE()),IF(AND(A285=0,B285=0,C285&lt;&gt;0),VLOOKUP(C285,'3 - LISTA DE ESPÉCIES'!C:H,6,FALSE()))))</f>
        <v>0</v>
      </c>
      <c r="H285" s="21" t="b">
        <f>IF(AND(A285&lt;&gt;0,B285=0,C285=0),VLOOKUP(A285,'3 - LISTA DE ESPÉCIES'!A:H,4,FALSE()),IF(AND(A285=0,B285&lt;&gt;0,C285=0),VLOOKUP(B285,'3 - LISTA DE ESPÉCIES'!B:H,3,FALSE()),IF(AND(A285=0,B285=0,C285&lt;&gt;0),VLOOKUP(C285,'3 - LISTA DE ESPÉCIES'!C:H,2,FALSE()))))</f>
        <v>0</v>
      </c>
      <c r="I285" s="21" t="b">
        <f>IF(AND(A285&lt;&gt;0,B285=0,C285=0),VLOOKUP(A285,'3 - LISTA DE ESPÉCIES'!A:H,5,FALSE()),IF(AND(A285=0,B285&lt;&gt;0,C285=0),VLOOKUP(B285,'3 - LISTA DE ESPÉCIES'!B:H,4,FALSE()),IF(AND(A285=0,B285=0,C285&lt;&gt;0),VLOOKUP(C285,'3 - LISTA DE ESPÉCIES'!C:H,3,FALSE()))))</f>
        <v>0</v>
      </c>
      <c r="J285" s="23"/>
      <c r="K285" s="23"/>
      <c r="L285" s="20"/>
      <c r="M285" s="20"/>
    </row>
    <row r="286" spans="1:13" x14ac:dyDescent="0.25">
      <c r="A286" s="20"/>
      <c r="B286" s="20"/>
      <c r="C286" s="20"/>
      <c r="E286" s="21" t="b">
        <f>IF(AND(A286&lt;&gt;0,B286=0,C286=0),VLOOKUP(A286,'3 - LISTA DE ESPÉCIES'!A:H,1,FALSE()),IF(AND(A286=0,B286&lt;&gt;0,C286=0),VLOOKUP(B286,'3 - LISTA DE ESPÉCIES'!B:H,5,FALSE()),IF(AND(A286=0,B286=0,C286&lt;&gt;0),VLOOKUP(C286,'3 - LISTA DE ESPÉCIES'!C:H,4,FALSE()))))</f>
        <v>0</v>
      </c>
      <c r="F286" s="21" t="b">
        <f>IF(AND(A286&lt;&gt;0,B286=0,C286=0),VLOOKUP(A286,'3 - LISTA DE ESPÉCIES'!A:H,2,FALSE()),IF(AND(A286=0,B286&lt;&gt;0,C286=0),VLOOKUP(B286,'3 - LISTA DE ESPÉCIES'!B:H,6,FALSE()),IF(AND(A286=0,B286=0,C286&lt;&gt;0),VLOOKUP(C286,'3 - LISTA DE ESPÉCIES'!C:H,5,FALSE()))))</f>
        <v>0</v>
      </c>
      <c r="G286" s="21" t="b">
        <f>IF(AND(A286&lt;&gt;0,B286=0,C286=0),VLOOKUP(A286,'3 - LISTA DE ESPÉCIES'!A:H,3,FALSE()),IF(AND(A286=0,B286&lt;&gt;0,C286=0),VLOOKUP(B286,'3 - LISTA DE ESPÉCIES'!B:H,7,FALSE()),IF(AND(A286=0,B286=0,C286&lt;&gt;0),VLOOKUP(C286,'3 - LISTA DE ESPÉCIES'!C:H,6,FALSE()))))</f>
        <v>0</v>
      </c>
      <c r="H286" s="21" t="b">
        <f>IF(AND(A286&lt;&gt;0,B286=0,C286=0),VLOOKUP(A286,'3 - LISTA DE ESPÉCIES'!A:H,4,FALSE()),IF(AND(A286=0,B286&lt;&gt;0,C286=0),VLOOKUP(B286,'3 - LISTA DE ESPÉCIES'!B:H,3,FALSE()),IF(AND(A286=0,B286=0,C286&lt;&gt;0),VLOOKUP(C286,'3 - LISTA DE ESPÉCIES'!C:H,2,FALSE()))))</f>
        <v>0</v>
      </c>
      <c r="I286" s="21" t="b">
        <f>IF(AND(A286&lt;&gt;0,B286=0,C286=0),VLOOKUP(A286,'3 - LISTA DE ESPÉCIES'!A:H,5,FALSE()),IF(AND(A286=0,B286&lt;&gt;0,C286=0),VLOOKUP(B286,'3 - LISTA DE ESPÉCIES'!B:H,4,FALSE()),IF(AND(A286=0,B286=0,C286&lt;&gt;0),VLOOKUP(C286,'3 - LISTA DE ESPÉCIES'!C:H,3,FALSE()))))</f>
        <v>0</v>
      </c>
      <c r="J286" s="23"/>
      <c r="K286" s="23"/>
      <c r="L286" s="20"/>
      <c r="M286" s="20"/>
    </row>
    <row r="287" spans="1:13" x14ac:dyDescent="0.25">
      <c r="A287" s="20"/>
      <c r="B287" s="20"/>
      <c r="C287" s="20"/>
      <c r="E287" s="21" t="b">
        <f>IF(AND(A287&lt;&gt;0,B287=0,C287=0),VLOOKUP(A287,'3 - LISTA DE ESPÉCIES'!A:H,1,FALSE()),IF(AND(A287=0,B287&lt;&gt;0,C287=0),VLOOKUP(B287,'3 - LISTA DE ESPÉCIES'!B:H,5,FALSE()),IF(AND(A287=0,B287=0,C287&lt;&gt;0),VLOOKUP(C287,'3 - LISTA DE ESPÉCIES'!C:H,4,FALSE()))))</f>
        <v>0</v>
      </c>
      <c r="F287" s="21" t="b">
        <f>IF(AND(A287&lt;&gt;0,B287=0,C287=0),VLOOKUP(A287,'3 - LISTA DE ESPÉCIES'!A:H,2,FALSE()),IF(AND(A287=0,B287&lt;&gt;0,C287=0),VLOOKUP(B287,'3 - LISTA DE ESPÉCIES'!B:H,6,FALSE()),IF(AND(A287=0,B287=0,C287&lt;&gt;0),VLOOKUP(C287,'3 - LISTA DE ESPÉCIES'!C:H,5,FALSE()))))</f>
        <v>0</v>
      </c>
      <c r="G287" s="21" t="b">
        <f>IF(AND(A287&lt;&gt;0,B287=0,C287=0),VLOOKUP(A287,'3 - LISTA DE ESPÉCIES'!A:H,3,FALSE()),IF(AND(A287=0,B287&lt;&gt;0,C287=0),VLOOKUP(B287,'3 - LISTA DE ESPÉCIES'!B:H,7,FALSE()),IF(AND(A287=0,B287=0,C287&lt;&gt;0),VLOOKUP(C287,'3 - LISTA DE ESPÉCIES'!C:H,6,FALSE()))))</f>
        <v>0</v>
      </c>
      <c r="H287" s="21" t="b">
        <f>IF(AND(A287&lt;&gt;0,B287=0,C287=0),VLOOKUP(A287,'3 - LISTA DE ESPÉCIES'!A:H,4,FALSE()),IF(AND(A287=0,B287&lt;&gt;0,C287=0),VLOOKUP(B287,'3 - LISTA DE ESPÉCIES'!B:H,3,FALSE()),IF(AND(A287=0,B287=0,C287&lt;&gt;0),VLOOKUP(C287,'3 - LISTA DE ESPÉCIES'!C:H,2,FALSE()))))</f>
        <v>0</v>
      </c>
      <c r="I287" s="21" t="b">
        <f>IF(AND(A287&lt;&gt;0,B287=0,C287=0),VLOOKUP(A287,'3 - LISTA DE ESPÉCIES'!A:H,5,FALSE()),IF(AND(A287=0,B287&lt;&gt;0,C287=0),VLOOKUP(B287,'3 - LISTA DE ESPÉCIES'!B:H,4,FALSE()),IF(AND(A287=0,B287=0,C287&lt;&gt;0),VLOOKUP(C287,'3 - LISTA DE ESPÉCIES'!C:H,3,FALSE()))))</f>
        <v>0</v>
      </c>
      <c r="J287" s="23"/>
      <c r="K287" s="23"/>
      <c r="L287" s="20"/>
      <c r="M287" s="20"/>
    </row>
    <row r="288" spans="1:13" x14ac:dyDescent="0.25">
      <c r="A288" s="20"/>
      <c r="B288" s="20"/>
      <c r="C288" s="20"/>
      <c r="E288" s="21" t="b">
        <f>IF(AND(A288&lt;&gt;0,B288=0,C288=0),VLOOKUP(A288,'3 - LISTA DE ESPÉCIES'!A:H,1,FALSE()),IF(AND(A288=0,B288&lt;&gt;0,C288=0),VLOOKUP(B288,'3 - LISTA DE ESPÉCIES'!B:H,5,FALSE()),IF(AND(A288=0,B288=0,C288&lt;&gt;0),VLOOKUP(C288,'3 - LISTA DE ESPÉCIES'!C:H,4,FALSE()))))</f>
        <v>0</v>
      </c>
      <c r="F288" s="21" t="b">
        <f>IF(AND(A288&lt;&gt;0,B288=0,C288=0),VLOOKUP(A288,'3 - LISTA DE ESPÉCIES'!A:H,2,FALSE()),IF(AND(A288=0,B288&lt;&gt;0,C288=0),VLOOKUP(B288,'3 - LISTA DE ESPÉCIES'!B:H,6,FALSE()),IF(AND(A288=0,B288=0,C288&lt;&gt;0),VLOOKUP(C288,'3 - LISTA DE ESPÉCIES'!C:H,5,FALSE()))))</f>
        <v>0</v>
      </c>
      <c r="G288" s="21" t="b">
        <f>IF(AND(A288&lt;&gt;0,B288=0,C288=0),VLOOKUP(A288,'3 - LISTA DE ESPÉCIES'!A:H,3,FALSE()),IF(AND(A288=0,B288&lt;&gt;0,C288=0),VLOOKUP(B288,'3 - LISTA DE ESPÉCIES'!B:H,7,FALSE()),IF(AND(A288=0,B288=0,C288&lt;&gt;0),VLOOKUP(C288,'3 - LISTA DE ESPÉCIES'!C:H,6,FALSE()))))</f>
        <v>0</v>
      </c>
      <c r="H288" s="21" t="b">
        <f>IF(AND(A288&lt;&gt;0,B288=0,C288=0),VLOOKUP(A288,'3 - LISTA DE ESPÉCIES'!A:H,4,FALSE()),IF(AND(A288=0,B288&lt;&gt;0,C288=0),VLOOKUP(B288,'3 - LISTA DE ESPÉCIES'!B:H,3,FALSE()),IF(AND(A288=0,B288=0,C288&lt;&gt;0),VLOOKUP(C288,'3 - LISTA DE ESPÉCIES'!C:H,2,FALSE()))))</f>
        <v>0</v>
      </c>
      <c r="I288" s="21" t="b">
        <f>IF(AND(A288&lt;&gt;0,B288=0,C288=0),VLOOKUP(A288,'3 - LISTA DE ESPÉCIES'!A:H,5,FALSE()),IF(AND(A288=0,B288&lt;&gt;0,C288=0),VLOOKUP(B288,'3 - LISTA DE ESPÉCIES'!B:H,4,FALSE()),IF(AND(A288=0,B288=0,C288&lt;&gt;0),VLOOKUP(C288,'3 - LISTA DE ESPÉCIES'!C:H,3,FALSE()))))</f>
        <v>0</v>
      </c>
      <c r="J288" s="23"/>
      <c r="K288" s="23"/>
      <c r="L288" s="20"/>
      <c r="M288" s="20"/>
    </row>
    <row r="289" spans="1:13" x14ac:dyDescent="0.25">
      <c r="A289" s="20"/>
      <c r="B289" s="20"/>
      <c r="C289" s="20"/>
      <c r="E289" s="21" t="b">
        <f>IF(AND(A289&lt;&gt;0,B289=0,C289=0),VLOOKUP(A289,'3 - LISTA DE ESPÉCIES'!A:H,1,FALSE()),IF(AND(A289=0,B289&lt;&gt;0,C289=0),VLOOKUP(B289,'3 - LISTA DE ESPÉCIES'!B:H,5,FALSE()),IF(AND(A289=0,B289=0,C289&lt;&gt;0),VLOOKUP(C289,'3 - LISTA DE ESPÉCIES'!C:H,4,FALSE()))))</f>
        <v>0</v>
      </c>
      <c r="F289" s="21" t="b">
        <f>IF(AND(A289&lt;&gt;0,B289=0,C289=0),VLOOKUP(A289,'3 - LISTA DE ESPÉCIES'!A:H,2,FALSE()),IF(AND(A289=0,B289&lt;&gt;0,C289=0),VLOOKUP(B289,'3 - LISTA DE ESPÉCIES'!B:H,6,FALSE()),IF(AND(A289=0,B289=0,C289&lt;&gt;0),VLOOKUP(C289,'3 - LISTA DE ESPÉCIES'!C:H,5,FALSE()))))</f>
        <v>0</v>
      </c>
      <c r="G289" s="21" t="b">
        <f>IF(AND(A289&lt;&gt;0,B289=0,C289=0),VLOOKUP(A289,'3 - LISTA DE ESPÉCIES'!A:H,3,FALSE()),IF(AND(A289=0,B289&lt;&gt;0,C289=0),VLOOKUP(B289,'3 - LISTA DE ESPÉCIES'!B:H,7,FALSE()),IF(AND(A289=0,B289=0,C289&lt;&gt;0),VLOOKUP(C289,'3 - LISTA DE ESPÉCIES'!C:H,6,FALSE()))))</f>
        <v>0</v>
      </c>
      <c r="H289" s="21" t="b">
        <f>IF(AND(A289&lt;&gt;0,B289=0,C289=0),VLOOKUP(A289,'3 - LISTA DE ESPÉCIES'!A:H,4,FALSE()),IF(AND(A289=0,B289&lt;&gt;0,C289=0),VLOOKUP(B289,'3 - LISTA DE ESPÉCIES'!B:H,3,FALSE()),IF(AND(A289=0,B289=0,C289&lt;&gt;0),VLOOKUP(C289,'3 - LISTA DE ESPÉCIES'!C:H,2,FALSE()))))</f>
        <v>0</v>
      </c>
      <c r="I289" s="21" t="b">
        <f>IF(AND(A289&lt;&gt;0,B289=0,C289=0),VLOOKUP(A289,'3 - LISTA DE ESPÉCIES'!A:H,5,FALSE()),IF(AND(A289=0,B289&lt;&gt;0,C289=0),VLOOKUP(B289,'3 - LISTA DE ESPÉCIES'!B:H,4,FALSE()),IF(AND(A289=0,B289=0,C289&lt;&gt;0),VLOOKUP(C289,'3 - LISTA DE ESPÉCIES'!C:H,3,FALSE()))))</f>
        <v>0</v>
      </c>
      <c r="J289" s="23"/>
      <c r="K289" s="23"/>
      <c r="L289" s="20"/>
      <c r="M289" s="20"/>
    </row>
    <row r="290" spans="1:13" x14ac:dyDescent="0.25">
      <c r="A290" s="20"/>
      <c r="B290" s="20"/>
      <c r="C290" s="20"/>
      <c r="E290" s="21" t="b">
        <f>IF(AND(A290&lt;&gt;0,B290=0,C290=0),VLOOKUP(A290,'3 - LISTA DE ESPÉCIES'!A:H,1,FALSE()),IF(AND(A290=0,B290&lt;&gt;0,C290=0),VLOOKUP(B290,'3 - LISTA DE ESPÉCIES'!B:H,5,FALSE()),IF(AND(A290=0,B290=0,C290&lt;&gt;0),VLOOKUP(C290,'3 - LISTA DE ESPÉCIES'!C:H,4,FALSE()))))</f>
        <v>0</v>
      </c>
      <c r="F290" s="21" t="b">
        <f>IF(AND(A290&lt;&gt;0,B290=0,C290=0),VLOOKUP(A290,'3 - LISTA DE ESPÉCIES'!A:H,2,FALSE()),IF(AND(A290=0,B290&lt;&gt;0,C290=0),VLOOKUP(B290,'3 - LISTA DE ESPÉCIES'!B:H,6,FALSE()),IF(AND(A290=0,B290=0,C290&lt;&gt;0),VLOOKUP(C290,'3 - LISTA DE ESPÉCIES'!C:H,5,FALSE()))))</f>
        <v>0</v>
      </c>
      <c r="G290" s="21" t="b">
        <f>IF(AND(A290&lt;&gt;0,B290=0,C290=0),VLOOKUP(A290,'3 - LISTA DE ESPÉCIES'!A:H,3,FALSE()),IF(AND(A290=0,B290&lt;&gt;0,C290=0),VLOOKUP(B290,'3 - LISTA DE ESPÉCIES'!B:H,7,FALSE()),IF(AND(A290=0,B290=0,C290&lt;&gt;0),VLOOKUP(C290,'3 - LISTA DE ESPÉCIES'!C:H,6,FALSE()))))</f>
        <v>0</v>
      </c>
      <c r="H290" s="21" t="b">
        <f>IF(AND(A290&lt;&gt;0,B290=0,C290=0),VLOOKUP(A290,'3 - LISTA DE ESPÉCIES'!A:H,4,FALSE()),IF(AND(A290=0,B290&lt;&gt;0,C290=0),VLOOKUP(B290,'3 - LISTA DE ESPÉCIES'!B:H,3,FALSE()),IF(AND(A290=0,B290=0,C290&lt;&gt;0),VLOOKUP(C290,'3 - LISTA DE ESPÉCIES'!C:H,2,FALSE()))))</f>
        <v>0</v>
      </c>
      <c r="I290" s="21" t="b">
        <f>IF(AND(A290&lt;&gt;0,B290=0,C290=0),VLOOKUP(A290,'3 - LISTA DE ESPÉCIES'!A:H,5,FALSE()),IF(AND(A290=0,B290&lt;&gt;0,C290=0),VLOOKUP(B290,'3 - LISTA DE ESPÉCIES'!B:H,4,FALSE()),IF(AND(A290=0,B290=0,C290&lt;&gt;0),VLOOKUP(C290,'3 - LISTA DE ESPÉCIES'!C:H,3,FALSE()))))</f>
        <v>0</v>
      </c>
      <c r="J290" s="23"/>
      <c r="K290" s="23"/>
      <c r="L290" s="20"/>
      <c r="M290" s="20"/>
    </row>
    <row r="291" spans="1:13" x14ac:dyDescent="0.25">
      <c r="A291" s="20"/>
      <c r="B291" s="20"/>
      <c r="C291" s="20"/>
      <c r="E291" s="21" t="b">
        <f>IF(AND(A291&lt;&gt;0,B291=0,C291=0),VLOOKUP(A291,'3 - LISTA DE ESPÉCIES'!A:H,1,FALSE()),IF(AND(A291=0,B291&lt;&gt;0,C291=0),VLOOKUP(B291,'3 - LISTA DE ESPÉCIES'!B:H,5,FALSE()),IF(AND(A291=0,B291=0,C291&lt;&gt;0),VLOOKUP(C291,'3 - LISTA DE ESPÉCIES'!C:H,4,FALSE()))))</f>
        <v>0</v>
      </c>
      <c r="F291" s="21" t="b">
        <f>IF(AND(A291&lt;&gt;0,B291=0,C291=0),VLOOKUP(A291,'3 - LISTA DE ESPÉCIES'!A:H,2,FALSE()),IF(AND(A291=0,B291&lt;&gt;0,C291=0),VLOOKUP(B291,'3 - LISTA DE ESPÉCIES'!B:H,6,FALSE()),IF(AND(A291=0,B291=0,C291&lt;&gt;0),VLOOKUP(C291,'3 - LISTA DE ESPÉCIES'!C:H,5,FALSE()))))</f>
        <v>0</v>
      </c>
      <c r="G291" s="21" t="b">
        <f>IF(AND(A291&lt;&gt;0,B291=0,C291=0),VLOOKUP(A291,'3 - LISTA DE ESPÉCIES'!A:H,3,FALSE()),IF(AND(A291=0,B291&lt;&gt;0,C291=0),VLOOKUP(B291,'3 - LISTA DE ESPÉCIES'!B:H,7,FALSE()),IF(AND(A291=0,B291=0,C291&lt;&gt;0),VLOOKUP(C291,'3 - LISTA DE ESPÉCIES'!C:H,6,FALSE()))))</f>
        <v>0</v>
      </c>
      <c r="H291" s="21" t="b">
        <f>IF(AND(A291&lt;&gt;0,B291=0,C291=0),VLOOKUP(A291,'3 - LISTA DE ESPÉCIES'!A:H,4,FALSE()),IF(AND(A291=0,B291&lt;&gt;0,C291=0),VLOOKUP(B291,'3 - LISTA DE ESPÉCIES'!B:H,3,FALSE()),IF(AND(A291=0,B291=0,C291&lt;&gt;0),VLOOKUP(C291,'3 - LISTA DE ESPÉCIES'!C:H,2,FALSE()))))</f>
        <v>0</v>
      </c>
      <c r="I291" s="21" t="b">
        <f>IF(AND(A291&lt;&gt;0,B291=0,C291=0),VLOOKUP(A291,'3 - LISTA DE ESPÉCIES'!A:H,5,FALSE()),IF(AND(A291=0,B291&lt;&gt;0,C291=0),VLOOKUP(B291,'3 - LISTA DE ESPÉCIES'!B:H,4,FALSE()),IF(AND(A291=0,B291=0,C291&lt;&gt;0),VLOOKUP(C291,'3 - LISTA DE ESPÉCIES'!C:H,3,FALSE()))))</f>
        <v>0</v>
      </c>
      <c r="J291" s="23"/>
      <c r="K291" s="23"/>
      <c r="L291" s="20"/>
      <c r="M291" s="20"/>
    </row>
    <row r="292" spans="1:13" x14ac:dyDescent="0.25">
      <c r="A292" s="20"/>
      <c r="B292" s="20"/>
      <c r="C292" s="20"/>
      <c r="E292" s="21" t="b">
        <f>IF(AND(A292&lt;&gt;0,B292=0,C292=0),VLOOKUP(A292,'3 - LISTA DE ESPÉCIES'!A:H,1,FALSE()),IF(AND(A292=0,B292&lt;&gt;0,C292=0),VLOOKUP(B292,'3 - LISTA DE ESPÉCIES'!B:H,5,FALSE()),IF(AND(A292=0,B292=0,C292&lt;&gt;0),VLOOKUP(C292,'3 - LISTA DE ESPÉCIES'!C:H,4,FALSE()))))</f>
        <v>0</v>
      </c>
      <c r="F292" s="21" t="b">
        <f>IF(AND(A292&lt;&gt;0,B292=0,C292=0),VLOOKUP(A292,'3 - LISTA DE ESPÉCIES'!A:H,2,FALSE()),IF(AND(A292=0,B292&lt;&gt;0,C292=0),VLOOKUP(B292,'3 - LISTA DE ESPÉCIES'!B:H,6,FALSE()),IF(AND(A292=0,B292=0,C292&lt;&gt;0),VLOOKUP(C292,'3 - LISTA DE ESPÉCIES'!C:H,5,FALSE()))))</f>
        <v>0</v>
      </c>
      <c r="G292" s="21" t="b">
        <f>IF(AND(A292&lt;&gt;0,B292=0,C292=0),VLOOKUP(A292,'3 - LISTA DE ESPÉCIES'!A:H,3,FALSE()),IF(AND(A292=0,B292&lt;&gt;0,C292=0),VLOOKUP(B292,'3 - LISTA DE ESPÉCIES'!B:H,7,FALSE()),IF(AND(A292=0,B292=0,C292&lt;&gt;0),VLOOKUP(C292,'3 - LISTA DE ESPÉCIES'!C:H,6,FALSE()))))</f>
        <v>0</v>
      </c>
      <c r="H292" s="21" t="b">
        <f>IF(AND(A292&lt;&gt;0,B292=0,C292=0),VLOOKUP(A292,'3 - LISTA DE ESPÉCIES'!A:H,4,FALSE()),IF(AND(A292=0,B292&lt;&gt;0,C292=0),VLOOKUP(B292,'3 - LISTA DE ESPÉCIES'!B:H,3,FALSE()),IF(AND(A292=0,B292=0,C292&lt;&gt;0),VLOOKUP(C292,'3 - LISTA DE ESPÉCIES'!C:H,2,FALSE()))))</f>
        <v>0</v>
      </c>
      <c r="I292" s="21" t="b">
        <f>IF(AND(A292&lt;&gt;0,B292=0,C292=0),VLOOKUP(A292,'3 - LISTA DE ESPÉCIES'!A:H,5,FALSE()),IF(AND(A292=0,B292&lt;&gt;0,C292=0),VLOOKUP(B292,'3 - LISTA DE ESPÉCIES'!B:H,4,FALSE()),IF(AND(A292=0,B292=0,C292&lt;&gt;0),VLOOKUP(C292,'3 - LISTA DE ESPÉCIES'!C:H,3,FALSE()))))</f>
        <v>0</v>
      </c>
      <c r="J292" s="23"/>
      <c r="K292" s="23"/>
      <c r="L292" s="20"/>
      <c r="M292" s="20"/>
    </row>
    <row r="293" spans="1:13" x14ac:dyDescent="0.25">
      <c r="A293" s="20"/>
      <c r="B293" s="20"/>
      <c r="C293" s="20"/>
      <c r="E293" s="21" t="b">
        <f>IF(AND(A293&lt;&gt;0,B293=0,C293=0),VLOOKUP(A293,'3 - LISTA DE ESPÉCIES'!A:H,1,FALSE()),IF(AND(A293=0,B293&lt;&gt;0,C293=0),VLOOKUP(B293,'3 - LISTA DE ESPÉCIES'!B:H,5,FALSE()),IF(AND(A293=0,B293=0,C293&lt;&gt;0),VLOOKUP(C293,'3 - LISTA DE ESPÉCIES'!C:H,4,FALSE()))))</f>
        <v>0</v>
      </c>
      <c r="F293" s="21" t="b">
        <f>IF(AND(A293&lt;&gt;0,B293=0,C293=0),VLOOKUP(A293,'3 - LISTA DE ESPÉCIES'!A:H,2,FALSE()),IF(AND(A293=0,B293&lt;&gt;0,C293=0),VLOOKUP(B293,'3 - LISTA DE ESPÉCIES'!B:H,6,FALSE()),IF(AND(A293=0,B293=0,C293&lt;&gt;0),VLOOKUP(C293,'3 - LISTA DE ESPÉCIES'!C:H,5,FALSE()))))</f>
        <v>0</v>
      </c>
      <c r="G293" s="21" t="b">
        <f>IF(AND(A293&lt;&gt;0,B293=0,C293=0),VLOOKUP(A293,'3 - LISTA DE ESPÉCIES'!A:H,3,FALSE()),IF(AND(A293=0,B293&lt;&gt;0,C293=0),VLOOKUP(B293,'3 - LISTA DE ESPÉCIES'!B:H,7,FALSE()),IF(AND(A293=0,B293=0,C293&lt;&gt;0),VLOOKUP(C293,'3 - LISTA DE ESPÉCIES'!C:H,6,FALSE()))))</f>
        <v>0</v>
      </c>
      <c r="H293" s="21" t="b">
        <f>IF(AND(A293&lt;&gt;0,B293=0,C293=0),VLOOKUP(A293,'3 - LISTA DE ESPÉCIES'!A:H,4,FALSE()),IF(AND(A293=0,B293&lt;&gt;0,C293=0),VLOOKUP(B293,'3 - LISTA DE ESPÉCIES'!B:H,3,FALSE()),IF(AND(A293=0,B293=0,C293&lt;&gt;0),VLOOKUP(C293,'3 - LISTA DE ESPÉCIES'!C:H,2,FALSE()))))</f>
        <v>0</v>
      </c>
      <c r="I293" s="21" t="b">
        <f>IF(AND(A293&lt;&gt;0,B293=0,C293=0),VLOOKUP(A293,'3 - LISTA DE ESPÉCIES'!A:H,5,FALSE()),IF(AND(A293=0,B293&lt;&gt;0,C293=0),VLOOKUP(B293,'3 - LISTA DE ESPÉCIES'!B:H,4,FALSE()),IF(AND(A293=0,B293=0,C293&lt;&gt;0),VLOOKUP(C293,'3 - LISTA DE ESPÉCIES'!C:H,3,FALSE()))))</f>
        <v>0</v>
      </c>
      <c r="J293" s="23"/>
      <c r="K293" s="23"/>
      <c r="L293" s="20"/>
      <c r="M293" s="20"/>
    </row>
    <row r="294" spans="1:13" x14ac:dyDescent="0.25">
      <c r="A294" s="20"/>
      <c r="B294" s="20"/>
      <c r="C294" s="20"/>
      <c r="E294" s="21" t="b">
        <f>IF(AND(A294&lt;&gt;0,B294=0,C294=0),VLOOKUP(A294,'3 - LISTA DE ESPÉCIES'!A:H,1,FALSE()),IF(AND(A294=0,B294&lt;&gt;0,C294=0),VLOOKUP(B294,'3 - LISTA DE ESPÉCIES'!B:H,5,FALSE()),IF(AND(A294=0,B294=0,C294&lt;&gt;0),VLOOKUP(C294,'3 - LISTA DE ESPÉCIES'!C:H,4,FALSE()))))</f>
        <v>0</v>
      </c>
      <c r="F294" s="21" t="b">
        <f>IF(AND(A294&lt;&gt;0,B294=0,C294=0),VLOOKUP(A294,'3 - LISTA DE ESPÉCIES'!A:H,2,FALSE()),IF(AND(A294=0,B294&lt;&gt;0,C294=0),VLOOKUP(B294,'3 - LISTA DE ESPÉCIES'!B:H,6,FALSE()),IF(AND(A294=0,B294=0,C294&lt;&gt;0),VLOOKUP(C294,'3 - LISTA DE ESPÉCIES'!C:H,5,FALSE()))))</f>
        <v>0</v>
      </c>
      <c r="G294" s="21" t="b">
        <f>IF(AND(A294&lt;&gt;0,B294=0,C294=0),VLOOKUP(A294,'3 - LISTA DE ESPÉCIES'!A:H,3,FALSE()),IF(AND(A294=0,B294&lt;&gt;0,C294=0),VLOOKUP(B294,'3 - LISTA DE ESPÉCIES'!B:H,7,FALSE()),IF(AND(A294=0,B294=0,C294&lt;&gt;0),VLOOKUP(C294,'3 - LISTA DE ESPÉCIES'!C:H,6,FALSE()))))</f>
        <v>0</v>
      </c>
      <c r="H294" s="21" t="b">
        <f>IF(AND(A294&lt;&gt;0,B294=0,C294=0),VLOOKUP(A294,'3 - LISTA DE ESPÉCIES'!A:H,4,FALSE()),IF(AND(A294=0,B294&lt;&gt;0,C294=0),VLOOKUP(B294,'3 - LISTA DE ESPÉCIES'!B:H,3,FALSE()),IF(AND(A294=0,B294=0,C294&lt;&gt;0),VLOOKUP(C294,'3 - LISTA DE ESPÉCIES'!C:H,2,FALSE()))))</f>
        <v>0</v>
      </c>
      <c r="I294" s="21" t="b">
        <f>IF(AND(A294&lt;&gt;0,B294=0,C294=0),VLOOKUP(A294,'3 - LISTA DE ESPÉCIES'!A:H,5,FALSE()),IF(AND(A294=0,B294&lt;&gt;0,C294=0),VLOOKUP(B294,'3 - LISTA DE ESPÉCIES'!B:H,4,FALSE()),IF(AND(A294=0,B294=0,C294&lt;&gt;0),VLOOKUP(C294,'3 - LISTA DE ESPÉCIES'!C:H,3,FALSE()))))</f>
        <v>0</v>
      </c>
      <c r="J294" s="23"/>
      <c r="K294" s="23"/>
      <c r="L294" s="20"/>
      <c r="M294" s="20"/>
    </row>
    <row r="295" spans="1:13" x14ac:dyDescent="0.25">
      <c r="A295" s="20"/>
      <c r="B295" s="20"/>
      <c r="C295" s="20"/>
      <c r="E295" s="21" t="b">
        <f>IF(AND(A295&lt;&gt;0,B295=0,C295=0),VLOOKUP(A295,'3 - LISTA DE ESPÉCIES'!A:H,1,FALSE()),IF(AND(A295=0,B295&lt;&gt;0,C295=0),VLOOKUP(B295,'3 - LISTA DE ESPÉCIES'!B:H,5,FALSE()),IF(AND(A295=0,B295=0,C295&lt;&gt;0),VLOOKUP(C295,'3 - LISTA DE ESPÉCIES'!C:H,4,FALSE()))))</f>
        <v>0</v>
      </c>
      <c r="F295" s="21" t="b">
        <f>IF(AND(A295&lt;&gt;0,B295=0,C295=0),VLOOKUP(A295,'3 - LISTA DE ESPÉCIES'!A:H,2,FALSE()),IF(AND(A295=0,B295&lt;&gt;0,C295=0),VLOOKUP(B295,'3 - LISTA DE ESPÉCIES'!B:H,6,FALSE()),IF(AND(A295=0,B295=0,C295&lt;&gt;0),VLOOKUP(C295,'3 - LISTA DE ESPÉCIES'!C:H,5,FALSE()))))</f>
        <v>0</v>
      </c>
      <c r="G295" s="21" t="b">
        <f>IF(AND(A295&lt;&gt;0,B295=0,C295=0),VLOOKUP(A295,'3 - LISTA DE ESPÉCIES'!A:H,3,FALSE()),IF(AND(A295=0,B295&lt;&gt;0,C295=0),VLOOKUP(B295,'3 - LISTA DE ESPÉCIES'!B:H,7,FALSE()),IF(AND(A295=0,B295=0,C295&lt;&gt;0),VLOOKUP(C295,'3 - LISTA DE ESPÉCIES'!C:H,6,FALSE()))))</f>
        <v>0</v>
      </c>
      <c r="H295" s="21" t="b">
        <f>IF(AND(A295&lt;&gt;0,B295=0,C295=0),VLOOKUP(A295,'3 - LISTA DE ESPÉCIES'!A:H,4,FALSE()),IF(AND(A295=0,B295&lt;&gt;0,C295=0),VLOOKUP(B295,'3 - LISTA DE ESPÉCIES'!B:H,3,FALSE()),IF(AND(A295=0,B295=0,C295&lt;&gt;0),VLOOKUP(C295,'3 - LISTA DE ESPÉCIES'!C:H,2,FALSE()))))</f>
        <v>0</v>
      </c>
      <c r="I295" s="21" t="b">
        <f>IF(AND(A295&lt;&gt;0,B295=0,C295=0),VLOOKUP(A295,'3 - LISTA DE ESPÉCIES'!A:H,5,FALSE()),IF(AND(A295=0,B295&lt;&gt;0,C295=0),VLOOKUP(B295,'3 - LISTA DE ESPÉCIES'!B:H,4,FALSE()),IF(AND(A295=0,B295=0,C295&lt;&gt;0),VLOOKUP(C295,'3 - LISTA DE ESPÉCIES'!C:H,3,FALSE()))))</f>
        <v>0</v>
      </c>
      <c r="J295" s="23"/>
      <c r="K295" s="23"/>
      <c r="L295" s="20"/>
      <c r="M295" s="20"/>
    </row>
    <row r="296" spans="1:13" x14ac:dyDescent="0.25">
      <c r="A296" s="20"/>
      <c r="B296" s="20"/>
      <c r="C296" s="20"/>
      <c r="E296" s="21" t="b">
        <f>IF(AND(A296&lt;&gt;0,B296=0,C296=0),VLOOKUP(A296,'3 - LISTA DE ESPÉCIES'!A:H,1,FALSE()),IF(AND(A296=0,B296&lt;&gt;0,C296=0),VLOOKUP(B296,'3 - LISTA DE ESPÉCIES'!B:H,5,FALSE()),IF(AND(A296=0,B296=0,C296&lt;&gt;0),VLOOKUP(C296,'3 - LISTA DE ESPÉCIES'!C:H,4,FALSE()))))</f>
        <v>0</v>
      </c>
      <c r="F296" s="21" t="b">
        <f>IF(AND(A296&lt;&gt;0,B296=0,C296=0),VLOOKUP(A296,'3 - LISTA DE ESPÉCIES'!A:H,2,FALSE()),IF(AND(A296=0,B296&lt;&gt;0,C296=0),VLOOKUP(B296,'3 - LISTA DE ESPÉCIES'!B:H,6,FALSE()),IF(AND(A296=0,B296=0,C296&lt;&gt;0),VLOOKUP(C296,'3 - LISTA DE ESPÉCIES'!C:H,5,FALSE()))))</f>
        <v>0</v>
      </c>
      <c r="G296" s="21" t="b">
        <f>IF(AND(A296&lt;&gt;0,B296=0,C296=0),VLOOKUP(A296,'3 - LISTA DE ESPÉCIES'!A:H,3,FALSE()),IF(AND(A296=0,B296&lt;&gt;0,C296=0),VLOOKUP(B296,'3 - LISTA DE ESPÉCIES'!B:H,7,FALSE()),IF(AND(A296=0,B296=0,C296&lt;&gt;0),VLOOKUP(C296,'3 - LISTA DE ESPÉCIES'!C:H,6,FALSE()))))</f>
        <v>0</v>
      </c>
      <c r="H296" s="21" t="b">
        <f>IF(AND(A296&lt;&gt;0,B296=0,C296=0),VLOOKUP(A296,'3 - LISTA DE ESPÉCIES'!A:H,4,FALSE()),IF(AND(A296=0,B296&lt;&gt;0,C296=0),VLOOKUP(B296,'3 - LISTA DE ESPÉCIES'!B:H,3,FALSE()),IF(AND(A296=0,B296=0,C296&lt;&gt;0),VLOOKUP(C296,'3 - LISTA DE ESPÉCIES'!C:H,2,FALSE()))))</f>
        <v>0</v>
      </c>
      <c r="I296" s="21" t="b">
        <f>IF(AND(A296&lt;&gt;0,B296=0,C296=0),VLOOKUP(A296,'3 - LISTA DE ESPÉCIES'!A:H,5,FALSE()),IF(AND(A296=0,B296&lt;&gt;0,C296=0),VLOOKUP(B296,'3 - LISTA DE ESPÉCIES'!B:H,4,FALSE()),IF(AND(A296=0,B296=0,C296&lt;&gt;0),VLOOKUP(C296,'3 - LISTA DE ESPÉCIES'!C:H,3,FALSE()))))</f>
        <v>0</v>
      </c>
      <c r="J296" s="23"/>
      <c r="K296" s="23"/>
      <c r="L296" s="20"/>
      <c r="M296" s="20"/>
    </row>
    <row r="297" spans="1:13" x14ac:dyDescent="0.25">
      <c r="A297" s="20"/>
      <c r="B297" s="20"/>
      <c r="C297" s="20"/>
      <c r="E297" s="21" t="b">
        <f>IF(AND(A297&lt;&gt;0,B297=0,C297=0),VLOOKUP(A297,'3 - LISTA DE ESPÉCIES'!A:H,1,FALSE()),IF(AND(A297=0,B297&lt;&gt;0,C297=0),VLOOKUP(B297,'3 - LISTA DE ESPÉCIES'!B:H,5,FALSE()),IF(AND(A297=0,B297=0,C297&lt;&gt;0),VLOOKUP(C297,'3 - LISTA DE ESPÉCIES'!C:H,4,FALSE()))))</f>
        <v>0</v>
      </c>
      <c r="F297" s="21" t="b">
        <f>IF(AND(A297&lt;&gt;0,B297=0,C297=0),VLOOKUP(A297,'3 - LISTA DE ESPÉCIES'!A:H,2,FALSE()),IF(AND(A297=0,B297&lt;&gt;0,C297=0),VLOOKUP(B297,'3 - LISTA DE ESPÉCIES'!B:H,6,FALSE()),IF(AND(A297=0,B297=0,C297&lt;&gt;0),VLOOKUP(C297,'3 - LISTA DE ESPÉCIES'!C:H,5,FALSE()))))</f>
        <v>0</v>
      </c>
      <c r="G297" s="21" t="b">
        <f>IF(AND(A297&lt;&gt;0,B297=0,C297=0),VLOOKUP(A297,'3 - LISTA DE ESPÉCIES'!A:H,3,FALSE()),IF(AND(A297=0,B297&lt;&gt;0,C297=0),VLOOKUP(B297,'3 - LISTA DE ESPÉCIES'!B:H,7,FALSE()),IF(AND(A297=0,B297=0,C297&lt;&gt;0),VLOOKUP(C297,'3 - LISTA DE ESPÉCIES'!C:H,6,FALSE()))))</f>
        <v>0</v>
      </c>
      <c r="H297" s="21" t="b">
        <f>IF(AND(A297&lt;&gt;0,B297=0,C297=0),VLOOKUP(A297,'3 - LISTA DE ESPÉCIES'!A:H,4,FALSE()),IF(AND(A297=0,B297&lt;&gt;0,C297=0),VLOOKUP(B297,'3 - LISTA DE ESPÉCIES'!B:H,3,FALSE()),IF(AND(A297=0,B297=0,C297&lt;&gt;0),VLOOKUP(C297,'3 - LISTA DE ESPÉCIES'!C:H,2,FALSE()))))</f>
        <v>0</v>
      </c>
      <c r="I297" s="21" t="b">
        <f>IF(AND(A297&lt;&gt;0,B297=0,C297=0),VLOOKUP(A297,'3 - LISTA DE ESPÉCIES'!A:H,5,FALSE()),IF(AND(A297=0,B297&lt;&gt;0,C297=0),VLOOKUP(B297,'3 - LISTA DE ESPÉCIES'!B:H,4,FALSE()),IF(AND(A297=0,B297=0,C297&lt;&gt;0),VLOOKUP(C297,'3 - LISTA DE ESPÉCIES'!C:H,3,FALSE()))))</f>
        <v>0</v>
      </c>
      <c r="J297" s="23"/>
      <c r="K297" s="23"/>
      <c r="L297" s="20"/>
      <c r="M297" s="20"/>
    </row>
    <row r="298" spans="1:13" x14ac:dyDescent="0.25">
      <c r="A298" s="20"/>
      <c r="B298" s="20"/>
      <c r="C298" s="20"/>
      <c r="E298" s="21" t="b">
        <f>IF(AND(A298&lt;&gt;0,B298=0,C298=0),VLOOKUP(A298,'3 - LISTA DE ESPÉCIES'!A:H,1,FALSE()),IF(AND(A298=0,B298&lt;&gt;0,C298=0),VLOOKUP(B298,'3 - LISTA DE ESPÉCIES'!B:H,5,FALSE()),IF(AND(A298=0,B298=0,C298&lt;&gt;0),VLOOKUP(C298,'3 - LISTA DE ESPÉCIES'!C:H,4,FALSE()))))</f>
        <v>0</v>
      </c>
      <c r="F298" s="21" t="b">
        <f>IF(AND(A298&lt;&gt;0,B298=0,C298=0),VLOOKUP(A298,'3 - LISTA DE ESPÉCIES'!A:H,2,FALSE()),IF(AND(A298=0,B298&lt;&gt;0,C298=0),VLOOKUP(B298,'3 - LISTA DE ESPÉCIES'!B:H,6,FALSE()),IF(AND(A298=0,B298=0,C298&lt;&gt;0),VLOOKUP(C298,'3 - LISTA DE ESPÉCIES'!C:H,5,FALSE()))))</f>
        <v>0</v>
      </c>
      <c r="G298" s="21" t="b">
        <f>IF(AND(A298&lt;&gt;0,B298=0,C298=0),VLOOKUP(A298,'3 - LISTA DE ESPÉCIES'!A:H,3,FALSE()),IF(AND(A298=0,B298&lt;&gt;0,C298=0),VLOOKUP(B298,'3 - LISTA DE ESPÉCIES'!B:H,7,FALSE()),IF(AND(A298=0,B298=0,C298&lt;&gt;0),VLOOKUP(C298,'3 - LISTA DE ESPÉCIES'!C:H,6,FALSE()))))</f>
        <v>0</v>
      </c>
      <c r="H298" s="21" t="b">
        <f>IF(AND(A298&lt;&gt;0,B298=0,C298=0),VLOOKUP(A298,'3 - LISTA DE ESPÉCIES'!A:H,4,FALSE()),IF(AND(A298=0,B298&lt;&gt;0,C298=0),VLOOKUP(B298,'3 - LISTA DE ESPÉCIES'!B:H,3,FALSE()),IF(AND(A298=0,B298=0,C298&lt;&gt;0),VLOOKUP(C298,'3 - LISTA DE ESPÉCIES'!C:H,2,FALSE()))))</f>
        <v>0</v>
      </c>
      <c r="I298" s="21" t="b">
        <f>IF(AND(A298&lt;&gt;0,B298=0,C298=0),VLOOKUP(A298,'3 - LISTA DE ESPÉCIES'!A:H,5,FALSE()),IF(AND(A298=0,B298&lt;&gt;0,C298=0),VLOOKUP(B298,'3 - LISTA DE ESPÉCIES'!B:H,4,FALSE()),IF(AND(A298=0,B298=0,C298&lt;&gt;0),VLOOKUP(C298,'3 - LISTA DE ESPÉCIES'!C:H,3,FALSE()))))</f>
        <v>0</v>
      </c>
      <c r="J298" s="23"/>
      <c r="K298" s="23"/>
      <c r="L298" s="20"/>
      <c r="M298" s="20"/>
    </row>
    <row r="299" spans="1:13" x14ac:dyDescent="0.25">
      <c r="A299" s="20"/>
      <c r="B299" s="20"/>
      <c r="C299" s="20"/>
      <c r="E299" s="21" t="b">
        <f>IF(AND(A299&lt;&gt;0,B299=0,C299=0),VLOOKUP(A299,'3 - LISTA DE ESPÉCIES'!A:H,1,FALSE()),IF(AND(A299=0,B299&lt;&gt;0,C299=0),VLOOKUP(B299,'3 - LISTA DE ESPÉCIES'!B:H,5,FALSE()),IF(AND(A299=0,B299=0,C299&lt;&gt;0),VLOOKUP(C299,'3 - LISTA DE ESPÉCIES'!C:H,4,FALSE()))))</f>
        <v>0</v>
      </c>
      <c r="F299" s="21" t="b">
        <f>IF(AND(A299&lt;&gt;0,B299=0,C299=0),VLOOKUP(A299,'3 - LISTA DE ESPÉCIES'!A:H,2,FALSE()),IF(AND(A299=0,B299&lt;&gt;0,C299=0),VLOOKUP(B299,'3 - LISTA DE ESPÉCIES'!B:H,6,FALSE()),IF(AND(A299=0,B299=0,C299&lt;&gt;0),VLOOKUP(C299,'3 - LISTA DE ESPÉCIES'!C:H,5,FALSE()))))</f>
        <v>0</v>
      </c>
      <c r="G299" s="21" t="b">
        <f>IF(AND(A299&lt;&gt;0,B299=0,C299=0),VLOOKUP(A299,'3 - LISTA DE ESPÉCIES'!A:H,3,FALSE()),IF(AND(A299=0,B299&lt;&gt;0,C299=0),VLOOKUP(B299,'3 - LISTA DE ESPÉCIES'!B:H,7,FALSE()),IF(AND(A299=0,B299=0,C299&lt;&gt;0),VLOOKUP(C299,'3 - LISTA DE ESPÉCIES'!C:H,6,FALSE()))))</f>
        <v>0</v>
      </c>
      <c r="H299" s="21" t="b">
        <f>IF(AND(A299&lt;&gt;0,B299=0,C299=0),VLOOKUP(A299,'3 - LISTA DE ESPÉCIES'!A:H,4,FALSE()),IF(AND(A299=0,B299&lt;&gt;0,C299=0),VLOOKUP(B299,'3 - LISTA DE ESPÉCIES'!B:H,3,FALSE()),IF(AND(A299=0,B299=0,C299&lt;&gt;0),VLOOKUP(C299,'3 - LISTA DE ESPÉCIES'!C:H,2,FALSE()))))</f>
        <v>0</v>
      </c>
      <c r="I299" s="21" t="b">
        <f>IF(AND(A299&lt;&gt;0,B299=0,C299=0),VLOOKUP(A299,'3 - LISTA DE ESPÉCIES'!A:H,5,FALSE()),IF(AND(A299=0,B299&lt;&gt;0,C299=0),VLOOKUP(B299,'3 - LISTA DE ESPÉCIES'!B:H,4,FALSE()),IF(AND(A299=0,B299=0,C299&lt;&gt;0),VLOOKUP(C299,'3 - LISTA DE ESPÉCIES'!C:H,3,FALSE()))))</f>
        <v>0</v>
      </c>
      <c r="J299" s="23"/>
      <c r="K299" s="23"/>
      <c r="L299" s="20"/>
      <c r="M299" s="20"/>
    </row>
    <row r="300" spans="1:13" x14ac:dyDescent="0.25">
      <c r="A300" s="20"/>
      <c r="B300" s="20"/>
      <c r="C300" s="20"/>
      <c r="E300" s="21" t="b">
        <f>IF(AND(A300&lt;&gt;0,B300=0,C300=0),VLOOKUP(A300,'3 - LISTA DE ESPÉCIES'!A:H,1,FALSE()),IF(AND(A300=0,B300&lt;&gt;0,C300=0),VLOOKUP(B300,'3 - LISTA DE ESPÉCIES'!B:H,5,FALSE()),IF(AND(A300=0,B300=0,C300&lt;&gt;0),VLOOKUP(C300,'3 - LISTA DE ESPÉCIES'!C:H,4,FALSE()))))</f>
        <v>0</v>
      </c>
      <c r="F300" s="21" t="b">
        <f>IF(AND(A300&lt;&gt;0,B300=0,C300=0),VLOOKUP(A300,'3 - LISTA DE ESPÉCIES'!A:H,2,FALSE()),IF(AND(A300=0,B300&lt;&gt;0,C300=0),VLOOKUP(B300,'3 - LISTA DE ESPÉCIES'!B:H,6,FALSE()),IF(AND(A300=0,B300=0,C300&lt;&gt;0),VLOOKUP(C300,'3 - LISTA DE ESPÉCIES'!C:H,5,FALSE()))))</f>
        <v>0</v>
      </c>
      <c r="G300" s="21" t="b">
        <f>IF(AND(A300&lt;&gt;0,B300=0,C300=0),VLOOKUP(A300,'3 - LISTA DE ESPÉCIES'!A:H,3,FALSE()),IF(AND(A300=0,B300&lt;&gt;0,C300=0),VLOOKUP(B300,'3 - LISTA DE ESPÉCIES'!B:H,7,FALSE()),IF(AND(A300=0,B300=0,C300&lt;&gt;0),VLOOKUP(C300,'3 - LISTA DE ESPÉCIES'!C:H,6,FALSE()))))</f>
        <v>0</v>
      </c>
      <c r="H300" s="21" t="b">
        <f>IF(AND(A300&lt;&gt;0,B300=0,C300=0),VLOOKUP(A300,'3 - LISTA DE ESPÉCIES'!A:H,4,FALSE()),IF(AND(A300=0,B300&lt;&gt;0,C300=0),VLOOKUP(B300,'3 - LISTA DE ESPÉCIES'!B:H,3,FALSE()),IF(AND(A300=0,B300=0,C300&lt;&gt;0),VLOOKUP(C300,'3 - LISTA DE ESPÉCIES'!C:H,2,FALSE()))))</f>
        <v>0</v>
      </c>
      <c r="I300" s="21" t="b">
        <f>IF(AND(A300&lt;&gt;0,B300=0,C300=0),VLOOKUP(A300,'3 - LISTA DE ESPÉCIES'!A:H,5,FALSE()),IF(AND(A300=0,B300&lt;&gt;0,C300=0),VLOOKUP(B300,'3 - LISTA DE ESPÉCIES'!B:H,4,FALSE()),IF(AND(A300=0,B300=0,C300&lt;&gt;0),VLOOKUP(C300,'3 - LISTA DE ESPÉCIES'!C:H,3,FALSE()))))</f>
        <v>0</v>
      </c>
      <c r="J300" s="23"/>
      <c r="K300" s="23"/>
      <c r="L300" s="20"/>
      <c r="M300" s="20"/>
    </row>
    <row r="301" spans="1:13" x14ac:dyDescent="0.25">
      <c r="A301" s="20"/>
      <c r="B301" s="20"/>
      <c r="C301" s="20"/>
      <c r="E301" s="21" t="b">
        <f>IF(AND(A301&lt;&gt;0,B301=0,C301=0),VLOOKUP(A301,'3 - LISTA DE ESPÉCIES'!A:H,1,FALSE()),IF(AND(A301=0,B301&lt;&gt;0,C301=0),VLOOKUP(B301,'3 - LISTA DE ESPÉCIES'!B:H,5,FALSE()),IF(AND(A301=0,B301=0,C301&lt;&gt;0),VLOOKUP(C301,'3 - LISTA DE ESPÉCIES'!C:H,4,FALSE()))))</f>
        <v>0</v>
      </c>
      <c r="F301" s="21" t="b">
        <f>IF(AND(A301&lt;&gt;0,B301=0,C301=0),VLOOKUP(A301,'3 - LISTA DE ESPÉCIES'!A:H,2,FALSE()),IF(AND(A301=0,B301&lt;&gt;0,C301=0),VLOOKUP(B301,'3 - LISTA DE ESPÉCIES'!B:H,6,FALSE()),IF(AND(A301=0,B301=0,C301&lt;&gt;0),VLOOKUP(C301,'3 - LISTA DE ESPÉCIES'!C:H,5,FALSE()))))</f>
        <v>0</v>
      </c>
      <c r="G301" s="21" t="b">
        <f>IF(AND(A301&lt;&gt;0,B301=0,C301=0),VLOOKUP(A301,'3 - LISTA DE ESPÉCIES'!A:H,3,FALSE()),IF(AND(A301=0,B301&lt;&gt;0,C301=0),VLOOKUP(B301,'3 - LISTA DE ESPÉCIES'!B:H,7,FALSE()),IF(AND(A301=0,B301=0,C301&lt;&gt;0),VLOOKUP(C301,'3 - LISTA DE ESPÉCIES'!C:H,6,FALSE()))))</f>
        <v>0</v>
      </c>
      <c r="H301" s="21" t="b">
        <f>IF(AND(A301&lt;&gt;0,B301=0,C301=0),VLOOKUP(A301,'3 - LISTA DE ESPÉCIES'!A:H,4,FALSE()),IF(AND(A301=0,B301&lt;&gt;0,C301=0),VLOOKUP(B301,'3 - LISTA DE ESPÉCIES'!B:H,3,FALSE()),IF(AND(A301=0,B301=0,C301&lt;&gt;0),VLOOKUP(C301,'3 - LISTA DE ESPÉCIES'!C:H,2,FALSE()))))</f>
        <v>0</v>
      </c>
      <c r="I301" s="21" t="b">
        <f>IF(AND(A301&lt;&gt;0,B301=0,C301=0),VLOOKUP(A301,'3 - LISTA DE ESPÉCIES'!A:H,5,FALSE()),IF(AND(A301=0,B301&lt;&gt;0,C301=0),VLOOKUP(B301,'3 - LISTA DE ESPÉCIES'!B:H,4,FALSE()),IF(AND(A301=0,B301=0,C301&lt;&gt;0),VLOOKUP(C301,'3 - LISTA DE ESPÉCIES'!C:H,3,FALSE()))))</f>
        <v>0</v>
      </c>
      <c r="J301" s="23"/>
      <c r="K301" s="23"/>
      <c r="L301" s="20"/>
      <c r="M301" s="20"/>
    </row>
    <row r="302" spans="1:13" x14ac:dyDescent="0.25">
      <c r="A302" s="20"/>
      <c r="B302" s="20"/>
      <c r="C302" s="20"/>
      <c r="E302" s="21" t="b">
        <f>IF(AND(A302&lt;&gt;0,B302=0,C302=0),VLOOKUP(A302,'3 - LISTA DE ESPÉCIES'!A:H,1,FALSE()),IF(AND(A302=0,B302&lt;&gt;0,C302=0),VLOOKUP(B302,'3 - LISTA DE ESPÉCIES'!B:H,5,FALSE()),IF(AND(A302=0,B302=0,C302&lt;&gt;0),VLOOKUP(C302,'3 - LISTA DE ESPÉCIES'!C:H,4,FALSE()))))</f>
        <v>0</v>
      </c>
      <c r="F302" s="21" t="b">
        <f>IF(AND(A302&lt;&gt;0,B302=0,C302=0),VLOOKUP(A302,'3 - LISTA DE ESPÉCIES'!A:H,2,FALSE()),IF(AND(A302=0,B302&lt;&gt;0,C302=0),VLOOKUP(B302,'3 - LISTA DE ESPÉCIES'!B:H,6,FALSE()),IF(AND(A302=0,B302=0,C302&lt;&gt;0),VLOOKUP(C302,'3 - LISTA DE ESPÉCIES'!C:H,5,FALSE()))))</f>
        <v>0</v>
      </c>
      <c r="G302" s="21" t="b">
        <f>IF(AND(A302&lt;&gt;0,B302=0,C302=0),VLOOKUP(A302,'3 - LISTA DE ESPÉCIES'!A:H,3,FALSE()),IF(AND(A302=0,B302&lt;&gt;0,C302=0),VLOOKUP(B302,'3 - LISTA DE ESPÉCIES'!B:H,7,FALSE()),IF(AND(A302=0,B302=0,C302&lt;&gt;0),VLOOKUP(C302,'3 - LISTA DE ESPÉCIES'!C:H,6,FALSE()))))</f>
        <v>0</v>
      </c>
      <c r="H302" s="21" t="b">
        <f>IF(AND(A302&lt;&gt;0,B302=0,C302=0),VLOOKUP(A302,'3 - LISTA DE ESPÉCIES'!A:H,4,FALSE()),IF(AND(A302=0,B302&lt;&gt;0,C302=0),VLOOKUP(B302,'3 - LISTA DE ESPÉCIES'!B:H,3,FALSE()),IF(AND(A302=0,B302=0,C302&lt;&gt;0),VLOOKUP(C302,'3 - LISTA DE ESPÉCIES'!C:H,2,FALSE()))))</f>
        <v>0</v>
      </c>
      <c r="I302" s="21" t="b">
        <f>IF(AND(A302&lt;&gt;0,B302=0,C302=0),VLOOKUP(A302,'3 - LISTA DE ESPÉCIES'!A:H,5,FALSE()),IF(AND(A302=0,B302&lt;&gt;0,C302=0),VLOOKUP(B302,'3 - LISTA DE ESPÉCIES'!B:H,4,FALSE()),IF(AND(A302=0,B302=0,C302&lt;&gt;0),VLOOKUP(C302,'3 - LISTA DE ESPÉCIES'!C:H,3,FALSE()))))</f>
        <v>0</v>
      </c>
      <c r="J302" s="23"/>
      <c r="K302" s="23"/>
      <c r="L302" s="20"/>
      <c r="M302" s="20"/>
    </row>
    <row r="303" spans="1:13" x14ac:dyDescent="0.25">
      <c r="A303" s="20"/>
      <c r="B303" s="20"/>
      <c r="C303" s="20"/>
      <c r="E303" s="21" t="b">
        <f>IF(AND(A303&lt;&gt;0,B303=0,C303=0),VLOOKUP(A303,'3 - LISTA DE ESPÉCIES'!A:H,1,FALSE()),IF(AND(A303=0,B303&lt;&gt;0,C303=0),VLOOKUP(B303,'3 - LISTA DE ESPÉCIES'!B:H,5,FALSE()),IF(AND(A303=0,B303=0,C303&lt;&gt;0),VLOOKUP(C303,'3 - LISTA DE ESPÉCIES'!C:H,4,FALSE()))))</f>
        <v>0</v>
      </c>
      <c r="F303" s="21" t="b">
        <f>IF(AND(A303&lt;&gt;0,B303=0,C303=0),VLOOKUP(A303,'3 - LISTA DE ESPÉCIES'!A:H,2,FALSE()),IF(AND(A303=0,B303&lt;&gt;0,C303=0),VLOOKUP(B303,'3 - LISTA DE ESPÉCIES'!B:H,6,FALSE()),IF(AND(A303=0,B303=0,C303&lt;&gt;0),VLOOKUP(C303,'3 - LISTA DE ESPÉCIES'!C:H,5,FALSE()))))</f>
        <v>0</v>
      </c>
      <c r="G303" s="21" t="b">
        <f>IF(AND(A303&lt;&gt;0,B303=0,C303=0),VLOOKUP(A303,'3 - LISTA DE ESPÉCIES'!A:H,3,FALSE()),IF(AND(A303=0,B303&lt;&gt;0,C303=0),VLOOKUP(B303,'3 - LISTA DE ESPÉCIES'!B:H,7,FALSE()),IF(AND(A303=0,B303=0,C303&lt;&gt;0),VLOOKUP(C303,'3 - LISTA DE ESPÉCIES'!C:H,6,FALSE()))))</f>
        <v>0</v>
      </c>
      <c r="H303" s="21" t="b">
        <f>IF(AND(A303&lt;&gt;0,B303=0,C303=0),VLOOKUP(A303,'3 - LISTA DE ESPÉCIES'!A:H,4,FALSE()),IF(AND(A303=0,B303&lt;&gt;0,C303=0),VLOOKUP(B303,'3 - LISTA DE ESPÉCIES'!B:H,3,FALSE()),IF(AND(A303=0,B303=0,C303&lt;&gt;0),VLOOKUP(C303,'3 - LISTA DE ESPÉCIES'!C:H,2,FALSE()))))</f>
        <v>0</v>
      </c>
      <c r="I303" s="21" t="b">
        <f>IF(AND(A303&lt;&gt;0,B303=0,C303=0),VLOOKUP(A303,'3 - LISTA DE ESPÉCIES'!A:H,5,FALSE()),IF(AND(A303=0,B303&lt;&gt;0,C303=0),VLOOKUP(B303,'3 - LISTA DE ESPÉCIES'!B:H,4,FALSE()),IF(AND(A303=0,B303=0,C303&lt;&gt;0),VLOOKUP(C303,'3 - LISTA DE ESPÉCIES'!C:H,3,FALSE()))))</f>
        <v>0</v>
      </c>
      <c r="J303" s="23"/>
      <c r="K303" s="23"/>
      <c r="L303" s="20"/>
      <c r="M303" s="20"/>
    </row>
    <row r="304" spans="1:13" x14ac:dyDescent="0.25">
      <c r="A304" s="20"/>
      <c r="B304" s="20"/>
      <c r="C304" s="20"/>
      <c r="E304" s="21" t="b">
        <f>IF(AND(A304&lt;&gt;0,B304=0,C304=0),VLOOKUP(A304,'3 - LISTA DE ESPÉCIES'!A:H,1,FALSE()),IF(AND(A304=0,B304&lt;&gt;0,C304=0),VLOOKUP(B304,'3 - LISTA DE ESPÉCIES'!B:H,5,FALSE()),IF(AND(A304=0,B304=0,C304&lt;&gt;0),VLOOKUP(C304,'3 - LISTA DE ESPÉCIES'!C:H,4,FALSE()))))</f>
        <v>0</v>
      </c>
      <c r="F304" s="21" t="b">
        <f>IF(AND(A304&lt;&gt;0,B304=0,C304=0),VLOOKUP(A304,'3 - LISTA DE ESPÉCIES'!A:H,2,FALSE()),IF(AND(A304=0,B304&lt;&gt;0,C304=0),VLOOKUP(B304,'3 - LISTA DE ESPÉCIES'!B:H,6,FALSE()),IF(AND(A304=0,B304=0,C304&lt;&gt;0),VLOOKUP(C304,'3 - LISTA DE ESPÉCIES'!C:H,5,FALSE()))))</f>
        <v>0</v>
      </c>
      <c r="G304" s="21" t="b">
        <f>IF(AND(A304&lt;&gt;0,B304=0,C304=0),VLOOKUP(A304,'3 - LISTA DE ESPÉCIES'!A:H,3,FALSE()),IF(AND(A304=0,B304&lt;&gt;0,C304=0),VLOOKUP(B304,'3 - LISTA DE ESPÉCIES'!B:H,7,FALSE()),IF(AND(A304=0,B304=0,C304&lt;&gt;0),VLOOKUP(C304,'3 - LISTA DE ESPÉCIES'!C:H,6,FALSE()))))</f>
        <v>0</v>
      </c>
      <c r="H304" s="21" t="b">
        <f>IF(AND(A304&lt;&gt;0,B304=0,C304=0),VLOOKUP(A304,'3 - LISTA DE ESPÉCIES'!A:H,4,FALSE()),IF(AND(A304=0,B304&lt;&gt;0,C304=0),VLOOKUP(B304,'3 - LISTA DE ESPÉCIES'!B:H,3,FALSE()),IF(AND(A304=0,B304=0,C304&lt;&gt;0),VLOOKUP(C304,'3 - LISTA DE ESPÉCIES'!C:H,2,FALSE()))))</f>
        <v>0</v>
      </c>
      <c r="I304" s="21" t="b">
        <f>IF(AND(A304&lt;&gt;0,B304=0,C304=0),VLOOKUP(A304,'3 - LISTA DE ESPÉCIES'!A:H,5,FALSE()),IF(AND(A304=0,B304&lt;&gt;0,C304=0),VLOOKUP(B304,'3 - LISTA DE ESPÉCIES'!B:H,4,FALSE()),IF(AND(A304=0,B304=0,C304&lt;&gt;0),VLOOKUP(C304,'3 - LISTA DE ESPÉCIES'!C:H,3,FALSE()))))</f>
        <v>0</v>
      </c>
      <c r="J304" s="23"/>
      <c r="K304" s="23"/>
      <c r="L304" s="20"/>
      <c r="M304" s="20"/>
    </row>
    <row r="305" spans="1:13" x14ac:dyDescent="0.25">
      <c r="A305" s="20"/>
      <c r="B305" s="20"/>
      <c r="C305" s="20"/>
      <c r="E305" s="21" t="b">
        <f>IF(AND(A305&lt;&gt;0,B305=0,C305=0),VLOOKUP(A305,'3 - LISTA DE ESPÉCIES'!A:H,1,FALSE()),IF(AND(A305=0,B305&lt;&gt;0,C305=0),VLOOKUP(B305,'3 - LISTA DE ESPÉCIES'!B:H,5,FALSE()),IF(AND(A305=0,B305=0,C305&lt;&gt;0),VLOOKUP(C305,'3 - LISTA DE ESPÉCIES'!C:H,4,FALSE()))))</f>
        <v>0</v>
      </c>
      <c r="F305" s="21" t="b">
        <f>IF(AND(A305&lt;&gt;0,B305=0,C305=0),VLOOKUP(A305,'3 - LISTA DE ESPÉCIES'!A:H,2,FALSE()),IF(AND(A305=0,B305&lt;&gt;0,C305=0),VLOOKUP(B305,'3 - LISTA DE ESPÉCIES'!B:H,6,FALSE()),IF(AND(A305=0,B305=0,C305&lt;&gt;0),VLOOKUP(C305,'3 - LISTA DE ESPÉCIES'!C:H,5,FALSE()))))</f>
        <v>0</v>
      </c>
      <c r="G305" s="21" t="b">
        <f>IF(AND(A305&lt;&gt;0,B305=0,C305=0),VLOOKUP(A305,'3 - LISTA DE ESPÉCIES'!A:H,3,FALSE()),IF(AND(A305=0,B305&lt;&gt;0,C305=0),VLOOKUP(B305,'3 - LISTA DE ESPÉCIES'!B:H,7,FALSE()),IF(AND(A305=0,B305=0,C305&lt;&gt;0),VLOOKUP(C305,'3 - LISTA DE ESPÉCIES'!C:H,6,FALSE()))))</f>
        <v>0</v>
      </c>
      <c r="H305" s="21" t="b">
        <f>IF(AND(A305&lt;&gt;0,B305=0,C305=0),VLOOKUP(A305,'3 - LISTA DE ESPÉCIES'!A:H,4,FALSE()),IF(AND(A305=0,B305&lt;&gt;0,C305=0),VLOOKUP(B305,'3 - LISTA DE ESPÉCIES'!B:H,3,FALSE()),IF(AND(A305=0,B305=0,C305&lt;&gt;0),VLOOKUP(C305,'3 - LISTA DE ESPÉCIES'!C:H,2,FALSE()))))</f>
        <v>0</v>
      </c>
      <c r="I305" s="21" t="b">
        <f>IF(AND(A305&lt;&gt;0,B305=0,C305=0),VLOOKUP(A305,'3 - LISTA DE ESPÉCIES'!A:H,5,FALSE()),IF(AND(A305=0,B305&lt;&gt;0,C305=0),VLOOKUP(B305,'3 - LISTA DE ESPÉCIES'!B:H,4,FALSE()),IF(AND(A305=0,B305=0,C305&lt;&gt;0),VLOOKUP(C305,'3 - LISTA DE ESPÉCIES'!C:H,3,FALSE()))))</f>
        <v>0</v>
      </c>
      <c r="J305" s="23"/>
      <c r="K305" s="23"/>
      <c r="L305" s="20"/>
      <c r="M305" s="20"/>
    </row>
    <row r="306" spans="1:13" x14ac:dyDescent="0.25">
      <c r="A306" s="20"/>
      <c r="B306" s="20"/>
      <c r="C306" s="20"/>
      <c r="E306" s="21" t="b">
        <f>IF(AND(A306&lt;&gt;0,B306=0,C306=0),VLOOKUP(A306,'3 - LISTA DE ESPÉCIES'!A:H,1,FALSE()),IF(AND(A306=0,B306&lt;&gt;0,C306=0),VLOOKUP(B306,'3 - LISTA DE ESPÉCIES'!B:H,5,FALSE()),IF(AND(A306=0,B306=0,C306&lt;&gt;0),VLOOKUP(C306,'3 - LISTA DE ESPÉCIES'!C:H,4,FALSE()))))</f>
        <v>0</v>
      </c>
      <c r="F306" s="21" t="b">
        <f>IF(AND(A306&lt;&gt;0,B306=0,C306=0),VLOOKUP(A306,'3 - LISTA DE ESPÉCIES'!A:H,2,FALSE()),IF(AND(A306=0,B306&lt;&gt;0,C306=0),VLOOKUP(B306,'3 - LISTA DE ESPÉCIES'!B:H,6,FALSE()),IF(AND(A306=0,B306=0,C306&lt;&gt;0),VLOOKUP(C306,'3 - LISTA DE ESPÉCIES'!C:H,5,FALSE()))))</f>
        <v>0</v>
      </c>
      <c r="G306" s="21" t="b">
        <f>IF(AND(A306&lt;&gt;0,B306=0,C306=0),VLOOKUP(A306,'3 - LISTA DE ESPÉCIES'!A:H,3,FALSE()),IF(AND(A306=0,B306&lt;&gt;0,C306=0),VLOOKUP(B306,'3 - LISTA DE ESPÉCIES'!B:H,7,FALSE()),IF(AND(A306=0,B306=0,C306&lt;&gt;0),VLOOKUP(C306,'3 - LISTA DE ESPÉCIES'!C:H,6,FALSE()))))</f>
        <v>0</v>
      </c>
      <c r="H306" s="21" t="b">
        <f>IF(AND(A306&lt;&gt;0,B306=0,C306=0),VLOOKUP(A306,'3 - LISTA DE ESPÉCIES'!A:H,4,FALSE()),IF(AND(A306=0,B306&lt;&gt;0,C306=0),VLOOKUP(B306,'3 - LISTA DE ESPÉCIES'!B:H,3,FALSE()),IF(AND(A306=0,B306=0,C306&lt;&gt;0),VLOOKUP(C306,'3 - LISTA DE ESPÉCIES'!C:H,2,FALSE()))))</f>
        <v>0</v>
      </c>
      <c r="I306" s="21" t="b">
        <f>IF(AND(A306&lt;&gt;0,B306=0,C306=0),VLOOKUP(A306,'3 - LISTA DE ESPÉCIES'!A:H,5,FALSE()),IF(AND(A306=0,B306&lt;&gt;0,C306=0),VLOOKUP(B306,'3 - LISTA DE ESPÉCIES'!B:H,4,FALSE()),IF(AND(A306=0,B306=0,C306&lt;&gt;0),VLOOKUP(C306,'3 - LISTA DE ESPÉCIES'!C:H,3,FALSE()))))</f>
        <v>0</v>
      </c>
      <c r="J306" s="23"/>
      <c r="K306" s="23"/>
      <c r="L306" s="20"/>
      <c r="M306" s="20"/>
    </row>
    <row r="307" spans="1:13" x14ac:dyDescent="0.25">
      <c r="A307" s="20"/>
      <c r="B307" s="20"/>
      <c r="C307" s="20"/>
      <c r="E307" s="21" t="b">
        <f>IF(AND(A307&lt;&gt;0,B307=0,C307=0),VLOOKUP(A307,'3 - LISTA DE ESPÉCIES'!A:H,1,FALSE()),IF(AND(A307=0,B307&lt;&gt;0,C307=0),VLOOKUP(B307,'3 - LISTA DE ESPÉCIES'!B:H,5,FALSE()),IF(AND(A307=0,B307=0,C307&lt;&gt;0),VLOOKUP(C307,'3 - LISTA DE ESPÉCIES'!C:H,4,FALSE()))))</f>
        <v>0</v>
      </c>
      <c r="F307" s="21" t="b">
        <f>IF(AND(A307&lt;&gt;0,B307=0,C307=0),VLOOKUP(A307,'3 - LISTA DE ESPÉCIES'!A:H,2,FALSE()),IF(AND(A307=0,B307&lt;&gt;0,C307=0),VLOOKUP(B307,'3 - LISTA DE ESPÉCIES'!B:H,6,FALSE()),IF(AND(A307=0,B307=0,C307&lt;&gt;0),VLOOKUP(C307,'3 - LISTA DE ESPÉCIES'!C:H,5,FALSE()))))</f>
        <v>0</v>
      </c>
      <c r="G307" s="21" t="b">
        <f>IF(AND(A307&lt;&gt;0,B307=0,C307=0),VLOOKUP(A307,'3 - LISTA DE ESPÉCIES'!A:H,3,FALSE()),IF(AND(A307=0,B307&lt;&gt;0,C307=0),VLOOKUP(B307,'3 - LISTA DE ESPÉCIES'!B:H,7,FALSE()),IF(AND(A307=0,B307=0,C307&lt;&gt;0),VLOOKUP(C307,'3 - LISTA DE ESPÉCIES'!C:H,6,FALSE()))))</f>
        <v>0</v>
      </c>
      <c r="H307" s="21" t="b">
        <f>IF(AND(A307&lt;&gt;0,B307=0,C307=0),VLOOKUP(A307,'3 - LISTA DE ESPÉCIES'!A:H,4,FALSE()),IF(AND(A307=0,B307&lt;&gt;0,C307=0),VLOOKUP(B307,'3 - LISTA DE ESPÉCIES'!B:H,3,FALSE()),IF(AND(A307=0,B307=0,C307&lt;&gt;0),VLOOKUP(C307,'3 - LISTA DE ESPÉCIES'!C:H,2,FALSE()))))</f>
        <v>0</v>
      </c>
      <c r="I307" s="21" t="b">
        <f>IF(AND(A307&lt;&gt;0,B307=0,C307=0),VLOOKUP(A307,'3 - LISTA DE ESPÉCIES'!A:H,5,FALSE()),IF(AND(A307=0,B307&lt;&gt;0,C307=0),VLOOKUP(B307,'3 - LISTA DE ESPÉCIES'!B:H,4,FALSE()),IF(AND(A307=0,B307=0,C307&lt;&gt;0),VLOOKUP(C307,'3 - LISTA DE ESPÉCIES'!C:H,3,FALSE()))))</f>
        <v>0</v>
      </c>
      <c r="J307" s="23"/>
      <c r="K307" s="23"/>
      <c r="L307" s="20"/>
      <c r="M307" s="20"/>
    </row>
    <row r="308" spans="1:13" x14ac:dyDescent="0.25">
      <c r="A308" s="20"/>
      <c r="B308" s="20"/>
      <c r="C308" s="20"/>
      <c r="E308" s="21" t="b">
        <f>IF(AND(A308&lt;&gt;0,B308=0,C308=0),VLOOKUP(A308,'3 - LISTA DE ESPÉCIES'!A:H,1,FALSE()),IF(AND(A308=0,B308&lt;&gt;0,C308=0),VLOOKUP(B308,'3 - LISTA DE ESPÉCIES'!B:H,5,FALSE()),IF(AND(A308=0,B308=0,C308&lt;&gt;0),VLOOKUP(C308,'3 - LISTA DE ESPÉCIES'!C:H,4,FALSE()))))</f>
        <v>0</v>
      </c>
      <c r="F308" s="21" t="b">
        <f>IF(AND(A308&lt;&gt;0,B308=0,C308=0),VLOOKUP(A308,'3 - LISTA DE ESPÉCIES'!A:H,2,FALSE()),IF(AND(A308=0,B308&lt;&gt;0,C308=0),VLOOKUP(B308,'3 - LISTA DE ESPÉCIES'!B:H,6,FALSE()),IF(AND(A308=0,B308=0,C308&lt;&gt;0),VLOOKUP(C308,'3 - LISTA DE ESPÉCIES'!C:H,5,FALSE()))))</f>
        <v>0</v>
      </c>
      <c r="G308" s="21" t="b">
        <f>IF(AND(A308&lt;&gt;0,B308=0,C308=0),VLOOKUP(A308,'3 - LISTA DE ESPÉCIES'!A:H,3,FALSE()),IF(AND(A308=0,B308&lt;&gt;0,C308=0),VLOOKUP(B308,'3 - LISTA DE ESPÉCIES'!B:H,7,FALSE()),IF(AND(A308=0,B308=0,C308&lt;&gt;0),VLOOKUP(C308,'3 - LISTA DE ESPÉCIES'!C:H,6,FALSE()))))</f>
        <v>0</v>
      </c>
      <c r="H308" s="21" t="b">
        <f>IF(AND(A308&lt;&gt;0,B308=0,C308=0),VLOOKUP(A308,'3 - LISTA DE ESPÉCIES'!A:H,4,FALSE()),IF(AND(A308=0,B308&lt;&gt;0,C308=0),VLOOKUP(B308,'3 - LISTA DE ESPÉCIES'!B:H,3,FALSE()),IF(AND(A308=0,B308=0,C308&lt;&gt;0),VLOOKUP(C308,'3 - LISTA DE ESPÉCIES'!C:H,2,FALSE()))))</f>
        <v>0</v>
      </c>
      <c r="I308" s="21" t="b">
        <f>IF(AND(A308&lt;&gt;0,B308=0,C308=0),VLOOKUP(A308,'3 - LISTA DE ESPÉCIES'!A:H,5,FALSE()),IF(AND(A308=0,B308&lt;&gt;0,C308=0),VLOOKUP(B308,'3 - LISTA DE ESPÉCIES'!B:H,4,FALSE()),IF(AND(A308=0,B308=0,C308&lt;&gt;0),VLOOKUP(C308,'3 - LISTA DE ESPÉCIES'!C:H,3,FALSE()))))</f>
        <v>0</v>
      </c>
      <c r="J308" s="23"/>
      <c r="K308" s="23"/>
      <c r="L308" s="20"/>
      <c r="M308" s="20"/>
    </row>
    <row r="309" spans="1:13" x14ac:dyDescent="0.25">
      <c r="A309" s="20"/>
      <c r="B309" s="20"/>
      <c r="C309" s="20"/>
      <c r="E309" s="21" t="b">
        <f>IF(AND(A309&lt;&gt;0,B309=0,C309=0),VLOOKUP(A309,'3 - LISTA DE ESPÉCIES'!A:H,1,FALSE()),IF(AND(A309=0,B309&lt;&gt;0,C309=0),VLOOKUP(B309,'3 - LISTA DE ESPÉCIES'!B:H,5,FALSE()),IF(AND(A309=0,B309=0,C309&lt;&gt;0),VLOOKUP(C309,'3 - LISTA DE ESPÉCIES'!C:H,4,FALSE()))))</f>
        <v>0</v>
      </c>
      <c r="F309" s="21" t="b">
        <f>IF(AND(A309&lt;&gt;0,B309=0,C309=0),VLOOKUP(A309,'3 - LISTA DE ESPÉCIES'!A:H,2,FALSE()),IF(AND(A309=0,B309&lt;&gt;0,C309=0),VLOOKUP(B309,'3 - LISTA DE ESPÉCIES'!B:H,6,FALSE()),IF(AND(A309=0,B309=0,C309&lt;&gt;0),VLOOKUP(C309,'3 - LISTA DE ESPÉCIES'!C:H,5,FALSE()))))</f>
        <v>0</v>
      </c>
      <c r="G309" s="21" t="b">
        <f>IF(AND(A309&lt;&gt;0,B309=0,C309=0),VLOOKUP(A309,'3 - LISTA DE ESPÉCIES'!A:H,3,FALSE()),IF(AND(A309=0,B309&lt;&gt;0,C309=0),VLOOKUP(B309,'3 - LISTA DE ESPÉCIES'!B:H,7,FALSE()),IF(AND(A309=0,B309=0,C309&lt;&gt;0),VLOOKUP(C309,'3 - LISTA DE ESPÉCIES'!C:H,6,FALSE()))))</f>
        <v>0</v>
      </c>
      <c r="H309" s="21" t="b">
        <f>IF(AND(A309&lt;&gt;0,B309=0,C309=0),VLOOKUP(A309,'3 - LISTA DE ESPÉCIES'!A:H,4,FALSE()),IF(AND(A309=0,B309&lt;&gt;0,C309=0),VLOOKUP(B309,'3 - LISTA DE ESPÉCIES'!B:H,3,FALSE()),IF(AND(A309=0,B309=0,C309&lt;&gt;0),VLOOKUP(C309,'3 - LISTA DE ESPÉCIES'!C:H,2,FALSE()))))</f>
        <v>0</v>
      </c>
      <c r="I309" s="21" t="b">
        <f>IF(AND(A309&lt;&gt;0,B309=0,C309=0),VLOOKUP(A309,'3 - LISTA DE ESPÉCIES'!A:H,5,FALSE()),IF(AND(A309=0,B309&lt;&gt;0,C309=0),VLOOKUP(B309,'3 - LISTA DE ESPÉCIES'!B:H,4,FALSE()),IF(AND(A309=0,B309=0,C309&lt;&gt;0),VLOOKUP(C309,'3 - LISTA DE ESPÉCIES'!C:H,3,FALSE()))))</f>
        <v>0</v>
      </c>
      <c r="J309" s="23"/>
      <c r="K309" s="23"/>
      <c r="L309" s="20"/>
      <c r="M309" s="20"/>
    </row>
    <row r="310" spans="1:13" x14ac:dyDescent="0.25">
      <c r="A310" s="20"/>
      <c r="B310" s="20"/>
      <c r="C310" s="20"/>
      <c r="E310" s="21" t="b">
        <f>IF(AND(A310&lt;&gt;0,B310=0,C310=0),VLOOKUP(A310,'3 - LISTA DE ESPÉCIES'!A:H,1,FALSE()),IF(AND(A310=0,B310&lt;&gt;0,C310=0),VLOOKUP(B310,'3 - LISTA DE ESPÉCIES'!B:H,5,FALSE()),IF(AND(A310=0,B310=0,C310&lt;&gt;0),VLOOKUP(C310,'3 - LISTA DE ESPÉCIES'!C:H,4,FALSE()))))</f>
        <v>0</v>
      </c>
      <c r="F310" s="21" t="b">
        <f>IF(AND(A310&lt;&gt;0,B310=0,C310=0),VLOOKUP(A310,'3 - LISTA DE ESPÉCIES'!A:H,2,FALSE()),IF(AND(A310=0,B310&lt;&gt;0,C310=0),VLOOKUP(B310,'3 - LISTA DE ESPÉCIES'!B:H,6,FALSE()),IF(AND(A310=0,B310=0,C310&lt;&gt;0),VLOOKUP(C310,'3 - LISTA DE ESPÉCIES'!C:H,5,FALSE()))))</f>
        <v>0</v>
      </c>
      <c r="G310" s="21" t="b">
        <f>IF(AND(A310&lt;&gt;0,B310=0,C310=0),VLOOKUP(A310,'3 - LISTA DE ESPÉCIES'!A:H,3,FALSE()),IF(AND(A310=0,B310&lt;&gt;0,C310=0),VLOOKUP(B310,'3 - LISTA DE ESPÉCIES'!B:H,7,FALSE()),IF(AND(A310=0,B310=0,C310&lt;&gt;0),VLOOKUP(C310,'3 - LISTA DE ESPÉCIES'!C:H,6,FALSE()))))</f>
        <v>0</v>
      </c>
      <c r="H310" s="21" t="b">
        <f>IF(AND(A310&lt;&gt;0,B310=0,C310=0),VLOOKUP(A310,'3 - LISTA DE ESPÉCIES'!A:H,4,FALSE()),IF(AND(A310=0,B310&lt;&gt;0,C310=0),VLOOKUP(B310,'3 - LISTA DE ESPÉCIES'!B:H,3,FALSE()),IF(AND(A310=0,B310=0,C310&lt;&gt;0),VLOOKUP(C310,'3 - LISTA DE ESPÉCIES'!C:H,2,FALSE()))))</f>
        <v>0</v>
      </c>
      <c r="I310" s="21" t="b">
        <f>IF(AND(A310&lt;&gt;0,B310=0,C310=0),VLOOKUP(A310,'3 - LISTA DE ESPÉCIES'!A:H,5,FALSE()),IF(AND(A310=0,B310&lt;&gt;0,C310=0),VLOOKUP(B310,'3 - LISTA DE ESPÉCIES'!B:H,4,FALSE()),IF(AND(A310=0,B310=0,C310&lt;&gt;0),VLOOKUP(C310,'3 - LISTA DE ESPÉCIES'!C:H,3,FALSE()))))</f>
        <v>0</v>
      </c>
      <c r="J310" s="23"/>
      <c r="K310" s="23"/>
      <c r="L310" s="20"/>
      <c r="M310" s="20"/>
    </row>
    <row r="311" spans="1:13" x14ac:dyDescent="0.25">
      <c r="A311" s="20"/>
      <c r="B311" s="20"/>
      <c r="C311" s="20"/>
      <c r="E311" s="21" t="b">
        <f>IF(AND(A311&lt;&gt;0,B311=0,C311=0),VLOOKUP(A311,'3 - LISTA DE ESPÉCIES'!A:H,1,FALSE()),IF(AND(A311=0,B311&lt;&gt;0,C311=0),VLOOKUP(B311,'3 - LISTA DE ESPÉCIES'!B:H,5,FALSE()),IF(AND(A311=0,B311=0,C311&lt;&gt;0),VLOOKUP(C311,'3 - LISTA DE ESPÉCIES'!C:H,4,FALSE()))))</f>
        <v>0</v>
      </c>
      <c r="F311" s="21" t="b">
        <f>IF(AND(A311&lt;&gt;0,B311=0,C311=0),VLOOKUP(A311,'3 - LISTA DE ESPÉCIES'!A:H,2,FALSE()),IF(AND(A311=0,B311&lt;&gt;0,C311=0),VLOOKUP(B311,'3 - LISTA DE ESPÉCIES'!B:H,6,FALSE()),IF(AND(A311=0,B311=0,C311&lt;&gt;0),VLOOKUP(C311,'3 - LISTA DE ESPÉCIES'!C:H,5,FALSE()))))</f>
        <v>0</v>
      </c>
      <c r="G311" s="21" t="b">
        <f>IF(AND(A311&lt;&gt;0,B311=0,C311=0),VLOOKUP(A311,'3 - LISTA DE ESPÉCIES'!A:H,3,FALSE()),IF(AND(A311=0,B311&lt;&gt;0,C311=0),VLOOKUP(B311,'3 - LISTA DE ESPÉCIES'!B:H,7,FALSE()),IF(AND(A311=0,B311=0,C311&lt;&gt;0),VLOOKUP(C311,'3 - LISTA DE ESPÉCIES'!C:H,6,FALSE()))))</f>
        <v>0</v>
      </c>
      <c r="H311" s="21" t="b">
        <f>IF(AND(A311&lt;&gt;0,B311=0,C311=0),VLOOKUP(A311,'3 - LISTA DE ESPÉCIES'!A:H,4,FALSE()),IF(AND(A311=0,B311&lt;&gt;0,C311=0),VLOOKUP(B311,'3 - LISTA DE ESPÉCIES'!B:H,3,FALSE()),IF(AND(A311=0,B311=0,C311&lt;&gt;0),VLOOKUP(C311,'3 - LISTA DE ESPÉCIES'!C:H,2,FALSE()))))</f>
        <v>0</v>
      </c>
      <c r="I311" s="21" t="b">
        <f>IF(AND(A311&lt;&gt;0,B311=0,C311=0),VLOOKUP(A311,'3 - LISTA DE ESPÉCIES'!A:H,5,FALSE()),IF(AND(A311=0,B311&lt;&gt;0,C311=0),VLOOKUP(B311,'3 - LISTA DE ESPÉCIES'!B:H,4,FALSE()),IF(AND(A311=0,B311=0,C311&lt;&gt;0),VLOOKUP(C311,'3 - LISTA DE ESPÉCIES'!C:H,3,FALSE()))))</f>
        <v>0</v>
      </c>
      <c r="J311" s="23"/>
      <c r="K311" s="23"/>
      <c r="L311" s="20"/>
      <c r="M311" s="20"/>
    </row>
    <row r="312" spans="1:13" x14ac:dyDescent="0.25">
      <c r="A312" s="20"/>
      <c r="B312" s="20"/>
      <c r="C312" s="20"/>
      <c r="E312" s="21" t="b">
        <f>IF(AND(A312&lt;&gt;0,B312=0,C312=0),VLOOKUP(A312,'3 - LISTA DE ESPÉCIES'!A:H,1,FALSE()),IF(AND(A312=0,B312&lt;&gt;0,C312=0),VLOOKUP(B312,'3 - LISTA DE ESPÉCIES'!B:H,5,FALSE()),IF(AND(A312=0,B312=0,C312&lt;&gt;0),VLOOKUP(C312,'3 - LISTA DE ESPÉCIES'!C:H,4,FALSE()))))</f>
        <v>0</v>
      </c>
      <c r="F312" s="21" t="b">
        <f>IF(AND(A312&lt;&gt;0,B312=0,C312=0),VLOOKUP(A312,'3 - LISTA DE ESPÉCIES'!A:H,2,FALSE()),IF(AND(A312=0,B312&lt;&gt;0,C312=0),VLOOKUP(B312,'3 - LISTA DE ESPÉCIES'!B:H,6,FALSE()),IF(AND(A312=0,B312=0,C312&lt;&gt;0),VLOOKUP(C312,'3 - LISTA DE ESPÉCIES'!C:H,5,FALSE()))))</f>
        <v>0</v>
      </c>
      <c r="G312" s="21" t="b">
        <f>IF(AND(A312&lt;&gt;0,B312=0,C312=0),VLOOKUP(A312,'3 - LISTA DE ESPÉCIES'!A:H,3,FALSE()),IF(AND(A312=0,B312&lt;&gt;0,C312=0),VLOOKUP(B312,'3 - LISTA DE ESPÉCIES'!B:H,7,FALSE()),IF(AND(A312=0,B312=0,C312&lt;&gt;0),VLOOKUP(C312,'3 - LISTA DE ESPÉCIES'!C:H,6,FALSE()))))</f>
        <v>0</v>
      </c>
      <c r="H312" s="21" t="b">
        <f>IF(AND(A312&lt;&gt;0,B312=0,C312=0),VLOOKUP(A312,'3 - LISTA DE ESPÉCIES'!A:H,4,FALSE()),IF(AND(A312=0,B312&lt;&gt;0,C312=0),VLOOKUP(B312,'3 - LISTA DE ESPÉCIES'!B:H,3,FALSE()),IF(AND(A312=0,B312=0,C312&lt;&gt;0),VLOOKUP(C312,'3 - LISTA DE ESPÉCIES'!C:H,2,FALSE()))))</f>
        <v>0</v>
      </c>
      <c r="I312" s="21" t="b">
        <f>IF(AND(A312&lt;&gt;0,B312=0,C312=0),VLOOKUP(A312,'3 - LISTA DE ESPÉCIES'!A:H,5,FALSE()),IF(AND(A312=0,B312&lt;&gt;0,C312=0),VLOOKUP(B312,'3 - LISTA DE ESPÉCIES'!B:H,4,FALSE()),IF(AND(A312=0,B312=0,C312&lt;&gt;0),VLOOKUP(C312,'3 - LISTA DE ESPÉCIES'!C:H,3,FALSE()))))</f>
        <v>0</v>
      </c>
      <c r="J312" s="23"/>
      <c r="K312" s="23"/>
      <c r="L312" s="20"/>
      <c r="M312" s="20"/>
    </row>
    <row r="313" spans="1:13" x14ac:dyDescent="0.25">
      <c r="A313" s="20"/>
      <c r="B313" s="20"/>
      <c r="C313" s="20"/>
      <c r="E313" s="21" t="b">
        <f>IF(AND(A313&lt;&gt;0,B313=0,C313=0),VLOOKUP(A313,'3 - LISTA DE ESPÉCIES'!A:H,1,FALSE()),IF(AND(A313=0,B313&lt;&gt;0,C313=0),VLOOKUP(B313,'3 - LISTA DE ESPÉCIES'!B:H,5,FALSE()),IF(AND(A313=0,B313=0,C313&lt;&gt;0),VLOOKUP(C313,'3 - LISTA DE ESPÉCIES'!C:H,4,FALSE()))))</f>
        <v>0</v>
      </c>
      <c r="F313" s="21" t="b">
        <f>IF(AND(A313&lt;&gt;0,B313=0,C313=0),VLOOKUP(A313,'3 - LISTA DE ESPÉCIES'!A:H,2,FALSE()),IF(AND(A313=0,B313&lt;&gt;0,C313=0),VLOOKUP(B313,'3 - LISTA DE ESPÉCIES'!B:H,6,FALSE()),IF(AND(A313=0,B313=0,C313&lt;&gt;0),VLOOKUP(C313,'3 - LISTA DE ESPÉCIES'!C:H,5,FALSE()))))</f>
        <v>0</v>
      </c>
      <c r="G313" s="21" t="b">
        <f>IF(AND(A313&lt;&gt;0,B313=0,C313=0),VLOOKUP(A313,'3 - LISTA DE ESPÉCIES'!A:H,3,FALSE()),IF(AND(A313=0,B313&lt;&gt;0,C313=0),VLOOKUP(B313,'3 - LISTA DE ESPÉCIES'!B:H,7,FALSE()),IF(AND(A313=0,B313=0,C313&lt;&gt;0),VLOOKUP(C313,'3 - LISTA DE ESPÉCIES'!C:H,6,FALSE()))))</f>
        <v>0</v>
      </c>
      <c r="H313" s="21" t="b">
        <f>IF(AND(A313&lt;&gt;0,B313=0,C313=0),VLOOKUP(A313,'3 - LISTA DE ESPÉCIES'!A:H,4,FALSE()),IF(AND(A313=0,B313&lt;&gt;0,C313=0),VLOOKUP(B313,'3 - LISTA DE ESPÉCIES'!B:H,3,FALSE()),IF(AND(A313=0,B313=0,C313&lt;&gt;0),VLOOKUP(C313,'3 - LISTA DE ESPÉCIES'!C:H,2,FALSE()))))</f>
        <v>0</v>
      </c>
      <c r="I313" s="21" t="b">
        <f>IF(AND(A313&lt;&gt;0,B313=0,C313=0),VLOOKUP(A313,'3 - LISTA DE ESPÉCIES'!A:H,5,FALSE()),IF(AND(A313=0,B313&lt;&gt;0,C313=0),VLOOKUP(B313,'3 - LISTA DE ESPÉCIES'!B:H,4,FALSE()),IF(AND(A313=0,B313=0,C313&lt;&gt;0),VLOOKUP(C313,'3 - LISTA DE ESPÉCIES'!C:H,3,FALSE()))))</f>
        <v>0</v>
      </c>
      <c r="J313" s="23"/>
      <c r="K313" s="23"/>
      <c r="L313" s="20"/>
      <c r="M313" s="20"/>
    </row>
    <row r="314" spans="1:13" x14ac:dyDescent="0.25">
      <c r="A314" s="20"/>
      <c r="B314" s="20"/>
      <c r="C314" s="20"/>
      <c r="E314" s="21" t="b">
        <f>IF(AND(A314&lt;&gt;0,B314=0,C314=0),VLOOKUP(A314,'3 - LISTA DE ESPÉCIES'!A:H,1,FALSE()),IF(AND(A314=0,B314&lt;&gt;0,C314=0),VLOOKUP(B314,'3 - LISTA DE ESPÉCIES'!B:H,5,FALSE()),IF(AND(A314=0,B314=0,C314&lt;&gt;0),VLOOKUP(C314,'3 - LISTA DE ESPÉCIES'!C:H,4,FALSE()))))</f>
        <v>0</v>
      </c>
      <c r="F314" s="21" t="b">
        <f>IF(AND(A314&lt;&gt;0,B314=0,C314=0),VLOOKUP(A314,'3 - LISTA DE ESPÉCIES'!A:H,2,FALSE()),IF(AND(A314=0,B314&lt;&gt;0,C314=0),VLOOKUP(B314,'3 - LISTA DE ESPÉCIES'!B:H,6,FALSE()),IF(AND(A314=0,B314=0,C314&lt;&gt;0),VLOOKUP(C314,'3 - LISTA DE ESPÉCIES'!C:H,5,FALSE()))))</f>
        <v>0</v>
      </c>
      <c r="G314" s="21" t="b">
        <f>IF(AND(A314&lt;&gt;0,B314=0,C314=0),VLOOKUP(A314,'3 - LISTA DE ESPÉCIES'!A:H,3,FALSE()),IF(AND(A314=0,B314&lt;&gt;0,C314=0),VLOOKUP(B314,'3 - LISTA DE ESPÉCIES'!B:H,7,FALSE()),IF(AND(A314=0,B314=0,C314&lt;&gt;0),VLOOKUP(C314,'3 - LISTA DE ESPÉCIES'!C:H,6,FALSE()))))</f>
        <v>0</v>
      </c>
      <c r="H314" s="21" t="b">
        <f>IF(AND(A314&lt;&gt;0,B314=0,C314=0),VLOOKUP(A314,'3 - LISTA DE ESPÉCIES'!A:H,4,FALSE()),IF(AND(A314=0,B314&lt;&gt;0,C314=0),VLOOKUP(B314,'3 - LISTA DE ESPÉCIES'!B:H,3,FALSE()),IF(AND(A314=0,B314=0,C314&lt;&gt;0),VLOOKUP(C314,'3 - LISTA DE ESPÉCIES'!C:H,2,FALSE()))))</f>
        <v>0</v>
      </c>
      <c r="I314" s="21" t="b">
        <f>IF(AND(A314&lt;&gt;0,B314=0,C314=0),VLOOKUP(A314,'3 - LISTA DE ESPÉCIES'!A:H,5,FALSE()),IF(AND(A314=0,B314&lt;&gt;0,C314=0),VLOOKUP(B314,'3 - LISTA DE ESPÉCIES'!B:H,4,FALSE()),IF(AND(A314=0,B314=0,C314&lt;&gt;0),VLOOKUP(C314,'3 - LISTA DE ESPÉCIES'!C:H,3,FALSE()))))</f>
        <v>0</v>
      </c>
      <c r="J314" s="23"/>
      <c r="K314" s="23"/>
      <c r="L314" s="20"/>
      <c r="M314" s="20"/>
    </row>
    <row r="315" spans="1:13" x14ac:dyDescent="0.25">
      <c r="A315" s="20"/>
      <c r="B315" s="20"/>
      <c r="C315" s="20"/>
      <c r="E315" s="21" t="b">
        <f>IF(AND(A315&lt;&gt;0,B315=0,C315=0),VLOOKUP(A315,'3 - LISTA DE ESPÉCIES'!A:H,1,FALSE()),IF(AND(A315=0,B315&lt;&gt;0,C315=0),VLOOKUP(B315,'3 - LISTA DE ESPÉCIES'!B:H,5,FALSE()),IF(AND(A315=0,B315=0,C315&lt;&gt;0),VLOOKUP(C315,'3 - LISTA DE ESPÉCIES'!C:H,4,FALSE()))))</f>
        <v>0</v>
      </c>
      <c r="F315" s="21" t="b">
        <f>IF(AND(A315&lt;&gt;0,B315=0,C315=0),VLOOKUP(A315,'3 - LISTA DE ESPÉCIES'!A:H,2,FALSE()),IF(AND(A315=0,B315&lt;&gt;0,C315=0),VLOOKUP(B315,'3 - LISTA DE ESPÉCIES'!B:H,6,FALSE()),IF(AND(A315=0,B315=0,C315&lt;&gt;0),VLOOKUP(C315,'3 - LISTA DE ESPÉCIES'!C:H,5,FALSE()))))</f>
        <v>0</v>
      </c>
      <c r="G315" s="21" t="b">
        <f>IF(AND(A315&lt;&gt;0,B315=0,C315=0),VLOOKUP(A315,'3 - LISTA DE ESPÉCIES'!A:H,3,FALSE()),IF(AND(A315=0,B315&lt;&gt;0,C315=0),VLOOKUP(B315,'3 - LISTA DE ESPÉCIES'!B:H,7,FALSE()),IF(AND(A315=0,B315=0,C315&lt;&gt;0),VLOOKUP(C315,'3 - LISTA DE ESPÉCIES'!C:H,6,FALSE()))))</f>
        <v>0</v>
      </c>
      <c r="H315" s="21" t="b">
        <f>IF(AND(A315&lt;&gt;0,B315=0,C315=0),VLOOKUP(A315,'3 - LISTA DE ESPÉCIES'!A:H,4,FALSE()),IF(AND(A315=0,B315&lt;&gt;0,C315=0),VLOOKUP(B315,'3 - LISTA DE ESPÉCIES'!B:H,3,FALSE()),IF(AND(A315=0,B315=0,C315&lt;&gt;0),VLOOKUP(C315,'3 - LISTA DE ESPÉCIES'!C:H,2,FALSE()))))</f>
        <v>0</v>
      </c>
      <c r="I315" s="21" t="b">
        <f>IF(AND(A315&lt;&gt;0,B315=0,C315=0),VLOOKUP(A315,'3 - LISTA DE ESPÉCIES'!A:H,5,FALSE()),IF(AND(A315=0,B315&lt;&gt;0,C315=0),VLOOKUP(B315,'3 - LISTA DE ESPÉCIES'!B:H,4,FALSE()),IF(AND(A315=0,B315=0,C315&lt;&gt;0),VLOOKUP(C315,'3 - LISTA DE ESPÉCIES'!C:H,3,FALSE()))))</f>
        <v>0</v>
      </c>
      <c r="J315" s="23"/>
      <c r="K315" s="23"/>
      <c r="L315" s="20"/>
      <c r="M315" s="20"/>
    </row>
    <row r="316" spans="1:13" x14ac:dyDescent="0.25">
      <c r="A316" s="20"/>
      <c r="B316" s="20"/>
      <c r="C316" s="20"/>
      <c r="E316" s="21" t="b">
        <f>IF(AND(A316&lt;&gt;0,B316=0,C316=0),VLOOKUP(A316,'3 - LISTA DE ESPÉCIES'!A:H,1,FALSE()),IF(AND(A316=0,B316&lt;&gt;0,C316=0),VLOOKUP(B316,'3 - LISTA DE ESPÉCIES'!B:H,5,FALSE()),IF(AND(A316=0,B316=0,C316&lt;&gt;0),VLOOKUP(C316,'3 - LISTA DE ESPÉCIES'!C:H,4,FALSE()))))</f>
        <v>0</v>
      </c>
      <c r="F316" s="21" t="b">
        <f>IF(AND(A316&lt;&gt;0,B316=0,C316=0),VLOOKUP(A316,'3 - LISTA DE ESPÉCIES'!A:H,2,FALSE()),IF(AND(A316=0,B316&lt;&gt;0,C316=0),VLOOKUP(B316,'3 - LISTA DE ESPÉCIES'!B:H,6,FALSE()),IF(AND(A316=0,B316=0,C316&lt;&gt;0),VLOOKUP(C316,'3 - LISTA DE ESPÉCIES'!C:H,5,FALSE()))))</f>
        <v>0</v>
      </c>
      <c r="G316" s="21" t="b">
        <f>IF(AND(A316&lt;&gt;0,B316=0,C316=0),VLOOKUP(A316,'3 - LISTA DE ESPÉCIES'!A:H,3,FALSE()),IF(AND(A316=0,B316&lt;&gt;0,C316=0),VLOOKUP(B316,'3 - LISTA DE ESPÉCIES'!B:H,7,FALSE()),IF(AND(A316=0,B316=0,C316&lt;&gt;0),VLOOKUP(C316,'3 - LISTA DE ESPÉCIES'!C:H,6,FALSE()))))</f>
        <v>0</v>
      </c>
      <c r="H316" s="21" t="b">
        <f>IF(AND(A316&lt;&gt;0,B316=0,C316=0),VLOOKUP(A316,'3 - LISTA DE ESPÉCIES'!A:H,4,FALSE()),IF(AND(A316=0,B316&lt;&gt;0,C316=0),VLOOKUP(B316,'3 - LISTA DE ESPÉCIES'!B:H,3,FALSE()),IF(AND(A316=0,B316=0,C316&lt;&gt;0),VLOOKUP(C316,'3 - LISTA DE ESPÉCIES'!C:H,2,FALSE()))))</f>
        <v>0</v>
      </c>
      <c r="I316" s="21" t="b">
        <f>IF(AND(A316&lt;&gt;0,B316=0,C316=0),VLOOKUP(A316,'3 - LISTA DE ESPÉCIES'!A:H,5,FALSE()),IF(AND(A316=0,B316&lt;&gt;0,C316=0),VLOOKUP(B316,'3 - LISTA DE ESPÉCIES'!B:H,4,FALSE()),IF(AND(A316=0,B316=0,C316&lt;&gt;0),VLOOKUP(C316,'3 - LISTA DE ESPÉCIES'!C:H,3,FALSE()))))</f>
        <v>0</v>
      </c>
      <c r="J316" s="23"/>
      <c r="K316" s="23"/>
      <c r="L316" s="20"/>
      <c r="M316" s="20"/>
    </row>
    <row r="317" spans="1:13" x14ac:dyDescent="0.25">
      <c r="A317" s="20"/>
      <c r="B317" s="20"/>
      <c r="C317" s="20"/>
      <c r="E317" s="21" t="b">
        <f>IF(AND(A317&lt;&gt;0,B317=0,C317=0),VLOOKUP(A317,'3 - LISTA DE ESPÉCIES'!A:H,1,FALSE()),IF(AND(A317=0,B317&lt;&gt;0,C317=0),VLOOKUP(B317,'3 - LISTA DE ESPÉCIES'!B:H,5,FALSE()),IF(AND(A317=0,B317=0,C317&lt;&gt;0),VLOOKUP(C317,'3 - LISTA DE ESPÉCIES'!C:H,4,FALSE()))))</f>
        <v>0</v>
      </c>
      <c r="F317" s="21" t="b">
        <f>IF(AND(A317&lt;&gt;0,B317=0,C317=0),VLOOKUP(A317,'3 - LISTA DE ESPÉCIES'!A:H,2,FALSE()),IF(AND(A317=0,B317&lt;&gt;0,C317=0),VLOOKUP(B317,'3 - LISTA DE ESPÉCIES'!B:H,6,FALSE()),IF(AND(A317=0,B317=0,C317&lt;&gt;0),VLOOKUP(C317,'3 - LISTA DE ESPÉCIES'!C:H,5,FALSE()))))</f>
        <v>0</v>
      </c>
      <c r="G317" s="21" t="b">
        <f>IF(AND(A317&lt;&gt;0,B317=0,C317=0),VLOOKUP(A317,'3 - LISTA DE ESPÉCIES'!A:H,3,FALSE()),IF(AND(A317=0,B317&lt;&gt;0,C317=0),VLOOKUP(B317,'3 - LISTA DE ESPÉCIES'!B:H,7,FALSE()),IF(AND(A317=0,B317=0,C317&lt;&gt;0),VLOOKUP(C317,'3 - LISTA DE ESPÉCIES'!C:H,6,FALSE()))))</f>
        <v>0</v>
      </c>
      <c r="H317" s="21" t="b">
        <f>IF(AND(A317&lt;&gt;0,B317=0,C317=0),VLOOKUP(A317,'3 - LISTA DE ESPÉCIES'!A:H,4,FALSE()),IF(AND(A317=0,B317&lt;&gt;0,C317=0),VLOOKUP(B317,'3 - LISTA DE ESPÉCIES'!B:H,3,FALSE()),IF(AND(A317=0,B317=0,C317&lt;&gt;0),VLOOKUP(C317,'3 - LISTA DE ESPÉCIES'!C:H,2,FALSE()))))</f>
        <v>0</v>
      </c>
      <c r="I317" s="21" t="b">
        <f>IF(AND(A317&lt;&gt;0,B317=0,C317=0),VLOOKUP(A317,'3 - LISTA DE ESPÉCIES'!A:H,5,FALSE()),IF(AND(A317=0,B317&lt;&gt;0,C317=0),VLOOKUP(B317,'3 - LISTA DE ESPÉCIES'!B:H,4,FALSE()),IF(AND(A317=0,B317=0,C317&lt;&gt;0),VLOOKUP(C317,'3 - LISTA DE ESPÉCIES'!C:H,3,FALSE()))))</f>
        <v>0</v>
      </c>
      <c r="J317" s="23"/>
      <c r="K317" s="23"/>
      <c r="L317" s="20"/>
      <c r="M317" s="20"/>
    </row>
    <row r="318" spans="1:13" x14ac:dyDescent="0.25">
      <c r="A318" s="20"/>
      <c r="B318" s="20"/>
      <c r="C318" s="20"/>
      <c r="E318" s="21" t="b">
        <f>IF(AND(A318&lt;&gt;0,B318=0,C318=0),VLOOKUP(A318,'3 - LISTA DE ESPÉCIES'!A:H,1,FALSE()),IF(AND(A318=0,B318&lt;&gt;0,C318=0),VLOOKUP(B318,'3 - LISTA DE ESPÉCIES'!B:H,5,FALSE()),IF(AND(A318=0,B318=0,C318&lt;&gt;0),VLOOKUP(C318,'3 - LISTA DE ESPÉCIES'!C:H,4,FALSE()))))</f>
        <v>0</v>
      </c>
      <c r="F318" s="21" t="b">
        <f>IF(AND(A318&lt;&gt;0,B318=0,C318=0),VLOOKUP(A318,'3 - LISTA DE ESPÉCIES'!A:H,2,FALSE()),IF(AND(A318=0,B318&lt;&gt;0,C318=0),VLOOKUP(B318,'3 - LISTA DE ESPÉCIES'!B:H,6,FALSE()),IF(AND(A318=0,B318=0,C318&lt;&gt;0),VLOOKUP(C318,'3 - LISTA DE ESPÉCIES'!C:H,5,FALSE()))))</f>
        <v>0</v>
      </c>
      <c r="G318" s="21" t="b">
        <f>IF(AND(A318&lt;&gt;0,B318=0,C318=0),VLOOKUP(A318,'3 - LISTA DE ESPÉCIES'!A:H,3,FALSE()),IF(AND(A318=0,B318&lt;&gt;0,C318=0),VLOOKUP(B318,'3 - LISTA DE ESPÉCIES'!B:H,7,FALSE()),IF(AND(A318=0,B318=0,C318&lt;&gt;0),VLOOKUP(C318,'3 - LISTA DE ESPÉCIES'!C:H,6,FALSE()))))</f>
        <v>0</v>
      </c>
      <c r="H318" s="21" t="b">
        <f>IF(AND(A318&lt;&gt;0,B318=0,C318=0),VLOOKUP(A318,'3 - LISTA DE ESPÉCIES'!A:H,4,FALSE()),IF(AND(A318=0,B318&lt;&gt;0,C318=0),VLOOKUP(B318,'3 - LISTA DE ESPÉCIES'!B:H,3,FALSE()),IF(AND(A318=0,B318=0,C318&lt;&gt;0),VLOOKUP(C318,'3 - LISTA DE ESPÉCIES'!C:H,2,FALSE()))))</f>
        <v>0</v>
      </c>
      <c r="I318" s="21" t="b">
        <f>IF(AND(A318&lt;&gt;0,B318=0,C318=0),VLOOKUP(A318,'3 - LISTA DE ESPÉCIES'!A:H,5,FALSE()),IF(AND(A318=0,B318&lt;&gt;0,C318=0),VLOOKUP(B318,'3 - LISTA DE ESPÉCIES'!B:H,4,FALSE()),IF(AND(A318=0,B318=0,C318&lt;&gt;0),VLOOKUP(C318,'3 - LISTA DE ESPÉCIES'!C:H,3,FALSE()))))</f>
        <v>0</v>
      </c>
      <c r="J318" s="23"/>
      <c r="K318" s="23"/>
      <c r="L318" s="20"/>
      <c r="M318" s="20"/>
    </row>
    <row r="319" spans="1:13" x14ac:dyDescent="0.25">
      <c r="A319" s="20"/>
      <c r="B319" s="20"/>
      <c r="C319" s="20"/>
      <c r="E319" s="21" t="b">
        <f>IF(AND(A319&lt;&gt;0,B319=0,C319=0),VLOOKUP(A319,'3 - LISTA DE ESPÉCIES'!A:H,1,FALSE()),IF(AND(A319=0,B319&lt;&gt;0,C319=0),VLOOKUP(B319,'3 - LISTA DE ESPÉCIES'!B:H,5,FALSE()),IF(AND(A319=0,B319=0,C319&lt;&gt;0),VLOOKUP(C319,'3 - LISTA DE ESPÉCIES'!C:H,4,FALSE()))))</f>
        <v>0</v>
      </c>
      <c r="F319" s="21" t="b">
        <f>IF(AND(A319&lt;&gt;0,B319=0,C319=0),VLOOKUP(A319,'3 - LISTA DE ESPÉCIES'!A:H,2,FALSE()),IF(AND(A319=0,B319&lt;&gt;0,C319=0),VLOOKUP(B319,'3 - LISTA DE ESPÉCIES'!B:H,6,FALSE()),IF(AND(A319=0,B319=0,C319&lt;&gt;0),VLOOKUP(C319,'3 - LISTA DE ESPÉCIES'!C:H,5,FALSE()))))</f>
        <v>0</v>
      </c>
      <c r="G319" s="21" t="b">
        <f>IF(AND(A319&lt;&gt;0,B319=0,C319=0),VLOOKUP(A319,'3 - LISTA DE ESPÉCIES'!A:H,3,FALSE()),IF(AND(A319=0,B319&lt;&gt;0,C319=0),VLOOKUP(B319,'3 - LISTA DE ESPÉCIES'!B:H,7,FALSE()),IF(AND(A319=0,B319=0,C319&lt;&gt;0),VLOOKUP(C319,'3 - LISTA DE ESPÉCIES'!C:H,6,FALSE()))))</f>
        <v>0</v>
      </c>
      <c r="H319" s="21" t="b">
        <f>IF(AND(A319&lt;&gt;0,B319=0,C319=0),VLOOKUP(A319,'3 - LISTA DE ESPÉCIES'!A:H,4,FALSE()),IF(AND(A319=0,B319&lt;&gt;0,C319=0),VLOOKUP(B319,'3 - LISTA DE ESPÉCIES'!B:H,3,FALSE()),IF(AND(A319=0,B319=0,C319&lt;&gt;0),VLOOKUP(C319,'3 - LISTA DE ESPÉCIES'!C:H,2,FALSE()))))</f>
        <v>0</v>
      </c>
      <c r="I319" s="21" t="b">
        <f>IF(AND(A319&lt;&gt;0,B319=0,C319=0),VLOOKUP(A319,'3 - LISTA DE ESPÉCIES'!A:H,5,FALSE()),IF(AND(A319=0,B319&lt;&gt;0,C319=0),VLOOKUP(B319,'3 - LISTA DE ESPÉCIES'!B:H,4,FALSE()),IF(AND(A319=0,B319=0,C319&lt;&gt;0),VLOOKUP(C319,'3 - LISTA DE ESPÉCIES'!C:H,3,FALSE()))))</f>
        <v>0</v>
      </c>
      <c r="J319" s="23"/>
      <c r="K319" s="23"/>
      <c r="L319" s="20"/>
      <c r="M319" s="20"/>
    </row>
    <row r="320" spans="1:13" x14ac:dyDescent="0.25">
      <c r="A320" s="20"/>
      <c r="B320" s="20"/>
      <c r="C320" s="20"/>
      <c r="E320" s="21" t="b">
        <f>IF(AND(A320&lt;&gt;0,B320=0,C320=0),VLOOKUP(A320,'3 - LISTA DE ESPÉCIES'!A:H,1,FALSE()),IF(AND(A320=0,B320&lt;&gt;0,C320=0),VLOOKUP(B320,'3 - LISTA DE ESPÉCIES'!B:H,5,FALSE()),IF(AND(A320=0,B320=0,C320&lt;&gt;0),VLOOKUP(C320,'3 - LISTA DE ESPÉCIES'!C:H,4,FALSE()))))</f>
        <v>0</v>
      </c>
      <c r="F320" s="21" t="b">
        <f>IF(AND(A320&lt;&gt;0,B320=0,C320=0),VLOOKUP(A320,'3 - LISTA DE ESPÉCIES'!A:H,2,FALSE()),IF(AND(A320=0,B320&lt;&gt;0,C320=0),VLOOKUP(B320,'3 - LISTA DE ESPÉCIES'!B:H,6,FALSE()),IF(AND(A320=0,B320=0,C320&lt;&gt;0),VLOOKUP(C320,'3 - LISTA DE ESPÉCIES'!C:H,5,FALSE()))))</f>
        <v>0</v>
      </c>
      <c r="G320" s="21" t="b">
        <f>IF(AND(A320&lt;&gt;0,B320=0,C320=0),VLOOKUP(A320,'3 - LISTA DE ESPÉCIES'!A:H,3,FALSE()),IF(AND(A320=0,B320&lt;&gt;0,C320=0),VLOOKUP(B320,'3 - LISTA DE ESPÉCIES'!B:H,7,FALSE()),IF(AND(A320=0,B320=0,C320&lt;&gt;0),VLOOKUP(C320,'3 - LISTA DE ESPÉCIES'!C:H,6,FALSE()))))</f>
        <v>0</v>
      </c>
      <c r="H320" s="21" t="b">
        <f>IF(AND(A320&lt;&gt;0,B320=0,C320=0),VLOOKUP(A320,'3 - LISTA DE ESPÉCIES'!A:H,4,FALSE()),IF(AND(A320=0,B320&lt;&gt;0,C320=0),VLOOKUP(B320,'3 - LISTA DE ESPÉCIES'!B:H,3,FALSE()),IF(AND(A320=0,B320=0,C320&lt;&gt;0),VLOOKUP(C320,'3 - LISTA DE ESPÉCIES'!C:H,2,FALSE()))))</f>
        <v>0</v>
      </c>
      <c r="I320" s="21" t="b">
        <f>IF(AND(A320&lt;&gt;0,B320=0,C320=0),VLOOKUP(A320,'3 - LISTA DE ESPÉCIES'!A:H,5,FALSE()),IF(AND(A320=0,B320&lt;&gt;0,C320=0),VLOOKUP(B320,'3 - LISTA DE ESPÉCIES'!B:H,4,FALSE()),IF(AND(A320=0,B320=0,C320&lt;&gt;0),VLOOKUP(C320,'3 - LISTA DE ESPÉCIES'!C:H,3,FALSE()))))</f>
        <v>0</v>
      </c>
      <c r="J320" s="23"/>
      <c r="K320" s="23"/>
      <c r="L320" s="20"/>
      <c r="M320" s="20"/>
    </row>
    <row r="321" spans="1:13" x14ac:dyDescent="0.25">
      <c r="A321" s="20"/>
      <c r="B321" s="20"/>
      <c r="C321" s="20"/>
      <c r="E321" s="21" t="b">
        <f>IF(AND(A321&lt;&gt;0,B321=0,C321=0),VLOOKUP(A321,'3 - LISTA DE ESPÉCIES'!A:H,1,FALSE()),IF(AND(A321=0,B321&lt;&gt;0,C321=0),VLOOKUP(B321,'3 - LISTA DE ESPÉCIES'!B:H,5,FALSE()),IF(AND(A321=0,B321=0,C321&lt;&gt;0),VLOOKUP(C321,'3 - LISTA DE ESPÉCIES'!C:H,4,FALSE()))))</f>
        <v>0</v>
      </c>
      <c r="F321" s="21" t="b">
        <f>IF(AND(A321&lt;&gt;0,B321=0,C321=0),VLOOKUP(A321,'3 - LISTA DE ESPÉCIES'!A:H,2,FALSE()),IF(AND(A321=0,B321&lt;&gt;0,C321=0),VLOOKUP(B321,'3 - LISTA DE ESPÉCIES'!B:H,6,FALSE()),IF(AND(A321=0,B321=0,C321&lt;&gt;0),VLOOKUP(C321,'3 - LISTA DE ESPÉCIES'!C:H,5,FALSE()))))</f>
        <v>0</v>
      </c>
      <c r="G321" s="21" t="b">
        <f>IF(AND(A321&lt;&gt;0,B321=0,C321=0),VLOOKUP(A321,'3 - LISTA DE ESPÉCIES'!A:H,3,FALSE()),IF(AND(A321=0,B321&lt;&gt;0,C321=0),VLOOKUP(B321,'3 - LISTA DE ESPÉCIES'!B:H,7,FALSE()),IF(AND(A321=0,B321=0,C321&lt;&gt;0),VLOOKUP(C321,'3 - LISTA DE ESPÉCIES'!C:H,6,FALSE()))))</f>
        <v>0</v>
      </c>
      <c r="H321" s="21" t="b">
        <f>IF(AND(A321&lt;&gt;0,B321=0,C321=0),VLOOKUP(A321,'3 - LISTA DE ESPÉCIES'!A:H,4,FALSE()),IF(AND(A321=0,B321&lt;&gt;0,C321=0),VLOOKUP(B321,'3 - LISTA DE ESPÉCIES'!B:H,3,FALSE()),IF(AND(A321=0,B321=0,C321&lt;&gt;0),VLOOKUP(C321,'3 - LISTA DE ESPÉCIES'!C:H,2,FALSE()))))</f>
        <v>0</v>
      </c>
      <c r="I321" s="21" t="b">
        <f>IF(AND(A321&lt;&gt;0,B321=0,C321=0),VLOOKUP(A321,'3 - LISTA DE ESPÉCIES'!A:H,5,FALSE()),IF(AND(A321=0,B321&lt;&gt;0,C321=0),VLOOKUP(B321,'3 - LISTA DE ESPÉCIES'!B:H,4,FALSE()),IF(AND(A321=0,B321=0,C321&lt;&gt;0),VLOOKUP(C321,'3 - LISTA DE ESPÉCIES'!C:H,3,FALSE()))))</f>
        <v>0</v>
      </c>
      <c r="J321" s="23"/>
      <c r="K321" s="23"/>
      <c r="L321" s="20"/>
      <c r="M321" s="20"/>
    </row>
    <row r="322" spans="1:13" x14ac:dyDescent="0.25">
      <c r="A322" s="20"/>
      <c r="B322" s="20"/>
      <c r="C322" s="20"/>
      <c r="E322" s="21" t="b">
        <f>IF(AND(A322&lt;&gt;0,B322=0,C322=0),VLOOKUP(A322,'3 - LISTA DE ESPÉCIES'!A:H,1,FALSE()),IF(AND(A322=0,B322&lt;&gt;0,C322=0),VLOOKUP(B322,'3 - LISTA DE ESPÉCIES'!B:H,5,FALSE()),IF(AND(A322=0,B322=0,C322&lt;&gt;0),VLOOKUP(C322,'3 - LISTA DE ESPÉCIES'!C:H,4,FALSE()))))</f>
        <v>0</v>
      </c>
      <c r="F322" s="21" t="b">
        <f>IF(AND(A322&lt;&gt;0,B322=0,C322=0),VLOOKUP(A322,'3 - LISTA DE ESPÉCIES'!A:H,2,FALSE()),IF(AND(A322=0,B322&lt;&gt;0,C322=0),VLOOKUP(B322,'3 - LISTA DE ESPÉCIES'!B:H,6,FALSE()),IF(AND(A322=0,B322=0,C322&lt;&gt;0),VLOOKUP(C322,'3 - LISTA DE ESPÉCIES'!C:H,5,FALSE()))))</f>
        <v>0</v>
      </c>
      <c r="G322" s="21" t="b">
        <f>IF(AND(A322&lt;&gt;0,B322=0,C322=0),VLOOKUP(A322,'3 - LISTA DE ESPÉCIES'!A:H,3,FALSE()),IF(AND(A322=0,B322&lt;&gt;0,C322=0),VLOOKUP(B322,'3 - LISTA DE ESPÉCIES'!B:H,7,FALSE()),IF(AND(A322=0,B322=0,C322&lt;&gt;0),VLOOKUP(C322,'3 - LISTA DE ESPÉCIES'!C:H,6,FALSE()))))</f>
        <v>0</v>
      </c>
      <c r="H322" s="21" t="b">
        <f>IF(AND(A322&lt;&gt;0,B322=0,C322=0),VLOOKUP(A322,'3 - LISTA DE ESPÉCIES'!A:H,4,FALSE()),IF(AND(A322=0,B322&lt;&gt;0,C322=0),VLOOKUP(B322,'3 - LISTA DE ESPÉCIES'!B:H,3,FALSE()),IF(AND(A322=0,B322=0,C322&lt;&gt;0),VLOOKUP(C322,'3 - LISTA DE ESPÉCIES'!C:H,2,FALSE()))))</f>
        <v>0</v>
      </c>
      <c r="I322" s="21" t="b">
        <f>IF(AND(A322&lt;&gt;0,B322=0,C322=0),VLOOKUP(A322,'3 - LISTA DE ESPÉCIES'!A:H,5,FALSE()),IF(AND(A322=0,B322&lt;&gt;0,C322=0),VLOOKUP(B322,'3 - LISTA DE ESPÉCIES'!B:H,4,FALSE()),IF(AND(A322=0,B322=0,C322&lt;&gt;0),VLOOKUP(C322,'3 - LISTA DE ESPÉCIES'!C:H,3,FALSE()))))</f>
        <v>0</v>
      </c>
      <c r="J322" s="23"/>
      <c r="K322" s="23"/>
      <c r="L322" s="20"/>
      <c r="M322" s="20"/>
    </row>
    <row r="323" spans="1:13" x14ac:dyDescent="0.25">
      <c r="A323" s="20"/>
      <c r="B323" s="20"/>
      <c r="C323" s="20"/>
      <c r="E323" s="21" t="b">
        <f>IF(AND(A323&lt;&gt;0,B323=0,C323=0),VLOOKUP(A323,'3 - LISTA DE ESPÉCIES'!A:H,1,FALSE()),IF(AND(A323=0,B323&lt;&gt;0,C323=0),VLOOKUP(B323,'3 - LISTA DE ESPÉCIES'!B:H,5,FALSE()),IF(AND(A323=0,B323=0,C323&lt;&gt;0),VLOOKUP(C323,'3 - LISTA DE ESPÉCIES'!C:H,4,FALSE()))))</f>
        <v>0</v>
      </c>
      <c r="F323" s="21" t="b">
        <f>IF(AND(A323&lt;&gt;0,B323=0,C323=0),VLOOKUP(A323,'3 - LISTA DE ESPÉCIES'!A:H,2,FALSE()),IF(AND(A323=0,B323&lt;&gt;0,C323=0),VLOOKUP(B323,'3 - LISTA DE ESPÉCIES'!B:H,6,FALSE()),IF(AND(A323=0,B323=0,C323&lt;&gt;0),VLOOKUP(C323,'3 - LISTA DE ESPÉCIES'!C:H,5,FALSE()))))</f>
        <v>0</v>
      </c>
      <c r="G323" s="21" t="b">
        <f>IF(AND(A323&lt;&gt;0,B323=0,C323=0),VLOOKUP(A323,'3 - LISTA DE ESPÉCIES'!A:H,3,FALSE()),IF(AND(A323=0,B323&lt;&gt;0,C323=0),VLOOKUP(B323,'3 - LISTA DE ESPÉCIES'!B:H,7,FALSE()),IF(AND(A323=0,B323=0,C323&lt;&gt;0),VLOOKUP(C323,'3 - LISTA DE ESPÉCIES'!C:H,6,FALSE()))))</f>
        <v>0</v>
      </c>
      <c r="H323" s="21" t="b">
        <f>IF(AND(A323&lt;&gt;0,B323=0,C323=0),VLOOKUP(A323,'3 - LISTA DE ESPÉCIES'!A:H,4,FALSE()),IF(AND(A323=0,B323&lt;&gt;0,C323=0),VLOOKUP(B323,'3 - LISTA DE ESPÉCIES'!B:H,3,FALSE()),IF(AND(A323=0,B323=0,C323&lt;&gt;0),VLOOKUP(C323,'3 - LISTA DE ESPÉCIES'!C:H,2,FALSE()))))</f>
        <v>0</v>
      </c>
      <c r="I323" s="21" t="b">
        <f>IF(AND(A323&lt;&gt;0,B323=0,C323=0),VLOOKUP(A323,'3 - LISTA DE ESPÉCIES'!A:H,5,FALSE()),IF(AND(A323=0,B323&lt;&gt;0,C323=0),VLOOKUP(B323,'3 - LISTA DE ESPÉCIES'!B:H,4,FALSE()),IF(AND(A323=0,B323=0,C323&lt;&gt;0),VLOOKUP(C323,'3 - LISTA DE ESPÉCIES'!C:H,3,FALSE()))))</f>
        <v>0</v>
      </c>
      <c r="J323" s="23"/>
      <c r="K323" s="23"/>
      <c r="L323" s="20"/>
      <c r="M323" s="20"/>
    </row>
    <row r="324" spans="1:13" x14ac:dyDescent="0.25">
      <c r="A324" s="20"/>
      <c r="B324" s="20"/>
      <c r="C324" s="20"/>
      <c r="E324" s="21" t="b">
        <f>IF(AND(A324&lt;&gt;0,B324=0,C324=0),VLOOKUP(A324,'3 - LISTA DE ESPÉCIES'!A:H,1,FALSE()),IF(AND(A324=0,B324&lt;&gt;0,C324=0),VLOOKUP(B324,'3 - LISTA DE ESPÉCIES'!B:H,5,FALSE()),IF(AND(A324=0,B324=0,C324&lt;&gt;0),VLOOKUP(C324,'3 - LISTA DE ESPÉCIES'!C:H,4,FALSE()))))</f>
        <v>0</v>
      </c>
      <c r="F324" s="21" t="b">
        <f>IF(AND(A324&lt;&gt;0,B324=0,C324=0),VLOOKUP(A324,'3 - LISTA DE ESPÉCIES'!A:H,2,FALSE()),IF(AND(A324=0,B324&lt;&gt;0,C324=0),VLOOKUP(B324,'3 - LISTA DE ESPÉCIES'!B:H,6,FALSE()),IF(AND(A324=0,B324=0,C324&lt;&gt;0),VLOOKUP(C324,'3 - LISTA DE ESPÉCIES'!C:H,5,FALSE()))))</f>
        <v>0</v>
      </c>
      <c r="G324" s="21" t="b">
        <f>IF(AND(A324&lt;&gt;0,B324=0,C324=0),VLOOKUP(A324,'3 - LISTA DE ESPÉCIES'!A:H,3,FALSE()),IF(AND(A324=0,B324&lt;&gt;0,C324=0),VLOOKUP(B324,'3 - LISTA DE ESPÉCIES'!B:H,7,FALSE()),IF(AND(A324=0,B324=0,C324&lt;&gt;0),VLOOKUP(C324,'3 - LISTA DE ESPÉCIES'!C:H,6,FALSE()))))</f>
        <v>0</v>
      </c>
      <c r="H324" s="21" t="b">
        <f>IF(AND(A324&lt;&gt;0,B324=0,C324=0),VLOOKUP(A324,'3 - LISTA DE ESPÉCIES'!A:H,4,FALSE()),IF(AND(A324=0,B324&lt;&gt;0,C324=0),VLOOKUP(B324,'3 - LISTA DE ESPÉCIES'!B:H,3,FALSE()),IF(AND(A324=0,B324=0,C324&lt;&gt;0),VLOOKUP(C324,'3 - LISTA DE ESPÉCIES'!C:H,2,FALSE()))))</f>
        <v>0</v>
      </c>
      <c r="I324" s="21" t="b">
        <f>IF(AND(A324&lt;&gt;0,B324=0,C324=0),VLOOKUP(A324,'3 - LISTA DE ESPÉCIES'!A:H,5,FALSE()),IF(AND(A324=0,B324&lt;&gt;0,C324=0),VLOOKUP(B324,'3 - LISTA DE ESPÉCIES'!B:H,4,FALSE()),IF(AND(A324=0,B324=0,C324&lt;&gt;0),VLOOKUP(C324,'3 - LISTA DE ESPÉCIES'!C:H,3,FALSE()))))</f>
        <v>0</v>
      </c>
      <c r="J324" s="23"/>
      <c r="K324" s="23"/>
      <c r="L324" s="20"/>
      <c r="M324" s="20"/>
    </row>
    <row r="325" spans="1:13" x14ac:dyDescent="0.25">
      <c r="A325" s="20"/>
      <c r="B325" s="20"/>
      <c r="C325" s="20"/>
      <c r="E325" s="21" t="b">
        <f>IF(AND(A325&lt;&gt;0,B325=0,C325=0),VLOOKUP(A325,'3 - LISTA DE ESPÉCIES'!A:H,1,FALSE()),IF(AND(A325=0,B325&lt;&gt;0,C325=0),VLOOKUP(B325,'3 - LISTA DE ESPÉCIES'!B:H,5,FALSE()),IF(AND(A325=0,B325=0,C325&lt;&gt;0),VLOOKUP(C325,'3 - LISTA DE ESPÉCIES'!C:H,4,FALSE()))))</f>
        <v>0</v>
      </c>
      <c r="F325" s="21" t="b">
        <f>IF(AND(A325&lt;&gt;0,B325=0,C325=0),VLOOKUP(A325,'3 - LISTA DE ESPÉCIES'!A:H,2,FALSE()),IF(AND(A325=0,B325&lt;&gt;0,C325=0),VLOOKUP(B325,'3 - LISTA DE ESPÉCIES'!B:H,6,FALSE()),IF(AND(A325=0,B325=0,C325&lt;&gt;0),VLOOKUP(C325,'3 - LISTA DE ESPÉCIES'!C:H,5,FALSE()))))</f>
        <v>0</v>
      </c>
      <c r="G325" s="21" t="b">
        <f>IF(AND(A325&lt;&gt;0,B325=0,C325=0),VLOOKUP(A325,'3 - LISTA DE ESPÉCIES'!A:H,3,FALSE()),IF(AND(A325=0,B325&lt;&gt;0,C325=0),VLOOKUP(B325,'3 - LISTA DE ESPÉCIES'!B:H,7,FALSE()),IF(AND(A325=0,B325=0,C325&lt;&gt;0),VLOOKUP(C325,'3 - LISTA DE ESPÉCIES'!C:H,6,FALSE()))))</f>
        <v>0</v>
      </c>
      <c r="H325" s="21" t="b">
        <f>IF(AND(A325&lt;&gt;0,B325=0,C325=0),VLOOKUP(A325,'3 - LISTA DE ESPÉCIES'!A:H,4,FALSE()),IF(AND(A325=0,B325&lt;&gt;0,C325=0),VLOOKUP(B325,'3 - LISTA DE ESPÉCIES'!B:H,3,FALSE()),IF(AND(A325=0,B325=0,C325&lt;&gt;0),VLOOKUP(C325,'3 - LISTA DE ESPÉCIES'!C:H,2,FALSE()))))</f>
        <v>0</v>
      </c>
      <c r="I325" s="21" t="b">
        <f>IF(AND(A325&lt;&gt;0,B325=0,C325=0),VLOOKUP(A325,'3 - LISTA DE ESPÉCIES'!A:H,5,FALSE()),IF(AND(A325=0,B325&lt;&gt;0,C325=0),VLOOKUP(B325,'3 - LISTA DE ESPÉCIES'!B:H,4,FALSE()),IF(AND(A325=0,B325=0,C325&lt;&gt;0),VLOOKUP(C325,'3 - LISTA DE ESPÉCIES'!C:H,3,FALSE()))))</f>
        <v>0</v>
      </c>
      <c r="J325" s="23"/>
      <c r="K325" s="23"/>
      <c r="L325" s="20"/>
      <c r="M325" s="20"/>
    </row>
    <row r="326" spans="1:13" x14ac:dyDescent="0.25">
      <c r="A326" s="20"/>
      <c r="B326" s="20"/>
      <c r="C326" s="20"/>
      <c r="E326" s="21" t="b">
        <f>IF(AND(A326&lt;&gt;0,B326=0,C326=0),VLOOKUP(A326,'3 - LISTA DE ESPÉCIES'!A:H,1,FALSE()),IF(AND(A326=0,B326&lt;&gt;0,C326=0),VLOOKUP(B326,'3 - LISTA DE ESPÉCIES'!B:H,5,FALSE()),IF(AND(A326=0,B326=0,C326&lt;&gt;0),VLOOKUP(C326,'3 - LISTA DE ESPÉCIES'!C:H,4,FALSE()))))</f>
        <v>0</v>
      </c>
      <c r="F326" s="21" t="b">
        <f>IF(AND(A326&lt;&gt;0,B326=0,C326=0),VLOOKUP(A326,'3 - LISTA DE ESPÉCIES'!A:H,2,FALSE()),IF(AND(A326=0,B326&lt;&gt;0,C326=0),VLOOKUP(B326,'3 - LISTA DE ESPÉCIES'!B:H,6,FALSE()),IF(AND(A326=0,B326=0,C326&lt;&gt;0),VLOOKUP(C326,'3 - LISTA DE ESPÉCIES'!C:H,5,FALSE()))))</f>
        <v>0</v>
      </c>
      <c r="G326" s="21" t="b">
        <f>IF(AND(A326&lt;&gt;0,B326=0,C326=0),VLOOKUP(A326,'3 - LISTA DE ESPÉCIES'!A:H,3,FALSE()),IF(AND(A326=0,B326&lt;&gt;0,C326=0),VLOOKUP(B326,'3 - LISTA DE ESPÉCIES'!B:H,7,FALSE()),IF(AND(A326=0,B326=0,C326&lt;&gt;0),VLOOKUP(C326,'3 - LISTA DE ESPÉCIES'!C:H,6,FALSE()))))</f>
        <v>0</v>
      </c>
      <c r="H326" s="21" t="b">
        <f>IF(AND(A326&lt;&gt;0,B326=0,C326=0),VLOOKUP(A326,'3 - LISTA DE ESPÉCIES'!A:H,4,FALSE()),IF(AND(A326=0,B326&lt;&gt;0,C326=0),VLOOKUP(B326,'3 - LISTA DE ESPÉCIES'!B:H,3,FALSE()),IF(AND(A326=0,B326=0,C326&lt;&gt;0),VLOOKUP(C326,'3 - LISTA DE ESPÉCIES'!C:H,2,FALSE()))))</f>
        <v>0</v>
      </c>
      <c r="I326" s="21" t="b">
        <f>IF(AND(A326&lt;&gt;0,B326=0,C326=0),VLOOKUP(A326,'3 - LISTA DE ESPÉCIES'!A:H,5,FALSE()),IF(AND(A326=0,B326&lt;&gt;0,C326=0),VLOOKUP(B326,'3 - LISTA DE ESPÉCIES'!B:H,4,FALSE()),IF(AND(A326=0,B326=0,C326&lt;&gt;0),VLOOKUP(C326,'3 - LISTA DE ESPÉCIES'!C:H,3,FALSE()))))</f>
        <v>0</v>
      </c>
      <c r="J326" s="23"/>
      <c r="K326" s="23"/>
      <c r="L326" s="20"/>
      <c r="M326" s="20"/>
    </row>
    <row r="327" spans="1:13" x14ac:dyDescent="0.25">
      <c r="A327" s="20"/>
      <c r="B327" s="20"/>
      <c r="C327" s="20"/>
      <c r="E327" s="21" t="b">
        <f>IF(AND(A327&lt;&gt;0,B327=0,C327=0),VLOOKUP(A327,'3 - LISTA DE ESPÉCIES'!A:H,1,FALSE()),IF(AND(A327=0,B327&lt;&gt;0,C327=0),VLOOKUP(B327,'3 - LISTA DE ESPÉCIES'!B:H,5,FALSE()),IF(AND(A327=0,B327=0,C327&lt;&gt;0),VLOOKUP(C327,'3 - LISTA DE ESPÉCIES'!C:H,4,FALSE()))))</f>
        <v>0</v>
      </c>
      <c r="F327" s="21" t="b">
        <f>IF(AND(A327&lt;&gt;0,B327=0,C327=0),VLOOKUP(A327,'3 - LISTA DE ESPÉCIES'!A:H,2,FALSE()),IF(AND(A327=0,B327&lt;&gt;0,C327=0),VLOOKUP(B327,'3 - LISTA DE ESPÉCIES'!B:H,6,FALSE()),IF(AND(A327=0,B327=0,C327&lt;&gt;0),VLOOKUP(C327,'3 - LISTA DE ESPÉCIES'!C:H,5,FALSE()))))</f>
        <v>0</v>
      </c>
      <c r="G327" s="21" t="b">
        <f>IF(AND(A327&lt;&gt;0,B327=0,C327=0),VLOOKUP(A327,'3 - LISTA DE ESPÉCIES'!A:H,3,FALSE()),IF(AND(A327=0,B327&lt;&gt;0,C327=0),VLOOKUP(B327,'3 - LISTA DE ESPÉCIES'!B:H,7,FALSE()),IF(AND(A327=0,B327=0,C327&lt;&gt;0),VLOOKUP(C327,'3 - LISTA DE ESPÉCIES'!C:H,6,FALSE()))))</f>
        <v>0</v>
      </c>
      <c r="H327" s="21" t="b">
        <f>IF(AND(A327&lt;&gt;0,B327=0,C327=0),VLOOKUP(A327,'3 - LISTA DE ESPÉCIES'!A:H,4,FALSE()),IF(AND(A327=0,B327&lt;&gt;0,C327=0),VLOOKUP(B327,'3 - LISTA DE ESPÉCIES'!B:H,3,FALSE()),IF(AND(A327=0,B327=0,C327&lt;&gt;0),VLOOKUP(C327,'3 - LISTA DE ESPÉCIES'!C:H,2,FALSE()))))</f>
        <v>0</v>
      </c>
      <c r="I327" s="21" t="b">
        <f>IF(AND(A327&lt;&gt;0,B327=0,C327=0),VLOOKUP(A327,'3 - LISTA DE ESPÉCIES'!A:H,5,FALSE()),IF(AND(A327=0,B327&lt;&gt;0,C327=0),VLOOKUP(B327,'3 - LISTA DE ESPÉCIES'!B:H,4,FALSE()),IF(AND(A327=0,B327=0,C327&lt;&gt;0),VLOOKUP(C327,'3 - LISTA DE ESPÉCIES'!C:H,3,FALSE()))))</f>
        <v>0</v>
      </c>
      <c r="J327" s="23"/>
      <c r="K327" s="23"/>
      <c r="L327" s="20"/>
      <c r="M327" s="20"/>
    </row>
    <row r="328" spans="1:13" x14ac:dyDescent="0.25">
      <c r="A328" s="20"/>
      <c r="B328" s="20"/>
      <c r="C328" s="20"/>
      <c r="E328" s="21" t="b">
        <f>IF(AND(A328&lt;&gt;0,B328=0,C328=0),VLOOKUP(A328,'3 - LISTA DE ESPÉCIES'!A:H,1,FALSE()),IF(AND(A328=0,B328&lt;&gt;0,C328=0),VLOOKUP(B328,'3 - LISTA DE ESPÉCIES'!B:H,5,FALSE()),IF(AND(A328=0,B328=0,C328&lt;&gt;0),VLOOKUP(C328,'3 - LISTA DE ESPÉCIES'!C:H,4,FALSE()))))</f>
        <v>0</v>
      </c>
      <c r="F328" s="21" t="b">
        <f>IF(AND(A328&lt;&gt;0,B328=0,C328=0),VLOOKUP(A328,'3 - LISTA DE ESPÉCIES'!A:H,2,FALSE()),IF(AND(A328=0,B328&lt;&gt;0,C328=0),VLOOKUP(B328,'3 - LISTA DE ESPÉCIES'!B:H,6,FALSE()),IF(AND(A328=0,B328=0,C328&lt;&gt;0),VLOOKUP(C328,'3 - LISTA DE ESPÉCIES'!C:H,5,FALSE()))))</f>
        <v>0</v>
      </c>
      <c r="G328" s="21" t="b">
        <f>IF(AND(A328&lt;&gt;0,B328=0,C328=0),VLOOKUP(A328,'3 - LISTA DE ESPÉCIES'!A:H,3,FALSE()),IF(AND(A328=0,B328&lt;&gt;0,C328=0),VLOOKUP(B328,'3 - LISTA DE ESPÉCIES'!B:H,7,FALSE()),IF(AND(A328=0,B328=0,C328&lt;&gt;0),VLOOKUP(C328,'3 - LISTA DE ESPÉCIES'!C:H,6,FALSE()))))</f>
        <v>0</v>
      </c>
      <c r="H328" s="21" t="b">
        <f>IF(AND(A328&lt;&gt;0,B328=0,C328=0),VLOOKUP(A328,'3 - LISTA DE ESPÉCIES'!A:H,4,FALSE()),IF(AND(A328=0,B328&lt;&gt;0,C328=0),VLOOKUP(B328,'3 - LISTA DE ESPÉCIES'!B:H,3,FALSE()),IF(AND(A328=0,B328=0,C328&lt;&gt;0),VLOOKUP(C328,'3 - LISTA DE ESPÉCIES'!C:H,2,FALSE()))))</f>
        <v>0</v>
      </c>
      <c r="I328" s="21" t="b">
        <f>IF(AND(A328&lt;&gt;0,B328=0,C328=0),VLOOKUP(A328,'3 - LISTA DE ESPÉCIES'!A:H,5,FALSE()),IF(AND(A328=0,B328&lt;&gt;0,C328=0),VLOOKUP(B328,'3 - LISTA DE ESPÉCIES'!B:H,4,FALSE()),IF(AND(A328=0,B328=0,C328&lt;&gt;0),VLOOKUP(C328,'3 - LISTA DE ESPÉCIES'!C:H,3,FALSE()))))</f>
        <v>0</v>
      </c>
      <c r="J328" s="23"/>
      <c r="K328" s="23"/>
      <c r="L328" s="20"/>
      <c r="M328" s="20"/>
    </row>
    <row r="329" spans="1:13" x14ac:dyDescent="0.25">
      <c r="A329" s="20"/>
      <c r="B329" s="20"/>
      <c r="C329" s="20"/>
      <c r="E329" s="21" t="b">
        <f>IF(AND(A329&lt;&gt;0,B329=0,C329=0),VLOOKUP(A329,'3 - LISTA DE ESPÉCIES'!A:H,1,FALSE()),IF(AND(A329=0,B329&lt;&gt;0,C329=0),VLOOKUP(B329,'3 - LISTA DE ESPÉCIES'!B:H,5,FALSE()),IF(AND(A329=0,B329=0,C329&lt;&gt;0),VLOOKUP(C329,'3 - LISTA DE ESPÉCIES'!C:H,4,FALSE()))))</f>
        <v>0</v>
      </c>
      <c r="F329" s="21" t="b">
        <f>IF(AND(A329&lt;&gt;0,B329=0,C329=0),VLOOKUP(A329,'3 - LISTA DE ESPÉCIES'!A:H,2,FALSE()),IF(AND(A329=0,B329&lt;&gt;0,C329=0),VLOOKUP(B329,'3 - LISTA DE ESPÉCIES'!B:H,6,FALSE()),IF(AND(A329=0,B329=0,C329&lt;&gt;0),VLOOKUP(C329,'3 - LISTA DE ESPÉCIES'!C:H,5,FALSE()))))</f>
        <v>0</v>
      </c>
      <c r="G329" s="21" t="b">
        <f>IF(AND(A329&lt;&gt;0,B329=0,C329=0),VLOOKUP(A329,'3 - LISTA DE ESPÉCIES'!A:H,3,FALSE()),IF(AND(A329=0,B329&lt;&gt;0,C329=0),VLOOKUP(B329,'3 - LISTA DE ESPÉCIES'!B:H,7,FALSE()),IF(AND(A329=0,B329=0,C329&lt;&gt;0),VLOOKUP(C329,'3 - LISTA DE ESPÉCIES'!C:H,6,FALSE()))))</f>
        <v>0</v>
      </c>
      <c r="H329" s="21" t="b">
        <f>IF(AND(A329&lt;&gt;0,B329=0,C329=0),VLOOKUP(A329,'3 - LISTA DE ESPÉCIES'!A:H,4,FALSE()),IF(AND(A329=0,B329&lt;&gt;0,C329=0),VLOOKUP(B329,'3 - LISTA DE ESPÉCIES'!B:H,3,FALSE()),IF(AND(A329=0,B329=0,C329&lt;&gt;0),VLOOKUP(C329,'3 - LISTA DE ESPÉCIES'!C:H,2,FALSE()))))</f>
        <v>0</v>
      </c>
      <c r="I329" s="21" t="b">
        <f>IF(AND(A329&lt;&gt;0,B329=0,C329=0),VLOOKUP(A329,'3 - LISTA DE ESPÉCIES'!A:H,5,FALSE()),IF(AND(A329=0,B329&lt;&gt;0,C329=0),VLOOKUP(B329,'3 - LISTA DE ESPÉCIES'!B:H,4,FALSE()),IF(AND(A329=0,B329=0,C329&lt;&gt;0),VLOOKUP(C329,'3 - LISTA DE ESPÉCIES'!C:H,3,FALSE()))))</f>
        <v>0</v>
      </c>
      <c r="J329" s="23"/>
      <c r="K329" s="23"/>
      <c r="L329" s="20"/>
      <c r="M329" s="20"/>
    </row>
    <row r="330" spans="1:13" x14ac:dyDescent="0.25">
      <c r="A330" s="20"/>
      <c r="B330" s="20"/>
      <c r="C330" s="20"/>
      <c r="E330" s="21" t="b">
        <f>IF(AND(A330&lt;&gt;0,B330=0,C330=0),VLOOKUP(A330,'3 - LISTA DE ESPÉCIES'!A:H,1,FALSE()),IF(AND(A330=0,B330&lt;&gt;0,C330=0),VLOOKUP(B330,'3 - LISTA DE ESPÉCIES'!B:H,5,FALSE()),IF(AND(A330=0,B330=0,C330&lt;&gt;0),VLOOKUP(C330,'3 - LISTA DE ESPÉCIES'!C:H,4,FALSE()))))</f>
        <v>0</v>
      </c>
      <c r="F330" s="21" t="b">
        <f>IF(AND(A330&lt;&gt;0,B330=0,C330=0),VLOOKUP(A330,'3 - LISTA DE ESPÉCIES'!A:H,2,FALSE()),IF(AND(A330=0,B330&lt;&gt;0,C330=0),VLOOKUP(B330,'3 - LISTA DE ESPÉCIES'!B:H,6,FALSE()),IF(AND(A330=0,B330=0,C330&lt;&gt;0),VLOOKUP(C330,'3 - LISTA DE ESPÉCIES'!C:H,5,FALSE()))))</f>
        <v>0</v>
      </c>
      <c r="G330" s="21" t="b">
        <f>IF(AND(A330&lt;&gt;0,B330=0,C330=0),VLOOKUP(A330,'3 - LISTA DE ESPÉCIES'!A:H,3,FALSE()),IF(AND(A330=0,B330&lt;&gt;0,C330=0),VLOOKUP(B330,'3 - LISTA DE ESPÉCIES'!B:H,7,FALSE()),IF(AND(A330=0,B330=0,C330&lt;&gt;0),VLOOKUP(C330,'3 - LISTA DE ESPÉCIES'!C:H,6,FALSE()))))</f>
        <v>0</v>
      </c>
      <c r="H330" s="21" t="b">
        <f>IF(AND(A330&lt;&gt;0,B330=0,C330=0),VLOOKUP(A330,'3 - LISTA DE ESPÉCIES'!A:H,4,FALSE()),IF(AND(A330=0,B330&lt;&gt;0,C330=0),VLOOKUP(B330,'3 - LISTA DE ESPÉCIES'!B:H,3,FALSE()),IF(AND(A330=0,B330=0,C330&lt;&gt;0),VLOOKUP(C330,'3 - LISTA DE ESPÉCIES'!C:H,2,FALSE()))))</f>
        <v>0</v>
      </c>
      <c r="I330" s="21" t="b">
        <f>IF(AND(A330&lt;&gt;0,B330=0,C330=0),VLOOKUP(A330,'3 - LISTA DE ESPÉCIES'!A:H,5,FALSE()),IF(AND(A330=0,B330&lt;&gt;0,C330=0),VLOOKUP(B330,'3 - LISTA DE ESPÉCIES'!B:H,4,FALSE()),IF(AND(A330=0,B330=0,C330&lt;&gt;0),VLOOKUP(C330,'3 - LISTA DE ESPÉCIES'!C:H,3,FALSE()))))</f>
        <v>0</v>
      </c>
      <c r="J330" s="23"/>
      <c r="K330" s="23"/>
      <c r="L330" s="20"/>
      <c r="M330" s="20"/>
    </row>
    <row r="331" spans="1:13" x14ac:dyDescent="0.25">
      <c r="A331" s="20"/>
      <c r="B331" s="20"/>
      <c r="C331" s="20"/>
      <c r="E331" s="21" t="b">
        <f>IF(AND(A331&lt;&gt;0,B331=0,C331=0),VLOOKUP(A331,'3 - LISTA DE ESPÉCIES'!A:H,1,FALSE()),IF(AND(A331=0,B331&lt;&gt;0,C331=0),VLOOKUP(B331,'3 - LISTA DE ESPÉCIES'!B:H,5,FALSE()),IF(AND(A331=0,B331=0,C331&lt;&gt;0),VLOOKUP(C331,'3 - LISTA DE ESPÉCIES'!C:H,4,FALSE()))))</f>
        <v>0</v>
      </c>
      <c r="F331" s="21" t="b">
        <f>IF(AND(A331&lt;&gt;0,B331=0,C331=0),VLOOKUP(A331,'3 - LISTA DE ESPÉCIES'!A:H,2,FALSE()),IF(AND(A331=0,B331&lt;&gt;0,C331=0),VLOOKUP(B331,'3 - LISTA DE ESPÉCIES'!B:H,6,FALSE()),IF(AND(A331=0,B331=0,C331&lt;&gt;0),VLOOKUP(C331,'3 - LISTA DE ESPÉCIES'!C:H,5,FALSE()))))</f>
        <v>0</v>
      </c>
      <c r="G331" s="21" t="b">
        <f>IF(AND(A331&lt;&gt;0,B331=0,C331=0),VLOOKUP(A331,'3 - LISTA DE ESPÉCIES'!A:H,3,FALSE()),IF(AND(A331=0,B331&lt;&gt;0,C331=0),VLOOKUP(B331,'3 - LISTA DE ESPÉCIES'!B:H,7,FALSE()),IF(AND(A331=0,B331=0,C331&lt;&gt;0),VLOOKUP(C331,'3 - LISTA DE ESPÉCIES'!C:H,6,FALSE()))))</f>
        <v>0</v>
      </c>
      <c r="H331" s="21" t="b">
        <f>IF(AND(A331&lt;&gt;0,B331=0,C331=0),VLOOKUP(A331,'3 - LISTA DE ESPÉCIES'!A:H,4,FALSE()),IF(AND(A331=0,B331&lt;&gt;0,C331=0),VLOOKUP(B331,'3 - LISTA DE ESPÉCIES'!B:H,3,FALSE()),IF(AND(A331=0,B331=0,C331&lt;&gt;0),VLOOKUP(C331,'3 - LISTA DE ESPÉCIES'!C:H,2,FALSE()))))</f>
        <v>0</v>
      </c>
      <c r="I331" s="21" t="b">
        <f>IF(AND(A331&lt;&gt;0,B331=0,C331=0),VLOOKUP(A331,'3 - LISTA DE ESPÉCIES'!A:H,5,FALSE()),IF(AND(A331=0,B331&lt;&gt;0,C331=0),VLOOKUP(B331,'3 - LISTA DE ESPÉCIES'!B:H,4,FALSE()),IF(AND(A331=0,B331=0,C331&lt;&gt;0),VLOOKUP(C331,'3 - LISTA DE ESPÉCIES'!C:H,3,FALSE()))))</f>
        <v>0</v>
      </c>
      <c r="J331" s="23"/>
      <c r="K331" s="23"/>
      <c r="L331" s="20"/>
      <c r="M331" s="20"/>
    </row>
    <row r="332" spans="1:13" x14ac:dyDescent="0.25">
      <c r="A332" s="20"/>
      <c r="B332" s="20"/>
      <c r="C332" s="20"/>
      <c r="E332" s="21" t="b">
        <f>IF(AND(A332&lt;&gt;0,B332=0,C332=0),VLOOKUP(A332,'3 - LISTA DE ESPÉCIES'!A:H,1,FALSE()),IF(AND(A332=0,B332&lt;&gt;0,C332=0),VLOOKUP(B332,'3 - LISTA DE ESPÉCIES'!B:H,5,FALSE()),IF(AND(A332=0,B332=0,C332&lt;&gt;0),VLOOKUP(C332,'3 - LISTA DE ESPÉCIES'!C:H,4,FALSE()))))</f>
        <v>0</v>
      </c>
      <c r="F332" s="21" t="b">
        <f>IF(AND(A332&lt;&gt;0,B332=0,C332=0),VLOOKUP(A332,'3 - LISTA DE ESPÉCIES'!A:H,2,FALSE()),IF(AND(A332=0,B332&lt;&gt;0,C332=0),VLOOKUP(B332,'3 - LISTA DE ESPÉCIES'!B:H,6,FALSE()),IF(AND(A332=0,B332=0,C332&lt;&gt;0),VLOOKUP(C332,'3 - LISTA DE ESPÉCIES'!C:H,5,FALSE()))))</f>
        <v>0</v>
      </c>
      <c r="G332" s="21" t="b">
        <f>IF(AND(A332&lt;&gt;0,B332=0,C332=0),VLOOKUP(A332,'3 - LISTA DE ESPÉCIES'!A:H,3,FALSE()),IF(AND(A332=0,B332&lt;&gt;0,C332=0),VLOOKUP(B332,'3 - LISTA DE ESPÉCIES'!B:H,7,FALSE()),IF(AND(A332=0,B332=0,C332&lt;&gt;0),VLOOKUP(C332,'3 - LISTA DE ESPÉCIES'!C:H,6,FALSE()))))</f>
        <v>0</v>
      </c>
      <c r="H332" s="21" t="b">
        <f>IF(AND(A332&lt;&gt;0,B332=0,C332=0),VLOOKUP(A332,'3 - LISTA DE ESPÉCIES'!A:H,4,FALSE()),IF(AND(A332=0,B332&lt;&gt;0,C332=0),VLOOKUP(B332,'3 - LISTA DE ESPÉCIES'!B:H,3,FALSE()),IF(AND(A332=0,B332=0,C332&lt;&gt;0),VLOOKUP(C332,'3 - LISTA DE ESPÉCIES'!C:H,2,FALSE()))))</f>
        <v>0</v>
      </c>
      <c r="I332" s="21" t="b">
        <f>IF(AND(A332&lt;&gt;0,B332=0,C332=0),VLOOKUP(A332,'3 - LISTA DE ESPÉCIES'!A:H,5,FALSE()),IF(AND(A332=0,B332&lt;&gt;0,C332=0),VLOOKUP(B332,'3 - LISTA DE ESPÉCIES'!B:H,4,FALSE()),IF(AND(A332=0,B332=0,C332&lt;&gt;0),VLOOKUP(C332,'3 - LISTA DE ESPÉCIES'!C:H,3,FALSE()))))</f>
        <v>0</v>
      </c>
      <c r="J332" s="23"/>
      <c r="K332" s="23"/>
      <c r="L332" s="20"/>
      <c r="M332" s="20"/>
    </row>
    <row r="333" spans="1:13" x14ac:dyDescent="0.25">
      <c r="A333" s="20"/>
      <c r="B333" s="20"/>
      <c r="C333" s="20"/>
      <c r="E333" s="21" t="b">
        <f>IF(AND(A333&lt;&gt;0,B333=0,C333=0),VLOOKUP(A333,'3 - LISTA DE ESPÉCIES'!A:H,1,FALSE()),IF(AND(A333=0,B333&lt;&gt;0,C333=0),VLOOKUP(B333,'3 - LISTA DE ESPÉCIES'!B:H,5,FALSE()),IF(AND(A333=0,B333=0,C333&lt;&gt;0),VLOOKUP(C333,'3 - LISTA DE ESPÉCIES'!C:H,4,FALSE()))))</f>
        <v>0</v>
      </c>
      <c r="F333" s="21" t="b">
        <f>IF(AND(A333&lt;&gt;0,B333=0,C333=0),VLOOKUP(A333,'3 - LISTA DE ESPÉCIES'!A:H,2,FALSE()),IF(AND(A333=0,B333&lt;&gt;0,C333=0),VLOOKUP(B333,'3 - LISTA DE ESPÉCIES'!B:H,6,FALSE()),IF(AND(A333=0,B333=0,C333&lt;&gt;0),VLOOKUP(C333,'3 - LISTA DE ESPÉCIES'!C:H,5,FALSE()))))</f>
        <v>0</v>
      </c>
      <c r="G333" s="21" t="b">
        <f>IF(AND(A333&lt;&gt;0,B333=0,C333=0),VLOOKUP(A333,'3 - LISTA DE ESPÉCIES'!A:H,3,FALSE()),IF(AND(A333=0,B333&lt;&gt;0,C333=0),VLOOKUP(B333,'3 - LISTA DE ESPÉCIES'!B:H,7,FALSE()),IF(AND(A333=0,B333=0,C333&lt;&gt;0),VLOOKUP(C333,'3 - LISTA DE ESPÉCIES'!C:H,6,FALSE()))))</f>
        <v>0</v>
      </c>
      <c r="H333" s="21" t="b">
        <f>IF(AND(A333&lt;&gt;0,B333=0,C333=0),VLOOKUP(A333,'3 - LISTA DE ESPÉCIES'!A:H,4,FALSE()),IF(AND(A333=0,B333&lt;&gt;0,C333=0),VLOOKUP(B333,'3 - LISTA DE ESPÉCIES'!B:H,3,FALSE()),IF(AND(A333=0,B333=0,C333&lt;&gt;0),VLOOKUP(C333,'3 - LISTA DE ESPÉCIES'!C:H,2,FALSE()))))</f>
        <v>0</v>
      </c>
      <c r="I333" s="21" t="b">
        <f>IF(AND(A333&lt;&gt;0,B333=0,C333=0),VLOOKUP(A333,'3 - LISTA DE ESPÉCIES'!A:H,5,FALSE()),IF(AND(A333=0,B333&lt;&gt;0,C333=0),VLOOKUP(B333,'3 - LISTA DE ESPÉCIES'!B:H,4,FALSE()),IF(AND(A333=0,B333=0,C333&lt;&gt;0),VLOOKUP(C333,'3 - LISTA DE ESPÉCIES'!C:H,3,FALSE()))))</f>
        <v>0</v>
      </c>
      <c r="J333" s="23"/>
      <c r="K333" s="23"/>
      <c r="L333" s="20"/>
      <c r="M333" s="20"/>
    </row>
    <row r="334" spans="1:13" x14ac:dyDescent="0.25">
      <c r="A334" s="20"/>
      <c r="B334" s="20"/>
      <c r="C334" s="20"/>
      <c r="E334" s="21" t="b">
        <f>IF(AND(A334&lt;&gt;0,B334=0,C334=0),VLOOKUP(A334,'3 - LISTA DE ESPÉCIES'!A:H,1,FALSE()),IF(AND(A334=0,B334&lt;&gt;0,C334=0),VLOOKUP(B334,'3 - LISTA DE ESPÉCIES'!B:H,5,FALSE()),IF(AND(A334=0,B334=0,C334&lt;&gt;0),VLOOKUP(C334,'3 - LISTA DE ESPÉCIES'!C:H,4,FALSE()))))</f>
        <v>0</v>
      </c>
      <c r="F334" s="21" t="b">
        <f>IF(AND(A334&lt;&gt;0,B334=0,C334=0),VLOOKUP(A334,'3 - LISTA DE ESPÉCIES'!A:H,2,FALSE()),IF(AND(A334=0,B334&lt;&gt;0,C334=0),VLOOKUP(B334,'3 - LISTA DE ESPÉCIES'!B:H,6,FALSE()),IF(AND(A334=0,B334=0,C334&lt;&gt;0),VLOOKUP(C334,'3 - LISTA DE ESPÉCIES'!C:H,5,FALSE()))))</f>
        <v>0</v>
      </c>
      <c r="G334" s="21" t="b">
        <f>IF(AND(A334&lt;&gt;0,B334=0,C334=0),VLOOKUP(A334,'3 - LISTA DE ESPÉCIES'!A:H,3,FALSE()),IF(AND(A334=0,B334&lt;&gt;0,C334=0),VLOOKUP(B334,'3 - LISTA DE ESPÉCIES'!B:H,7,FALSE()),IF(AND(A334=0,B334=0,C334&lt;&gt;0),VLOOKUP(C334,'3 - LISTA DE ESPÉCIES'!C:H,6,FALSE()))))</f>
        <v>0</v>
      </c>
      <c r="H334" s="21" t="b">
        <f>IF(AND(A334&lt;&gt;0,B334=0,C334=0),VLOOKUP(A334,'3 - LISTA DE ESPÉCIES'!A:H,4,FALSE()),IF(AND(A334=0,B334&lt;&gt;0,C334=0),VLOOKUP(B334,'3 - LISTA DE ESPÉCIES'!B:H,3,FALSE()),IF(AND(A334=0,B334=0,C334&lt;&gt;0),VLOOKUP(C334,'3 - LISTA DE ESPÉCIES'!C:H,2,FALSE()))))</f>
        <v>0</v>
      </c>
      <c r="I334" s="21" t="b">
        <f>IF(AND(A334&lt;&gt;0,B334=0,C334=0),VLOOKUP(A334,'3 - LISTA DE ESPÉCIES'!A:H,5,FALSE()),IF(AND(A334=0,B334&lt;&gt;0,C334=0),VLOOKUP(B334,'3 - LISTA DE ESPÉCIES'!B:H,4,FALSE()),IF(AND(A334=0,B334=0,C334&lt;&gt;0),VLOOKUP(C334,'3 - LISTA DE ESPÉCIES'!C:H,3,FALSE()))))</f>
        <v>0</v>
      </c>
      <c r="J334" s="23"/>
      <c r="K334" s="23"/>
      <c r="L334" s="20"/>
      <c r="M334" s="20"/>
    </row>
    <row r="335" spans="1:13" x14ac:dyDescent="0.25">
      <c r="A335" s="20"/>
      <c r="B335" s="20"/>
      <c r="C335" s="20"/>
      <c r="E335" s="21" t="b">
        <f>IF(AND(A335&lt;&gt;0,B335=0,C335=0),VLOOKUP(A335,'3 - LISTA DE ESPÉCIES'!A:H,1,FALSE()),IF(AND(A335=0,B335&lt;&gt;0,C335=0),VLOOKUP(B335,'3 - LISTA DE ESPÉCIES'!B:H,5,FALSE()),IF(AND(A335=0,B335=0,C335&lt;&gt;0),VLOOKUP(C335,'3 - LISTA DE ESPÉCIES'!C:H,4,FALSE()))))</f>
        <v>0</v>
      </c>
      <c r="F335" s="21" t="b">
        <f>IF(AND(A335&lt;&gt;0,B335=0,C335=0),VLOOKUP(A335,'3 - LISTA DE ESPÉCIES'!A:H,2,FALSE()),IF(AND(A335=0,B335&lt;&gt;0,C335=0),VLOOKUP(B335,'3 - LISTA DE ESPÉCIES'!B:H,6,FALSE()),IF(AND(A335=0,B335=0,C335&lt;&gt;0),VLOOKUP(C335,'3 - LISTA DE ESPÉCIES'!C:H,5,FALSE()))))</f>
        <v>0</v>
      </c>
      <c r="G335" s="21" t="b">
        <f>IF(AND(A335&lt;&gt;0,B335=0,C335=0),VLOOKUP(A335,'3 - LISTA DE ESPÉCIES'!A:H,3,FALSE()),IF(AND(A335=0,B335&lt;&gt;0,C335=0),VLOOKUP(B335,'3 - LISTA DE ESPÉCIES'!B:H,7,FALSE()),IF(AND(A335=0,B335=0,C335&lt;&gt;0),VLOOKUP(C335,'3 - LISTA DE ESPÉCIES'!C:H,6,FALSE()))))</f>
        <v>0</v>
      </c>
      <c r="H335" s="21" t="b">
        <f>IF(AND(A335&lt;&gt;0,B335=0,C335=0),VLOOKUP(A335,'3 - LISTA DE ESPÉCIES'!A:H,4,FALSE()),IF(AND(A335=0,B335&lt;&gt;0,C335=0),VLOOKUP(B335,'3 - LISTA DE ESPÉCIES'!B:H,3,FALSE()),IF(AND(A335=0,B335=0,C335&lt;&gt;0),VLOOKUP(C335,'3 - LISTA DE ESPÉCIES'!C:H,2,FALSE()))))</f>
        <v>0</v>
      </c>
      <c r="I335" s="21" t="b">
        <f>IF(AND(A335&lt;&gt;0,B335=0,C335=0),VLOOKUP(A335,'3 - LISTA DE ESPÉCIES'!A:H,5,FALSE()),IF(AND(A335=0,B335&lt;&gt;0,C335=0),VLOOKUP(B335,'3 - LISTA DE ESPÉCIES'!B:H,4,FALSE()),IF(AND(A335=0,B335=0,C335&lt;&gt;0),VLOOKUP(C335,'3 - LISTA DE ESPÉCIES'!C:H,3,FALSE()))))</f>
        <v>0</v>
      </c>
      <c r="J335" s="23"/>
      <c r="K335" s="23"/>
      <c r="L335" s="20"/>
      <c r="M335" s="20"/>
    </row>
    <row r="336" spans="1:13" x14ac:dyDescent="0.25">
      <c r="A336" s="20"/>
      <c r="B336" s="20"/>
      <c r="C336" s="20"/>
      <c r="E336" s="21" t="b">
        <f>IF(AND(A336&lt;&gt;0,B336=0,C336=0),VLOOKUP(A336,'3 - LISTA DE ESPÉCIES'!A:H,1,FALSE()),IF(AND(A336=0,B336&lt;&gt;0,C336=0),VLOOKUP(B336,'3 - LISTA DE ESPÉCIES'!B:H,5,FALSE()),IF(AND(A336=0,B336=0,C336&lt;&gt;0),VLOOKUP(C336,'3 - LISTA DE ESPÉCIES'!C:H,4,FALSE()))))</f>
        <v>0</v>
      </c>
      <c r="F336" s="21" t="b">
        <f>IF(AND(A336&lt;&gt;0,B336=0,C336=0),VLOOKUP(A336,'3 - LISTA DE ESPÉCIES'!A:H,2,FALSE()),IF(AND(A336=0,B336&lt;&gt;0,C336=0),VLOOKUP(B336,'3 - LISTA DE ESPÉCIES'!B:H,6,FALSE()),IF(AND(A336=0,B336=0,C336&lt;&gt;0),VLOOKUP(C336,'3 - LISTA DE ESPÉCIES'!C:H,5,FALSE()))))</f>
        <v>0</v>
      </c>
      <c r="G336" s="21" t="b">
        <f>IF(AND(A336&lt;&gt;0,B336=0,C336=0),VLOOKUP(A336,'3 - LISTA DE ESPÉCIES'!A:H,3,FALSE()),IF(AND(A336=0,B336&lt;&gt;0,C336=0),VLOOKUP(B336,'3 - LISTA DE ESPÉCIES'!B:H,7,FALSE()),IF(AND(A336=0,B336=0,C336&lt;&gt;0),VLOOKUP(C336,'3 - LISTA DE ESPÉCIES'!C:H,6,FALSE()))))</f>
        <v>0</v>
      </c>
      <c r="H336" s="21" t="b">
        <f>IF(AND(A336&lt;&gt;0,B336=0,C336=0),VLOOKUP(A336,'3 - LISTA DE ESPÉCIES'!A:H,4,FALSE()),IF(AND(A336=0,B336&lt;&gt;0,C336=0),VLOOKUP(B336,'3 - LISTA DE ESPÉCIES'!B:H,3,FALSE()),IF(AND(A336=0,B336=0,C336&lt;&gt;0),VLOOKUP(C336,'3 - LISTA DE ESPÉCIES'!C:H,2,FALSE()))))</f>
        <v>0</v>
      </c>
      <c r="I336" s="21" t="b">
        <f>IF(AND(A336&lt;&gt;0,B336=0,C336=0),VLOOKUP(A336,'3 - LISTA DE ESPÉCIES'!A:H,5,FALSE()),IF(AND(A336=0,B336&lt;&gt;0,C336=0),VLOOKUP(B336,'3 - LISTA DE ESPÉCIES'!B:H,4,FALSE()),IF(AND(A336=0,B336=0,C336&lt;&gt;0),VLOOKUP(C336,'3 - LISTA DE ESPÉCIES'!C:H,3,FALSE()))))</f>
        <v>0</v>
      </c>
      <c r="J336" s="23"/>
      <c r="K336" s="23"/>
      <c r="L336" s="20"/>
      <c r="M336" s="20"/>
    </row>
    <row r="337" spans="1:13" x14ac:dyDescent="0.25">
      <c r="A337" s="20"/>
      <c r="B337" s="20"/>
      <c r="C337" s="20"/>
      <c r="E337" s="21" t="b">
        <f>IF(AND(A337&lt;&gt;0,B337=0,C337=0),VLOOKUP(A337,'3 - LISTA DE ESPÉCIES'!A:H,1,FALSE()),IF(AND(A337=0,B337&lt;&gt;0,C337=0),VLOOKUP(B337,'3 - LISTA DE ESPÉCIES'!B:H,5,FALSE()),IF(AND(A337=0,B337=0,C337&lt;&gt;0),VLOOKUP(C337,'3 - LISTA DE ESPÉCIES'!C:H,4,FALSE()))))</f>
        <v>0</v>
      </c>
      <c r="F337" s="21" t="b">
        <f>IF(AND(A337&lt;&gt;0,B337=0,C337=0),VLOOKUP(A337,'3 - LISTA DE ESPÉCIES'!A:H,2,FALSE()),IF(AND(A337=0,B337&lt;&gt;0,C337=0),VLOOKUP(B337,'3 - LISTA DE ESPÉCIES'!B:H,6,FALSE()),IF(AND(A337=0,B337=0,C337&lt;&gt;0),VLOOKUP(C337,'3 - LISTA DE ESPÉCIES'!C:H,5,FALSE()))))</f>
        <v>0</v>
      </c>
      <c r="G337" s="21" t="b">
        <f>IF(AND(A337&lt;&gt;0,B337=0,C337=0),VLOOKUP(A337,'3 - LISTA DE ESPÉCIES'!A:H,3,FALSE()),IF(AND(A337=0,B337&lt;&gt;0,C337=0),VLOOKUP(B337,'3 - LISTA DE ESPÉCIES'!B:H,7,FALSE()),IF(AND(A337=0,B337=0,C337&lt;&gt;0),VLOOKUP(C337,'3 - LISTA DE ESPÉCIES'!C:H,6,FALSE()))))</f>
        <v>0</v>
      </c>
      <c r="H337" s="21" t="b">
        <f>IF(AND(A337&lt;&gt;0,B337=0,C337=0),VLOOKUP(A337,'3 - LISTA DE ESPÉCIES'!A:H,4,FALSE()),IF(AND(A337=0,B337&lt;&gt;0,C337=0),VLOOKUP(B337,'3 - LISTA DE ESPÉCIES'!B:H,3,FALSE()),IF(AND(A337=0,B337=0,C337&lt;&gt;0),VLOOKUP(C337,'3 - LISTA DE ESPÉCIES'!C:H,2,FALSE()))))</f>
        <v>0</v>
      </c>
      <c r="I337" s="21" t="b">
        <f>IF(AND(A337&lt;&gt;0,B337=0,C337=0),VLOOKUP(A337,'3 - LISTA DE ESPÉCIES'!A:H,5,FALSE()),IF(AND(A337=0,B337&lt;&gt;0,C337=0),VLOOKUP(B337,'3 - LISTA DE ESPÉCIES'!B:H,4,FALSE()),IF(AND(A337=0,B337=0,C337&lt;&gt;0),VLOOKUP(C337,'3 - LISTA DE ESPÉCIES'!C:H,3,FALSE()))))</f>
        <v>0</v>
      </c>
      <c r="J337" s="23"/>
      <c r="K337" s="23"/>
      <c r="L337" s="20"/>
      <c r="M337" s="20"/>
    </row>
    <row r="338" spans="1:13" x14ac:dyDescent="0.25">
      <c r="A338" s="20"/>
      <c r="B338" s="20"/>
      <c r="C338" s="20"/>
      <c r="E338" s="21" t="b">
        <f>IF(AND(A338&lt;&gt;0,B338=0,C338=0),VLOOKUP(A338,'3 - LISTA DE ESPÉCIES'!A:H,1,FALSE()),IF(AND(A338=0,B338&lt;&gt;0,C338=0),VLOOKUP(B338,'3 - LISTA DE ESPÉCIES'!B:H,5,FALSE()),IF(AND(A338=0,B338=0,C338&lt;&gt;0),VLOOKUP(C338,'3 - LISTA DE ESPÉCIES'!C:H,4,FALSE()))))</f>
        <v>0</v>
      </c>
      <c r="F338" s="21" t="b">
        <f>IF(AND(A338&lt;&gt;0,B338=0,C338=0),VLOOKUP(A338,'3 - LISTA DE ESPÉCIES'!A:H,2,FALSE()),IF(AND(A338=0,B338&lt;&gt;0,C338=0),VLOOKUP(B338,'3 - LISTA DE ESPÉCIES'!B:H,6,FALSE()),IF(AND(A338=0,B338=0,C338&lt;&gt;0),VLOOKUP(C338,'3 - LISTA DE ESPÉCIES'!C:H,5,FALSE()))))</f>
        <v>0</v>
      </c>
      <c r="G338" s="21" t="b">
        <f>IF(AND(A338&lt;&gt;0,B338=0,C338=0),VLOOKUP(A338,'3 - LISTA DE ESPÉCIES'!A:H,3,FALSE()),IF(AND(A338=0,B338&lt;&gt;0,C338=0),VLOOKUP(B338,'3 - LISTA DE ESPÉCIES'!B:H,7,FALSE()),IF(AND(A338=0,B338=0,C338&lt;&gt;0),VLOOKUP(C338,'3 - LISTA DE ESPÉCIES'!C:H,6,FALSE()))))</f>
        <v>0</v>
      </c>
      <c r="H338" s="21" t="b">
        <f>IF(AND(A338&lt;&gt;0,B338=0,C338=0),VLOOKUP(A338,'3 - LISTA DE ESPÉCIES'!A:H,4,FALSE()),IF(AND(A338=0,B338&lt;&gt;0,C338=0),VLOOKUP(B338,'3 - LISTA DE ESPÉCIES'!B:H,3,FALSE()),IF(AND(A338=0,B338=0,C338&lt;&gt;0),VLOOKUP(C338,'3 - LISTA DE ESPÉCIES'!C:H,2,FALSE()))))</f>
        <v>0</v>
      </c>
      <c r="I338" s="21" t="b">
        <f>IF(AND(A338&lt;&gt;0,B338=0,C338=0),VLOOKUP(A338,'3 - LISTA DE ESPÉCIES'!A:H,5,FALSE()),IF(AND(A338=0,B338&lt;&gt;0,C338=0),VLOOKUP(B338,'3 - LISTA DE ESPÉCIES'!B:H,4,FALSE()),IF(AND(A338=0,B338=0,C338&lt;&gt;0),VLOOKUP(C338,'3 - LISTA DE ESPÉCIES'!C:H,3,FALSE()))))</f>
        <v>0</v>
      </c>
      <c r="J338" s="23"/>
      <c r="K338" s="23"/>
      <c r="L338" s="20"/>
      <c r="M338" s="20"/>
    </row>
    <row r="339" spans="1:13" x14ac:dyDescent="0.25">
      <c r="A339" s="20"/>
      <c r="B339" s="20"/>
      <c r="C339" s="20"/>
      <c r="E339" s="21" t="b">
        <f>IF(AND(A339&lt;&gt;0,B339=0,C339=0),VLOOKUP(A339,'3 - LISTA DE ESPÉCIES'!A:H,1,FALSE()),IF(AND(A339=0,B339&lt;&gt;0,C339=0),VLOOKUP(B339,'3 - LISTA DE ESPÉCIES'!B:H,5,FALSE()),IF(AND(A339=0,B339=0,C339&lt;&gt;0),VLOOKUP(C339,'3 - LISTA DE ESPÉCIES'!C:H,4,FALSE()))))</f>
        <v>0</v>
      </c>
      <c r="F339" s="21" t="b">
        <f>IF(AND(A339&lt;&gt;0,B339=0,C339=0),VLOOKUP(A339,'3 - LISTA DE ESPÉCIES'!A:H,2,FALSE()),IF(AND(A339=0,B339&lt;&gt;0,C339=0),VLOOKUP(B339,'3 - LISTA DE ESPÉCIES'!B:H,6,FALSE()),IF(AND(A339=0,B339=0,C339&lt;&gt;0),VLOOKUP(C339,'3 - LISTA DE ESPÉCIES'!C:H,5,FALSE()))))</f>
        <v>0</v>
      </c>
      <c r="G339" s="21" t="b">
        <f>IF(AND(A339&lt;&gt;0,B339=0,C339=0),VLOOKUP(A339,'3 - LISTA DE ESPÉCIES'!A:H,3,FALSE()),IF(AND(A339=0,B339&lt;&gt;0,C339=0),VLOOKUP(B339,'3 - LISTA DE ESPÉCIES'!B:H,7,FALSE()),IF(AND(A339=0,B339=0,C339&lt;&gt;0),VLOOKUP(C339,'3 - LISTA DE ESPÉCIES'!C:H,6,FALSE()))))</f>
        <v>0</v>
      </c>
      <c r="H339" s="21" t="b">
        <f>IF(AND(A339&lt;&gt;0,B339=0,C339=0),VLOOKUP(A339,'3 - LISTA DE ESPÉCIES'!A:H,4,FALSE()),IF(AND(A339=0,B339&lt;&gt;0,C339=0),VLOOKUP(B339,'3 - LISTA DE ESPÉCIES'!B:H,3,FALSE()),IF(AND(A339=0,B339=0,C339&lt;&gt;0),VLOOKUP(C339,'3 - LISTA DE ESPÉCIES'!C:H,2,FALSE()))))</f>
        <v>0</v>
      </c>
      <c r="I339" s="21" t="b">
        <f>IF(AND(A339&lt;&gt;0,B339=0,C339=0),VLOOKUP(A339,'3 - LISTA DE ESPÉCIES'!A:H,5,FALSE()),IF(AND(A339=0,B339&lt;&gt;0,C339=0),VLOOKUP(B339,'3 - LISTA DE ESPÉCIES'!B:H,4,FALSE()),IF(AND(A339=0,B339=0,C339&lt;&gt;0),VLOOKUP(C339,'3 - LISTA DE ESPÉCIES'!C:H,3,FALSE()))))</f>
        <v>0</v>
      </c>
      <c r="J339" s="23"/>
      <c r="K339" s="23"/>
      <c r="L339" s="20"/>
      <c r="M339" s="20"/>
    </row>
    <row r="340" spans="1:13" x14ac:dyDescent="0.25">
      <c r="A340" s="20"/>
      <c r="B340" s="20"/>
      <c r="C340" s="20"/>
      <c r="E340" s="21" t="b">
        <f>IF(AND(A340&lt;&gt;0,B340=0,C340=0),VLOOKUP(A340,'3 - LISTA DE ESPÉCIES'!A:H,1,FALSE()),IF(AND(A340=0,B340&lt;&gt;0,C340=0),VLOOKUP(B340,'3 - LISTA DE ESPÉCIES'!B:H,5,FALSE()),IF(AND(A340=0,B340=0,C340&lt;&gt;0),VLOOKUP(C340,'3 - LISTA DE ESPÉCIES'!C:H,4,FALSE()))))</f>
        <v>0</v>
      </c>
      <c r="F340" s="21" t="b">
        <f>IF(AND(A340&lt;&gt;0,B340=0,C340=0),VLOOKUP(A340,'3 - LISTA DE ESPÉCIES'!A:H,2,FALSE()),IF(AND(A340=0,B340&lt;&gt;0,C340=0),VLOOKUP(B340,'3 - LISTA DE ESPÉCIES'!B:H,6,FALSE()),IF(AND(A340=0,B340=0,C340&lt;&gt;0),VLOOKUP(C340,'3 - LISTA DE ESPÉCIES'!C:H,5,FALSE()))))</f>
        <v>0</v>
      </c>
      <c r="G340" s="21" t="b">
        <f>IF(AND(A340&lt;&gt;0,B340=0,C340=0),VLOOKUP(A340,'3 - LISTA DE ESPÉCIES'!A:H,3,FALSE()),IF(AND(A340=0,B340&lt;&gt;0,C340=0),VLOOKUP(B340,'3 - LISTA DE ESPÉCIES'!B:H,7,FALSE()),IF(AND(A340=0,B340=0,C340&lt;&gt;0),VLOOKUP(C340,'3 - LISTA DE ESPÉCIES'!C:H,6,FALSE()))))</f>
        <v>0</v>
      </c>
      <c r="H340" s="21" t="b">
        <f>IF(AND(A340&lt;&gt;0,B340=0,C340=0),VLOOKUP(A340,'3 - LISTA DE ESPÉCIES'!A:H,4,FALSE()),IF(AND(A340=0,B340&lt;&gt;0,C340=0),VLOOKUP(B340,'3 - LISTA DE ESPÉCIES'!B:H,3,FALSE()),IF(AND(A340=0,B340=0,C340&lt;&gt;0),VLOOKUP(C340,'3 - LISTA DE ESPÉCIES'!C:H,2,FALSE()))))</f>
        <v>0</v>
      </c>
      <c r="I340" s="21" t="b">
        <f>IF(AND(A340&lt;&gt;0,B340=0,C340=0),VLOOKUP(A340,'3 - LISTA DE ESPÉCIES'!A:H,5,FALSE()),IF(AND(A340=0,B340&lt;&gt;0,C340=0),VLOOKUP(B340,'3 - LISTA DE ESPÉCIES'!B:H,4,FALSE()),IF(AND(A340=0,B340=0,C340&lt;&gt;0),VLOOKUP(C340,'3 - LISTA DE ESPÉCIES'!C:H,3,FALSE()))))</f>
        <v>0</v>
      </c>
      <c r="J340" s="23"/>
      <c r="K340" s="23"/>
      <c r="L340" s="20"/>
      <c r="M340" s="20"/>
    </row>
    <row r="341" spans="1:13" x14ac:dyDescent="0.25">
      <c r="A341" s="20"/>
      <c r="B341" s="20"/>
      <c r="C341" s="20"/>
      <c r="E341" s="21" t="b">
        <f>IF(AND(A341&lt;&gt;0,B341=0,C341=0),VLOOKUP(A341,'3 - LISTA DE ESPÉCIES'!A:H,1,FALSE()),IF(AND(A341=0,B341&lt;&gt;0,C341=0),VLOOKUP(B341,'3 - LISTA DE ESPÉCIES'!B:H,5,FALSE()),IF(AND(A341=0,B341=0,C341&lt;&gt;0),VLOOKUP(C341,'3 - LISTA DE ESPÉCIES'!C:H,4,FALSE()))))</f>
        <v>0</v>
      </c>
      <c r="F341" s="21" t="b">
        <f>IF(AND(A341&lt;&gt;0,B341=0,C341=0),VLOOKUP(A341,'3 - LISTA DE ESPÉCIES'!A:H,2,FALSE()),IF(AND(A341=0,B341&lt;&gt;0,C341=0),VLOOKUP(B341,'3 - LISTA DE ESPÉCIES'!B:H,6,FALSE()),IF(AND(A341=0,B341=0,C341&lt;&gt;0),VLOOKUP(C341,'3 - LISTA DE ESPÉCIES'!C:H,5,FALSE()))))</f>
        <v>0</v>
      </c>
      <c r="G341" s="21" t="b">
        <f>IF(AND(A341&lt;&gt;0,B341=0,C341=0),VLOOKUP(A341,'3 - LISTA DE ESPÉCIES'!A:H,3,FALSE()),IF(AND(A341=0,B341&lt;&gt;0,C341=0),VLOOKUP(B341,'3 - LISTA DE ESPÉCIES'!B:H,7,FALSE()),IF(AND(A341=0,B341=0,C341&lt;&gt;0),VLOOKUP(C341,'3 - LISTA DE ESPÉCIES'!C:H,6,FALSE()))))</f>
        <v>0</v>
      </c>
      <c r="H341" s="21" t="b">
        <f>IF(AND(A341&lt;&gt;0,B341=0,C341=0),VLOOKUP(A341,'3 - LISTA DE ESPÉCIES'!A:H,4,FALSE()),IF(AND(A341=0,B341&lt;&gt;0,C341=0),VLOOKUP(B341,'3 - LISTA DE ESPÉCIES'!B:H,3,FALSE()),IF(AND(A341=0,B341=0,C341&lt;&gt;0),VLOOKUP(C341,'3 - LISTA DE ESPÉCIES'!C:H,2,FALSE()))))</f>
        <v>0</v>
      </c>
      <c r="I341" s="21" t="b">
        <f>IF(AND(A341&lt;&gt;0,B341=0,C341=0),VLOOKUP(A341,'3 - LISTA DE ESPÉCIES'!A:H,5,FALSE()),IF(AND(A341=0,B341&lt;&gt;0,C341=0),VLOOKUP(B341,'3 - LISTA DE ESPÉCIES'!B:H,4,FALSE()),IF(AND(A341=0,B341=0,C341&lt;&gt;0),VLOOKUP(C341,'3 - LISTA DE ESPÉCIES'!C:H,3,FALSE()))))</f>
        <v>0</v>
      </c>
      <c r="J341" s="23"/>
      <c r="K341" s="23"/>
      <c r="L341" s="20"/>
      <c r="M341" s="20"/>
    </row>
    <row r="342" spans="1:13" x14ac:dyDescent="0.25">
      <c r="A342" s="20"/>
      <c r="B342" s="20"/>
      <c r="C342" s="20"/>
      <c r="E342" s="21" t="b">
        <f>IF(AND(A342&lt;&gt;0,B342=0,C342=0),VLOOKUP(A342,'3 - LISTA DE ESPÉCIES'!A:H,1,FALSE()),IF(AND(A342=0,B342&lt;&gt;0,C342=0),VLOOKUP(B342,'3 - LISTA DE ESPÉCIES'!B:H,5,FALSE()),IF(AND(A342=0,B342=0,C342&lt;&gt;0),VLOOKUP(C342,'3 - LISTA DE ESPÉCIES'!C:H,4,FALSE()))))</f>
        <v>0</v>
      </c>
      <c r="F342" s="21" t="b">
        <f>IF(AND(A342&lt;&gt;0,B342=0,C342=0),VLOOKUP(A342,'3 - LISTA DE ESPÉCIES'!A:H,2,FALSE()),IF(AND(A342=0,B342&lt;&gt;0,C342=0),VLOOKUP(B342,'3 - LISTA DE ESPÉCIES'!B:H,6,FALSE()),IF(AND(A342=0,B342=0,C342&lt;&gt;0),VLOOKUP(C342,'3 - LISTA DE ESPÉCIES'!C:H,5,FALSE()))))</f>
        <v>0</v>
      </c>
      <c r="G342" s="21" t="b">
        <f>IF(AND(A342&lt;&gt;0,B342=0,C342=0),VLOOKUP(A342,'3 - LISTA DE ESPÉCIES'!A:H,3,FALSE()),IF(AND(A342=0,B342&lt;&gt;0,C342=0),VLOOKUP(B342,'3 - LISTA DE ESPÉCIES'!B:H,7,FALSE()),IF(AND(A342=0,B342=0,C342&lt;&gt;0),VLOOKUP(C342,'3 - LISTA DE ESPÉCIES'!C:H,6,FALSE()))))</f>
        <v>0</v>
      </c>
      <c r="H342" s="21" t="b">
        <f>IF(AND(A342&lt;&gt;0,B342=0,C342=0),VLOOKUP(A342,'3 - LISTA DE ESPÉCIES'!A:H,4,FALSE()),IF(AND(A342=0,B342&lt;&gt;0,C342=0),VLOOKUP(B342,'3 - LISTA DE ESPÉCIES'!B:H,3,FALSE()),IF(AND(A342=0,B342=0,C342&lt;&gt;0),VLOOKUP(C342,'3 - LISTA DE ESPÉCIES'!C:H,2,FALSE()))))</f>
        <v>0</v>
      </c>
      <c r="I342" s="21" t="b">
        <f>IF(AND(A342&lt;&gt;0,B342=0,C342=0),VLOOKUP(A342,'3 - LISTA DE ESPÉCIES'!A:H,5,FALSE()),IF(AND(A342=0,B342&lt;&gt;0,C342=0),VLOOKUP(B342,'3 - LISTA DE ESPÉCIES'!B:H,4,FALSE()),IF(AND(A342=0,B342=0,C342&lt;&gt;0),VLOOKUP(C342,'3 - LISTA DE ESPÉCIES'!C:H,3,FALSE()))))</f>
        <v>0</v>
      </c>
      <c r="J342" s="23"/>
      <c r="K342" s="23"/>
      <c r="L342" s="20"/>
      <c r="M342" s="20"/>
    </row>
    <row r="343" spans="1:13" x14ac:dyDescent="0.25">
      <c r="A343" s="20"/>
      <c r="B343" s="20"/>
      <c r="C343" s="20"/>
      <c r="E343" s="21" t="b">
        <f>IF(AND(A343&lt;&gt;0,B343=0,C343=0),VLOOKUP(A343,'3 - LISTA DE ESPÉCIES'!A:H,1,FALSE()),IF(AND(A343=0,B343&lt;&gt;0,C343=0),VLOOKUP(B343,'3 - LISTA DE ESPÉCIES'!B:H,5,FALSE()),IF(AND(A343=0,B343=0,C343&lt;&gt;0),VLOOKUP(C343,'3 - LISTA DE ESPÉCIES'!C:H,4,FALSE()))))</f>
        <v>0</v>
      </c>
      <c r="F343" s="21" t="b">
        <f>IF(AND(A343&lt;&gt;0,B343=0,C343=0),VLOOKUP(A343,'3 - LISTA DE ESPÉCIES'!A:H,2,FALSE()),IF(AND(A343=0,B343&lt;&gt;0,C343=0),VLOOKUP(B343,'3 - LISTA DE ESPÉCIES'!B:H,6,FALSE()),IF(AND(A343=0,B343=0,C343&lt;&gt;0),VLOOKUP(C343,'3 - LISTA DE ESPÉCIES'!C:H,5,FALSE()))))</f>
        <v>0</v>
      </c>
      <c r="G343" s="21" t="b">
        <f>IF(AND(A343&lt;&gt;0,B343=0,C343=0),VLOOKUP(A343,'3 - LISTA DE ESPÉCIES'!A:H,3,FALSE()),IF(AND(A343=0,B343&lt;&gt;0,C343=0),VLOOKUP(B343,'3 - LISTA DE ESPÉCIES'!B:H,7,FALSE()),IF(AND(A343=0,B343=0,C343&lt;&gt;0),VLOOKUP(C343,'3 - LISTA DE ESPÉCIES'!C:H,6,FALSE()))))</f>
        <v>0</v>
      </c>
      <c r="H343" s="21" t="b">
        <f>IF(AND(A343&lt;&gt;0,B343=0,C343=0),VLOOKUP(A343,'3 - LISTA DE ESPÉCIES'!A:H,4,FALSE()),IF(AND(A343=0,B343&lt;&gt;0,C343=0),VLOOKUP(B343,'3 - LISTA DE ESPÉCIES'!B:H,3,FALSE()),IF(AND(A343=0,B343=0,C343&lt;&gt;0),VLOOKUP(C343,'3 - LISTA DE ESPÉCIES'!C:H,2,FALSE()))))</f>
        <v>0</v>
      </c>
      <c r="I343" s="21" t="b">
        <f>IF(AND(A343&lt;&gt;0,B343=0,C343=0),VLOOKUP(A343,'3 - LISTA DE ESPÉCIES'!A:H,5,FALSE()),IF(AND(A343=0,B343&lt;&gt;0,C343=0),VLOOKUP(B343,'3 - LISTA DE ESPÉCIES'!B:H,4,FALSE()),IF(AND(A343=0,B343=0,C343&lt;&gt;0),VLOOKUP(C343,'3 - LISTA DE ESPÉCIES'!C:H,3,FALSE()))))</f>
        <v>0</v>
      </c>
      <c r="J343" s="23"/>
      <c r="K343" s="23"/>
      <c r="L343" s="20"/>
      <c r="M343" s="20"/>
    </row>
    <row r="344" spans="1:13" x14ac:dyDescent="0.25">
      <c r="A344" s="20"/>
      <c r="B344" s="20"/>
      <c r="C344" s="20"/>
      <c r="E344" s="21" t="b">
        <f>IF(AND(A344&lt;&gt;0,B344=0,C344=0),VLOOKUP(A344,'3 - LISTA DE ESPÉCIES'!A:H,1,FALSE()),IF(AND(A344=0,B344&lt;&gt;0,C344=0),VLOOKUP(B344,'3 - LISTA DE ESPÉCIES'!B:H,5,FALSE()),IF(AND(A344=0,B344=0,C344&lt;&gt;0),VLOOKUP(C344,'3 - LISTA DE ESPÉCIES'!C:H,4,FALSE()))))</f>
        <v>0</v>
      </c>
      <c r="F344" s="21" t="b">
        <f>IF(AND(A344&lt;&gt;0,B344=0,C344=0),VLOOKUP(A344,'3 - LISTA DE ESPÉCIES'!A:H,2,FALSE()),IF(AND(A344=0,B344&lt;&gt;0,C344=0),VLOOKUP(B344,'3 - LISTA DE ESPÉCIES'!B:H,6,FALSE()),IF(AND(A344=0,B344=0,C344&lt;&gt;0),VLOOKUP(C344,'3 - LISTA DE ESPÉCIES'!C:H,5,FALSE()))))</f>
        <v>0</v>
      </c>
      <c r="G344" s="21" t="b">
        <f>IF(AND(A344&lt;&gt;0,B344=0,C344=0),VLOOKUP(A344,'3 - LISTA DE ESPÉCIES'!A:H,3,FALSE()),IF(AND(A344=0,B344&lt;&gt;0,C344=0),VLOOKUP(B344,'3 - LISTA DE ESPÉCIES'!B:H,7,FALSE()),IF(AND(A344=0,B344=0,C344&lt;&gt;0),VLOOKUP(C344,'3 - LISTA DE ESPÉCIES'!C:H,6,FALSE()))))</f>
        <v>0</v>
      </c>
      <c r="H344" s="21" t="b">
        <f>IF(AND(A344&lt;&gt;0,B344=0,C344=0),VLOOKUP(A344,'3 - LISTA DE ESPÉCIES'!A:H,4,FALSE()),IF(AND(A344=0,B344&lt;&gt;0,C344=0),VLOOKUP(B344,'3 - LISTA DE ESPÉCIES'!B:H,3,FALSE()),IF(AND(A344=0,B344=0,C344&lt;&gt;0),VLOOKUP(C344,'3 - LISTA DE ESPÉCIES'!C:H,2,FALSE()))))</f>
        <v>0</v>
      </c>
      <c r="I344" s="21" t="b">
        <f>IF(AND(A344&lt;&gt;0,B344=0,C344=0),VLOOKUP(A344,'3 - LISTA DE ESPÉCIES'!A:H,5,FALSE()),IF(AND(A344=0,B344&lt;&gt;0,C344=0),VLOOKUP(B344,'3 - LISTA DE ESPÉCIES'!B:H,4,FALSE()),IF(AND(A344=0,B344=0,C344&lt;&gt;0),VLOOKUP(C344,'3 - LISTA DE ESPÉCIES'!C:H,3,FALSE()))))</f>
        <v>0</v>
      </c>
      <c r="J344" s="23"/>
      <c r="K344" s="23"/>
      <c r="L344" s="20"/>
      <c r="M344" s="20"/>
    </row>
    <row r="345" spans="1:13" x14ac:dyDescent="0.25">
      <c r="A345" s="20"/>
      <c r="B345" s="20"/>
      <c r="C345" s="20"/>
      <c r="E345" s="21" t="b">
        <f>IF(AND(A345&lt;&gt;0,B345=0,C345=0),VLOOKUP(A345,'3 - LISTA DE ESPÉCIES'!A:H,1,FALSE()),IF(AND(A345=0,B345&lt;&gt;0,C345=0),VLOOKUP(B345,'3 - LISTA DE ESPÉCIES'!B:H,5,FALSE()),IF(AND(A345=0,B345=0,C345&lt;&gt;0),VLOOKUP(C345,'3 - LISTA DE ESPÉCIES'!C:H,4,FALSE()))))</f>
        <v>0</v>
      </c>
      <c r="F345" s="21" t="b">
        <f>IF(AND(A345&lt;&gt;0,B345=0,C345=0),VLOOKUP(A345,'3 - LISTA DE ESPÉCIES'!A:H,2,FALSE()),IF(AND(A345=0,B345&lt;&gt;0,C345=0),VLOOKUP(B345,'3 - LISTA DE ESPÉCIES'!B:H,6,FALSE()),IF(AND(A345=0,B345=0,C345&lt;&gt;0),VLOOKUP(C345,'3 - LISTA DE ESPÉCIES'!C:H,5,FALSE()))))</f>
        <v>0</v>
      </c>
      <c r="G345" s="21" t="b">
        <f>IF(AND(A345&lt;&gt;0,B345=0,C345=0),VLOOKUP(A345,'3 - LISTA DE ESPÉCIES'!A:H,3,FALSE()),IF(AND(A345=0,B345&lt;&gt;0,C345=0),VLOOKUP(B345,'3 - LISTA DE ESPÉCIES'!B:H,7,FALSE()),IF(AND(A345=0,B345=0,C345&lt;&gt;0),VLOOKUP(C345,'3 - LISTA DE ESPÉCIES'!C:H,6,FALSE()))))</f>
        <v>0</v>
      </c>
      <c r="H345" s="21" t="b">
        <f>IF(AND(A345&lt;&gt;0,B345=0,C345=0),VLOOKUP(A345,'3 - LISTA DE ESPÉCIES'!A:H,4,FALSE()),IF(AND(A345=0,B345&lt;&gt;0,C345=0),VLOOKUP(B345,'3 - LISTA DE ESPÉCIES'!B:H,3,FALSE()),IF(AND(A345=0,B345=0,C345&lt;&gt;0),VLOOKUP(C345,'3 - LISTA DE ESPÉCIES'!C:H,2,FALSE()))))</f>
        <v>0</v>
      </c>
      <c r="I345" s="21" t="b">
        <f>IF(AND(A345&lt;&gt;0,B345=0,C345=0),VLOOKUP(A345,'3 - LISTA DE ESPÉCIES'!A:H,5,FALSE()),IF(AND(A345=0,B345&lt;&gt;0,C345=0),VLOOKUP(B345,'3 - LISTA DE ESPÉCIES'!B:H,4,FALSE()),IF(AND(A345=0,B345=0,C345&lt;&gt;0),VLOOKUP(C345,'3 - LISTA DE ESPÉCIES'!C:H,3,FALSE()))))</f>
        <v>0</v>
      </c>
      <c r="J345" s="23"/>
      <c r="K345" s="23"/>
      <c r="L345" s="20"/>
      <c r="M345" s="20"/>
    </row>
    <row r="346" spans="1:13" x14ac:dyDescent="0.25">
      <c r="A346" s="20"/>
      <c r="B346" s="20"/>
      <c r="C346" s="20"/>
      <c r="E346" s="21" t="b">
        <f>IF(AND(A346&lt;&gt;0,B346=0,C346=0),VLOOKUP(A346,'3 - LISTA DE ESPÉCIES'!A:H,1,FALSE()),IF(AND(A346=0,B346&lt;&gt;0,C346=0),VLOOKUP(B346,'3 - LISTA DE ESPÉCIES'!B:H,5,FALSE()),IF(AND(A346=0,B346=0,C346&lt;&gt;0),VLOOKUP(C346,'3 - LISTA DE ESPÉCIES'!C:H,4,FALSE()))))</f>
        <v>0</v>
      </c>
      <c r="F346" s="21" t="b">
        <f>IF(AND(A346&lt;&gt;0,B346=0,C346=0),VLOOKUP(A346,'3 - LISTA DE ESPÉCIES'!A:H,2,FALSE()),IF(AND(A346=0,B346&lt;&gt;0,C346=0),VLOOKUP(B346,'3 - LISTA DE ESPÉCIES'!B:H,6,FALSE()),IF(AND(A346=0,B346=0,C346&lt;&gt;0),VLOOKUP(C346,'3 - LISTA DE ESPÉCIES'!C:H,5,FALSE()))))</f>
        <v>0</v>
      </c>
      <c r="G346" s="21" t="b">
        <f>IF(AND(A346&lt;&gt;0,B346=0,C346=0),VLOOKUP(A346,'3 - LISTA DE ESPÉCIES'!A:H,3,FALSE()),IF(AND(A346=0,B346&lt;&gt;0,C346=0),VLOOKUP(B346,'3 - LISTA DE ESPÉCIES'!B:H,7,FALSE()),IF(AND(A346=0,B346=0,C346&lt;&gt;0),VLOOKUP(C346,'3 - LISTA DE ESPÉCIES'!C:H,6,FALSE()))))</f>
        <v>0</v>
      </c>
      <c r="H346" s="21" t="b">
        <f>IF(AND(A346&lt;&gt;0,B346=0,C346=0),VLOOKUP(A346,'3 - LISTA DE ESPÉCIES'!A:H,4,FALSE()),IF(AND(A346=0,B346&lt;&gt;0,C346=0),VLOOKUP(B346,'3 - LISTA DE ESPÉCIES'!B:H,3,FALSE()),IF(AND(A346=0,B346=0,C346&lt;&gt;0),VLOOKUP(C346,'3 - LISTA DE ESPÉCIES'!C:H,2,FALSE()))))</f>
        <v>0</v>
      </c>
      <c r="I346" s="21" t="b">
        <f>IF(AND(A346&lt;&gt;0,B346=0,C346=0),VLOOKUP(A346,'3 - LISTA DE ESPÉCIES'!A:H,5,FALSE()),IF(AND(A346=0,B346&lt;&gt;0,C346=0),VLOOKUP(B346,'3 - LISTA DE ESPÉCIES'!B:H,4,FALSE()),IF(AND(A346=0,B346=0,C346&lt;&gt;0),VLOOKUP(C346,'3 - LISTA DE ESPÉCIES'!C:H,3,FALSE()))))</f>
        <v>0</v>
      </c>
      <c r="J346" s="23"/>
      <c r="K346" s="23"/>
      <c r="L346" s="20"/>
      <c r="M346" s="20"/>
    </row>
    <row r="347" spans="1:13" x14ac:dyDescent="0.25">
      <c r="A347" s="20"/>
      <c r="B347" s="20"/>
      <c r="C347" s="20"/>
      <c r="E347" s="21" t="b">
        <f>IF(AND(A347&lt;&gt;0,B347=0,C347=0),VLOOKUP(A347,'3 - LISTA DE ESPÉCIES'!A:H,1,FALSE()),IF(AND(A347=0,B347&lt;&gt;0,C347=0),VLOOKUP(B347,'3 - LISTA DE ESPÉCIES'!B:H,5,FALSE()),IF(AND(A347=0,B347=0,C347&lt;&gt;0),VLOOKUP(C347,'3 - LISTA DE ESPÉCIES'!C:H,4,FALSE()))))</f>
        <v>0</v>
      </c>
      <c r="F347" s="21" t="b">
        <f>IF(AND(A347&lt;&gt;0,B347=0,C347=0),VLOOKUP(A347,'3 - LISTA DE ESPÉCIES'!A:H,2,FALSE()),IF(AND(A347=0,B347&lt;&gt;0,C347=0),VLOOKUP(B347,'3 - LISTA DE ESPÉCIES'!B:H,6,FALSE()),IF(AND(A347=0,B347=0,C347&lt;&gt;0),VLOOKUP(C347,'3 - LISTA DE ESPÉCIES'!C:H,5,FALSE()))))</f>
        <v>0</v>
      </c>
      <c r="G347" s="21" t="b">
        <f>IF(AND(A347&lt;&gt;0,B347=0,C347=0),VLOOKUP(A347,'3 - LISTA DE ESPÉCIES'!A:H,3,FALSE()),IF(AND(A347=0,B347&lt;&gt;0,C347=0),VLOOKUP(B347,'3 - LISTA DE ESPÉCIES'!B:H,7,FALSE()),IF(AND(A347=0,B347=0,C347&lt;&gt;0),VLOOKUP(C347,'3 - LISTA DE ESPÉCIES'!C:H,6,FALSE()))))</f>
        <v>0</v>
      </c>
      <c r="H347" s="21" t="b">
        <f>IF(AND(A347&lt;&gt;0,B347=0,C347=0),VLOOKUP(A347,'3 - LISTA DE ESPÉCIES'!A:H,4,FALSE()),IF(AND(A347=0,B347&lt;&gt;0,C347=0),VLOOKUP(B347,'3 - LISTA DE ESPÉCIES'!B:H,3,FALSE()),IF(AND(A347=0,B347=0,C347&lt;&gt;0),VLOOKUP(C347,'3 - LISTA DE ESPÉCIES'!C:H,2,FALSE()))))</f>
        <v>0</v>
      </c>
      <c r="I347" s="21" t="b">
        <f>IF(AND(A347&lt;&gt;0,B347=0,C347=0),VLOOKUP(A347,'3 - LISTA DE ESPÉCIES'!A:H,5,FALSE()),IF(AND(A347=0,B347&lt;&gt;0,C347=0),VLOOKUP(B347,'3 - LISTA DE ESPÉCIES'!B:H,4,FALSE()),IF(AND(A347=0,B347=0,C347&lt;&gt;0),VLOOKUP(C347,'3 - LISTA DE ESPÉCIES'!C:H,3,FALSE()))))</f>
        <v>0</v>
      </c>
      <c r="J347" s="23"/>
      <c r="K347" s="23"/>
      <c r="L347" s="20"/>
      <c r="M347" s="20"/>
    </row>
    <row r="348" spans="1:13" x14ac:dyDescent="0.25">
      <c r="A348" s="20"/>
      <c r="B348" s="20"/>
      <c r="C348" s="20"/>
      <c r="E348" s="21" t="b">
        <f>IF(AND(A348&lt;&gt;0,B348=0,C348=0),VLOOKUP(A348,'3 - LISTA DE ESPÉCIES'!A:H,1,FALSE()),IF(AND(A348=0,B348&lt;&gt;0,C348=0),VLOOKUP(B348,'3 - LISTA DE ESPÉCIES'!B:H,5,FALSE()),IF(AND(A348=0,B348=0,C348&lt;&gt;0),VLOOKUP(C348,'3 - LISTA DE ESPÉCIES'!C:H,4,FALSE()))))</f>
        <v>0</v>
      </c>
      <c r="F348" s="21" t="b">
        <f>IF(AND(A348&lt;&gt;0,B348=0,C348=0),VLOOKUP(A348,'3 - LISTA DE ESPÉCIES'!A:H,2,FALSE()),IF(AND(A348=0,B348&lt;&gt;0,C348=0),VLOOKUP(B348,'3 - LISTA DE ESPÉCIES'!B:H,6,FALSE()),IF(AND(A348=0,B348=0,C348&lt;&gt;0),VLOOKUP(C348,'3 - LISTA DE ESPÉCIES'!C:H,5,FALSE()))))</f>
        <v>0</v>
      </c>
      <c r="G348" s="21" t="b">
        <f>IF(AND(A348&lt;&gt;0,B348=0,C348=0),VLOOKUP(A348,'3 - LISTA DE ESPÉCIES'!A:H,3,FALSE()),IF(AND(A348=0,B348&lt;&gt;0,C348=0),VLOOKUP(B348,'3 - LISTA DE ESPÉCIES'!B:H,7,FALSE()),IF(AND(A348=0,B348=0,C348&lt;&gt;0),VLOOKUP(C348,'3 - LISTA DE ESPÉCIES'!C:H,6,FALSE()))))</f>
        <v>0</v>
      </c>
      <c r="H348" s="21" t="b">
        <f>IF(AND(A348&lt;&gt;0,B348=0,C348=0),VLOOKUP(A348,'3 - LISTA DE ESPÉCIES'!A:H,4,FALSE()),IF(AND(A348=0,B348&lt;&gt;0,C348=0),VLOOKUP(B348,'3 - LISTA DE ESPÉCIES'!B:H,3,FALSE()),IF(AND(A348=0,B348=0,C348&lt;&gt;0),VLOOKUP(C348,'3 - LISTA DE ESPÉCIES'!C:H,2,FALSE()))))</f>
        <v>0</v>
      </c>
      <c r="I348" s="21" t="b">
        <f>IF(AND(A348&lt;&gt;0,B348=0,C348=0),VLOOKUP(A348,'3 - LISTA DE ESPÉCIES'!A:H,5,FALSE()),IF(AND(A348=0,B348&lt;&gt;0,C348=0),VLOOKUP(B348,'3 - LISTA DE ESPÉCIES'!B:H,4,FALSE()),IF(AND(A348=0,B348=0,C348&lt;&gt;0),VLOOKUP(C348,'3 - LISTA DE ESPÉCIES'!C:H,3,FALSE()))))</f>
        <v>0</v>
      </c>
      <c r="J348" s="23"/>
      <c r="K348" s="23"/>
      <c r="L348" s="20"/>
      <c r="M348" s="20"/>
    </row>
    <row r="349" spans="1:13" x14ac:dyDescent="0.25">
      <c r="A349" s="20"/>
      <c r="B349" s="20"/>
      <c r="C349" s="20"/>
      <c r="E349" s="21" t="b">
        <f>IF(AND(A349&lt;&gt;0,B349=0,C349=0),VLOOKUP(A349,'3 - LISTA DE ESPÉCIES'!A:H,1,FALSE()),IF(AND(A349=0,B349&lt;&gt;0,C349=0),VLOOKUP(B349,'3 - LISTA DE ESPÉCIES'!B:H,5,FALSE()),IF(AND(A349=0,B349=0,C349&lt;&gt;0),VLOOKUP(C349,'3 - LISTA DE ESPÉCIES'!C:H,4,FALSE()))))</f>
        <v>0</v>
      </c>
      <c r="F349" s="21" t="b">
        <f>IF(AND(A349&lt;&gt;0,B349=0,C349=0),VLOOKUP(A349,'3 - LISTA DE ESPÉCIES'!A:H,2,FALSE()),IF(AND(A349=0,B349&lt;&gt;0,C349=0),VLOOKUP(B349,'3 - LISTA DE ESPÉCIES'!B:H,6,FALSE()),IF(AND(A349=0,B349=0,C349&lt;&gt;0),VLOOKUP(C349,'3 - LISTA DE ESPÉCIES'!C:H,5,FALSE()))))</f>
        <v>0</v>
      </c>
      <c r="G349" s="21" t="b">
        <f>IF(AND(A349&lt;&gt;0,B349=0,C349=0),VLOOKUP(A349,'3 - LISTA DE ESPÉCIES'!A:H,3,FALSE()),IF(AND(A349=0,B349&lt;&gt;0,C349=0),VLOOKUP(B349,'3 - LISTA DE ESPÉCIES'!B:H,7,FALSE()),IF(AND(A349=0,B349=0,C349&lt;&gt;0),VLOOKUP(C349,'3 - LISTA DE ESPÉCIES'!C:H,6,FALSE()))))</f>
        <v>0</v>
      </c>
      <c r="H349" s="21" t="b">
        <f>IF(AND(A349&lt;&gt;0,B349=0,C349=0),VLOOKUP(A349,'3 - LISTA DE ESPÉCIES'!A:H,4,FALSE()),IF(AND(A349=0,B349&lt;&gt;0,C349=0),VLOOKUP(B349,'3 - LISTA DE ESPÉCIES'!B:H,3,FALSE()),IF(AND(A349=0,B349=0,C349&lt;&gt;0),VLOOKUP(C349,'3 - LISTA DE ESPÉCIES'!C:H,2,FALSE()))))</f>
        <v>0</v>
      </c>
      <c r="I349" s="21" t="b">
        <f>IF(AND(A349&lt;&gt;0,B349=0,C349=0),VLOOKUP(A349,'3 - LISTA DE ESPÉCIES'!A:H,5,FALSE()),IF(AND(A349=0,B349&lt;&gt;0,C349=0),VLOOKUP(B349,'3 - LISTA DE ESPÉCIES'!B:H,4,FALSE()),IF(AND(A349=0,B349=0,C349&lt;&gt;0),VLOOKUP(C349,'3 - LISTA DE ESPÉCIES'!C:H,3,FALSE()))))</f>
        <v>0</v>
      </c>
      <c r="J349" s="23"/>
      <c r="K349" s="23"/>
      <c r="L349" s="20"/>
      <c r="M349" s="20"/>
    </row>
    <row r="350" spans="1:13" x14ac:dyDescent="0.25">
      <c r="A350" s="20"/>
      <c r="B350" s="20"/>
      <c r="C350" s="20"/>
      <c r="E350" s="21" t="b">
        <f>IF(AND(A350&lt;&gt;0,B350=0,C350=0),VLOOKUP(A350,'3 - LISTA DE ESPÉCIES'!A:H,1,FALSE()),IF(AND(A350=0,B350&lt;&gt;0,C350=0),VLOOKUP(B350,'3 - LISTA DE ESPÉCIES'!B:H,5,FALSE()),IF(AND(A350=0,B350=0,C350&lt;&gt;0),VLOOKUP(C350,'3 - LISTA DE ESPÉCIES'!C:H,4,FALSE()))))</f>
        <v>0</v>
      </c>
      <c r="F350" s="21" t="b">
        <f>IF(AND(A350&lt;&gt;0,B350=0,C350=0),VLOOKUP(A350,'3 - LISTA DE ESPÉCIES'!A:H,2,FALSE()),IF(AND(A350=0,B350&lt;&gt;0,C350=0),VLOOKUP(B350,'3 - LISTA DE ESPÉCIES'!B:H,6,FALSE()),IF(AND(A350=0,B350=0,C350&lt;&gt;0),VLOOKUP(C350,'3 - LISTA DE ESPÉCIES'!C:H,5,FALSE()))))</f>
        <v>0</v>
      </c>
      <c r="G350" s="21" t="b">
        <f>IF(AND(A350&lt;&gt;0,B350=0,C350=0),VLOOKUP(A350,'3 - LISTA DE ESPÉCIES'!A:H,3,FALSE()),IF(AND(A350=0,B350&lt;&gt;0,C350=0),VLOOKUP(B350,'3 - LISTA DE ESPÉCIES'!B:H,7,FALSE()),IF(AND(A350=0,B350=0,C350&lt;&gt;0),VLOOKUP(C350,'3 - LISTA DE ESPÉCIES'!C:H,6,FALSE()))))</f>
        <v>0</v>
      </c>
      <c r="H350" s="21" t="b">
        <f>IF(AND(A350&lt;&gt;0,B350=0,C350=0),VLOOKUP(A350,'3 - LISTA DE ESPÉCIES'!A:H,4,FALSE()),IF(AND(A350=0,B350&lt;&gt;0,C350=0),VLOOKUP(B350,'3 - LISTA DE ESPÉCIES'!B:H,3,FALSE()),IF(AND(A350=0,B350=0,C350&lt;&gt;0),VLOOKUP(C350,'3 - LISTA DE ESPÉCIES'!C:H,2,FALSE()))))</f>
        <v>0</v>
      </c>
      <c r="I350" s="21" t="b">
        <f>IF(AND(A350&lt;&gt;0,B350=0,C350=0),VLOOKUP(A350,'3 - LISTA DE ESPÉCIES'!A:H,5,FALSE()),IF(AND(A350=0,B350&lt;&gt;0,C350=0),VLOOKUP(B350,'3 - LISTA DE ESPÉCIES'!B:H,4,FALSE()),IF(AND(A350=0,B350=0,C350&lt;&gt;0),VLOOKUP(C350,'3 - LISTA DE ESPÉCIES'!C:H,3,FALSE()))))</f>
        <v>0</v>
      </c>
      <c r="J350" s="23"/>
      <c r="K350" s="23"/>
      <c r="L350" s="20"/>
      <c r="M350" s="20"/>
    </row>
    <row r="351" spans="1:13" x14ac:dyDescent="0.25">
      <c r="A351" s="20"/>
      <c r="B351" s="20"/>
      <c r="C351" s="20"/>
      <c r="E351" s="21" t="b">
        <f>IF(AND(A351&lt;&gt;0,B351=0,C351=0),VLOOKUP(A351,'3 - LISTA DE ESPÉCIES'!A:H,1,FALSE()),IF(AND(A351=0,B351&lt;&gt;0,C351=0),VLOOKUP(B351,'3 - LISTA DE ESPÉCIES'!B:H,5,FALSE()),IF(AND(A351=0,B351=0,C351&lt;&gt;0),VLOOKUP(C351,'3 - LISTA DE ESPÉCIES'!C:H,4,FALSE()))))</f>
        <v>0</v>
      </c>
      <c r="F351" s="21" t="b">
        <f>IF(AND(A351&lt;&gt;0,B351=0,C351=0),VLOOKUP(A351,'3 - LISTA DE ESPÉCIES'!A:H,2,FALSE()),IF(AND(A351=0,B351&lt;&gt;0,C351=0),VLOOKUP(B351,'3 - LISTA DE ESPÉCIES'!B:H,6,FALSE()),IF(AND(A351=0,B351=0,C351&lt;&gt;0),VLOOKUP(C351,'3 - LISTA DE ESPÉCIES'!C:H,5,FALSE()))))</f>
        <v>0</v>
      </c>
      <c r="G351" s="21" t="b">
        <f>IF(AND(A351&lt;&gt;0,B351=0,C351=0),VLOOKUP(A351,'3 - LISTA DE ESPÉCIES'!A:H,3,FALSE()),IF(AND(A351=0,B351&lt;&gt;0,C351=0),VLOOKUP(B351,'3 - LISTA DE ESPÉCIES'!B:H,7,FALSE()),IF(AND(A351=0,B351=0,C351&lt;&gt;0),VLOOKUP(C351,'3 - LISTA DE ESPÉCIES'!C:H,6,FALSE()))))</f>
        <v>0</v>
      </c>
      <c r="H351" s="21" t="b">
        <f>IF(AND(A351&lt;&gt;0,B351=0,C351=0),VLOOKUP(A351,'3 - LISTA DE ESPÉCIES'!A:H,4,FALSE()),IF(AND(A351=0,B351&lt;&gt;0,C351=0),VLOOKUP(B351,'3 - LISTA DE ESPÉCIES'!B:H,3,FALSE()),IF(AND(A351=0,B351=0,C351&lt;&gt;0),VLOOKUP(C351,'3 - LISTA DE ESPÉCIES'!C:H,2,FALSE()))))</f>
        <v>0</v>
      </c>
      <c r="I351" s="21" t="b">
        <f>IF(AND(A351&lt;&gt;0,B351=0,C351=0),VLOOKUP(A351,'3 - LISTA DE ESPÉCIES'!A:H,5,FALSE()),IF(AND(A351=0,B351&lt;&gt;0,C351=0),VLOOKUP(B351,'3 - LISTA DE ESPÉCIES'!B:H,4,FALSE()),IF(AND(A351=0,B351=0,C351&lt;&gt;0),VLOOKUP(C351,'3 - LISTA DE ESPÉCIES'!C:H,3,FALSE()))))</f>
        <v>0</v>
      </c>
      <c r="J351" s="23"/>
      <c r="K351" s="23"/>
      <c r="L351" s="20"/>
      <c r="M351" s="20"/>
    </row>
    <row r="352" spans="1:13" x14ac:dyDescent="0.25">
      <c r="A352" s="20"/>
      <c r="B352" s="20"/>
      <c r="C352" s="20"/>
      <c r="E352" s="21" t="b">
        <f>IF(AND(A352&lt;&gt;0,B352=0,C352=0),VLOOKUP(A352,'3 - LISTA DE ESPÉCIES'!A:H,1,FALSE()),IF(AND(A352=0,B352&lt;&gt;0,C352=0),VLOOKUP(B352,'3 - LISTA DE ESPÉCIES'!B:H,5,FALSE()),IF(AND(A352=0,B352=0,C352&lt;&gt;0),VLOOKUP(C352,'3 - LISTA DE ESPÉCIES'!C:H,4,FALSE()))))</f>
        <v>0</v>
      </c>
      <c r="F352" s="21" t="b">
        <f>IF(AND(A352&lt;&gt;0,B352=0,C352=0),VLOOKUP(A352,'3 - LISTA DE ESPÉCIES'!A:H,2,FALSE()),IF(AND(A352=0,B352&lt;&gt;0,C352=0),VLOOKUP(B352,'3 - LISTA DE ESPÉCIES'!B:H,6,FALSE()),IF(AND(A352=0,B352=0,C352&lt;&gt;0),VLOOKUP(C352,'3 - LISTA DE ESPÉCIES'!C:H,5,FALSE()))))</f>
        <v>0</v>
      </c>
      <c r="G352" s="21" t="b">
        <f>IF(AND(A352&lt;&gt;0,B352=0,C352=0),VLOOKUP(A352,'3 - LISTA DE ESPÉCIES'!A:H,3,FALSE()),IF(AND(A352=0,B352&lt;&gt;0,C352=0),VLOOKUP(B352,'3 - LISTA DE ESPÉCIES'!B:H,7,FALSE()),IF(AND(A352=0,B352=0,C352&lt;&gt;0),VLOOKUP(C352,'3 - LISTA DE ESPÉCIES'!C:H,6,FALSE()))))</f>
        <v>0</v>
      </c>
      <c r="H352" s="21" t="b">
        <f>IF(AND(A352&lt;&gt;0,B352=0,C352=0),VLOOKUP(A352,'3 - LISTA DE ESPÉCIES'!A:H,4,FALSE()),IF(AND(A352=0,B352&lt;&gt;0,C352=0),VLOOKUP(B352,'3 - LISTA DE ESPÉCIES'!B:H,3,FALSE()),IF(AND(A352=0,B352=0,C352&lt;&gt;0),VLOOKUP(C352,'3 - LISTA DE ESPÉCIES'!C:H,2,FALSE()))))</f>
        <v>0</v>
      </c>
      <c r="I352" s="21" t="b">
        <f>IF(AND(A352&lt;&gt;0,B352=0,C352=0),VLOOKUP(A352,'3 - LISTA DE ESPÉCIES'!A:H,5,FALSE()),IF(AND(A352=0,B352&lt;&gt;0,C352=0),VLOOKUP(B352,'3 - LISTA DE ESPÉCIES'!B:H,4,FALSE()),IF(AND(A352=0,B352=0,C352&lt;&gt;0),VLOOKUP(C352,'3 - LISTA DE ESPÉCIES'!C:H,3,FALSE()))))</f>
        <v>0</v>
      </c>
      <c r="J352" s="23"/>
      <c r="K352" s="23"/>
      <c r="L352" s="20"/>
      <c r="M352" s="20"/>
    </row>
    <row r="353" spans="1:13" x14ac:dyDescent="0.25">
      <c r="A353" s="20"/>
      <c r="B353" s="20"/>
      <c r="C353" s="20"/>
      <c r="E353" s="21" t="b">
        <f>IF(AND(A353&lt;&gt;0,B353=0,C353=0),VLOOKUP(A353,'3 - LISTA DE ESPÉCIES'!A:H,1,FALSE()),IF(AND(A353=0,B353&lt;&gt;0,C353=0),VLOOKUP(B353,'3 - LISTA DE ESPÉCIES'!B:H,5,FALSE()),IF(AND(A353=0,B353=0,C353&lt;&gt;0),VLOOKUP(C353,'3 - LISTA DE ESPÉCIES'!C:H,4,FALSE()))))</f>
        <v>0</v>
      </c>
      <c r="F353" s="21" t="b">
        <f>IF(AND(A353&lt;&gt;0,B353=0,C353=0),VLOOKUP(A353,'3 - LISTA DE ESPÉCIES'!A:H,2,FALSE()),IF(AND(A353=0,B353&lt;&gt;0,C353=0),VLOOKUP(B353,'3 - LISTA DE ESPÉCIES'!B:H,6,FALSE()),IF(AND(A353=0,B353=0,C353&lt;&gt;0),VLOOKUP(C353,'3 - LISTA DE ESPÉCIES'!C:H,5,FALSE()))))</f>
        <v>0</v>
      </c>
      <c r="G353" s="21" t="b">
        <f>IF(AND(A353&lt;&gt;0,B353=0,C353=0),VLOOKUP(A353,'3 - LISTA DE ESPÉCIES'!A:H,3,FALSE()),IF(AND(A353=0,B353&lt;&gt;0,C353=0),VLOOKUP(B353,'3 - LISTA DE ESPÉCIES'!B:H,7,FALSE()),IF(AND(A353=0,B353=0,C353&lt;&gt;0),VLOOKUP(C353,'3 - LISTA DE ESPÉCIES'!C:H,6,FALSE()))))</f>
        <v>0</v>
      </c>
      <c r="H353" s="21" t="b">
        <f>IF(AND(A353&lt;&gt;0,B353=0,C353=0),VLOOKUP(A353,'3 - LISTA DE ESPÉCIES'!A:H,4,FALSE()),IF(AND(A353=0,B353&lt;&gt;0,C353=0),VLOOKUP(B353,'3 - LISTA DE ESPÉCIES'!B:H,3,FALSE()),IF(AND(A353=0,B353=0,C353&lt;&gt;0),VLOOKUP(C353,'3 - LISTA DE ESPÉCIES'!C:H,2,FALSE()))))</f>
        <v>0</v>
      </c>
      <c r="I353" s="21" t="b">
        <f>IF(AND(A353&lt;&gt;0,B353=0,C353=0),VLOOKUP(A353,'3 - LISTA DE ESPÉCIES'!A:H,5,FALSE()),IF(AND(A353=0,B353&lt;&gt;0,C353=0),VLOOKUP(B353,'3 - LISTA DE ESPÉCIES'!B:H,4,FALSE()),IF(AND(A353=0,B353=0,C353&lt;&gt;0),VLOOKUP(C353,'3 - LISTA DE ESPÉCIES'!C:H,3,FALSE()))))</f>
        <v>0</v>
      </c>
      <c r="J353" s="23"/>
      <c r="K353" s="23"/>
      <c r="L353" s="20"/>
      <c r="M353" s="20"/>
    </row>
    <row r="354" spans="1:13" x14ac:dyDescent="0.25">
      <c r="A354" s="20"/>
      <c r="B354" s="20"/>
      <c r="C354" s="20"/>
      <c r="E354" s="21" t="b">
        <f>IF(AND(A354&lt;&gt;0,B354=0,C354=0),VLOOKUP(A354,'3 - LISTA DE ESPÉCIES'!A:H,1,FALSE()),IF(AND(A354=0,B354&lt;&gt;0,C354=0),VLOOKUP(B354,'3 - LISTA DE ESPÉCIES'!B:H,5,FALSE()),IF(AND(A354=0,B354=0,C354&lt;&gt;0),VLOOKUP(C354,'3 - LISTA DE ESPÉCIES'!C:H,4,FALSE()))))</f>
        <v>0</v>
      </c>
      <c r="F354" s="21" t="b">
        <f>IF(AND(A354&lt;&gt;0,B354=0,C354=0),VLOOKUP(A354,'3 - LISTA DE ESPÉCIES'!A:H,2,FALSE()),IF(AND(A354=0,B354&lt;&gt;0,C354=0),VLOOKUP(B354,'3 - LISTA DE ESPÉCIES'!B:H,6,FALSE()),IF(AND(A354=0,B354=0,C354&lt;&gt;0),VLOOKUP(C354,'3 - LISTA DE ESPÉCIES'!C:H,5,FALSE()))))</f>
        <v>0</v>
      </c>
      <c r="G354" s="21" t="b">
        <f>IF(AND(A354&lt;&gt;0,B354=0,C354=0),VLOOKUP(A354,'3 - LISTA DE ESPÉCIES'!A:H,3,FALSE()),IF(AND(A354=0,B354&lt;&gt;0,C354=0),VLOOKUP(B354,'3 - LISTA DE ESPÉCIES'!B:H,7,FALSE()),IF(AND(A354=0,B354=0,C354&lt;&gt;0),VLOOKUP(C354,'3 - LISTA DE ESPÉCIES'!C:H,6,FALSE()))))</f>
        <v>0</v>
      </c>
      <c r="H354" s="21" t="b">
        <f>IF(AND(A354&lt;&gt;0,B354=0,C354=0),VLOOKUP(A354,'3 - LISTA DE ESPÉCIES'!A:H,4,FALSE()),IF(AND(A354=0,B354&lt;&gt;0,C354=0),VLOOKUP(B354,'3 - LISTA DE ESPÉCIES'!B:H,3,FALSE()),IF(AND(A354=0,B354=0,C354&lt;&gt;0),VLOOKUP(C354,'3 - LISTA DE ESPÉCIES'!C:H,2,FALSE()))))</f>
        <v>0</v>
      </c>
      <c r="I354" s="21" t="b">
        <f>IF(AND(A354&lt;&gt;0,B354=0,C354=0),VLOOKUP(A354,'3 - LISTA DE ESPÉCIES'!A:H,5,FALSE()),IF(AND(A354=0,B354&lt;&gt;0,C354=0),VLOOKUP(B354,'3 - LISTA DE ESPÉCIES'!B:H,4,FALSE()),IF(AND(A354=0,B354=0,C354&lt;&gt;0),VLOOKUP(C354,'3 - LISTA DE ESPÉCIES'!C:H,3,FALSE()))))</f>
        <v>0</v>
      </c>
      <c r="J354" s="23"/>
      <c r="K354" s="23"/>
      <c r="L354" s="20"/>
      <c r="M354" s="20"/>
    </row>
    <row r="355" spans="1:13" x14ac:dyDescent="0.25">
      <c r="A355" s="20"/>
      <c r="B355" s="20"/>
      <c r="C355" s="20"/>
      <c r="E355" s="21" t="b">
        <f>IF(AND(A355&lt;&gt;0,B355=0,C355=0),VLOOKUP(A355,'3 - LISTA DE ESPÉCIES'!A:H,1,FALSE()),IF(AND(A355=0,B355&lt;&gt;0,C355=0),VLOOKUP(B355,'3 - LISTA DE ESPÉCIES'!B:H,5,FALSE()),IF(AND(A355=0,B355=0,C355&lt;&gt;0),VLOOKUP(C355,'3 - LISTA DE ESPÉCIES'!C:H,4,FALSE()))))</f>
        <v>0</v>
      </c>
      <c r="F355" s="21" t="b">
        <f>IF(AND(A355&lt;&gt;0,B355=0,C355=0),VLOOKUP(A355,'3 - LISTA DE ESPÉCIES'!A:H,2,FALSE()),IF(AND(A355=0,B355&lt;&gt;0,C355=0),VLOOKUP(B355,'3 - LISTA DE ESPÉCIES'!B:H,6,FALSE()),IF(AND(A355=0,B355=0,C355&lt;&gt;0),VLOOKUP(C355,'3 - LISTA DE ESPÉCIES'!C:H,5,FALSE()))))</f>
        <v>0</v>
      </c>
      <c r="G355" s="21" t="b">
        <f>IF(AND(A355&lt;&gt;0,B355=0,C355=0),VLOOKUP(A355,'3 - LISTA DE ESPÉCIES'!A:H,3,FALSE()),IF(AND(A355=0,B355&lt;&gt;0,C355=0),VLOOKUP(B355,'3 - LISTA DE ESPÉCIES'!B:H,7,FALSE()),IF(AND(A355=0,B355=0,C355&lt;&gt;0),VLOOKUP(C355,'3 - LISTA DE ESPÉCIES'!C:H,6,FALSE()))))</f>
        <v>0</v>
      </c>
      <c r="H355" s="21" t="b">
        <f>IF(AND(A355&lt;&gt;0,B355=0,C355=0),VLOOKUP(A355,'3 - LISTA DE ESPÉCIES'!A:H,4,FALSE()),IF(AND(A355=0,B355&lt;&gt;0,C355=0),VLOOKUP(B355,'3 - LISTA DE ESPÉCIES'!B:H,3,FALSE()),IF(AND(A355=0,B355=0,C355&lt;&gt;0),VLOOKUP(C355,'3 - LISTA DE ESPÉCIES'!C:H,2,FALSE()))))</f>
        <v>0</v>
      </c>
      <c r="I355" s="21" t="b">
        <f>IF(AND(A355&lt;&gt;0,B355=0,C355=0),VLOOKUP(A355,'3 - LISTA DE ESPÉCIES'!A:H,5,FALSE()),IF(AND(A355=0,B355&lt;&gt;0,C355=0),VLOOKUP(B355,'3 - LISTA DE ESPÉCIES'!B:H,4,FALSE()),IF(AND(A355=0,B355=0,C355&lt;&gt;0),VLOOKUP(C355,'3 - LISTA DE ESPÉCIES'!C:H,3,FALSE()))))</f>
        <v>0</v>
      </c>
      <c r="J355" s="23"/>
      <c r="K355" s="23"/>
      <c r="L355" s="20"/>
      <c r="M355" s="20"/>
    </row>
    <row r="356" spans="1:13" x14ac:dyDescent="0.25">
      <c r="A356" s="20"/>
      <c r="B356" s="20"/>
      <c r="C356" s="20"/>
      <c r="E356" s="21" t="b">
        <f>IF(AND(A356&lt;&gt;0,B356=0,C356=0),VLOOKUP(A356,'3 - LISTA DE ESPÉCIES'!A:H,1,FALSE()),IF(AND(A356=0,B356&lt;&gt;0,C356=0),VLOOKUP(B356,'3 - LISTA DE ESPÉCIES'!B:H,5,FALSE()),IF(AND(A356=0,B356=0,C356&lt;&gt;0),VLOOKUP(C356,'3 - LISTA DE ESPÉCIES'!C:H,4,FALSE()))))</f>
        <v>0</v>
      </c>
      <c r="F356" s="21" t="b">
        <f>IF(AND(A356&lt;&gt;0,B356=0,C356=0),VLOOKUP(A356,'3 - LISTA DE ESPÉCIES'!A:H,2,FALSE()),IF(AND(A356=0,B356&lt;&gt;0,C356=0),VLOOKUP(B356,'3 - LISTA DE ESPÉCIES'!B:H,6,FALSE()),IF(AND(A356=0,B356=0,C356&lt;&gt;0),VLOOKUP(C356,'3 - LISTA DE ESPÉCIES'!C:H,5,FALSE()))))</f>
        <v>0</v>
      </c>
      <c r="G356" s="21" t="b">
        <f>IF(AND(A356&lt;&gt;0,B356=0,C356=0),VLOOKUP(A356,'3 - LISTA DE ESPÉCIES'!A:H,3,FALSE()),IF(AND(A356=0,B356&lt;&gt;0,C356=0),VLOOKUP(B356,'3 - LISTA DE ESPÉCIES'!B:H,7,FALSE()),IF(AND(A356=0,B356=0,C356&lt;&gt;0),VLOOKUP(C356,'3 - LISTA DE ESPÉCIES'!C:H,6,FALSE()))))</f>
        <v>0</v>
      </c>
      <c r="H356" s="21" t="b">
        <f>IF(AND(A356&lt;&gt;0,B356=0,C356=0),VLOOKUP(A356,'3 - LISTA DE ESPÉCIES'!A:H,4,FALSE()),IF(AND(A356=0,B356&lt;&gt;0,C356=0),VLOOKUP(B356,'3 - LISTA DE ESPÉCIES'!B:H,3,FALSE()),IF(AND(A356=0,B356=0,C356&lt;&gt;0),VLOOKUP(C356,'3 - LISTA DE ESPÉCIES'!C:H,2,FALSE()))))</f>
        <v>0</v>
      </c>
      <c r="I356" s="21" t="b">
        <f>IF(AND(A356&lt;&gt;0,B356=0,C356=0),VLOOKUP(A356,'3 - LISTA DE ESPÉCIES'!A:H,5,FALSE()),IF(AND(A356=0,B356&lt;&gt;0,C356=0),VLOOKUP(B356,'3 - LISTA DE ESPÉCIES'!B:H,4,FALSE()),IF(AND(A356=0,B356=0,C356&lt;&gt;0),VLOOKUP(C356,'3 - LISTA DE ESPÉCIES'!C:H,3,FALSE()))))</f>
        <v>0</v>
      </c>
      <c r="J356" s="23"/>
      <c r="K356" s="23"/>
      <c r="L356" s="20"/>
      <c r="M356" s="20"/>
    </row>
    <row r="357" spans="1:13" x14ac:dyDescent="0.25">
      <c r="A357" s="20"/>
      <c r="B357" s="20"/>
      <c r="C357" s="20"/>
      <c r="E357" s="21" t="b">
        <f>IF(AND(A357&lt;&gt;0,B357=0,C357=0),VLOOKUP(A357,'3 - LISTA DE ESPÉCIES'!A:H,1,FALSE()),IF(AND(A357=0,B357&lt;&gt;0,C357=0),VLOOKUP(B357,'3 - LISTA DE ESPÉCIES'!B:H,5,FALSE()),IF(AND(A357=0,B357=0,C357&lt;&gt;0),VLOOKUP(C357,'3 - LISTA DE ESPÉCIES'!C:H,4,FALSE()))))</f>
        <v>0</v>
      </c>
      <c r="F357" s="21" t="b">
        <f>IF(AND(A357&lt;&gt;0,B357=0,C357=0),VLOOKUP(A357,'3 - LISTA DE ESPÉCIES'!A:H,2,FALSE()),IF(AND(A357=0,B357&lt;&gt;0,C357=0),VLOOKUP(B357,'3 - LISTA DE ESPÉCIES'!B:H,6,FALSE()),IF(AND(A357=0,B357=0,C357&lt;&gt;0),VLOOKUP(C357,'3 - LISTA DE ESPÉCIES'!C:H,5,FALSE()))))</f>
        <v>0</v>
      </c>
      <c r="G357" s="21" t="b">
        <f>IF(AND(A357&lt;&gt;0,B357=0,C357=0),VLOOKUP(A357,'3 - LISTA DE ESPÉCIES'!A:H,3,FALSE()),IF(AND(A357=0,B357&lt;&gt;0,C357=0),VLOOKUP(B357,'3 - LISTA DE ESPÉCIES'!B:H,7,FALSE()),IF(AND(A357=0,B357=0,C357&lt;&gt;0),VLOOKUP(C357,'3 - LISTA DE ESPÉCIES'!C:H,6,FALSE()))))</f>
        <v>0</v>
      </c>
      <c r="H357" s="21" t="b">
        <f>IF(AND(A357&lt;&gt;0,B357=0,C357=0),VLOOKUP(A357,'3 - LISTA DE ESPÉCIES'!A:H,4,FALSE()),IF(AND(A357=0,B357&lt;&gt;0,C357=0),VLOOKUP(B357,'3 - LISTA DE ESPÉCIES'!B:H,3,FALSE()),IF(AND(A357=0,B357=0,C357&lt;&gt;0),VLOOKUP(C357,'3 - LISTA DE ESPÉCIES'!C:H,2,FALSE()))))</f>
        <v>0</v>
      </c>
      <c r="I357" s="21" t="b">
        <f>IF(AND(A357&lt;&gt;0,B357=0,C357=0),VLOOKUP(A357,'3 - LISTA DE ESPÉCIES'!A:H,5,FALSE()),IF(AND(A357=0,B357&lt;&gt;0,C357=0),VLOOKUP(B357,'3 - LISTA DE ESPÉCIES'!B:H,4,FALSE()),IF(AND(A357=0,B357=0,C357&lt;&gt;0),VLOOKUP(C357,'3 - LISTA DE ESPÉCIES'!C:H,3,FALSE()))))</f>
        <v>0</v>
      </c>
      <c r="J357" s="23"/>
      <c r="K357" s="23"/>
      <c r="L357" s="20"/>
      <c r="M357" s="20"/>
    </row>
    <row r="358" spans="1:13" x14ac:dyDescent="0.25">
      <c r="A358" s="20"/>
      <c r="B358" s="20"/>
      <c r="C358" s="20"/>
      <c r="E358" s="21" t="b">
        <f>IF(AND(A358&lt;&gt;0,B358=0,C358=0),VLOOKUP(A358,'3 - LISTA DE ESPÉCIES'!A:H,1,FALSE()),IF(AND(A358=0,B358&lt;&gt;0,C358=0),VLOOKUP(B358,'3 - LISTA DE ESPÉCIES'!B:H,5,FALSE()),IF(AND(A358=0,B358=0,C358&lt;&gt;0),VLOOKUP(C358,'3 - LISTA DE ESPÉCIES'!C:H,4,FALSE()))))</f>
        <v>0</v>
      </c>
      <c r="F358" s="21" t="b">
        <f>IF(AND(A358&lt;&gt;0,B358=0,C358=0),VLOOKUP(A358,'3 - LISTA DE ESPÉCIES'!A:H,2,FALSE()),IF(AND(A358=0,B358&lt;&gt;0,C358=0),VLOOKUP(B358,'3 - LISTA DE ESPÉCIES'!B:H,6,FALSE()),IF(AND(A358=0,B358=0,C358&lt;&gt;0),VLOOKUP(C358,'3 - LISTA DE ESPÉCIES'!C:H,5,FALSE()))))</f>
        <v>0</v>
      </c>
      <c r="G358" s="21" t="b">
        <f>IF(AND(A358&lt;&gt;0,B358=0,C358=0),VLOOKUP(A358,'3 - LISTA DE ESPÉCIES'!A:H,3,FALSE()),IF(AND(A358=0,B358&lt;&gt;0,C358=0),VLOOKUP(B358,'3 - LISTA DE ESPÉCIES'!B:H,7,FALSE()),IF(AND(A358=0,B358=0,C358&lt;&gt;0),VLOOKUP(C358,'3 - LISTA DE ESPÉCIES'!C:H,6,FALSE()))))</f>
        <v>0</v>
      </c>
      <c r="H358" s="21" t="b">
        <f>IF(AND(A358&lt;&gt;0,B358=0,C358=0),VLOOKUP(A358,'3 - LISTA DE ESPÉCIES'!A:H,4,FALSE()),IF(AND(A358=0,B358&lt;&gt;0,C358=0),VLOOKUP(B358,'3 - LISTA DE ESPÉCIES'!B:H,3,FALSE()),IF(AND(A358=0,B358=0,C358&lt;&gt;0),VLOOKUP(C358,'3 - LISTA DE ESPÉCIES'!C:H,2,FALSE()))))</f>
        <v>0</v>
      </c>
      <c r="I358" s="21" t="b">
        <f>IF(AND(A358&lt;&gt;0,B358=0,C358=0),VLOOKUP(A358,'3 - LISTA DE ESPÉCIES'!A:H,5,FALSE()),IF(AND(A358=0,B358&lt;&gt;0,C358=0),VLOOKUP(B358,'3 - LISTA DE ESPÉCIES'!B:H,4,FALSE()),IF(AND(A358=0,B358=0,C358&lt;&gt;0),VLOOKUP(C358,'3 - LISTA DE ESPÉCIES'!C:H,3,FALSE()))))</f>
        <v>0</v>
      </c>
      <c r="J358" s="23"/>
      <c r="K358" s="23"/>
      <c r="L358" s="20"/>
      <c r="M358" s="20"/>
    </row>
    <row r="359" spans="1:13" x14ac:dyDescent="0.25">
      <c r="A359" s="20"/>
      <c r="B359" s="20"/>
      <c r="C359" s="20"/>
      <c r="E359" s="21" t="b">
        <f>IF(AND(A359&lt;&gt;0,B359=0,C359=0),VLOOKUP(A359,'3 - LISTA DE ESPÉCIES'!A:H,1,FALSE()),IF(AND(A359=0,B359&lt;&gt;0,C359=0),VLOOKUP(B359,'3 - LISTA DE ESPÉCIES'!B:H,5,FALSE()),IF(AND(A359=0,B359=0,C359&lt;&gt;0),VLOOKUP(C359,'3 - LISTA DE ESPÉCIES'!C:H,4,FALSE()))))</f>
        <v>0</v>
      </c>
      <c r="F359" s="21" t="b">
        <f>IF(AND(A359&lt;&gt;0,B359=0,C359=0),VLOOKUP(A359,'3 - LISTA DE ESPÉCIES'!A:H,2,FALSE()),IF(AND(A359=0,B359&lt;&gt;0,C359=0),VLOOKUP(B359,'3 - LISTA DE ESPÉCIES'!B:H,6,FALSE()),IF(AND(A359=0,B359=0,C359&lt;&gt;0),VLOOKUP(C359,'3 - LISTA DE ESPÉCIES'!C:H,5,FALSE()))))</f>
        <v>0</v>
      </c>
      <c r="G359" s="21" t="b">
        <f>IF(AND(A359&lt;&gt;0,B359=0,C359=0),VLOOKUP(A359,'3 - LISTA DE ESPÉCIES'!A:H,3,FALSE()),IF(AND(A359=0,B359&lt;&gt;0,C359=0),VLOOKUP(B359,'3 - LISTA DE ESPÉCIES'!B:H,7,FALSE()),IF(AND(A359=0,B359=0,C359&lt;&gt;0),VLOOKUP(C359,'3 - LISTA DE ESPÉCIES'!C:H,6,FALSE()))))</f>
        <v>0</v>
      </c>
      <c r="H359" s="21" t="b">
        <f>IF(AND(A359&lt;&gt;0,B359=0,C359=0),VLOOKUP(A359,'3 - LISTA DE ESPÉCIES'!A:H,4,FALSE()),IF(AND(A359=0,B359&lt;&gt;0,C359=0),VLOOKUP(B359,'3 - LISTA DE ESPÉCIES'!B:H,3,FALSE()),IF(AND(A359=0,B359=0,C359&lt;&gt;0),VLOOKUP(C359,'3 - LISTA DE ESPÉCIES'!C:H,2,FALSE()))))</f>
        <v>0</v>
      </c>
      <c r="I359" s="21" t="b">
        <f>IF(AND(A359&lt;&gt;0,B359=0,C359=0),VLOOKUP(A359,'3 - LISTA DE ESPÉCIES'!A:H,5,FALSE()),IF(AND(A359=0,B359&lt;&gt;0,C359=0),VLOOKUP(B359,'3 - LISTA DE ESPÉCIES'!B:H,4,FALSE()),IF(AND(A359=0,B359=0,C359&lt;&gt;0),VLOOKUP(C359,'3 - LISTA DE ESPÉCIES'!C:H,3,FALSE()))))</f>
        <v>0</v>
      </c>
      <c r="J359" s="23"/>
      <c r="K359" s="23"/>
      <c r="L359" s="20"/>
      <c r="M359" s="20"/>
    </row>
    <row r="360" spans="1:13" x14ac:dyDescent="0.25">
      <c r="A360" s="20"/>
      <c r="B360" s="20"/>
      <c r="C360" s="20"/>
      <c r="E360" s="21" t="b">
        <f>IF(AND(A360&lt;&gt;0,B360=0,C360=0),VLOOKUP(A360,'3 - LISTA DE ESPÉCIES'!A:H,1,FALSE()),IF(AND(A360=0,B360&lt;&gt;0,C360=0),VLOOKUP(B360,'3 - LISTA DE ESPÉCIES'!B:H,5,FALSE()),IF(AND(A360=0,B360=0,C360&lt;&gt;0),VLOOKUP(C360,'3 - LISTA DE ESPÉCIES'!C:H,4,FALSE()))))</f>
        <v>0</v>
      </c>
      <c r="F360" s="21" t="b">
        <f>IF(AND(A360&lt;&gt;0,B360=0,C360=0),VLOOKUP(A360,'3 - LISTA DE ESPÉCIES'!A:H,2,FALSE()),IF(AND(A360=0,B360&lt;&gt;0,C360=0),VLOOKUP(B360,'3 - LISTA DE ESPÉCIES'!B:H,6,FALSE()),IF(AND(A360=0,B360=0,C360&lt;&gt;0),VLOOKUP(C360,'3 - LISTA DE ESPÉCIES'!C:H,5,FALSE()))))</f>
        <v>0</v>
      </c>
      <c r="G360" s="21" t="b">
        <f>IF(AND(A360&lt;&gt;0,B360=0,C360=0),VLOOKUP(A360,'3 - LISTA DE ESPÉCIES'!A:H,3,FALSE()),IF(AND(A360=0,B360&lt;&gt;0,C360=0),VLOOKUP(B360,'3 - LISTA DE ESPÉCIES'!B:H,7,FALSE()),IF(AND(A360=0,B360=0,C360&lt;&gt;0),VLOOKUP(C360,'3 - LISTA DE ESPÉCIES'!C:H,6,FALSE()))))</f>
        <v>0</v>
      </c>
      <c r="H360" s="21" t="b">
        <f>IF(AND(A360&lt;&gt;0,B360=0,C360=0),VLOOKUP(A360,'3 - LISTA DE ESPÉCIES'!A:H,4,FALSE()),IF(AND(A360=0,B360&lt;&gt;0,C360=0),VLOOKUP(B360,'3 - LISTA DE ESPÉCIES'!B:H,3,FALSE()),IF(AND(A360=0,B360=0,C360&lt;&gt;0),VLOOKUP(C360,'3 - LISTA DE ESPÉCIES'!C:H,2,FALSE()))))</f>
        <v>0</v>
      </c>
      <c r="I360" s="21" t="b">
        <f>IF(AND(A360&lt;&gt;0,B360=0,C360=0),VLOOKUP(A360,'3 - LISTA DE ESPÉCIES'!A:H,5,FALSE()),IF(AND(A360=0,B360&lt;&gt;0,C360=0),VLOOKUP(B360,'3 - LISTA DE ESPÉCIES'!B:H,4,FALSE()),IF(AND(A360=0,B360=0,C360&lt;&gt;0),VLOOKUP(C360,'3 - LISTA DE ESPÉCIES'!C:H,3,FALSE()))))</f>
        <v>0</v>
      </c>
      <c r="J360" s="23"/>
      <c r="K360" s="23"/>
      <c r="L360" s="20"/>
      <c r="M360" s="20"/>
    </row>
    <row r="361" spans="1:13" x14ac:dyDescent="0.25">
      <c r="A361" s="20"/>
      <c r="B361" s="20"/>
      <c r="C361" s="20"/>
      <c r="E361" s="21" t="b">
        <f>IF(AND(A361&lt;&gt;0,B361=0,C361=0),VLOOKUP(A361,'3 - LISTA DE ESPÉCIES'!A:H,1,FALSE()),IF(AND(A361=0,B361&lt;&gt;0,C361=0),VLOOKUP(B361,'3 - LISTA DE ESPÉCIES'!B:H,5,FALSE()),IF(AND(A361=0,B361=0,C361&lt;&gt;0),VLOOKUP(C361,'3 - LISTA DE ESPÉCIES'!C:H,4,FALSE()))))</f>
        <v>0</v>
      </c>
      <c r="F361" s="21" t="b">
        <f>IF(AND(A361&lt;&gt;0,B361=0,C361=0),VLOOKUP(A361,'3 - LISTA DE ESPÉCIES'!A:H,2,FALSE()),IF(AND(A361=0,B361&lt;&gt;0,C361=0),VLOOKUP(B361,'3 - LISTA DE ESPÉCIES'!B:H,6,FALSE()),IF(AND(A361=0,B361=0,C361&lt;&gt;0),VLOOKUP(C361,'3 - LISTA DE ESPÉCIES'!C:H,5,FALSE()))))</f>
        <v>0</v>
      </c>
      <c r="G361" s="21" t="b">
        <f>IF(AND(A361&lt;&gt;0,B361=0,C361=0),VLOOKUP(A361,'3 - LISTA DE ESPÉCIES'!A:H,3,FALSE()),IF(AND(A361=0,B361&lt;&gt;0,C361=0),VLOOKUP(B361,'3 - LISTA DE ESPÉCIES'!B:H,7,FALSE()),IF(AND(A361=0,B361=0,C361&lt;&gt;0),VLOOKUP(C361,'3 - LISTA DE ESPÉCIES'!C:H,6,FALSE()))))</f>
        <v>0</v>
      </c>
      <c r="H361" s="21" t="b">
        <f>IF(AND(A361&lt;&gt;0,B361=0,C361=0),VLOOKUP(A361,'3 - LISTA DE ESPÉCIES'!A:H,4,FALSE()),IF(AND(A361=0,B361&lt;&gt;0,C361=0),VLOOKUP(B361,'3 - LISTA DE ESPÉCIES'!B:H,3,FALSE()),IF(AND(A361=0,B361=0,C361&lt;&gt;0),VLOOKUP(C361,'3 - LISTA DE ESPÉCIES'!C:H,2,FALSE()))))</f>
        <v>0</v>
      </c>
      <c r="I361" s="21" t="b">
        <f>IF(AND(A361&lt;&gt;0,B361=0,C361=0),VLOOKUP(A361,'3 - LISTA DE ESPÉCIES'!A:H,5,FALSE()),IF(AND(A361=0,B361&lt;&gt;0,C361=0),VLOOKUP(B361,'3 - LISTA DE ESPÉCIES'!B:H,4,FALSE()),IF(AND(A361=0,B361=0,C361&lt;&gt;0),VLOOKUP(C361,'3 - LISTA DE ESPÉCIES'!C:H,3,FALSE()))))</f>
        <v>0</v>
      </c>
      <c r="J361" s="23"/>
      <c r="K361" s="23"/>
      <c r="L361" s="20"/>
      <c r="M361" s="20"/>
    </row>
    <row r="362" spans="1:13" x14ac:dyDescent="0.25">
      <c r="A362" s="20"/>
      <c r="B362" s="20"/>
      <c r="C362" s="20"/>
      <c r="E362" s="21" t="b">
        <f>IF(AND(A362&lt;&gt;0,B362=0,C362=0),VLOOKUP(A362,'3 - LISTA DE ESPÉCIES'!A:H,1,FALSE()),IF(AND(A362=0,B362&lt;&gt;0,C362=0),VLOOKUP(B362,'3 - LISTA DE ESPÉCIES'!B:H,5,FALSE()),IF(AND(A362=0,B362=0,C362&lt;&gt;0),VLOOKUP(C362,'3 - LISTA DE ESPÉCIES'!C:H,4,FALSE()))))</f>
        <v>0</v>
      </c>
      <c r="F362" s="21" t="b">
        <f>IF(AND(A362&lt;&gt;0,B362=0,C362=0),VLOOKUP(A362,'3 - LISTA DE ESPÉCIES'!A:H,2,FALSE()),IF(AND(A362=0,B362&lt;&gt;0,C362=0),VLOOKUP(B362,'3 - LISTA DE ESPÉCIES'!B:H,6,FALSE()),IF(AND(A362=0,B362=0,C362&lt;&gt;0),VLOOKUP(C362,'3 - LISTA DE ESPÉCIES'!C:H,5,FALSE()))))</f>
        <v>0</v>
      </c>
      <c r="G362" s="21" t="b">
        <f>IF(AND(A362&lt;&gt;0,B362=0,C362=0),VLOOKUP(A362,'3 - LISTA DE ESPÉCIES'!A:H,3,FALSE()),IF(AND(A362=0,B362&lt;&gt;0,C362=0),VLOOKUP(B362,'3 - LISTA DE ESPÉCIES'!B:H,7,FALSE()),IF(AND(A362=0,B362=0,C362&lt;&gt;0),VLOOKUP(C362,'3 - LISTA DE ESPÉCIES'!C:H,6,FALSE()))))</f>
        <v>0</v>
      </c>
      <c r="H362" s="21" t="b">
        <f>IF(AND(A362&lt;&gt;0,B362=0,C362=0),VLOOKUP(A362,'3 - LISTA DE ESPÉCIES'!A:H,4,FALSE()),IF(AND(A362=0,B362&lt;&gt;0,C362=0),VLOOKUP(B362,'3 - LISTA DE ESPÉCIES'!B:H,3,FALSE()),IF(AND(A362=0,B362=0,C362&lt;&gt;0),VLOOKUP(C362,'3 - LISTA DE ESPÉCIES'!C:H,2,FALSE()))))</f>
        <v>0</v>
      </c>
      <c r="I362" s="21" t="b">
        <f>IF(AND(A362&lt;&gt;0,B362=0,C362=0),VLOOKUP(A362,'3 - LISTA DE ESPÉCIES'!A:H,5,FALSE()),IF(AND(A362=0,B362&lt;&gt;0,C362=0),VLOOKUP(B362,'3 - LISTA DE ESPÉCIES'!B:H,4,FALSE()),IF(AND(A362=0,B362=0,C362&lt;&gt;0),VLOOKUP(C362,'3 - LISTA DE ESPÉCIES'!C:H,3,FALSE()))))</f>
        <v>0</v>
      </c>
      <c r="J362" s="23"/>
      <c r="K362" s="23"/>
      <c r="L362" s="20"/>
      <c r="M362" s="20"/>
    </row>
    <row r="363" spans="1:13" x14ac:dyDescent="0.25">
      <c r="A363" s="20"/>
      <c r="B363" s="20"/>
      <c r="C363" s="20"/>
      <c r="E363" s="21" t="b">
        <f>IF(AND(A363&lt;&gt;0,B363=0,C363=0),VLOOKUP(A363,'3 - LISTA DE ESPÉCIES'!A:H,1,FALSE()),IF(AND(A363=0,B363&lt;&gt;0,C363=0),VLOOKUP(B363,'3 - LISTA DE ESPÉCIES'!B:H,5,FALSE()),IF(AND(A363=0,B363=0,C363&lt;&gt;0),VLOOKUP(C363,'3 - LISTA DE ESPÉCIES'!C:H,4,FALSE()))))</f>
        <v>0</v>
      </c>
      <c r="F363" s="21" t="b">
        <f>IF(AND(A363&lt;&gt;0,B363=0,C363=0),VLOOKUP(A363,'3 - LISTA DE ESPÉCIES'!A:H,2,FALSE()),IF(AND(A363=0,B363&lt;&gt;0,C363=0),VLOOKUP(B363,'3 - LISTA DE ESPÉCIES'!B:H,6,FALSE()),IF(AND(A363=0,B363=0,C363&lt;&gt;0),VLOOKUP(C363,'3 - LISTA DE ESPÉCIES'!C:H,5,FALSE()))))</f>
        <v>0</v>
      </c>
      <c r="G363" s="21" t="b">
        <f>IF(AND(A363&lt;&gt;0,B363=0,C363=0),VLOOKUP(A363,'3 - LISTA DE ESPÉCIES'!A:H,3,FALSE()),IF(AND(A363=0,B363&lt;&gt;0,C363=0),VLOOKUP(B363,'3 - LISTA DE ESPÉCIES'!B:H,7,FALSE()),IF(AND(A363=0,B363=0,C363&lt;&gt;0),VLOOKUP(C363,'3 - LISTA DE ESPÉCIES'!C:H,6,FALSE()))))</f>
        <v>0</v>
      </c>
      <c r="H363" s="21" t="b">
        <f>IF(AND(A363&lt;&gt;0,B363=0,C363=0),VLOOKUP(A363,'3 - LISTA DE ESPÉCIES'!A:H,4,FALSE()),IF(AND(A363=0,B363&lt;&gt;0,C363=0),VLOOKUP(B363,'3 - LISTA DE ESPÉCIES'!B:H,3,FALSE()),IF(AND(A363=0,B363=0,C363&lt;&gt;0),VLOOKUP(C363,'3 - LISTA DE ESPÉCIES'!C:H,2,FALSE()))))</f>
        <v>0</v>
      </c>
      <c r="I363" s="21" t="b">
        <f>IF(AND(A363&lt;&gt;0,B363=0,C363=0),VLOOKUP(A363,'3 - LISTA DE ESPÉCIES'!A:H,5,FALSE()),IF(AND(A363=0,B363&lt;&gt;0,C363=0),VLOOKUP(B363,'3 - LISTA DE ESPÉCIES'!B:H,4,FALSE()),IF(AND(A363=0,B363=0,C363&lt;&gt;0),VLOOKUP(C363,'3 - LISTA DE ESPÉCIES'!C:H,3,FALSE()))))</f>
        <v>0</v>
      </c>
      <c r="J363" s="23"/>
      <c r="K363" s="23"/>
      <c r="L363" s="20"/>
      <c r="M363" s="20"/>
    </row>
    <row r="364" spans="1:13" x14ac:dyDescent="0.25">
      <c r="A364" s="20"/>
      <c r="B364" s="20"/>
      <c r="C364" s="20"/>
      <c r="E364" s="21" t="b">
        <f>IF(AND(A364&lt;&gt;0,B364=0,C364=0),VLOOKUP(A364,'3 - LISTA DE ESPÉCIES'!A:H,1,FALSE()),IF(AND(A364=0,B364&lt;&gt;0,C364=0),VLOOKUP(B364,'3 - LISTA DE ESPÉCIES'!B:H,5,FALSE()),IF(AND(A364=0,B364=0,C364&lt;&gt;0),VLOOKUP(C364,'3 - LISTA DE ESPÉCIES'!C:H,4,FALSE()))))</f>
        <v>0</v>
      </c>
      <c r="F364" s="21" t="b">
        <f>IF(AND(A364&lt;&gt;0,B364=0,C364=0),VLOOKUP(A364,'3 - LISTA DE ESPÉCIES'!A:H,2,FALSE()),IF(AND(A364=0,B364&lt;&gt;0,C364=0),VLOOKUP(B364,'3 - LISTA DE ESPÉCIES'!B:H,6,FALSE()),IF(AND(A364=0,B364=0,C364&lt;&gt;0),VLOOKUP(C364,'3 - LISTA DE ESPÉCIES'!C:H,5,FALSE()))))</f>
        <v>0</v>
      </c>
      <c r="G364" s="21" t="b">
        <f>IF(AND(A364&lt;&gt;0,B364=0,C364=0),VLOOKUP(A364,'3 - LISTA DE ESPÉCIES'!A:H,3,FALSE()),IF(AND(A364=0,B364&lt;&gt;0,C364=0),VLOOKUP(B364,'3 - LISTA DE ESPÉCIES'!B:H,7,FALSE()),IF(AND(A364=0,B364=0,C364&lt;&gt;0),VLOOKUP(C364,'3 - LISTA DE ESPÉCIES'!C:H,6,FALSE()))))</f>
        <v>0</v>
      </c>
      <c r="H364" s="21" t="b">
        <f>IF(AND(A364&lt;&gt;0,B364=0,C364=0),VLOOKUP(A364,'3 - LISTA DE ESPÉCIES'!A:H,4,FALSE()),IF(AND(A364=0,B364&lt;&gt;0,C364=0),VLOOKUP(B364,'3 - LISTA DE ESPÉCIES'!B:H,3,FALSE()),IF(AND(A364=0,B364=0,C364&lt;&gt;0),VLOOKUP(C364,'3 - LISTA DE ESPÉCIES'!C:H,2,FALSE()))))</f>
        <v>0</v>
      </c>
      <c r="I364" s="21" t="b">
        <f>IF(AND(A364&lt;&gt;0,B364=0,C364=0),VLOOKUP(A364,'3 - LISTA DE ESPÉCIES'!A:H,5,FALSE()),IF(AND(A364=0,B364&lt;&gt;0,C364=0),VLOOKUP(B364,'3 - LISTA DE ESPÉCIES'!B:H,4,FALSE()),IF(AND(A364=0,B364=0,C364&lt;&gt;0),VLOOKUP(C364,'3 - LISTA DE ESPÉCIES'!C:H,3,FALSE()))))</f>
        <v>0</v>
      </c>
      <c r="J364" s="23"/>
      <c r="K364" s="23"/>
      <c r="L364" s="20"/>
      <c r="M364" s="20"/>
    </row>
    <row r="365" spans="1:13" x14ac:dyDescent="0.25">
      <c r="A365" s="20"/>
      <c r="B365" s="20"/>
      <c r="C365" s="20"/>
      <c r="E365" s="21" t="b">
        <f>IF(AND(A365&lt;&gt;0,B365=0,C365=0),VLOOKUP(A365,'3 - LISTA DE ESPÉCIES'!A:H,1,FALSE()),IF(AND(A365=0,B365&lt;&gt;0,C365=0),VLOOKUP(B365,'3 - LISTA DE ESPÉCIES'!B:H,5,FALSE()),IF(AND(A365=0,B365=0,C365&lt;&gt;0),VLOOKUP(C365,'3 - LISTA DE ESPÉCIES'!C:H,4,FALSE()))))</f>
        <v>0</v>
      </c>
      <c r="F365" s="21" t="b">
        <f>IF(AND(A365&lt;&gt;0,B365=0,C365=0),VLOOKUP(A365,'3 - LISTA DE ESPÉCIES'!A:H,2,FALSE()),IF(AND(A365=0,B365&lt;&gt;0,C365=0),VLOOKUP(B365,'3 - LISTA DE ESPÉCIES'!B:H,6,FALSE()),IF(AND(A365=0,B365=0,C365&lt;&gt;0),VLOOKUP(C365,'3 - LISTA DE ESPÉCIES'!C:H,5,FALSE()))))</f>
        <v>0</v>
      </c>
      <c r="G365" s="21" t="b">
        <f>IF(AND(A365&lt;&gt;0,B365=0,C365=0),VLOOKUP(A365,'3 - LISTA DE ESPÉCIES'!A:H,3,FALSE()),IF(AND(A365=0,B365&lt;&gt;0,C365=0),VLOOKUP(B365,'3 - LISTA DE ESPÉCIES'!B:H,7,FALSE()),IF(AND(A365=0,B365=0,C365&lt;&gt;0),VLOOKUP(C365,'3 - LISTA DE ESPÉCIES'!C:H,6,FALSE()))))</f>
        <v>0</v>
      </c>
      <c r="H365" s="21" t="b">
        <f>IF(AND(A365&lt;&gt;0,B365=0,C365=0),VLOOKUP(A365,'3 - LISTA DE ESPÉCIES'!A:H,4,FALSE()),IF(AND(A365=0,B365&lt;&gt;0,C365=0),VLOOKUP(B365,'3 - LISTA DE ESPÉCIES'!B:H,3,FALSE()),IF(AND(A365=0,B365=0,C365&lt;&gt;0),VLOOKUP(C365,'3 - LISTA DE ESPÉCIES'!C:H,2,FALSE()))))</f>
        <v>0</v>
      </c>
      <c r="I365" s="21" t="b">
        <f>IF(AND(A365&lt;&gt;0,B365=0,C365=0),VLOOKUP(A365,'3 - LISTA DE ESPÉCIES'!A:H,5,FALSE()),IF(AND(A365=0,B365&lt;&gt;0,C365=0),VLOOKUP(B365,'3 - LISTA DE ESPÉCIES'!B:H,4,FALSE()),IF(AND(A365=0,B365=0,C365&lt;&gt;0),VLOOKUP(C365,'3 - LISTA DE ESPÉCIES'!C:H,3,FALSE()))))</f>
        <v>0</v>
      </c>
      <c r="J365" s="23"/>
      <c r="K365" s="23"/>
      <c r="L365" s="20"/>
      <c r="M365" s="20"/>
    </row>
    <row r="366" spans="1:13" x14ac:dyDescent="0.25">
      <c r="A366" s="20"/>
      <c r="B366" s="20"/>
      <c r="C366" s="20"/>
      <c r="E366" s="21" t="b">
        <f>IF(AND(A366&lt;&gt;0,B366=0,C366=0),VLOOKUP(A366,'3 - LISTA DE ESPÉCIES'!A:H,1,FALSE()),IF(AND(A366=0,B366&lt;&gt;0,C366=0),VLOOKUP(B366,'3 - LISTA DE ESPÉCIES'!B:H,5,FALSE()),IF(AND(A366=0,B366=0,C366&lt;&gt;0),VLOOKUP(C366,'3 - LISTA DE ESPÉCIES'!C:H,4,FALSE()))))</f>
        <v>0</v>
      </c>
      <c r="F366" s="21" t="b">
        <f>IF(AND(A366&lt;&gt;0,B366=0,C366=0),VLOOKUP(A366,'3 - LISTA DE ESPÉCIES'!A:H,2,FALSE()),IF(AND(A366=0,B366&lt;&gt;0,C366=0),VLOOKUP(B366,'3 - LISTA DE ESPÉCIES'!B:H,6,FALSE()),IF(AND(A366=0,B366=0,C366&lt;&gt;0),VLOOKUP(C366,'3 - LISTA DE ESPÉCIES'!C:H,5,FALSE()))))</f>
        <v>0</v>
      </c>
      <c r="G366" s="21" t="b">
        <f>IF(AND(A366&lt;&gt;0,B366=0,C366=0),VLOOKUP(A366,'3 - LISTA DE ESPÉCIES'!A:H,3,FALSE()),IF(AND(A366=0,B366&lt;&gt;0,C366=0),VLOOKUP(B366,'3 - LISTA DE ESPÉCIES'!B:H,7,FALSE()),IF(AND(A366=0,B366=0,C366&lt;&gt;0),VLOOKUP(C366,'3 - LISTA DE ESPÉCIES'!C:H,6,FALSE()))))</f>
        <v>0</v>
      </c>
      <c r="H366" s="21" t="b">
        <f>IF(AND(A366&lt;&gt;0,B366=0,C366=0),VLOOKUP(A366,'3 - LISTA DE ESPÉCIES'!A:H,4,FALSE()),IF(AND(A366=0,B366&lt;&gt;0,C366=0),VLOOKUP(B366,'3 - LISTA DE ESPÉCIES'!B:H,3,FALSE()),IF(AND(A366=0,B366=0,C366&lt;&gt;0),VLOOKUP(C366,'3 - LISTA DE ESPÉCIES'!C:H,2,FALSE()))))</f>
        <v>0</v>
      </c>
      <c r="I366" s="21" t="b">
        <f>IF(AND(A366&lt;&gt;0,B366=0,C366=0),VLOOKUP(A366,'3 - LISTA DE ESPÉCIES'!A:H,5,FALSE()),IF(AND(A366=0,B366&lt;&gt;0,C366=0),VLOOKUP(B366,'3 - LISTA DE ESPÉCIES'!B:H,4,FALSE()),IF(AND(A366=0,B366=0,C366&lt;&gt;0),VLOOKUP(C366,'3 - LISTA DE ESPÉCIES'!C:H,3,FALSE()))))</f>
        <v>0</v>
      </c>
      <c r="J366" s="23"/>
      <c r="K366" s="23"/>
      <c r="L366" s="20"/>
      <c r="M366" s="20"/>
    </row>
    <row r="367" spans="1:13" x14ac:dyDescent="0.25">
      <c r="A367" s="20"/>
      <c r="B367" s="20"/>
      <c r="C367" s="20"/>
      <c r="E367" s="21" t="b">
        <f>IF(AND(A367&lt;&gt;0,B367=0,C367=0),VLOOKUP(A367,'3 - LISTA DE ESPÉCIES'!A:H,1,FALSE()),IF(AND(A367=0,B367&lt;&gt;0,C367=0),VLOOKUP(B367,'3 - LISTA DE ESPÉCIES'!B:H,5,FALSE()),IF(AND(A367=0,B367=0,C367&lt;&gt;0),VLOOKUP(C367,'3 - LISTA DE ESPÉCIES'!C:H,4,FALSE()))))</f>
        <v>0</v>
      </c>
      <c r="F367" s="21" t="b">
        <f>IF(AND(A367&lt;&gt;0,B367=0,C367=0),VLOOKUP(A367,'3 - LISTA DE ESPÉCIES'!A:H,2,FALSE()),IF(AND(A367=0,B367&lt;&gt;0,C367=0),VLOOKUP(B367,'3 - LISTA DE ESPÉCIES'!B:H,6,FALSE()),IF(AND(A367=0,B367=0,C367&lt;&gt;0),VLOOKUP(C367,'3 - LISTA DE ESPÉCIES'!C:H,5,FALSE()))))</f>
        <v>0</v>
      </c>
      <c r="G367" s="21" t="b">
        <f>IF(AND(A367&lt;&gt;0,B367=0,C367=0),VLOOKUP(A367,'3 - LISTA DE ESPÉCIES'!A:H,3,FALSE()),IF(AND(A367=0,B367&lt;&gt;0,C367=0),VLOOKUP(B367,'3 - LISTA DE ESPÉCIES'!B:H,7,FALSE()),IF(AND(A367=0,B367=0,C367&lt;&gt;0),VLOOKUP(C367,'3 - LISTA DE ESPÉCIES'!C:H,6,FALSE()))))</f>
        <v>0</v>
      </c>
      <c r="H367" s="21" t="b">
        <f>IF(AND(A367&lt;&gt;0,B367=0,C367=0),VLOOKUP(A367,'3 - LISTA DE ESPÉCIES'!A:H,4,FALSE()),IF(AND(A367=0,B367&lt;&gt;0,C367=0),VLOOKUP(B367,'3 - LISTA DE ESPÉCIES'!B:H,3,FALSE()),IF(AND(A367=0,B367=0,C367&lt;&gt;0),VLOOKUP(C367,'3 - LISTA DE ESPÉCIES'!C:H,2,FALSE()))))</f>
        <v>0</v>
      </c>
      <c r="I367" s="21" t="b">
        <f>IF(AND(A367&lt;&gt;0,B367=0,C367=0),VLOOKUP(A367,'3 - LISTA DE ESPÉCIES'!A:H,5,FALSE()),IF(AND(A367=0,B367&lt;&gt;0,C367=0),VLOOKUP(B367,'3 - LISTA DE ESPÉCIES'!B:H,4,FALSE()),IF(AND(A367=0,B367=0,C367&lt;&gt;0),VLOOKUP(C367,'3 - LISTA DE ESPÉCIES'!C:H,3,FALSE()))))</f>
        <v>0</v>
      </c>
      <c r="J367" s="23"/>
      <c r="K367" s="23"/>
      <c r="L367" s="20"/>
      <c r="M367" s="20"/>
    </row>
    <row r="368" spans="1:13" x14ac:dyDescent="0.25">
      <c r="A368" s="20"/>
      <c r="B368" s="20"/>
      <c r="C368" s="20"/>
      <c r="E368" s="21" t="b">
        <f>IF(AND(A368&lt;&gt;0,B368=0,C368=0),VLOOKUP(A368,'3 - LISTA DE ESPÉCIES'!A:H,1,FALSE()),IF(AND(A368=0,B368&lt;&gt;0,C368=0),VLOOKUP(B368,'3 - LISTA DE ESPÉCIES'!B:H,5,FALSE()),IF(AND(A368=0,B368=0,C368&lt;&gt;0),VLOOKUP(C368,'3 - LISTA DE ESPÉCIES'!C:H,4,FALSE()))))</f>
        <v>0</v>
      </c>
      <c r="F368" s="21" t="b">
        <f>IF(AND(A368&lt;&gt;0,B368=0,C368=0),VLOOKUP(A368,'3 - LISTA DE ESPÉCIES'!A:H,2,FALSE()),IF(AND(A368=0,B368&lt;&gt;0,C368=0),VLOOKUP(B368,'3 - LISTA DE ESPÉCIES'!B:H,6,FALSE()),IF(AND(A368=0,B368=0,C368&lt;&gt;0),VLOOKUP(C368,'3 - LISTA DE ESPÉCIES'!C:H,5,FALSE()))))</f>
        <v>0</v>
      </c>
      <c r="G368" s="21" t="b">
        <f>IF(AND(A368&lt;&gt;0,B368=0,C368=0),VLOOKUP(A368,'3 - LISTA DE ESPÉCIES'!A:H,3,FALSE()),IF(AND(A368=0,B368&lt;&gt;0,C368=0),VLOOKUP(B368,'3 - LISTA DE ESPÉCIES'!B:H,7,FALSE()),IF(AND(A368=0,B368=0,C368&lt;&gt;0),VLOOKUP(C368,'3 - LISTA DE ESPÉCIES'!C:H,6,FALSE()))))</f>
        <v>0</v>
      </c>
      <c r="H368" s="21" t="b">
        <f>IF(AND(A368&lt;&gt;0,B368=0,C368=0),VLOOKUP(A368,'3 - LISTA DE ESPÉCIES'!A:H,4,FALSE()),IF(AND(A368=0,B368&lt;&gt;0,C368=0),VLOOKUP(B368,'3 - LISTA DE ESPÉCIES'!B:H,3,FALSE()),IF(AND(A368=0,B368=0,C368&lt;&gt;0),VLOOKUP(C368,'3 - LISTA DE ESPÉCIES'!C:H,2,FALSE()))))</f>
        <v>0</v>
      </c>
      <c r="I368" s="21" t="b">
        <f>IF(AND(A368&lt;&gt;0,B368=0,C368=0),VLOOKUP(A368,'3 - LISTA DE ESPÉCIES'!A:H,5,FALSE()),IF(AND(A368=0,B368&lt;&gt;0,C368=0),VLOOKUP(B368,'3 - LISTA DE ESPÉCIES'!B:H,4,FALSE()),IF(AND(A368=0,B368=0,C368&lt;&gt;0),VLOOKUP(C368,'3 - LISTA DE ESPÉCIES'!C:H,3,FALSE()))))</f>
        <v>0</v>
      </c>
      <c r="J368" s="23"/>
      <c r="K368" s="23"/>
      <c r="L368" s="20"/>
      <c r="M368" s="20"/>
    </row>
    <row r="369" spans="1:13" x14ac:dyDescent="0.25">
      <c r="A369" s="20"/>
      <c r="B369" s="20"/>
      <c r="C369" s="20"/>
      <c r="E369" s="21" t="b">
        <f>IF(AND(A369&lt;&gt;0,B369=0,C369=0),VLOOKUP(A369,'3 - LISTA DE ESPÉCIES'!A:H,1,FALSE()),IF(AND(A369=0,B369&lt;&gt;0,C369=0),VLOOKUP(B369,'3 - LISTA DE ESPÉCIES'!B:H,5,FALSE()),IF(AND(A369=0,B369=0,C369&lt;&gt;0),VLOOKUP(C369,'3 - LISTA DE ESPÉCIES'!C:H,4,FALSE()))))</f>
        <v>0</v>
      </c>
      <c r="F369" s="21" t="b">
        <f>IF(AND(A369&lt;&gt;0,B369=0,C369=0),VLOOKUP(A369,'3 - LISTA DE ESPÉCIES'!A:H,2,FALSE()),IF(AND(A369=0,B369&lt;&gt;0,C369=0),VLOOKUP(B369,'3 - LISTA DE ESPÉCIES'!B:H,6,FALSE()),IF(AND(A369=0,B369=0,C369&lt;&gt;0),VLOOKUP(C369,'3 - LISTA DE ESPÉCIES'!C:H,5,FALSE()))))</f>
        <v>0</v>
      </c>
      <c r="G369" s="21" t="b">
        <f>IF(AND(A369&lt;&gt;0,B369=0,C369=0),VLOOKUP(A369,'3 - LISTA DE ESPÉCIES'!A:H,3,FALSE()),IF(AND(A369=0,B369&lt;&gt;0,C369=0),VLOOKUP(B369,'3 - LISTA DE ESPÉCIES'!B:H,7,FALSE()),IF(AND(A369=0,B369=0,C369&lt;&gt;0),VLOOKUP(C369,'3 - LISTA DE ESPÉCIES'!C:H,6,FALSE()))))</f>
        <v>0</v>
      </c>
      <c r="H369" s="21" t="b">
        <f>IF(AND(A369&lt;&gt;0,B369=0,C369=0),VLOOKUP(A369,'3 - LISTA DE ESPÉCIES'!A:H,4,FALSE()),IF(AND(A369=0,B369&lt;&gt;0,C369=0),VLOOKUP(B369,'3 - LISTA DE ESPÉCIES'!B:H,3,FALSE()),IF(AND(A369=0,B369=0,C369&lt;&gt;0),VLOOKUP(C369,'3 - LISTA DE ESPÉCIES'!C:H,2,FALSE()))))</f>
        <v>0</v>
      </c>
      <c r="I369" s="21" t="b">
        <f>IF(AND(A369&lt;&gt;0,B369=0,C369=0),VLOOKUP(A369,'3 - LISTA DE ESPÉCIES'!A:H,5,FALSE()),IF(AND(A369=0,B369&lt;&gt;0,C369=0),VLOOKUP(B369,'3 - LISTA DE ESPÉCIES'!B:H,4,FALSE()),IF(AND(A369=0,B369=0,C369&lt;&gt;0),VLOOKUP(C369,'3 - LISTA DE ESPÉCIES'!C:H,3,FALSE()))))</f>
        <v>0</v>
      </c>
      <c r="J369" s="23"/>
      <c r="K369" s="23"/>
      <c r="L369" s="20"/>
      <c r="M369" s="20"/>
    </row>
    <row r="370" spans="1:13" x14ac:dyDescent="0.25">
      <c r="A370" s="20"/>
      <c r="B370" s="20"/>
      <c r="C370" s="20"/>
      <c r="E370" s="21" t="b">
        <f>IF(AND(A370&lt;&gt;0,B370=0,C370=0),VLOOKUP(A370,'3 - LISTA DE ESPÉCIES'!A:H,1,FALSE()),IF(AND(A370=0,B370&lt;&gt;0,C370=0),VLOOKUP(B370,'3 - LISTA DE ESPÉCIES'!B:H,5,FALSE()),IF(AND(A370=0,B370=0,C370&lt;&gt;0),VLOOKUP(C370,'3 - LISTA DE ESPÉCIES'!C:H,4,FALSE()))))</f>
        <v>0</v>
      </c>
      <c r="F370" s="21" t="b">
        <f>IF(AND(A370&lt;&gt;0,B370=0,C370=0),VLOOKUP(A370,'3 - LISTA DE ESPÉCIES'!A:H,2,FALSE()),IF(AND(A370=0,B370&lt;&gt;0,C370=0),VLOOKUP(B370,'3 - LISTA DE ESPÉCIES'!B:H,6,FALSE()),IF(AND(A370=0,B370=0,C370&lt;&gt;0),VLOOKUP(C370,'3 - LISTA DE ESPÉCIES'!C:H,5,FALSE()))))</f>
        <v>0</v>
      </c>
      <c r="G370" s="21" t="b">
        <f>IF(AND(A370&lt;&gt;0,B370=0,C370=0),VLOOKUP(A370,'3 - LISTA DE ESPÉCIES'!A:H,3,FALSE()),IF(AND(A370=0,B370&lt;&gt;0,C370=0),VLOOKUP(B370,'3 - LISTA DE ESPÉCIES'!B:H,7,FALSE()),IF(AND(A370=0,B370=0,C370&lt;&gt;0),VLOOKUP(C370,'3 - LISTA DE ESPÉCIES'!C:H,6,FALSE()))))</f>
        <v>0</v>
      </c>
      <c r="H370" s="21" t="b">
        <f>IF(AND(A370&lt;&gt;0,B370=0,C370=0),VLOOKUP(A370,'3 - LISTA DE ESPÉCIES'!A:H,4,FALSE()),IF(AND(A370=0,B370&lt;&gt;0,C370=0),VLOOKUP(B370,'3 - LISTA DE ESPÉCIES'!B:H,3,FALSE()),IF(AND(A370=0,B370=0,C370&lt;&gt;0),VLOOKUP(C370,'3 - LISTA DE ESPÉCIES'!C:H,2,FALSE()))))</f>
        <v>0</v>
      </c>
      <c r="I370" s="21" t="b">
        <f>IF(AND(A370&lt;&gt;0,B370=0,C370=0),VLOOKUP(A370,'3 - LISTA DE ESPÉCIES'!A:H,5,FALSE()),IF(AND(A370=0,B370&lt;&gt;0,C370=0),VLOOKUP(B370,'3 - LISTA DE ESPÉCIES'!B:H,4,FALSE()),IF(AND(A370=0,B370=0,C370&lt;&gt;0),VLOOKUP(C370,'3 - LISTA DE ESPÉCIES'!C:H,3,FALSE()))))</f>
        <v>0</v>
      </c>
      <c r="J370" s="23"/>
      <c r="K370" s="23"/>
      <c r="L370" s="20"/>
      <c r="M370" s="20"/>
    </row>
    <row r="371" spans="1:13" x14ac:dyDescent="0.25">
      <c r="A371" s="20"/>
      <c r="B371" s="20"/>
      <c r="C371" s="20"/>
      <c r="E371" s="21" t="b">
        <f>IF(AND(A371&lt;&gt;0,B371=0,C371=0),VLOOKUP(A371,'3 - LISTA DE ESPÉCIES'!A:H,1,FALSE()),IF(AND(A371=0,B371&lt;&gt;0,C371=0),VLOOKUP(B371,'3 - LISTA DE ESPÉCIES'!B:H,5,FALSE()),IF(AND(A371=0,B371=0,C371&lt;&gt;0),VLOOKUP(C371,'3 - LISTA DE ESPÉCIES'!C:H,4,FALSE()))))</f>
        <v>0</v>
      </c>
      <c r="F371" s="21" t="b">
        <f>IF(AND(A371&lt;&gt;0,B371=0,C371=0),VLOOKUP(A371,'3 - LISTA DE ESPÉCIES'!A:H,2,FALSE()),IF(AND(A371=0,B371&lt;&gt;0,C371=0),VLOOKUP(B371,'3 - LISTA DE ESPÉCIES'!B:H,6,FALSE()),IF(AND(A371=0,B371=0,C371&lt;&gt;0),VLOOKUP(C371,'3 - LISTA DE ESPÉCIES'!C:H,5,FALSE()))))</f>
        <v>0</v>
      </c>
      <c r="G371" s="21" t="b">
        <f>IF(AND(A371&lt;&gt;0,B371=0,C371=0),VLOOKUP(A371,'3 - LISTA DE ESPÉCIES'!A:H,3,FALSE()),IF(AND(A371=0,B371&lt;&gt;0,C371=0),VLOOKUP(B371,'3 - LISTA DE ESPÉCIES'!B:H,7,FALSE()),IF(AND(A371=0,B371=0,C371&lt;&gt;0),VLOOKUP(C371,'3 - LISTA DE ESPÉCIES'!C:H,6,FALSE()))))</f>
        <v>0</v>
      </c>
      <c r="H371" s="21" t="b">
        <f>IF(AND(A371&lt;&gt;0,B371=0,C371=0),VLOOKUP(A371,'3 - LISTA DE ESPÉCIES'!A:H,4,FALSE()),IF(AND(A371=0,B371&lt;&gt;0,C371=0),VLOOKUP(B371,'3 - LISTA DE ESPÉCIES'!B:H,3,FALSE()),IF(AND(A371=0,B371=0,C371&lt;&gt;0),VLOOKUP(C371,'3 - LISTA DE ESPÉCIES'!C:H,2,FALSE()))))</f>
        <v>0</v>
      </c>
      <c r="I371" s="21" t="b">
        <f>IF(AND(A371&lt;&gt;0,B371=0,C371=0),VLOOKUP(A371,'3 - LISTA DE ESPÉCIES'!A:H,5,FALSE()),IF(AND(A371=0,B371&lt;&gt;0,C371=0),VLOOKUP(B371,'3 - LISTA DE ESPÉCIES'!B:H,4,FALSE()),IF(AND(A371=0,B371=0,C371&lt;&gt;0),VLOOKUP(C371,'3 - LISTA DE ESPÉCIES'!C:H,3,FALSE()))))</f>
        <v>0</v>
      </c>
      <c r="J371" s="23"/>
      <c r="K371" s="23"/>
      <c r="L371" s="20"/>
      <c r="M371" s="20"/>
    </row>
    <row r="372" spans="1:13" x14ac:dyDescent="0.25">
      <c r="A372" s="20"/>
      <c r="B372" s="20"/>
      <c r="C372" s="20"/>
      <c r="E372" s="21" t="b">
        <f>IF(AND(A372&lt;&gt;0,B372=0,C372=0),VLOOKUP(A372,'3 - LISTA DE ESPÉCIES'!A:H,1,FALSE()),IF(AND(A372=0,B372&lt;&gt;0,C372=0),VLOOKUP(B372,'3 - LISTA DE ESPÉCIES'!B:H,5,FALSE()),IF(AND(A372=0,B372=0,C372&lt;&gt;0),VLOOKUP(C372,'3 - LISTA DE ESPÉCIES'!C:H,4,FALSE()))))</f>
        <v>0</v>
      </c>
      <c r="F372" s="21" t="b">
        <f>IF(AND(A372&lt;&gt;0,B372=0,C372=0),VLOOKUP(A372,'3 - LISTA DE ESPÉCIES'!A:H,2,FALSE()),IF(AND(A372=0,B372&lt;&gt;0,C372=0),VLOOKUP(B372,'3 - LISTA DE ESPÉCIES'!B:H,6,FALSE()),IF(AND(A372=0,B372=0,C372&lt;&gt;0),VLOOKUP(C372,'3 - LISTA DE ESPÉCIES'!C:H,5,FALSE()))))</f>
        <v>0</v>
      </c>
      <c r="G372" s="21" t="b">
        <f>IF(AND(A372&lt;&gt;0,B372=0,C372=0),VLOOKUP(A372,'3 - LISTA DE ESPÉCIES'!A:H,3,FALSE()),IF(AND(A372=0,B372&lt;&gt;0,C372=0),VLOOKUP(B372,'3 - LISTA DE ESPÉCIES'!B:H,7,FALSE()),IF(AND(A372=0,B372=0,C372&lt;&gt;0),VLOOKUP(C372,'3 - LISTA DE ESPÉCIES'!C:H,6,FALSE()))))</f>
        <v>0</v>
      </c>
      <c r="H372" s="21" t="b">
        <f>IF(AND(A372&lt;&gt;0,B372=0,C372=0),VLOOKUP(A372,'3 - LISTA DE ESPÉCIES'!A:H,4,FALSE()),IF(AND(A372=0,B372&lt;&gt;0,C372=0),VLOOKUP(B372,'3 - LISTA DE ESPÉCIES'!B:H,3,FALSE()),IF(AND(A372=0,B372=0,C372&lt;&gt;0),VLOOKUP(C372,'3 - LISTA DE ESPÉCIES'!C:H,2,FALSE()))))</f>
        <v>0</v>
      </c>
      <c r="I372" s="21" t="b">
        <f>IF(AND(A372&lt;&gt;0,B372=0,C372=0),VLOOKUP(A372,'3 - LISTA DE ESPÉCIES'!A:H,5,FALSE()),IF(AND(A372=0,B372&lt;&gt;0,C372=0),VLOOKUP(B372,'3 - LISTA DE ESPÉCIES'!B:H,4,FALSE()),IF(AND(A372=0,B372=0,C372&lt;&gt;0),VLOOKUP(C372,'3 - LISTA DE ESPÉCIES'!C:H,3,FALSE()))))</f>
        <v>0</v>
      </c>
      <c r="J372" s="23"/>
      <c r="K372" s="23"/>
      <c r="L372" s="20"/>
      <c r="M372" s="20"/>
    </row>
    <row r="373" spans="1:13" x14ac:dyDescent="0.25">
      <c r="A373" s="20"/>
      <c r="B373" s="20"/>
      <c r="C373" s="20"/>
      <c r="E373" s="21" t="b">
        <f>IF(AND(A373&lt;&gt;0,B373=0,C373=0),VLOOKUP(A373,'3 - LISTA DE ESPÉCIES'!A:H,1,FALSE()),IF(AND(A373=0,B373&lt;&gt;0,C373=0),VLOOKUP(B373,'3 - LISTA DE ESPÉCIES'!B:H,5,FALSE()),IF(AND(A373=0,B373=0,C373&lt;&gt;0),VLOOKUP(C373,'3 - LISTA DE ESPÉCIES'!C:H,4,FALSE()))))</f>
        <v>0</v>
      </c>
      <c r="F373" s="21" t="b">
        <f>IF(AND(A373&lt;&gt;0,B373=0,C373=0),VLOOKUP(A373,'3 - LISTA DE ESPÉCIES'!A:H,2,FALSE()),IF(AND(A373=0,B373&lt;&gt;0,C373=0),VLOOKUP(B373,'3 - LISTA DE ESPÉCIES'!B:H,6,FALSE()),IF(AND(A373=0,B373=0,C373&lt;&gt;0),VLOOKUP(C373,'3 - LISTA DE ESPÉCIES'!C:H,5,FALSE()))))</f>
        <v>0</v>
      </c>
      <c r="G373" s="21" t="b">
        <f>IF(AND(A373&lt;&gt;0,B373=0,C373=0),VLOOKUP(A373,'3 - LISTA DE ESPÉCIES'!A:H,3,FALSE()),IF(AND(A373=0,B373&lt;&gt;0,C373=0),VLOOKUP(B373,'3 - LISTA DE ESPÉCIES'!B:H,7,FALSE()),IF(AND(A373=0,B373=0,C373&lt;&gt;0),VLOOKUP(C373,'3 - LISTA DE ESPÉCIES'!C:H,6,FALSE()))))</f>
        <v>0</v>
      </c>
      <c r="H373" s="21" t="b">
        <f>IF(AND(A373&lt;&gt;0,B373=0,C373=0),VLOOKUP(A373,'3 - LISTA DE ESPÉCIES'!A:H,4,FALSE()),IF(AND(A373=0,B373&lt;&gt;0,C373=0),VLOOKUP(B373,'3 - LISTA DE ESPÉCIES'!B:H,3,FALSE()),IF(AND(A373=0,B373=0,C373&lt;&gt;0),VLOOKUP(C373,'3 - LISTA DE ESPÉCIES'!C:H,2,FALSE()))))</f>
        <v>0</v>
      </c>
      <c r="I373" s="21" t="b">
        <f>IF(AND(A373&lt;&gt;0,B373=0,C373=0),VLOOKUP(A373,'3 - LISTA DE ESPÉCIES'!A:H,5,FALSE()),IF(AND(A373=0,B373&lt;&gt;0,C373=0),VLOOKUP(B373,'3 - LISTA DE ESPÉCIES'!B:H,4,FALSE()),IF(AND(A373=0,B373=0,C373&lt;&gt;0),VLOOKUP(C373,'3 - LISTA DE ESPÉCIES'!C:H,3,FALSE()))))</f>
        <v>0</v>
      </c>
      <c r="J373" s="23"/>
      <c r="K373" s="23"/>
      <c r="L373" s="20"/>
      <c r="M373" s="20"/>
    </row>
    <row r="374" spans="1:13" x14ac:dyDescent="0.25">
      <c r="A374" s="20"/>
      <c r="B374" s="20"/>
      <c r="C374" s="20"/>
      <c r="E374" s="21" t="b">
        <f>IF(AND(A374&lt;&gt;0,B374=0,C374=0),VLOOKUP(A374,'3 - LISTA DE ESPÉCIES'!A:H,1,FALSE()),IF(AND(A374=0,B374&lt;&gt;0,C374=0),VLOOKUP(B374,'3 - LISTA DE ESPÉCIES'!B:H,5,FALSE()),IF(AND(A374=0,B374=0,C374&lt;&gt;0),VLOOKUP(C374,'3 - LISTA DE ESPÉCIES'!C:H,4,FALSE()))))</f>
        <v>0</v>
      </c>
      <c r="F374" s="21" t="b">
        <f>IF(AND(A374&lt;&gt;0,B374=0,C374=0),VLOOKUP(A374,'3 - LISTA DE ESPÉCIES'!A:H,2,FALSE()),IF(AND(A374=0,B374&lt;&gt;0,C374=0),VLOOKUP(B374,'3 - LISTA DE ESPÉCIES'!B:H,6,FALSE()),IF(AND(A374=0,B374=0,C374&lt;&gt;0),VLOOKUP(C374,'3 - LISTA DE ESPÉCIES'!C:H,5,FALSE()))))</f>
        <v>0</v>
      </c>
      <c r="G374" s="21" t="b">
        <f>IF(AND(A374&lt;&gt;0,B374=0,C374=0),VLOOKUP(A374,'3 - LISTA DE ESPÉCIES'!A:H,3,FALSE()),IF(AND(A374=0,B374&lt;&gt;0,C374=0),VLOOKUP(B374,'3 - LISTA DE ESPÉCIES'!B:H,7,FALSE()),IF(AND(A374=0,B374=0,C374&lt;&gt;0),VLOOKUP(C374,'3 - LISTA DE ESPÉCIES'!C:H,6,FALSE()))))</f>
        <v>0</v>
      </c>
      <c r="H374" s="21" t="b">
        <f>IF(AND(A374&lt;&gt;0,B374=0,C374=0),VLOOKUP(A374,'3 - LISTA DE ESPÉCIES'!A:H,4,FALSE()),IF(AND(A374=0,B374&lt;&gt;0,C374=0),VLOOKUP(B374,'3 - LISTA DE ESPÉCIES'!B:H,3,FALSE()),IF(AND(A374=0,B374=0,C374&lt;&gt;0),VLOOKUP(C374,'3 - LISTA DE ESPÉCIES'!C:H,2,FALSE()))))</f>
        <v>0</v>
      </c>
      <c r="I374" s="21" t="b">
        <f>IF(AND(A374&lt;&gt;0,B374=0,C374=0),VLOOKUP(A374,'3 - LISTA DE ESPÉCIES'!A:H,5,FALSE()),IF(AND(A374=0,B374&lt;&gt;0,C374=0),VLOOKUP(B374,'3 - LISTA DE ESPÉCIES'!B:H,4,FALSE()),IF(AND(A374=0,B374=0,C374&lt;&gt;0),VLOOKUP(C374,'3 - LISTA DE ESPÉCIES'!C:H,3,FALSE()))))</f>
        <v>0</v>
      </c>
      <c r="J374" s="23"/>
      <c r="K374" s="23"/>
      <c r="L374" s="20"/>
      <c r="M374" s="20"/>
    </row>
    <row r="375" spans="1:13" x14ac:dyDescent="0.25">
      <c r="A375" s="20"/>
      <c r="B375" s="20"/>
      <c r="C375" s="20"/>
      <c r="E375" s="21" t="b">
        <f>IF(AND(A375&lt;&gt;0,B375=0,C375=0),VLOOKUP(A375,'3 - LISTA DE ESPÉCIES'!A:H,1,FALSE()),IF(AND(A375=0,B375&lt;&gt;0,C375=0),VLOOKUP(B375,'3 - LISTA DE ESPÉCIES'!B:H,5,FALSE()),IF(AND(A375=0,B375=0,C375&lt;&gt;0),VLOOKUP(C375,'3 - LISTA DE ESPÉCIES'!C:H,4,FALSE()))))</f>
        <v>0</v>
      </c>
      <c r="F375" s="21" t="b">
        <f>IF(AND(A375&lt;&gt;0,B375=0,C375=0),VLOOKUP(A375,'3 - LISTA DE ESPÉCIES'!A:H,2,FALSE()),IF(AND(A375=0,B375&lt;&gt;0,C375=0),VLOOKUP(B375,'3 - LISTA DE ESPÉCIES'!B:H,6,FALSE()),IF(AND(A375=0,B375=0,C375&lt;&gt;0),VLOOKUP(C375,'3 - LISTA DE ESPÉCIES'!C:H,5,FALSE()))))</f>
        <v>0</v>
      </c>
      <c r="G375" s="21" t="b">
        <f>IF(AND(A375&lt;&gt;0,B375=0,C375=0),VLOOKUP(A375,'3 - LISTA DE ESPÉCIES'!A:H,3,FALSE()),IF(AND(A375=0,B375&lt;&gt;0,C375=0),VLOOKUP(B375,'3 - LISTA DE ESPÉCIES'!B:H,7,FALSE()),IF(AND(A375=0,B375=0,C375&lt;&gt;0),VLOOKUP(C375,'3 - LISTA DE ESPÉCIES'!C:H,6,FALSE()))))</f>
        <v>0</v>
      </c>
      <c r="H375" s="21" t="b">
        <f>IF(AND(A375&lt;&gt;0,B375=0,C375=0),VLOOKUP(A375,'3 - LISTA DE ESPÉCIES'!A:H,4,FALSE()),IF(AND(A375=0,B375&lt;&gt;0,C375=0),VLOOKUP(B375,'3 - LISTA DE ESPÉCIES'!B:H,3,FALSE()),IF(AND(A375=0,B375=0,C375&lt;&gt;0),VLOOKUP(C375,'3 - LISTA DE ESPÉCIES'!C:H,2,FALSE()))))</f>
        <v>0</v>
      </c>
      <c r="I375" s="21" t="b">
        <f>IF(AND(A375&lt;&gt;0,B375=0,C375=0),VLOOKUP(A375,'3 - LISTA DE ESPÉCIES'!A:H,5,FALSE()),IF(AND(A375=0,B375&lt;&gt;0,C375=0),VLOOKUP(B375,'3 - LISTA DE ESPÉCIES'!B:H,4,FALSE()),IF(AND(A375=0,B375=0,C375&lt;&gt;0),VLOOKUP(C375,'3 - LISTA DE ESPÉCIES'!C:H,3,FALSE()))))</f>
        <v>0</v>
      </c>
      <c r="J375" s="23"/>
      <c r="K375" s="23"/>
      <c r="L375" s="20"/>
      <c r="M375" s="20"/>
    </row>
    <row r="376" spans="1:13" x14ac:dyDescent="0.25">
      <c r="A376" s="20"/>
      <c r="B376" s="20"/>
      <c r="C376" s="20"/>
      <c r="E376" s="21" t="b">
        <f>IF(AND(A376&lt;&gt;0,B376=0,C376=0),VLOOKUP(A376,'3 - LISTA DE ESPÉCIES'!A:H,1,FALSE()),IF(AND(A376=0,B376&lt;&gt;0,C376=0),VLOOKUP(B376,'3 - LISTA DE ESPÉCIES'!B:H,5,FALSE()),IF(AND(A376=0,B376=0,C376&lt;&gt;0),VLOOKUP(C376,'3 - LISTA DE ESPÉCIES'!C:H,4,FALSE()))))</f>
        <v>0</v>
      </c>
      <c r="F376" s="21" t="b">
        <f>IF(AND(A376&lt;&gt;0,B376=0,C376=0),VLOOKUP(A376,'3 - LISTA DE ESPÉCIES'!A:H,2,FALSE()),IF(AND(A376=0,B376&lt;&gt;0,C376=0),VLOOKUP(B376,'3 - LISTA DE ESPÉCIES'!B:H,6,FALSE()),IF(AND(A376=0,B376=0,C376&lt;&gt;0),VLOOKUP(C376,'3 - LISTA DE ESPÉCIES'!C:H,5,FALSE()))))</f>
        <v>0</v>
      </c>
      <c r="G376" s="21" t="b">
        <f>IF(AND(A376&lt;&gt;0,B376=0,C376=0),VLOOKUP(A376,'3 - LISTA DE ESPÉCIES'!A:H,3,FALSE()),IF(AND(A376=0,B376&lt;&gt;0,C376=0),VLOOKUP(B376,'3 - LISTA DE ESPÉCIES'!B:H,7,FALSE()),IF(AND(A376=0,B376=0,C376&lt;&gt;0),VLOOKUP(C376,'3 - LISTA DE ESPÉCIES'!C:H,6,FALSE()))))</f>
        <v>0</v>
      </c>
      <c r="H376" s="21" t="b">
        <f>IF(AND(A376&lt;&gt;0,B376=0,C376=0),VLOOKUP(A376,'3 - LISTA DE ESPÉCIES'!A:H,4,FALSE()),IF(AND(A376=0,B376&lt;&gt;0,C376=0),VLOOKUP(B376,'3 - LISTA DE ESPÉCIES'!B:H,3,FALSE()),IF(AND(A376=0,B376=0,C376&lt;&gt;0),VLOOKUP(C376,'3 - LISTA DE ESPÉCIES'!C:H,2,FALSE()))))</f>
        <v>0</v>
      </c>
      <c r="I376" s="21" t="b">
        <f>IF(AND(A376&lt;&gt;0,B376=0,C376=0),VLOOKUP(A376,'3 - LISTA DE ESPÉCIES'!A:H,5,FALSE()),IF(AND(A376=0,B376&lt;&gt;0,C376=0),VLOOKUP(B376,'3 - LISTA DE ESPÉCIES'!B:H,4,FALSE()),IF(AND(A376=0,B376=0,C376&lt;&gt;0),VLOOKUP(C376,'3 - LISTA DE ESPÉCIES'!C:H,3,FALSE()))))</f>
        <v>0</v>
      </c>
      <c r="J376" s="23"/>
      <c r="K376" s="23"/>
      <c r="L376" s="20"/>
      <c r="M376" s="20"/>
    </row>
    <row r="377" spans="1:13" x14ac:dyDescent="0.25">
      <c r="A377" s="20"/>
      <c r="B377" s="20"/>
      <c r="C377" s="20"/>
      <c r="E377" s="21" t="b">
        <f>IF(AND(A377&lt;&gt;0,B377=0,C377=0),VLOOKUP(A377,'3 - LISTA DE ESPÉCIES'!A:H,1,FALSE()),IF(AND(A377=0,B377&lt;&gt;0,C377=0),VLOOKUP(B377,'3 - LISTA DE ESPÉCIES'!B:H,5,FALSE()),IF(AND(A377=0,B377=0,C377&lt;&gt;0),VLOOKUP(C377,'3 - LISTA DE ESPÉCIES'!C:H,4,FALSE()))))</f>
        <v>0</v>
      </c>
      <c r="F377" s="21" t="b">
        <f>IF(AND(A377&lt;&gt;0,B377=0,C377=0),VLOOKUP(A377,'3 - LISTA DE ESPÉCIES'!A:H,2,FALSE()),IF(AND(A377=0,B377&lt;&gt;0,C377=0),VLOOKUP(B377,'3 - LISTA DE ESPÉCIES'!B:H,6,FALSE()),IF(AND(A377=0,B377=0,C377&lt;&gt;0),VLOOKUP(C377,'3 - LISTA DE ESPÉCIES'!C:H,5,FALSE()))))</f>
        <v>0</v>
      </c>
      <c r="G377" s="21" t="b">
        <f>IF(AND(A377&lt;&gt;0,B377=0,C377=0),VLOOKUP(A377,'3 - LISTA DE ESPÉCIES'!A:H,3,FALSE()),IF(AND(A377=0,B377&lt;&gt;0,C377=0),VLOOKUP(B377,'3 - LISTA DE ESPÉCIES'!B:H,7,FALSE()),IF(AND(A377=0,B377=0,C377&lt;&gt;0),VLOOKUP(C377,'3 - LISTA DE ESPÉCIES'!C:H,6,FALSE()))))</f>
        <v>0</v>
      </c>
      <c r="H377" s="21" t="b">
        <f>IF(AND(A377&lt;&gt;0,B377=0,C377=0),VLOOKUP(A377,'3 - LISTA DE ESPÉCIES'!A:H,4,FALSE()),IF(AND(A377=0,B377&lt;&gt;0,C377=0),VLOOKUP(B377,'3 - LISTA DE ESPÉCIES'!B:H,3,FALSE()),IF(AND(A377=0,B377=0,C377&lt;&gt;0),VLOOKUP(C377,'3 - LISTA DE ESPÉCIES'!C:H,2,FALSE()))))</f>
        <v>0</v>
      </c>
      <c r="I377" s="21" t="b">
        <f>IF(AND(A377&lt;&gt;0,B377=0,C377=0),VLOOKUP(A377,'3 - LISTA DE ESPÉCIES'!A:H,5,FALSE()),IF(AND(A377=0,B377&lt;&gt;0,C377=0),VLOOKUP(B377,'3 - LISTA DE ESPÉCIES'!B:H,4,FALSE()),IF(AND(A377=0,B377=0,C377&lt;&gt;0),VLOOKUP(C377,'3 - LISTA DE ESPÉCIES'!C:H,3,FALSE()))))</f>
        <v>0</v>
      </c>
      <c r="J377" s="23"/>
      <c r="K377" s="23"/>
      <c r="L377" s="20"/>
      <c r="M377" s="20"/>
    </row>
    <row r="378" spans="1:13" x14ac:dyDescent="0.25">
      <c r="A378" s="20"/>
      <c r="B378" s="20"/>
      <c r="C378" s="20"/>
      <c r="E378" s="21" t="b">
        <f>IF(AND(A378&lt;&gt;0,B378=0,C378=0),VLOOKUP(A378,'3 - LISTA DE ESPÉCIES'!A:H,1,FALSE()),IF(AND(A378=0,B378&lt;&gt;0,C378=0),VLOOKUP(B378,'3 - LISTA DE ESPÉCIES'!B:H,5,FALSE()),IF(AND(A378=0,B378=0,C378&lt;&gt;0),VLOOKUP(C378,'3 - LISTA DE ESPÉCIES'!C:H,4,FALSE()))))</f>
        <v>0</v>
      </c>
      <c r="F378" s="21" t="b">
        <f>IF(AND(A378&lt;&gt;0,B378=0,C378=0),VLOOKUP(A378,'3 - LISTA DE ESPÉCIES'!A:H,2,FALSE()),IF(AND(A378=0,B378&lt;&gt;0,C378=0),VLOOKUP(B378,'3 - LISTA DE ESPÉCIES'!B:H,6,FALSE()),IF(AND(A378=0,B378=0,C378&lt;&gt;0),VLOOKUP(C378,'3 - LISTA DE ESPÉCIES'!C:H,5,FALSE()))))</f>
        <v>0</v>
      </c>
      <c r="G378" s="21" t="b">
        <f>IF(AND(A378&lt;&gt;0,B378=0,C378=0),VLOOKUP(A378,'3 - LISTA DE ESPÉCIES'!A:H,3,FALSE()),IF(AND(A378=0,B378&lt;&gt;0,C378=0),VLOOKUP(B378,'3 - LISTA DE ESPÉCIES'!B:H,7,FALSE()),IF(AND(A378=0,B378=0,C378&lt;&gt;0),VLOOKUP(C378,'3 - LISTA DE ESPÉCIES'!C:H,6,FALSE()))))</f>
        <v>0</v>
      </c>
      <c r="H378" s="21" t="b">
        <f>IF(AND(A378&lt;&gt;0,B378=0,C378=0),VLOOKUP(A378,'3 - LISTA DE ESPÉCIES'!A:H,4,FALSE()),IF(AND(A378=0,B378&lt;&gt;0,C378=0),VLOOKUP(B378,'3 - LISTA DE ESPÉCIES'!B:H,3,FALSE()),IF(AND(A378=0,B378=0,C378&lt;&gt;0),VLOOKUP(C378,'3 - LISTA DE ESPÉCIES'!C:H,2,FALSE()))))</f>
        <v>0</v>
      </c>
      <c r="I378" s="21" t="b">
        <f>IF(AND(A378&lt;&gt;0,B378=0,C378=0),VLOOKUP(A378,'3 - LISTA DE ESPÉCIES'!A:H,5,FALSE()),IF(AND(A378=0,B378&lt;&gt;0,C378=0),VLOOKUP(B378,'3 - LISTA DE ESPÉCIES'!B:H,4,FALSE()),IF(AND(A378=0,B378=0,C378&lt;&gt;0),VLOOKUP(C378,'3 - LISTA DE ESPÉCIES'!C:H,3,FALSE()))))</f>
        <v>0</v>
      </c>
      <c r="J378" s="23"/>
      <c r="K378" s="23"/>
      <c r="L378" s="20"/>
      <c r="M378" s="20"/>
    </row>
    <row r="379" spans="1:13" x14ac:dyDescent="0.25">
      <c r="A379" s="20"/>
      <c r="B379" s="20"/>
      <c r="C379" s="20"/>
      <c r="E379" s="21" t="b">
        <f>IF(AND(A379&lt;&gt;0,B379=0,C379=0),VLOOKUP(A379,'3 - LISTA DE ESPÉCIES'!A:H,1,FALSE()),IF(AND(A379=0,B379&lt;&gt;0,C379=0),VLOOKUP(B379,'3 - LISTA DE ESPÉCIES'!B:H,5,FALSE()),IF(AND(A379=0,B379=0,C379&lt;&gt;0),VLOOKUP(C379,'3 - LISTA DE ESPÉCIES'!C:H,4,FALSE()))))</f>
        <v>0</v>
      </c>
      <c r="F379" s="21" t="b">
        <f>IF(AND(A379&lt;&gt;0,B379=0,C379=0),VLOOKUP(A379,'3 - LISTA DE ESPÉCIES'!A:H,2,FALSE()),IF(AND(A379=0,B379&lt;&gt;0,C379=0),VLOOKUP(B379,'3 - LISTA DE ESPÉCIES'!B:H,6,FALSE()),IF(AND(A379=0,B379=0,C379&lt;&gt;0),VLOOKUP(C379,'3 - LISTA DE ESPÉCIES'!C:H,5,FALSE()))))</f>
        <v>0</v>
      </c>
      <c r="G379" s="21" t="b">
        <f>IF(AND(A379&lt;&gt;0,B379=0,C379=0),VLOOKUP(A379,'3 - LISTA DE ESPÉCIES'!A:H,3,FALSE()),IF(AND(A379=0,B379&lt;&gt;0,C379=0),VLOOKUP(B379,'3 - LISTA DE ESPÉCIES'!B:H,7,FALSE()),IF(AND(A379=0,B379=0,C379&lt;&gt;0),VLOOKUP(C379,'3 - LISTA DE ESPÉCIES'!C:H,6,FALSE()))))</f>
        <v>0</v>
      </c>
      <c r="H379" s="21" t="b">
        <f>IF(AND(A379&lt;&gt;0,B379=0,C379=0),VLOOKUP(A379,'3 - LISTA DE ESPÉCIES'!A:H,4,FALSE()),IF(AND(A379=0,B379&lt;&gt;0,C379=0),VLOOKUP(B379,'3 - LISTA DE ESPÉCIES'!B:H,3,FALSE()),IF(AND(A379=0,B379=0,C379&lt;&gt;0),VLOOKUP(C379,'3 - LISTA DE ESPÉCIES'!C:H,2,FALSE()))))</f>
        <v>0</v>
      </c>
      <c r="I379" s="21" t="b">
        <f>IF(AND(A379&lt;&gt;0,B379=0,C379=0),VLOOKUP(A379,'3 - LISTA DE ESPÉCIES'!A:H,5,FALSE()),IF(AND(A379=0,B379&lt;&gt;0,C379=0),VLOOKUP(B379,'3 - LISTA DE ESPÉCIES'!B:H,4,FALSE()),IF(AND(A379=0,B379=0,C379&lt;&gt;0),VLOOKUP(C379,'3 - LISTA DE ESPÉCIES'!C:H,3,FALSE()))))</f>
        <v>0</v>
      </c>
      <c r="J379" s="23"/>
      <c r="K379" s="23"/>
      <c r="L379" s="20"/>
      <c r="M379" s="20"/>
    </row>
    <row r="380" spans="1:13" x14ac:dyDescent="0.25">
      <c r="A380" s="20"/>
      <c r="B380" s="20"/>
      <c r="C380" s="20"/>
      <c r="E380" s="21" t="b">
        <f>IF(AND(A380&lt;&gt;0,B380=0,C380=0),VLOOKUP(A380,'3 - LISTA DE ESPÉCIES'!A:H,1,FALSE()),IF(AND(A380=0,B380&lt;&gt;0,C380=0),VLOOKUP(B380,'3 - LISTA DE ESPÉCIES'!B:H,5,FALSE()),IF(AND(A380=0,B380=0,C380&lt;&gt;0),VLOOKUP(C380,'3 - LISTA DE ESPÉCIES'!C:H,4,FALSE()))))</f>
        <v>0</v>
      </c>
      <c r="F380" s="21" t="b">
        <f>IF(AND(A380&lt;&gt;0,B380=0,C380=0),VLOOKUP(A380,'3 - LISTA DE ESPÉCIES'!A:H,2,FALSE()),IF(AND(A380=0,B380&lt;&gt;0,C380=0),VLOOKUP(B380,'3 - LISTA DE ESPÉCIES'!B:H,6,FALSE()),IF(AND(A380=0,B380=0,C380&lt;&gt;0),VLOOKUP(C380,'3 - LISTA DE ESPÉCIES'!C:H,5,FALSE()))))</f>
        <v>0</v>
      </c>
      <c r="G380" s="21" t="b">
        <f>IF(AND(A380&lt;&gt;0,B380=0,C380=0),VLOOKUP(A380,'3 - LISTA DE ESPÉCIES'!A:H,3,FALSE()),IF(AND(A380=0,B380&lt;&gt;0,C380=0),VLOOKUP(B380,'3 - LISTA DE ESPÉCIES'!B:H,7,FALSE()),IF(AND(A380=0,B380=0,C380&lt;&gt;0),VLOOKUP(C380,'3 - LISTA DE ESPÉCIES'!C:H,6,FALSE()))))</f>
        <v>0</v>
      </c>
      <c r="H380" s="21" t="b">
        <f>IF(AND(A380&lt;&gt;0,B380=0,C380=0),VLOOKUP(A380,'3 - LISTA DE ESPÉCIES'!A:H,4,FALSE()),IF(AND(A380=0,B380&lt;&gt;0,C380=0),VLOOKUP(B380,'3 - LISTA DE ESPÉCIES'!B:H,3,FALSE()),IF(AND(A380=0,B380=0,C380&lt;&gt;0),VLOOKUP(C380,'3 - LISTA DE ESPÉCIES'!C:H,2,FALSE()))))</f>
        <v>0</v>
      </c>
      <c r="I380" s="21" t="b">
        <f>IF(AND(A380&lt;&gt;0,B380=0,C380=0),VLOOKUP(A380,'3 - LISTA DE ESPÉCIES'!A:H,5,FALSE()),IF(AND(A380=0,B380&lt;&gt;0,C380=0),VLOOKUP(B380,'3 - LISTA DE ESPÉCIES'!B:H,4,FALSE()),IF(AND(A380=0,B380=0,C380&lt;&gt;0),VLOOKUP(C380,'3 - LISTA DE ESPÉCIES'!C:H,3,FALSE()))))</f>
        <v>0</v>
      </c>
      <c r="J380" s="23"/>
      <c r="K380" s="23"/>
      <c r="L380" s="20"/>
      <c r="M380" s="20"/>
    </row>
    <row r="381" spans="1:13" x14ac:dyDescent="0.25">
      <c r="A381" s="20"/>
      <c r="B381" s="20"/>
      <c r="C381" s="20"/>
      <c r="E381" s="21" t="b">
        <f>IF(AND(A381&lt;&gt;0,B381=0,C381=0),VLOOKUP(A381,'3 - LISTA DE ESPÉCIES'!A:H,1,FALSE()),IF(AND(A381=0,B381&lt;&gt;0,C381=0),VLOOKUP(B381,'3 - LISTA DE ESPÉCIES'!B:H,5,FALSE()),IF(AND(A381=0,B381=0,C381&lt;&gt;0),VLOOKUP(C381,'3 - LISTA DE ESPÉCIES'!C:H,4,FALSE()))))</f>
        <v>0</v>
      </c>
      <c r="F381" s="21" t="b">
        <f>IF(AND(A381&lt;&gt;0,B381=0,C381=0),VLOOKUP(A381,'3 - LISTA DE ESPÉCIES'!A:H,2,FALSE()),IF(AND(A381=0,B381&lt;&gt;0,C381=0),VLOOKUP(B381,'3 - LISTA DE ESPÉCIES'!B:H,6,FALSE()),IF(AND(A381=0,B381=0,C381&lt;&gt;0),VLOOKUP(C381,'3 - LISTA DE ESPÉCIES'!C:H,5,FALSE()))))</f>
        <v>0</v>
      </c>
      <c r="G381" s="21" t="b">
        <f>IF(AND(A381&lt;&gt;0,B381=0,C381=0),VLOOKUP(A381,'3 - LISTA DE ESPÉCIES'!A:H,3,FALSE()),IF(AND(A381=0,B381&lt;&gt;0,C381=0),VLOOKUP(B381,'3 - LISTA DE ESPÉCIES'!B:H,7,FALSE()),IF(AND(A381=0,B381=0,C381&lt;&gt;0),VLOOKUP(C381,'3 - LISTA DE ESPÉCIES'!C:H,6,FALSE()))))</f>
        <v>0</v>
      </c>
      <c r="H381" s="21" t="b">
        <f>IF(AND(A381&lt;&gt;0,B381=0,C381=0),VLOOKUP(A381,'3 - LISTA DE ESPÉCIES'!A:H,4,FALSE()),IF(AND(A381=0,B381&lt;&gt;0,C381=0),VLOOKUP(B381,'3 - LISTA DE ESPÉCIES'!B:H,3,FALSE()),IF(AND(A381=0,B381=0,C381&lt;&gt;0),VLOOKUP(C381,'3 - LISTA DE ESPÉCIES'!C:H,2,FALSE()))))</f>
        <v>0</v>
      </c>
      <c r="I381" s="21" t="b">
        <f>IF(AND(A381&lt;&gt;0,B381=0,C381=0),VLOOKUP(A381,'3 - LISTA DE ESPÉCIES'!A:H,5,FALSE()),IF(AND(A381=0,B381&lt;&gt;0,C381=0),VLOOKUP(B381,'3 - LISTA DE ESPÉCIES'!B:H,4,FALSE()),IF(AND(A381=0,B381=0,C381&lt;&gt;0),VLOOKUP(C381,'3 - LISTA DE ESPÉCIES'!C:H,3,FALSE()))))</f>
        <v>0</v>
      </c>
      <c r="J381" s="23"/>
      <c r="K381" s="23"/>
      <c r="L381" s="20"/>
      <c r="M381" s="20"/>
    </row>
    <row r="382" spans="1:13" x14ac:dyDescent="0.25">
      <c r="A382" s="20"/>
      <c r="B382" s="20"/>
      <c r="C382" s="20"/>
      <c r="E382" s="21" t="b">
        <f>IF(AND(A382&lt;&gt;0,B382=0,C382=0),VLOOKUP(A382,'3 - LISTA DE ESPÉCIES'!A:H,1,FALSE()),IF(AND(A382=0,B382&lt;&gt;0,C382=0),VLOOKUP(B382,'3 - LISTA DE ESPÉCIES'!B:H,5,FALSE()),IF(AND(A382=0,B382=0,C382&lt;&gt;0),VLOOKUP(C382,'3 - LISTA DE ESPÉCIES'!C:H,4,FALSE()))))</f>
        <v>0</v>
      </c>
      <c r="F382" s="21" t="b">
        <f>IF(AND(A382&lt;&gt;0,B382=0,C382=0),VLOOKUP(A382,'3 - LISTA DE ESPÉCIES'!A:H,2,FALSE()),IF(AND(A382=0,B382&lt;&gt;0,C382=0),VLOOKUP(B382,'3 - LISTA DE ESPÉCIES'!B:H,6,FALSE()),IF(AND(A382=0,B382=0,C382&lt;&gt;0),VLOOKUP(C382,'3 - LISTA DE ESPÉCIES'!C:H,5,FALSE()))))</f>
        <v>0</v>
      </c>
      <c r="G382" s="21" t="b">
        <f>IF(AND(A382&lt;&gt;0,B382=0,C382=0),VLOOKUP(A382,'3 - LISTA DE ESPÉCIES'!A:H,3,FALSE()),IF(AND(A382=0,B382&lt;&gt;0,C382=0),VLOOKUP(B382,'3 - LISTA DE ESPÉCIES'!B:H,7,FALSE()),IF(AND(A382=0,B382=0,C382&lt;&gt;0),VLOOKUP(C382,'3 - LISTA DE ESPÉCIES'!C:H,6,FALSE()))))</f>
        <v>0</v>
      </c>
      <c r="H382" s="21" t="b">
        <f>IF(AND(A382&lt;&gt;0,B382=0,C382=0),VLOOKUP(A382,'3 - LISTA DE ESPÉCIES'!A:H,4,FALSE()),IF(AND(A382=0,B382&lt;&gt;0,C382=0),VLOOKUP(B382,'3 - LISTA DE ESPÉCIES'!B:H,3,FALSE()),IF(AND(A382=0,B382=0,C382&lt;&gt;0),VLOOKUP(C382,'3 - LISTA DE ESPÉCIES'!C:H,2,FALSE()))))</f>
        <v>0</v>
      </c>
      <c r="I382" s="21" t="b">
        <f>IF(AND(A382&lt;&gt;0,B382=0,C382=0),VLOOKUP(A382,'3 - LISTA DE ESPÉCIES'!A:H,5,FALSE()),IF(AND(A382=0,B382&lt;&gt;0,C382=0),VLOOKUP(B382,'3 - LISTA DE ESPÉCIES'!B:H,4,FALSE()),IF(AND(A382=0,B382=0,C382&lt;&gt;0),VLOOKUP(C382,'3 - LISTA DE ESPÉCIES'!C:H,3,FALSE()))))</f>
        <v>0</v>
      </c>
      <c r="J382" s="23"/>
      <c r="K382" s="23"/>
      <c r="L382" s="20"/>
      <c r="M382" s="20"/>
    </row>
    <row r="383" spans="1:13" x14ac:dyDescent="0.25">
      <c r="A383" s="20"/>
      <c r="B383" s="20"/>
      <c r="C383" s="20"/>
      <c r="E383" s="21" t="b">
        <f>IF(AND(A383&lt;&gt;0,B383=0,C383=0),VLOOKUP(A383,'3 - LISTA DE ESPÉCIES'!A:H,1,FALSE()),IF(AND(A383=0,B383&lt;&gt;0,C383=0),VLOOKUP(B383,'3 - LISTA DE ESPÉCIES'!B:H,5,FALSE()),IF(AND(A383=0,B383=0,C383&lt;&gt;0),VLOOKUP(C383,'3 - LISTA DE ESPÉCIES'!C:H,4,FALSE()))))</f>
        <v>0</v>
      </c>
      <c r="F383" s="21" t="b">
        <f>IF(AND(A383&lt;&gt;0,B383=0,C383=0),VLOOKUP(A383,'3 - LISTA DE ESPÉCIES'!A:H,2,FALSE()),IF(AND(A383=0,B383&lt;&gt;0,C383=0),VLOOKUP(B383,'3 - LISTA DE ESPÉCIES'!B:H,6,FALSE()),IF(AND(A383=0,B383=0,C383&lt;&gt;0),VLOOKUP(C383,'3 - LISTA DE ESPÉCIES'!C:H,5,FALSE()))))</f>
        <v>0</v>
      </c>
      <c r="G383" s="21" t="b">
        <f>IF(AND(A383&lt;&gt;0,B383=0,C383=0),VLOOKUP(A383,'3 - LISTA DE ESPÉCIES'!A:H,3,FALSE()),IF(AND(A383=0,B383&lt;&gt;0,C383=0),VLOOKUP(B383,'3 - LISTA DE ESPÉCIES'!B:H,7,FALSE()),IF(AND(A383=0,B383=0,C383&lt;&gt;0),VLOOKUP(C383,'3 - LISTA DE ESPÉCIES'!C:H,6,FALSE()))))</f>
        <v>0</v>
      </c>
      <c r="H383" s="21" t="b">
        <f>IF(AND(A383&lt;&gt;0,B383=0,C383=0),VLOOKUP(A383,'3 - LISTA DE ESPÉCIES'!A:H,4,FALSE()),IF(AND(A383=0,B383&lt;&gt;0,C383=0),VLOOKUP(B383,'3 - LISTA DE ESPÉCIES'!B:H,3,FALSE()),IF(AND(A383=0,B383=0,C383&lt;&gt;0),VLOOKUP(C383,'3 - LISTA DE ESPÉCIES'!C:H,2,FALSE()))))</f>
        <v>0</v>
      </c>
      <c r="I383" s="21" t="b">
        <f>IF(AND(A383&lt;&gt;0,B383=0,C383=0),VLOOKUP(A383,'3 - LISTA DE ESPÉCIES'!A:H,5,FALSE()),IF(AND(A383=0,B383&lt;&gt;0,C383=0),VLOOKUP(B383,'3 - LISTA DE ESPÉCIES'!B:H,4,FALSE()),IF(AND(A383=0,B383=0,C383&lt;&gt;0),VLOOKUP(C383,'3 - LISTA DE ESPÉCIES'!C:H,3,FALSE()))))</f>
        <v>0</v>
      </c>
      <c r="J383" s="23"/>
      <c r="K383" s="23"/>
      <c r="L383" s="20"/>
      <c r="M383" s="20"/>
    </row>
    <row r="384" spans="1:13" x14ac:dyDescent="0.25">
      <c r="A384" s="20"/>
      <c r="B384" s="20"/>
      <c r="C384" s="20"/>
      <c r="E384" s="21" t="b">
        <f>IF(AND(A384&lt;&gt;0,B384=0,C384=0),VLOOKUP(A384,'3 - LISTA DE ESPÉCIES'!A:H,1,FALSE()),IF(AND(A384=0,B384&lt;&gt;0,C384=0),VLOOKUP(B384,'3 - LISTA DE ESPÉCIES'!B:H,5,FALSE()),IF(AND(A384=0,B384=0,C384&lt;&gt;0),VLOOKUP(C384,'3 - LISTA DE ESPÉCIES'!C:H,4,FALSE()))))</f>
        <v>0</v>
      </c>
      <c r="F384" s="21" t="b">
        <f>IF(AND(A384&lt;&gt;0,B384=0,C384=0),VLOOKUP(A384,'3 - LISTA DE ESPÉCIES'!A:H,2,FALSE()),IF(AND(A384=0,B384&lt;&gt;0,C384=0),VLOOKUP(B384,'3 - LISTA DE ESPÉCIES'!B:H,6,FALSE()),IF(AND(A384=0,B384=0,C384&lt;&gt;0),VLOOKUP(C384,'3 - LISTA DE ESPÉCIES'!C:H,5,FALSE()))))</f>
        <v>0</v>
      </c>
      <c r="G384" s="21" t="b">
        <f>IF(AND(A384&lt;&gt;0,B384=0,C384=0),VLOOKUP(A384,'3 - LISTA DE ESPÉCIES'!A:H,3,FALSE()),IF(AND(A384=0,B384&lt;&gt;0,C384=0),VLOOKUP(B384,'3 - LISTA DE ESPÉCIES'!B:H,7,FALSE()),IF(AND(A384=0,B384=0,C384&lt;&gt;0),VLOOKUP(C384,'3 - LISTA DE ESPÉCIES'!C:H,6,FALSE()))))</f>
        <v>0</v>
      </c>
      <c r="H384" s="21" t="b">
        <f>IF(AND(A384&lt;&gt;0,B384=0,C384=0),VLOOKUP(A384,'3 - LISTA DE ESPÉCIES'!A:H,4,FALSE()),IF(AND(A384=0,B384&lt;&gt;0,C384=0),VLOOKUP(B384,'3 - LISTA DE ESPÉCIES'!B:H,3,FALSE()),IF(AND(A384=0,B384=0,C384&lt;&gt;0),VLOOKUP(C384,'3 - LISTA DE ESPÉCIES'!C:H,2,FALSE()))))</f>
        <v>0</v>
      </c>
      <c r="I384" s="21" t="b">
        <f>IF(AND(A384&lt;&gt;0,B384=0,C384=0),VLOOKUP(A384,'3 - LISTA DE ESPÉCIES'!A:H,5,FALSE()),IF(AND(A384=0,B384&lt;&gt;0,C384=0),VLOOKUP(B384,'3 - LISTA DE ESPÉCIES'!B:H,4,FALSE()),IF(AND(A384=0,B384=0,C384&lt;&gt;0),VLOOKUP(C384,'3 - LISTA DE ESPÉCIES'!C:H,3,FALSE()))))</f>
        <v>0</v>
      </c>
      <c r="J384" s="23"/>
      <c r="K384" s="23"/>
      <c r="L384" s="20"/>
      <c r="M384" s="20"/>
    </row>
    <row r="385" spans="1:13" x14ac:dyDescent="0.25">
      <c r="A385" s="20"/>
      <c r="B385" s="20"/>
      <c r="C385" s="20"/>
      <c r="E385" s="21" t="b">
        <f>IF(AND(A385&lt;&gt;0,B385=0,C385=0),VLOOKUP(A385,'3 - LISTA DE ESPÉCIES'!A:H,1,FALSE()),IF(AND(A385=0,B385&lt;&gt;0,C385=0),VLOOKUP(B385,'3 - LISTA DE ESPÉCIES'!B:H,5,FALSE()),IF(AND(A385=0,B385=0,C385&lt;&gt;0),VLOOKUP(C385,'3 - LISTA DE ESPÉCIES'!C:H,4,FALSE()))))</f>
        <v>0</v>
      </c>
      <c r="F385" s="21" t="b">
        <f>IF(AND(A385&lt;&gt;0,B385=0,C385=0),VLOOKUP(A385,'3 - LISTA DE ESPÉCIES'!A:H,2,FALSE()),IF(AND(A385=0,B385&lt;&gt;0,C385=0),VLOOKUP(B385,'3 - LISTA DE ESPÉCIES'!B:H,6,FALSE()),IF(AND(A385=0,B385=0,C385&lt;&gt;0),VLOOKUP(C385,'3 - LISTA DE ESPÉCIES'!C:H,5,FALSE()))))</f>
        <v>0</v>
      </c>
      <c r="G385" s="21" t="b">
        <f>IF(AND(A385&lt;&gt;0,B385=0,C385=0),VLOOKUP(A385,'3 - LISTA DE ESPÉCIES'!A:H,3,FALSE()),IF(AND(A385=0,B385&lt;&gt;0,C385=0),VLOOKUP(B385,'3 - LISTA DE ESPÉCIES'!B:H,7,FALSE()),IF(AND(A385=0,B385=0,C385&lt;&gt;0),VLOOKUP(C385,'3 - LISTA DE ESPÉCIES'!C:H,6,FALSE()))))</f>
        <v>0</v>
      </c>
      <c r="H385" s="21" t="b">
        <f>IF(AND(A385&lt;&gt;0,B385=0,C385=0),VLOOKUP(A385,'3 - LISTA DE ESPÉCIES'!A:H,4,FALSE()),IF(AND(A385=0,B385&lt;&gt;0,C385=0),VLOOKUP(B385,'3 - LISTA DE ESPÉCIES'!B:H,3,FALSE()),IF(AND(A385=0,B385=0,C385&lt;&gt;0),VLOOKUP(C385,'3 - LISTA DE ESPÉCIES'!C:H,2,FALSE()))))</f>
        <v>0</v>
      </c>
      <c r="I385" s="21" t="b">
        <f>IF(AND(A385&lt;&gt;0,B385=0,C385=0),VLOOKUP(A385,'3 - LISTA DE ESPÉCIES'!A:H,5,FALSE()),IF(AND(A385=0,B385&lt;&gt;0,C385=0),VLOOKUP(B385,'3 - LISTA DE ESPÉCIES'!B:H,4,FALSE()),IF(AND(A385=0,B385=0,C385&lt;&gt;0),VLOOKUP(C385,'3 - LISTA DE ESPÉCIES'!C:H,3,FALSE()))))</f>
        <v>0</v>
      </c>
      <c r="J385" s="23"/>
      <c r="K385" s="23"/>
      <c r="L385" s="20"/>
      <c r="M385" s="20"/>
    </row>
    <row r="386" spans="1:13" x14ac:dyDescent="0.25">
      <c r="A386" s="20"/>
      <c r="B386" s="20"/>
      <c r="C386" s="20"/>
      <c r="E386" s="21" t="b">
        <f>IF(AND(A386&lt;&gt;0,B386=0,C386=0),VLOOKUP(A386,'3 - LISTA DE ESPÉCIES'!A:H,1,FALSE()),IF(AND(A386=0,B386&lt;&gt;0,C386=0),VLOOKUP(B386,'3 - LISTA DE ESPÉCIES'!B:H,5,FALSE()),IF(AND(A386=0,B386=0,C386&lt;&gt;0),VLOOKUP(C386,'3 - LISTA DE ESPÉCIES'!C:H,4,FALSE()))))</f>
        <v>0</v>
      </c>
      <c r="F386" s="21" t="b">
        <f>IF(AND(A386&lt;&gt;0,B386=0,C386=0),VLOOKUP(A386,'3 - LISTA DE ESPÉCIES'!A:H,2,FALSE()),IF(AND(A386=0,B386&lt;&gt;0,C386=0),VLOOKUP(B386,'3 - LISTA DE ESPÉCIES'!B:H,6,FALSE()),IF(AND(A386=0,B386=0,C386&lt;&gt;0),VLOOKUP(C386,'3 - LISTA DE ESPÉCIES'!C:H,5,FALSE()))))</f>
        <v>0</v>
      </c>
      <c r="G386" s="21" t="b">
        <f>IF(AND(A386&lt;&gt;0,B386=0,C386=0),VLOOKUP(A386,'3 - LISTA DE ESPÉCIES'!A:H,3,FALSE()),IF(AND(A386=0,B386&lt;&gt;0,C386=0),VLOOKUP(B386,'3 - LISTA DE ESPÉCIES'!B:H,7,FALSE()),IF(AND(A386=0,B386=0,C386&lt;&gt;0),VLOOKUP(C386,'3 - LISTA DE ESPÉCIES'!C:H,6,FALSE()))))</f>
        <v>0</v>
      </c>
      <c r="H386" s="21" t="b">
        <f>IF(AND(A386&lt;&gt;0,B386=0,C386=0),VLOOKUP(A386,'3 - LISTA DE ESPÉCIES'!A:H,4,FALSE()),IF(AND(A386=0,B386&lt;&gt;0,C386=0),VLOOKUP(B386,'3 - LISTA DE ESPÉCIES'!B:H,3,FALSE()),IF(AND(A386=0,B386=0,C386&lt;&gt;0),VLOOKUP(C386,'3 - LISTA DE ESPÉCIES'!C:H,2,FALSE()))))</f>
        <v>0</v>
      </c>
      <c r="I386" s="21" t="b">
        <f>IF(AND(A386&lt;&gt;0,B386=0,C386=0),VLOOKUP(A386,'3 - LISTA DE ESPÉCIES'!A:H,5,FALSE()),IF(AND(A386=0,B386&lt;&gt;0,C386=0),VLOOKUP(B386,'3 - LISTA DE ESPÉCIES'!B:H,4,FALSE()),IF(AND(A386=0,B386=0,C386&lt;&gt;0),VLOOKUP(C386,'3 - LISTA DE ESPÉCIES'!C:H,3,FALSE()))))</f>
        <v>0</v>
      </c>
      <c r="J386" s="23"/>
      <c r="K386" s="23"/>
      <c r="L386" s="20"/>
      <c r="M386" s="20"/>
    </row>
    <row r="387" spans="1:13" x14ac:dyDescent="0.25">
      <c r="A387" s="20"/>
      <c r="B387" s="20"/>
      <c r="C387" s="20"/>
      <c r="E387" s="21" t="b">
        <f>IF(AND(A387&lt;&gt;0,B387=0,C387=0),VLOOKUP(A387,'3 - LISTA DE ESPÉCIES'!A:H,1,FALSE()),IF(AND(A387=0,B387&lt;&gt;0,C387=0),VLOOKUP(B387,'3 - LISTA DE ESPÉCIES'!B:H,5,FALSE()),IF(AND(A387=0,B387=0,C387&lt;&gt;0),VLOOKUP(C387,'3 - LISTA DE ESPÉCIES'!C:H,4,FALSE()))))</f>
        <v>0</v>
      </c>
      <c r="F387" s="21" t="b">
        <f>IF(AND(A387&lt;&gt;0,B387=0,C387=0),VLOOKUP(A387,'3 - LISTA DE ESPÉCIES'!A:H,2,FALSE()),IF(AND(A387=0,B387&lt;&gt;0,C387=0),VLOOKUP(B387,'3 - LISTA DE ESPÉCIES'!B:H,6,FALSE()),IF(AND(A387=0,B387=0,C387&lt;&gt;0),VLOOKUP(C387,'3 - LISTA DE ESPÉCIES'!C:H,5,FALSE()))))</f>
        <v>0</v>
      </c>
      <c r="G387" s="21" t="b">
        <f>IF(AND(A387&lt;&gt;0,B387=0,C387=0),VLOOKUP(A387,'3 - LISTA DE ESPÉCIES'!A:H,3,FALSE()),IF(AND(A387=0,B387&lt;&gt;0,C387=0),VLOOKUP(B387,'3 - LISTA DE ESPÉCIES'!B:H,7,FALSE()),IF(AND(A387=0,B387=0,C387&lt;&gt;0),VLOOKUP(C387,'3 - LISTA DE ESPÉCIES'!C:H,6,FALSE()))))</f>
        <v>0</v>
      </c>
      <c r="H387" s="21" t="b">
        <f>IF(AND(A387&lt;&gt;0,B387=0,C387=0),VLOOKUP(A387,'3 - LISTA DE ESPÉCIES'!A:H,4,FALSE()),IF(AND(A387=0,B387&lt;&gt;0,C387=0),VLOOKUP(B387,'3 - LISTA DE ESPÉCIES'!B:H,3,FALSE()),IF(AND(A387=0,B387=0,C387&lt;&gt;0),VLOOKUP(C387,'3 - LISTA DE ESPÉCIES'!C:H,2,FALSE()))))</f>
        <v>0</v>
      </c>
      <c r="I387" s="21" t="b">
        <f>IF(AND(A387&lt;&gt;0,B387=0,C387=0),VLOOKUP(A387,'3 - LISTA DE ESPÉCIES'!A:H,5,FALSE()),IF(AND(A387=0,B387&lt;&gt;0,C387=0),VLOOKUP(B387,'3 - LISTA DE ESPÉCIES'!B:H,4,FALSE()),IF(AND(A387=0,B387=0,C387&lt;&gt;0),VLOOKUP(C387,'3 - LISTA DE ESPÉCIES'!C:H,3,FALSE()))))</f>
        <v>0</v>
      </c>
      <c r="J387" s="23"/>
      <c r="K387" s="23"/>
      <c r="L387" s="20"/>
      <c r="M387" s="20"/>
    </row>
    <row r="388" spans="1:13" x14ac:dyDescent="0.25">
      <c r="A388" s="20"/>
      <c r="B388" s="20"/>
      <c r="C388" s="20"/>
      <c r="E388" s="21" t="b">
        <f>IF(AND(A388&lt;&gt;0,B388=0,C388=0),VLOOKUP(A388,'3 - LISTA DE ESPÉCIES'!A:H,1,FALSE()),IF(AND(A388=0,B388&lt;&gt;0,C388=0),VLOOKUP(B388,'3 - LISTA DE ESPÉCIES'!B:H,5,FALSE()),IF(AND(A388=0,B388=0,C388&lt;&gt;0),VLOOKUP(C388,'3 - LISTA DE ESPÉCIES'!C:H,4,FALSE()))))</f>
        <v>0</v>
      </c>
      <c r="F388" s="21" t="b">
        <f>IF(AND(A388&lt;&gt;0,B388=0,C388=0),VLOOKUP(A388,'3 - LISTA DE ESPÉCIES'!A:H,2,FALSE()),IF(AND(A388=0,B388&lt;&gt;0,C388=0),VLOOKUP(B388,'3 - LISTA DE ESPÉCIES'!B:H,6,FALSE()),IF(AND(A388=0,B388=0,C388&lt;&gt;0),VLOOKUP(C388,'3 - LISTA DE ESPÉCIES'!C:H,5,FALSE()))))</f>
        <v>0</v>
      </c>
      <c r="G388" s="21" t="b">
        <f>IF(AND(A388&lt;&gt;0,B388=0,C388=0),VLOOKUP(A388,'3 - LISTA DE ESPÉCIES'!A:H,3,FALSE()),IF(AND(A388=0,B388&lt;&gt;0,C388=0),VLOOKUP(B388,'3 - LISTA DE ESPÉCIES'!B:H,7,FALSE()),IF(AND(A388=0,B388=0,C388&lt;&gt;0),VLOOKUP(C388,'3 - LISTA DE ESPÉCIES'!C:H,6,FALSE()))))</f>
        <v>0</v>
      </c>
      <c r="H388" s="21" t="b">
        <f>IF(AND(A388&lt;&gt;0,B388=0,C388=0),VLOOKUP(A388,'3 - LISTA DE ESPÉCIES'!A:H,4,FALSE()),IF(AND(A388=0,B388&lt;&gt;0,C388=0),VLOOKUP(B388,'3 - LISTA DE ESPÉCIES'!B:H,3,FALSE()),IF(AND(A388=0,B388=0,C388&lt;&gt;0),VLOOKUP(C388,'3 - LISTA DE ESPÉCIES'!C:H,2,FALSE()))))</f>
        <v>0</v>
      </c>
      <c r="I388" s="21" t="b">
        <f>IF(AND(A388&lt;&gt;0,B388=0,C388=0),VLOOKUP(A388,'3 - LISTA DE ESPÉCIES'!A:H,5,FALSE()),IF(AND(A388=0,B388&lt;&gt;0,C388=0),VLOOKUP(B388,'3 - LISTA DE ESPÉCIES'!B:H,4,FALSE()),IF(AND(A388=0,B388=0,C388&lt;&gt;0),VLOOKUP(C388,'3 - LISTA DE ESPÉCIES'!C:H,3,FALSE()))))</f>
        <v>0</v>
      </c>
      <c r="J388" s="23"/>
      <c r="K388" s="23"/>
      <c r="L388" s="20"/>
      <c r="M388" s="20"/>
    </row>
    <row r="389" spans="1:13" x14ac:dyDescent="0.25">
      <c r="A389" s="20"/>
      <c r="B389" s="20"/>
      <c r="C389" s="20"/>
      <c r="E389" s="21" t="b">
        <f>IF(AND(A389&lt;&gt;0,B389=0,C389=0),VLOOKUP(A389,'3 - LISTA DE ESPÉCIES'!A:H,1,FALSE()),IF(AND(A389=0,B389&lt;&gt;0,C389=0),VLOOKUP(B389,'3 - LISTA DE ESPÉCIES'!B:H,5,FALSE()),IF(AND(A389=0,B389=0,C389&lt;&gt;0),VLOOKUP(C389,'3 - LISTA DE ESPÉCIES'!C:H,4,FALSE()))))</f>
        <v>0</v>
      </c>
      <c r="F389" s="21" t="b">
        <f>IF(AND(A389&lt;&gt;0,B389=0,C389=0),VLOOKUP(A389,'3 - LISTA DE ESPÉCIES'!A:H,2,FALSE()),IF(AND(A389=0,B389&lt;&gt;0,C389=0),VLOOKUP(B389,'3 - LISTA DE ESPÉCIES'!B:H,6,FALSE()),IF(AND(A389=0,B389=0,C389&lt;&gt;0),VLOOKUP(C389,'3 - LISTA DE ESPÉCIES'!C:H,5,FALSE()))))</f>
        <v>0</v>
      </c>
      <c r="G389" s="21" t="b">
        <f>IF(AND(A389&lt;&gt;0,B389=0,C389=0),VLOOKUP(A389,'3 - LISTA DE ESPÉCIES'!A:H,3,FALSE()),IF(AND(A389=0,B389&lt;&gt;0,C389=0),VLOOKUP(B389,'3 - LISTA DE ESPÉCIES'!B:H,7,FALSE()),IF(AND(A389=0,B389=0,C389&lt;&gt;0),VLOOKUP(C389,'3 - LISTA DE ESPÉCIES'!C:H,6,FALSE()))))</f>
        <v>0</v>
      </c>
      <c r="H389" s="21" t="b">
        <f>IF(AND(A389&lt;&gt;0,B389=0,C389=0),VLOOKUP(A389,'3 - LISTA DE ESPÉCIES'!A:H,4,FALSE()),IF(AND(A389=0,B389&lt;&gt;0,C389=0),VLOOKUP(B389,'3 - LISTA DE ESPÉCIES'!B:H,3,FALSE()),IF(AND(A389=0,B389=0,C389&lt;&gt;0),VLOOKUP(C389,'3 - LISTA DE ESPÉCIES'!C:H,2,FALSE()))))</f>
        <v>0</v>
      </c>
      <c r="I389" s="21" t="b">
        <f>IF(AND(A389&lt;&gt;0,B389=0,C389=0),VLOOKUP(A389,'3 - LISTA DE ESPÉCIES'!A:H,5,FALSE()),IF(AND(A389=0,B389&lt;&gt;0,C389=0),VLOOKUP(B389,'3 - LISTA DE ESPÉCIES'!B:H,4,FALSE()),IF(AND(A389=0,B389=0,C389&lt;&gt;0),VLOOKUP(C389,'3 - LISTA DE ESPÉCIES'!C:H,3,FALSE()))))</f>
        <v>0</v>
      </c>
      <c r="J389" s="23"/>
      <c r="K389" s="23"/>
      <c r="L389" s="20"/>
      <c r="M389" s="20"/>
    </row>
    <row r="390" spans="1:13" x14ac:dyDescent="0.25">
      <c r="A390" s="20"/>
      <c r="B390" s="20"/>
      <c r="C390" s="20"/>
      <c r="E390" s="21" t="b">
        <f>IF(AND(A390&lt;&gt;0,B390=0,C390=0),VLOOKUP(A390,'3 - LISTA DE ESPÉCIES'!A:H,1,FALSE()),IF(AND(A390=0,B390&lt;&gt;0,C390=0),VLOOKUP(B390,'3 - LISTA DE ESPÉCIES'!B:H,5,FALSE()),IF(AND(A390=0,B390=0,C390&lt;&gt;0),VLOOKUP(C390,'3 - LISTA DE ESPÉCIES'!C:H,4,FALSE()))))</f>
        <v>0</v>
      </c>
      <c r="F390" s="21" t="b">
        <f>IF(AND(A390&lt;&gt;0,B390=0,C390=0),VLOOKUP(A390,'3 - LISTA DE ESPÉCIES'!A:H,2,FALSE()),IF(AND(A390=0,B390&lt;&gt;0,C390=0),VLOOKUP(B390,'3 - LISTA DE ESPÉCIES'!B:H,6,FALSE()),IF(AND(A390=0,B390=0,C390&lt;&gt;0),VLOOKUP(C390,'3 - LISTA DE ESPÉCIES'!C:H,5,FALSE()))))</f>
        <v>0</v>
      </c>
      <c r="G390" s="21" t="b">
        <f>IF(AND(A390&lt;&gt;0,B390=0,C390=0),VLOOKUP(A390,'3 - LISTA DE ESPÉCIES'!A:H,3,FALSE()),IF(AND(A390=0,B390&lt;&gt;0,C390=0),VLOOKUP(B390,'3 - LISTA DE ESPÉCIES'!B:H,7,FALSE()),IF(AND(A390=0,B390=0,C390&lt;&gt;0),VLOOKUP(C390,'3 - LISTA DE ESPÉCIES'!C:H,6,FALSE()))))</f>
        <v>0</v>
      </c>
      <c r="H390" s="21" t="b">
        <f>IF(AND(A390&lt;&gt;0,B390=0,C390=0),VLOOKUP(A390,'3 - LISTA DE ESPÉCIES'!A:H,4,FALSE()),IF(AND(A390=0,B390&lt;&gt;0,C390=0),VLOOKUP(B390,'3 - LISTA DE ESPÉCIES'!B:H,3,FALSE()),IF(AND(A390=0,B390=0,C390&lt;&gt;0),VLOOKUP(C390,'3 - LISTA DE ESPÉCIES'!C:H,2,FALSE()))))</f>
        <v>0</v>
      </c>
      <c r="I390" s="21" t="b">
        <f>IF(AND(A390&lt;&gt;0,B390=0,C390=0),VLOOKUP(A390,'3 - LISTA DE ESPÉCIES'!A:H,5,FALSE()),IF(AND(A390=0,B390&lt;&gt;0,C390=0),VLOOKUP(B390,'3 - LISTA DE ESPÉCIES'!B:H,4,FALSE()),IF(AND(A390=0,B390=0,C390&lt;&gt;0),VLOOKUP(C390,'3 - LISTA DE ESPÉCIES'!C:H,3,FALSE()))))</f>
        <v>0</v>
      </c>
      <c r="J390" s="23"/>
      <c r="K390" s="23"/>
      <c r="L390" s="20"/>
      <c r="M390" s="20"/>
    </row>
    <row r="391" spans="1:13" x14ac:dyDescent="0.25">
      <c r="A391" s="20"/>
      <c r="B391" s="20"/>
      <c r="C391" s="20"/>
      <c r="E391" s="21" t="b">
        <f>IF(AND(A391&lt;&gt;0,B391=0,C391=0),VLOOKUP(A391,'3 - LISTA DE ESPÉCIES'!A:H,1,FALSE()),IF(AND(A391=0,B391&lt;&gt;0,C391=0),VLOOKUP(B391,'3 - LISTA DE ESPÉCIES'!B:H,5,FALSE()),IF(AND(A391=0,B391=0,C391&lt;&gt;0),VLOOKUP(C391,'3 - LISTA DE ESPÉCIES'!C:H,4,FALSE()))))</f>
        <v>0</v>
      </c>
      <c r="F391" s="21" t="b">
        <f>IF(AND(A391&lt;&gt;0,B391=0,C391=0),VLOOKUP(A391,'3 - LISTA DE ESPÉCIES'!A:H,2,FALSE()),IF(AND(A391=0,B391&lt;&gt;0,C391=0),VLOOKUP(B391,'3 - LISTA DE ESPÉCIES'!B:H,6,FALSE()),IF(AND(A391=0,B391=0,C391&lt;&gt;0),VLOOKUP(C391,'3 - LISTA DE ESPÉCIES'!C:H,5,FALSE()))))</f>
        <v>0</v>
      </c>
      <c r="G391" s="21" t="b">
        <f>IF(AND(A391&lt;&gt;0,B391=0,C391=0),VLOOKUP(A391,'3 - LISTA DE ESPÉCIES'!A:H,3,FALSE()),IF(AND(A391=0,B391&lt;&gt;0,C391=0),VLOOKUP(B391,'3 - LISTA DE ESPÉCIES'!B:H,7,FALSE()),IF(AND(A391=0,B391=0,C391&lt;&gt;0),VLOOKUP(C391,'3 - LISTA DE ESPÉCIES'!C:H,6,FALSE()))))</f>
        <v>0</v>
      </c>
      <c r="H391" s="21" t="b">
        <f>IF(AND(A391&lt;&gt;0,B391=0,C391=0),VLOOKUP(A391,'3 - LISTA DE ESPÉCIES'!A:H,4,FALSE()),IF(AND(A391=0,B391&lt;&gt;0,C391=0),VLOOKUP(B391,'3 - LISTA DE ESPÉCIES'!B:H,3,FALSE()),IF(AND(A391=0,B391=0,C391&lt;&gt;0),VLOOKUP(C391,'3 - LISTA DE ESPÉCIES'!C:H,2,FALSE()))))</f>
        <v>0</v>
      </c>
      <c r="I391" s="21" t="b">
        <f>IF(AND(A391&lt;&gt;0,B391=0,C391=0),VLOOKUP(A391,'3 - LISTA DE ESPÉCIES'!A:H,5,FALSE()),IF(AND(A391=0,B391&lt;&gt;0,C391=0),VLOOKUP(B391,'3 - LISTA DE ESPÉCIES'!B:H,4,FALSE()),IF(AND(A391=0,B391=0,C391&lt;&gt;0),VLOOKUP(C391,'3 - LISTA DE ESPÉCIES'!C:H,3,FALSE()))))</f>
        <v>0</v>
      </c>
      <c r="J391" s="23"/>
      <c r="K391" s="23"/>
      <c r="L391" s="20"/>
      <c r="M391" s="20"/>
    </row>
    <row r="392" spans="1:13" x14ac:dyDescent="0.25">
      <c r="A392" s="20"/>
      <c r="B392" s="20"/>
      <c r="C392" s="20"/>
      <c r="E392" s="21" t="b">
        <f>IF(AND(A392&lt;&gt;0,B392=0,C392=0),VLOOKUP(A392,'3 - LISTA DE ESPÉCIES'!A:H,1,FALSE()),IF(AND(A392=0,B392&lt;&gt;0,C392=0),VLOOKUP(B392,'3 - LISTA DE ESPÉCIES'!B:H,5,FALSE()),IF(AND(A392=0,B392=0,C392&lt;&gt;0),VLOOKUP(C392,'3 - LISTA DE ESPÉCIES'!C:H,4,FALSE()))))</f>
        <v>0</v>
      </c>
      <c r="F392" s="21" t="b">
        <f>IF(AND(A392&lt;&gt;0,B392=0,C392=0),VLOOKUP(A392,'3 - LISTA DE ESPÉCIES'!A:H,2,FALSE()),IF(AND(A392=0,B392&lt;&gt;0,C392=0),VLOOKUP(B392,'3 - LISTA DE ESPÉCIES'!B:H,6,FALSE()),IF(AND(A392=0,B392=0,C392&lt;&gt;0),VLOOKUP(C392,'3 - LISTA DE ESPÉCIES'!C:H,5,FALSE()))))</f>
        <v>0</v>
      </c>
      <c r="G392" s="21" t="b">
        <f>IF(AND(A392&lt;&gt;0,B392=0,C392=0),VLOOKUP(A392,'3 - LISTA DE ESPÉCIES'!A:H,3,FALSE()),IF(AND(A392=0,B392&lt;&gt;0,C392=0),VLOOKUP(B392,'3 - LISTA DE ESPÉCIES'!B:H,7,FALSE()),IF(AND(A392=0,B392=0,C392&lt;&gt;0),VLOOKUP(C392,'3 - LISTA DE ESPÉCIES'!C:H,6,FALSE()))))</f>
        <v>0</v>
      </c>
      <c r="H392" s="21" t="b">
        <f>IF(AND(A392&lt;&gt;0,B392=0,C392=0),VLOOKUP(A392,'3 - LISTA DE ESPÉCIES'!A:H,4,FALSE()),IF(AND(A392=0,B392&lt;&gt;0,C392=0),VLOOKUP(B392,'3 - LISTA DE ESPÉCIES'!B:H,3,FALSE()),IF(AND(A392=0,B392=0,C392&lt;&gt;0),VLOOKUP(C392,'3 - LISTA DE ESPÉCIES'!C:H,2,FALSE()))))</f>
        <v>0</v>
      </c>
      <c r="I392" s="21" t="b">
        <f>IF(AND(A392&lt;&gt;0,B392=0,C392=0),VLOOKUP(A392,'3 - LISTA DE ESPÉCIES'!A:H,5,FALSE()),IF(AND(A392=0,B392&lt;&gt;0,C392=0),VLOOKUP(B392,'3 - LISTA DE ESPÉCIES'!B:H,4,FALSE()),IF(AND(A392=0,B392=0,C392&lt;&gt;0),VLOOKUP(C392,'3 - LISTA DE ESPÉCIES'!C:H,3,FALSE()))))</f>
        <v>0</v>
      </c>
      <c r="J392" s="23"/>
      <c r="K392" s="23"/>
      <c r="L392" s="20"/>
      <c r="M392" s="20"/>
    </row>
    <row r="393" spans="1:13" x14ac:dyDescent="0.25">
      <c r="A393" s="20"/>
      <c r="B393" s="20"/>
      <c r="C393" s="20"/>
      <c r="E393" s="21" t="b">
        <f>IF(AND(A393&lt;&gt;0,B393=0,C393=0),VLOOKUP(A393,'3 - LISTA DE ESPÉCIES'!A:H,1,FALSE()),IF(AND(A393=0,B393&lt;&gt;0,C393=0),VLOOKUP(B393,'3 - LISTA DE ESPÉCIES'!B:H,5,FALSE()),IF(AND(A393=0,B393=0,C393&lt;&gt;0),VLOOKUP(C393,'3 - LISTA DE ESPÉCIES'!C:H,4,FALSE()))))</f>
        <v>0</v>
      </c>
      <c r="F393" s="21" t="b">
        <f>IF(AND(A393&lt;&gt;0,B393=0,C393=0),VLOOKUP(A393,'3 - LISTA DE ESPÉCIES'!A:H,2,FALSE()),IF(AND(A393=0,B393&lt;&gt;0,C393=0),VLOOKUP(B393,'3 - LISTA DE ESPÉCIES'!B:H,6,FALSE()),IF(AND(A393=0,B393=0,C393&lt;&gt;0),VLOOKUP(C393,'3 - LISTA DE ESPÉCIES'!C:H,5,FALSE()))))</f>
        <v>0</v>
      </c>
      <c r="G393" s="21" t="b">
        <f>IF(AND(A393&lt;&gt;0,B393=0,C393=0),VLOOKUP(A393,'3 - LISTA DE ESPÉCIES'!A:H,3,FALSE()),IF(AND(A393=0,B393&lt;&gt;0,C393=0),VLOOKUP(B393,'3 - LISTA DE ESPÉCIES'!B:H,7,FALSE()),IF(AND(A393=0,B393=0,C393&lt;&gt;0),VLOOKUP(C393,'3 - LISTA DE ESPÉCIES'!C:H,6,FALSE()))))</f>
        <v>0</v>
      </c>
      <c r="H393" s="21" t="b">
        <f>IF(AND(A393&lt;&gt;0,B393=0,C393=0),VLOOKUP(A393,'3 - LISTA DE ESPÉCIES'!A:H,4,FALSE()),IF(AND(A393=0,B393&lt;&gt;0,C393=0),VLOOKUP(B393,'3 - LISTA DE ESPÉCIES'!B:H,3,FALSE()),IF(AND(A393=0,B393=0,C393&lt;&gt;0),VLOOKUP(C393,'3 - LISTA DE ESPÉCIES'!C:H,2,FALSE()))))</f>
        <v>0</v>
      </c>
      <c r="I393" s="21" t="b">
        <f>IF(AND(A393&lt;&gt;0,B393=0,C393=0),VLOOKUP(A393,'3 - LISTA DE ESPÉCIES'!A:H,5,FALSE()),IF(AND(A393=0,B393&lt;&gt;0,C393=0),VLOOKUP(B393,'3 - LISTA DE ESPÉCIES'!B:H,4,FALSE()),IF(AND(A393=0,B393=0,C393&lt;&gt;0),VLOOKUP(C393,'3 - LISTA DE ESPÉCIES'!C:H,3,FALSE()))))</f>
        <v>0</v>
      </c>
      <c r="J393" s="23"/>
      <c r="K393" s="23"/>
      <c r="L393" s="20"/>
      <c r="M393" s="20"/>
    </row>
    <row r="394" spans="1:13" x14ac:dyDescent="0.25">
      <c r="A394" s="20"/>
      <c r="B394" s="20"/>
      <c r="C394" s="20"/>
      <c r="E394" s="21" t="b">
        <f>IF(AND(A394&lt;&gt;0,B394=0,C394=0),VLOOKUP(A394,'3 - LISTA DE ESPÉCIES'!A:H,1,FALSE()),IF(AND(A394=0,B394&lt;&gt;0,C394=0),VLOOKUP(B394,'3 - LISTA DE ESPÉCIES'!B:H,5,FALSE()),IF(AND(A394=0,B394=0,C394&lt;&gt;0),VLOOKUP(C394,'3 - LISTA DE ESPÉCIES'!C:H,4,FALSE()))))</f>
        <v>0</v>
      </c>
      <c r="F394" s="21" t="b">
        <f>IF(AND(A394&lt;&gt;0,B394=0,C394=0),VLOOKUP(A394,'3 - LISTA DE ESPÉCIES'!A:H,2,FALSE()),IF(AND(A394=0,B394&lt;&gt;0,C394=0),VLOOKUP(B394,'3 - LISTA DE ESPÉCIES'!B:H,6,FALSE()),IF(AND(A394=0,B394=0,C394&lt;&gt;0),VLOOKUP(C394,'3 - LISTA DE ESPÉCIES'!C:H,5,FALSE()))))</f>
        <v>0</v>
      </c>
      <c r="G394" s="21" t="b">
        <f>IF(AND(A394&lt;&gt;0,B394=0,C394=0),VLOOKUP(A394,'3 - LISTA DE ESPÉCIES'!A:H,3,FALSE()),IF(AND(A394=0,B394&lt;&gt;0,C394=0),VLOOKUP(B394,'3 - LISTA DE ESPÉCIES'!B:H,7,FALSE()),IF(AND(A394=0,B394=0,C394&lt;&gt;0),VLOOKUP(C394,'3 - LISTA DE ESPÉCIES'!C:H,6,FALSE()))))</f>
        <v>0</v>
      </c>
      <c r="H394" s="21" t="b">
        <f>IF(AND(A394&lt;&gt;0,B394=0,C394=0),VLOOKUP(A394,'3 - LISTA DE ESPÉCIES'!A:H,4,FALSE()),IF(AND(A394=0,B394&lt;&gt;0,C394=0),VLOOKUP(B394,'3 - LISTA DE ESPÉCIES'!B:H,3,FALSE()),IF(AND(A394=0,B394=0,C394&lt;&gt;0),VLOOKUP(C394,'3 - LISTA DE ESPÉCIES'!C:H,2,FALSE()))))</f>
        <v>0</v>
      </c>
      <c r="I394" s="21" t="b">
        <f>IF(AND(A394&lt;&gt;0,B394=0,C394=0),VLOOKUP(A394,'3 - LISTA DE ESPÉCIES'!A:H,5,FALSE()),IF(AND(A394=0,B394&lt;&gt;0,C394=0),VLOOKUP(B394,'3 - LISTA DE ESPÉCIES'!B:H,4,FALSE()),IF(AND(A394=0,B394=0,C394&lt;&gt;0),VLOOKUP(C394,'3 - LISTA DE ESPÉCIES'!C:H,3,FALSE()))))</f>
        <v>0</v>
      </c>
      <c r="J394" s="23"/>
      <c r="K394" s="23"/>
      <c r="L394" s="20"/>
      <c r="M394" s="20"/>
    </row>
    <row r="395" spans="1:13" x14ac:dyDescent="0.25">
      <c r="A395" s="20"/>
      <c r="B395" s="20"/>
      <c r="C395" s="20"/>
      <c r="E395" s="21" t="b">
        <f>IF(AND(A395&lt;&gt;0,B395=0,C395=0),VLOOKUP(A395,'3 - LISTA DE ESPÉCIES'!A:H,1,FALSE()),IF(AND(A395=0,B395&lt;&gt;0,C395=0),VLOOKUP(B395,'3 - LISTA DE ESPÉCIES'!B:H,5,FALSE()),IF(AND(A395=0,B395=0,C395&lt;&gt;0),VLOOKUP(C395,'3 - LISTA DE ESPÉCIES'!C:H,4,FALSE()))))</f>
        <v>0</v>
      </c>
      <c r="F395" s="21" t="b">
        <f>IF(AND(A395&lt;&gt;0,B395=0,C395=0),VLOOKUP(A395,'3 - LISTA DE ESPÉCIES'!A:H,2,FALSE()),IF(AND(A395=0,B395&lt;&gt;0,C395=0),VLOOKUP(B395,'3 - LISTA DE ESPÉCIES'!B:H,6,FALSE()),IF(AND(A395=0,B395=0,C395&lt;&gt;0),VLOOKUP(C395,'3 - LISTA DE ESPÉCIES'!C:H,5,FALSE()))))</f>
        <v>0</v>
      </c>
      <c r="G395" s="21" t="b">
        <f>IF(AND(A395&lt;&gt;0,B395=0,C395=0),VLOOKUP(A395,'3 - LISTA DE ESPÉCIES'!A:H,3,FALSE()),IF(AND(A395=0,B395&lt;&gt;0,C395=0),VLOOKUP(B395,'3 - LISTA DE ESPÉCIES'!B:H,7,FALSE()),IF(AND(A395=0,B395=0,C395&lt;&gt;0),VLOOKUP(C395,'3 - LISTA DE ESPÉCIES'!C:H,6,FALSE()))))</f>
        <v>0</v>
      </c>
      <c r="H395" s="21" t="b">
        <f>IF(AND(A395&lt;&gt;0,B395=0,C395=0),VLOOKUP(A395,'3 - LISTA DE ESPÉCIES'!A:H,4,FALSE()),IF(AND(A395=0,B395&lt;&gt;0,C395=0),VLOOKUP(B395,'3 - LISTA DE ESPÉCIES'!B:H,3,FALSE()),IF(AND(A395=0,B395=0,C395&lt;&gt;0),VLOOKUP(C395,'3 - LISTA DE ESPÉCIES'!C:H,2,FALSE()))))</f>
        <v>0</v>
      </c>
      <c r="I395" s="21" t="b">
        <f>IF(AND(A395&lt;&gt;0,B395=0,C395=0),VLOOKUP(A395,'3 - LISTA DE ESPÉCIES'!A:H,5,FALSE()),IF(AND(A395=0,B395&lt;&gt;0,C395=0),VLOOKUP(B395,'3 - LISTA DE ESPÉCIES'!B:H,4,FALSE()),IF(AND(A395=0,B395=0,C395&lt;&gt;0),VLOOKUP(C395,'3 - LISTA DE ESPÉCIES'!C:H,3,FALSE()))))</f>
        <v>0</v>
      </c>
      <c r="J395" s="23"/>
      <c r="K395" s="23"/>
      <c r="L395" s="20"/>
      <c r="M395" s="20"/>
    </row>
    <row r="396" spans="1:13" x14ac:dyDescent="0.25">
      <c r="A396" s="20"/>
      <c r="B396" s="20"/>
      <c r="C396" s="20"/>
      <c r="E396" s="21" t="b">
        <f>IF(AND(A396&lt;&gt;0,B396=0,C396=0),VLOOKUP(A396,'3 - LISTA DE ESPÉCIES'!A:H,1,FALSE()),IF(AND(A396=0,B396&lt;&gt;0,C396=0),VLOOKUP(B396,'3 - LISTA DE ESPÉCIES'!B:H,5,FALSE()),IF(AND(A396=0,B396=0,C396&lt;&gt;0),VLOOKUP(C396,'3 - LISTA DE ESPÉCIES'!C:H,4,FALSE()))))</f>
        <v>0</v>
      </c>
      <c r="F396" s="21" t="b">
        <f>IF(AND(A396&lt;&gt;0,B396=0,C396=0),VLOOKUP(A396,'3 - LISTA DE ESPÉCIES'!A:H,2,FALSE()),IF(AND(A396=0,B396&lt;&gt;0,C396=0),VLOOKUP(B396,'3 - LISTA DE ESPÉCIES'!B:H,6,FALSE()),IF(AND(A396=0,B396=0,C396&lt;&gt;0),VLOOKUP(C396,'3 - LISTA DE ESPÉCIES'!C:H,5,FALSE()))))</f>
        <v>0</v>
      </c>
      <c r="G396" s="21" t="b">
        <f>IF(AND(A396&lt;&gt;0,B396=0,C396=0),VLOOKUP(A396,'3 - LISTA DE ESPÉCIES'!A:H,3,FALSE()),IF(AND(A396=0,B396&lt;&gt;0,C396=0),VLOOKUP(B396,'3 - LISTA DE ESPÉCIES'!B:H,7,FALSE()),IF(AND(A396=0,B396=0,C396&lt;&gt;0),VLOOKUP(C396,'3 - LISTA DE ESPÉCIES'!C:H,6,FALSE()))))</f>
        <v>0</v>
      </c>
      <c r="H396" s="21" t="b">
        <f>IF(AND(A396&lt;&gt;0,B396=0,C396=0),VLOOKUP(A396,'3 - LISTA DE ESPÉCIES'!A:H,4,FALSE()),IF(AND(A396=0,B396&lt;&gt;0,C396=0),VLOOKUP(B396,'3 - LISTA DE ESPÉCIES'!B:H,3,FALSE()),IF(AND(A396=0,B396=0,C396&lt;&gt;0),VLOOKUP(C396,'3 - LISTA DE ESPÉCIES'!C:H,2,FALSE()))))</f>
        <v>0</v>
      </c>
      <c r="I396" s="21" t="b">
        <f>IF(AND(A396&lt;&gt;0,B396=0,C396=0),VLOOKUP(A396,'3 - LISTA DE ESPÉCIES'!A:H,5,FALSE()),IF(AND(A396=0,B396&lt;&gt;0,C396=0),VLOOKUP(B396,'3 - LISTA DE ESPÉCIES'!B:H,4,FALSE()),IF(AND(A396=0,B396=0,C396&lt;&gt;0),VLOOKUP(C396,'3 - LISTA DE ESPÉCIES'!C:H,3,FALSE()))))</f>
        <v>0</v>
      </c>
      <c r="J396" s="23"/>
      <c r="K396" s="23"/>
      <c r="L396" s="20"/>
      <c r="M396" s="20"/>
    </row>
    <row r="397" spans="1:13" x14ac:dyDescent="0.25">
      <c r="A397" s="20"/>
      <c r="B397" s="20"/>
      <c r="C397" s="20"/>
      <c r="E397" s="21" t="b">
        <f>IF(AND(A397&lt;&gt;0,B397=0,C397=0),VLOOKUP(A397,'3 - LISTA DE ESPÉCIES'!A:H,1,FALSE()),IF(AND(A397=0,B397&lt;&gt;0,C397=0),VLOOKUP(B397,'3 - LISTA DE ESPÉCIES'!B:H,5,FALSE()),IF(AND(A397=0,B397=0,C397&lt;&gt;0),VLOOKUP(C397,'3 - LISTA DE ESPÉCIES'!C:H,4,FALSE()))))</f>
        <v>0</v>
      </c>
      <c r="F397" s="21" t="b">
        <f>IF(AND(A397&lt;&gt;0,B397=0,C397=0),VLOOKUP(A397,'3 - LISTA DE ESPÉCIES'!A:H,2,FALSE()),IF(AND(A397=0,B397&lt;&gt;0,C397=0),VLOOKUP(B397,'3 - LISTA DE ESPÉCIES'!B:H,6,FALSE()),IF(AND(A397=0,B397=0,C397&lt;&gt;0),VLOOKUP(C397,'3 - LISTA DE ESPÉCIES'!C:H,5,FALSE()))))</f>
        <v>0</v>
      </c>
      <c r="G397" s="21" t="b">
        <f>IF(AND(A397&lt;&gt;0,B397=0,C397=0),VLOOKUP(A397,'3 - LISTA DE ESPÉCIES'!A:H,3,FALSE()),IF(AND(A397=0,B397&lt;&gt;0,C397=0),VLOOKUP(B397,'3 - LISTA DE ESPÉCIES'!B:H,7,FALSE()),IF(AND(A397=0,B397=0,C397&lt;&gt;0),VLOOKUP(C397,'3 - LISTA DE ESPÉCIES'!C:H,6,FALSE()))))</f>
        <v>0</v>
      </c>
      <c r="H397" s="21" t="b">
        <f>IF(AND(A397&lt;&gt;0,B397=0,C397=0),VLOOKUP(A397,'3 - LISTA DE ESPÉCIES'!A:H,4,FALSE()),IF(AND(A397=0,B397&lt;&gt;0,C397=0),VLOOKUP(B397,'3 - LISTA DE ESPÉCIES'!B:H,3,FALSE()),IF(AND(A397=0,B397=0,C397&lt;&gt;0),VLOOKUP(C397,'3 - LISTA DE ESPÉCIES'!C:H,2,FALSE()))))</f>
        <v>0</v>
      </c>
      <c r="I397" s="21" t="b">
        <f>IF(AND(A397&lt;&gt;0,B397=0,C397=0),VLOOKUP(A397,'3 - LISTA DE ESPÉCIES'!A:H,5,FALSE()),IF(AND(A397=0,B397&lt;&gt;0,C397=0),VLOOKUP(B397,'3 - LISTA DE ESPÉCIES'!B:H,4,FALSE()),IF(AND(A397=0,B397=0,C397&lt;&gt;0),VLOOKUP(C397,'3 - LISTA DE ESPÉCIES'!C:H,3,FALSE()))))</f>
        <v>0</v>
      </c>
      <c r="J397" s="23"/>
      <c r="K397" s="23"/>
      <c r="L397" s="20"/>
      <c r="M397" s="20"/>
    </row>
    <row r="398" spans="1:13" x14ac:dyDescent="0.25">
      <c r="A398" s="20"/>
      <c r="B398" s="20"/>
      <c r="C398" s="20"/>
      <c r="E398" s="21" t="b">
        <f>IF(AND(A398&lt;&gt;0,B398=0,C398=0),VLOOKUP(A398,'3 - LISTA DE ESPÉCIES'!A:H,1,FALSE()),IF(AND(A398=0,B398&lt;&gt;0,C398=0),VLOOKUP(B398,'3 - LISTA DE ESPÉCIES'!B:H,5,FALSE()),IF(AND(A398=0,B398=0,C398&lt;&gt;0),VLOOKUP(C398,'3 - LISTA DE ESPÉCIES'!C:H,4,FALSE()))))</f>
        <v>0</v>
      </c>
      <c r="F398" s="21" t="b">
        <f>IF(AND(A398&lt;&gt;0,B398=0,C398=0),VLOOKUP(A398,'3 - LISTA DE ESPÉCIES'!A:H,2,FALSE()),IF(AND(A398=0,B398&lt;&gt;0,C398=0),VLOOKUP(B398,'3 - LISTA DE ESPÉCIES'!B:H,6,FALSE()),IF(AND(A398=0,B398=0,C398&lt;&gt;0),VLOOKUP(C398,'3 - LISTA DE ESPÉCIES'!C:H,5,FALSE()))))</f>
        <v>0</v>
      </c>
      <c r="G398" s="21" t="b">
        <f>IF(AND(A398&lt;&gt;0,B398=0,C398=0),VLOOKUP(A398,'3 - LISTA DE ESPÉCIES'!A:H,3,FALSE()),IF(AND(A398=0,B398&lt;&gt;0,C398=0),VLOOKUP(B398,'3 - LISTA DE ESPÉCIES'!B:H,7,FALSE()),IF(AND(A398=0,B398=0,C398&lt;&gt;0),VLOOKUP(C398,'3 - LISTA DE ESPÉCIES'!C:H,6,FALSE()))))</f>
        <v>0</v>
      </c>
      <c r="H398" s="21" t="b">
        <f>IF(AND(A398&lt;&gt;0,B398=0,C398=0),VLOOKUP(A398,'3 - LISTA DE ESPÉCIES'!A:H,4,FALSE()),IF(AND(A398=0,B398&lt;&gt;0,C398=0),VLOOKUP(B398,'3 - LISTA DE ESPÉCIES'!B:H,3,FALSE()),IF(AND(A398=0,B398=0,C398&lt;&gt;0),VLOOKUP(C398,'3 - LISTA DE ESPÉCIES'!C:H,2,FALSE()))))</f>
        <v>0</v>
      </c>
      <c r="I398" s="21" t="b">
        <f>IF(AND(A398&lt;&gt;0,B398=0,C398=0),VLOOKUP(A398,'3 - LISTA DE ESPÉCIES'!A:H,5,FALSE()),IF(AND(A398=0,B398&lt;&gt;0,C398=0),VLOOKUP(B398,'3 - LISTA DE ESPÉCIES'!B:H,4,FALSE()),IF(AND(A398=0,B398=0,C398&lt;&gt;0),VLOOKUP(C398,'3 - LISTA DE ESPÉCIES'!C:H,3,FALSE()))))</f>
        <v>0</v>
      </c>
      <c r="J398" s="23"/>
      <c r="K398" s="23"/>
      <c r="L398" s="20"/>
      <c r="M398" s="20"/>
    </row>
    <row r="399" spans="1:13" x14ac:dyDescent="0.25">
      <c r="A399" s="20"/>
      <c r="B399" s="20"/>
      <c r="C399" s="20"/>
      <c r="E399" s="21" t="b">
        <f>IF(AND(A399&lt;&gt;0,B399=0,C399=0),VLOOKUP(A399,'3 - LISTA DE ESPÉCIES'!A:H,1,FALSE()),IF(AND(A399=0,B399&lt;&gt;0,C399=0),VLOOKUP(B399,'3 - LISTA DE ESPÉCIES'!B:H,5,FALSE()),IF(AND(A399=0,B399=0,C399&lt;&gt;0),VLOOKUP(C399,'3 - LISTA DE ESPÉCIES'!C:H,4,FALSE()))))</f>
        <v>0</v>
      </c>
      <c r="F399" s="21" t="b">
        <f>IF(AND(A399&lt;&gt;0,B399=0,C399=0),VLOOKUP(A399,'3 - LISTA DE ESPÉCIES'!A:H,2,FALSE()),IF(AND(A399=0,B399&lt;&gt;0,C399=0),VLOOKUP(B399,'3 - LISTA DE ESPÉCIES'!B:H,6,FALSE()),IF(AND(A399=0,B399=0,C399&lt;&gt;0),VLOOKUP(C399,'3 - LISTA DE ESPÉCIES'!C:H,5,FALSE()))))</f>
        <v>0</v>
      </c>
      <c r="G399" s="21" t="b">
        <f>IF(AND(A399&lt;&gt;0,B399=0,C399=0),VLOOKUP(A399,'3 - LISTA DE ESPÉCIES'!A:H,3,FALSE()),IF(AND(A399=0,B399&lt;&gt;0,C399=0),VLOOKUP(B399,'3 - LISTA DE ESPÉCIES'!B:H,7,FALSE()),IF(AND(A399=0,B399=0,C399&lt;&gt;0),VLOOKUP(C399,'3 - LISTA DE ESPÉCIES'!C:H,6,FALSE()))))</f>
        <v>0</v>
      </c>
      <c r="H399" s="21" t="b">
        <f>IF(AND(A399&lt;&gt;0,B399=0,C399=0),VLOOKUP(A399,'3 - LISTA DE ESPÉCIES'!A:H,4,FALSE()),IF(AND(A399=0,B399&lt;&gt;0,C399=0),VLOOKUP(B399,'3 - LISTA DE ESPÉCIES'!B:H,3,FALSE()),IF(AND(A399=0,B399=0,C399&lt;&gt;0),VLOOKUP(C399,'3 - LISTA DE ESPÉCIES'!C:H,2,FALSE()))))</f>
        <v>0</v>
      </c>
      <c r="I399" s="21" t="b">
        <f>IF(AND(A399&lt;&gt;0,B399=0,C399=0),VLOOKUP(A399,'3 - LISTA DE ESPÉCIES'!A:H,5,FALSE()),IF(AND(A399=0,B399&lt;&gt;0,C399=0),VLOOKUP(B399,'3 - LISTA DE ESPÉCIES'!B:H,4,FALSE()),IF(AND(A399=0,B399=0,C399&lt;&gt;0),VLOOKUP(C399,'3 - LISTA DE ESPÉCIES'!C:H,3,FALSE()))))</f>
        <v>0</v>
      </c>
      <c r="J399" s="23"/>
      <c r="K399" s="23"/>
      <c r="L399" s="20"/>
      <c r="M399" s="20"/>
    </row>
    <row r="400" spans="1:13" x14ac:dyDescent="0.25">
      <c r="A400" s="20"/>
      <c r="B400" s="20"/>
      <c r="C400" s="20"/>
      <c r="E400" s="21" t="b">
        <f>IF(AND(A400&lt;&gt;0,B400=0,C400=0),VLOOKUP(A400,'3 - LISTA DE ESPÉCIES'!A:H,1,FALSE()),IF(AND(A400=0,B400&lt;&gt;0,C400=0),VLOOKUP(B400,'3 - LISTA DE ESPÉCIES'!B:H,5,FALSE()),IF(AND(A400=0,B400=0,C400&lt;&gt;0),VLOOKUP(C400,'3 - LISTA DE ESPÉCIES'!C:H,4,FALSE()))))</f>
        <v>0</v>
      </c>
      <c r="F400" s="21" t="b">
        <f>IF(AND(A400&lt;&gt;0,B400=0,C400=0),VLOOKUP(A400,'3 - LISTA DE ESPÉCIES'!A:H,2,FALSE()),IF(AND(A400=0,B400&lt;&gt;0,C400=0),VLOOKUP(B400,'3 - LISTA DE ESPÉCIES'!B:H,6,FALSE()),IF(AND(A400=0,B400=0,C400&lt;&gt;0),VLOOKUP(C400,'3 - LISTA DE ESPÉCIES'!C:H,5,FALSE()))))</f>
        <v>0</v>
      </c>
      <c r="G400" s="21" t="b">
        <f>IF(AND(A400&lt;&gt;0,B400=0,C400=0),VLOOKUP(A400,'3 - LISTA DE ESPÉCIES'!A:H,3,FALSE()),IF(AND(A400=0,B400&lt;&gt;0,C400=0),VLOOKUP(B400,'3 - LISTA DE ESPÉCIES'!B:H,7,FALSE()),IF(AND(A400=0,B400=0,C400&lt;&gt;0),VLOOKUP(C400,'3 - LISTA DE ESPÉCIES'!C:H,6,FALSE()))))</f>
        <v>0</v>
      </c>
      <c r="H400" s="21" t="b">
        <f>IF(AND(A400&lt;&gt;0,B400=0,C400=0),VLOOKUP(A400,'3 - LISTA DE ESPÉCIES'!A:H,4,FALSE()),IF(AND(A400=0,B400&lt;&gt;0,C400=0),VLOOKUP(B400,'3 - LISTA DE ESPÉCIES'!B:H,3,FALSE()),IF(AND(A400=0,B400=0,C400&lt;&gt;0),VLOOKUP(C400,'3 - LISTA DE ESPÉCIES'!C:H,2,FALSE()))))</f>
        <v>0</v>
      </c>
      <c r="I400" s="21" t="b">
        <f>IF(AND(A400&lt;&gt;0,B400=0,C400=0),VLOOKUP(A400,'3 - LISTA DE ESPÉCIES'!A:H,5,FALSE()),IF(AND(A400=0,B400&lt;&gt;0,C400=0),VLOOKUP(B400,'3 - LISTA DE ESPÉCIES'!B:H,4,FALSE()),IF(AND(A400=0,B400=0,C400&lt;&gt;0),VLOOKUP(C400,'3 - LISTA DE ESPÉCIES'!C:H,3,FALSE()))))</f>
        <v>0</v>
      </c>
      <c r="J400" s="23"/>
      <c r="K400" s="23"/>
      <c r="L400" s="20"/>
      <c r="M400" s="20"/>
    </row>
    <row r="401" spans="1:13" x14ac:dyDescent="0.25">
      <c r="A401" s="20"/>
      <c r="B401" s="20"/>
      <c r="C401" s="20"/>
      <c r="E401" s="21" t="b">
        <f>IF(AND(A401&lt;&gt;0,B401=0,C401=0),VLOOKUP(A401,'3 - LISTA DE ESPÉCIES'!A:H,1,FALSE()),IF(AND(A401=0,B401&lt;&gt;0,C401=0),VLOOKUP(B401,'3 - LISTA DE ESPÉCIES'!B:H,5,FALSE()),IF(AND(A401=0,B401=0,C401&lt;&gt;0),VLOOKUP(C401,'3 - LISTA DE ESPÉCIES'!C:H,4,FALSE()))))</f>
        <v>0</v>
      </c>
      <c r="F401" s="21" t="b">
        <f>IF(AND(A401&lt;&gt;0,B401=0,C401=0),VLOOKUP(A401,'3 - LISTA DE ESPÉCIES'!A:H,2,FALSE()),IF(AND(A401=0,B401&lt;&gt;0,C401=0),VLOOKUP(B401,'3 - LISTA DE ESPÉCIES'!B:H,6,FALSE()),IF(AND(A401=0,B401=0,C401&lt;&gt;0),VLOOKUP(C401,'3 - LISTA DE ESPÉCIES'!C:H,5,FALSE()))))</f>
        <v>0</v>
      </c>
      <c r="G401" s="21" t="b">
        <f>IF(AND(A401&lt;&gt;0,B401=0,C401=0),VLOOKUP(A401,'3 - LISTA DE ESPÉCIES'!A:H,3,FALSE()),IF(AND(A401=0,B401&lt;&gt;0,C401=0),VLOOKUP(B401,'3 - LISTA DE ESPÉCIES'!B:H,7,FALSE()),IF(AND(A401=0,B401=0,C401&lt;&gt;0),VLOOKUP(C401,'3 - LISTA DE ESPÉCIES'!C:H,6,FALSE()))))</f>
        <v>0</v>
      </c>
      <c r="H401" s="21" t="b">
        <f>IF(AND(A401&lt;&gt;0,B401=0,C401=0),VLOOKUP(A401,'3 - LISTA DE ESPÉCIES'!A:H,4,FALSE()),IF(AND(A401=0,B401&lt;&gt;0,C401=0),VLOOKUP(B401,'3 - LISTA DE ESPÉCIES'!B:H,3,FALSE()),IF(AND(A401=0,B401=0,C401&lt;&gt;0),VLOOKUP(C401,'3 - LISTA DE ESPÉCIES'!C:H,2,FALSE()))))</f>
        <v>0</v>
      </c>
      <c r="I401" s="21" t="b">
        <f>IF(AND(A401&lt;&gt;0,B401=0,C401=0),VLOOKUP(A401,'3 - LISTA DE ESPÉCIES'!A:H,5,FALSE()),IF(AND(A401=0,B401&lt;&gt;0,C401=0),VLOOKUP(B401,'3 - LISTA DE ESPÉCIES'!B:H,4,FALSE()),IF(AND(A401=0,B401=0,C401&lt;&gt;0),VLOOKUP(C401,'3 - LISTA DE ESPÉCIES'!C:H,3,FALSE()))))</f>
        <v>0</v>
      </c>
      <c r="J401" s="23"/>
      <c r="K401" s="23"/>
      <c r="L401" s="20"/>
      <c r="M401" s="20"/>
    </row>
    <row r="402" spans="1:13" x14ac:dyDescent="0.25">
      <c r="A402" s="20"/>
      <c r="B402" s="20"/>
      <c r="C402" s="20"/>
      <c r="E402" s="21" t="b">
        <f>IF(AND(A402&lt;&gt;0,B402=0,C402=0),VLOOKUP(A402,'3 - LISTA DE ESPÉCIES'!A:H,1,FALSE()),IF(AND(A402=0,B402&lt;&gt;0,C402=0),VLOOKUP(B402,'3 - LISTA DE ESPÉCIES'!B:H,5,FALSE()),IF(AND(A402=0,B402=0,C402&lt;&gt;0),VLOOKUP(C402,'3 - LISTA DE ESPÉCIES'!C:H,4,FALSE()))))</f>
        <v>0</v>
      </c>
      <c r="F402" s="21" t="b">
        <f>IF(AND(A402&lt;&gt;0,B402=0,C402=0),VLOOKUP(A402,'3 - LISTA DE ESPÉCIES'!A:H,2,FALSE()),IF(AND(A402=0,B402&lt;&gt;0,C402=0),VLOOKUP(B402,'3 - LISTA DE ESPÉCIES'!B:H,6,FALSE()),IF(AND(A402=0,B402=0,C402&lt;&gt;0),VLOOKUP(C402,'3 - LISTA DE ESPÉCIES'!C:H,5,FALSE()))))</f>
        <v>0</v>
      </c>
      <c r="G402" s="21" t="b">
        <f>IF(AND(A402&lt;&gt;0,B402=0,C402=0),VLOOKUP(A402,'3 - LISTA DE ESPÉCIES'!A:H,3,FALSE()),IF(AND(A402=0,B402&lt;&gt;0,C402=0),VLOOKUP(B402,'3 - LISTA DE ESPÉCIES'!B:H,7,FALSE()),IF(AND(A402=0,B402=0,C402&lt;&gt;0),VLOOKUP(C402,'3 - LISTA DE ESPÉCIES'!C:H,6,FALSE()))))</f>
        <v>0</v>
      </c>
      <c r="H402" s="21" t="b">
        <f>IF(AND(A402&lt;&gt;0,B402=0,C402=0),VLOOKUP(A402,'3 - LISTA DE ESPÉCIES'!A:H,4,FALSE()),IF(AND(A402=0,B402&lt;&gt;0,C402=0),VLOOKUP(B402,'3 - LISTA DE ESPÉCIES'!B:H,3,FALSE()),IF(AND(A402=0,B402=0,C402&lt;&gt;0),VLOOKUP(C402,'3 - LISTA DE ESPÉCIES'!C:H,2,FALSE()))))</f>
        <v>0</v>
      </c>
      <c r="I402" s="21" t="b">
        <f>IF(AND(A402&lt;&gt;0,B402=0,C402=0),VLOOKUP(A402,'3 - LISTA DE ESPÉCIES'!A:H,5,FALSE()),IF(AND(A402=0,B402&lt;&gt;0,C402=0),VLOOKUP(B402,'3 - LISTA DE ESPÉCIES'!B:H,4,FALSE()),IF(AND(A402=0,B402=0,C402&lt;&gt;0),VLOOKUP(C402,'3 - LISTA DE ESPÉCIES'!C:H,3,FALSE()))))</f>
        <v>0</v>
      </c>
      <c r="J402" s="23"/>
      <c r="K402" s="23"/>
      <c r="L402" s="20"/>
      <c r="M402" s="20"/>
    </row>
    <row r="403" spans="1:13" x14ac:dyDescent="0.25">
      <c r="A403" s="20"/>
      <c r="B403" s="20"/>
      <c r="C403" s="20"/>
      <c r="E403" s="21" t="b">
        <f>IF(AND(A403&lt;&gt;0,B403=0,C403=0),VLOOKUP(A403,'3 - LISTA DE ESPÉCIES'!A:H,1,FALSE()),IF(AND(A403=0,B403&lt;&gt;0,C403=0),VLOOKUP(B403,'3 - LISTA DE ESPÉCIES'!B:H,5,FALSE()),IF(AND(A403=0,B403=0,C403&lt;&gt;0),VLOOKUP(C403,'3 - LISTA DE ESPÉCIES'!C:H,4,FALSE()))))</f>
        <v>0</v>
      </c>
      <c r="F403" s="21" t="b">
        <f>IF(AND(A403&lt;&gt;0,B403=0,C403=0),VLOOKUP(A403,'3 - LISTA DE ESPÉCIES'!A:H,2,FALSE()),IF(AND(A403=0,B403&lt;&gt;0,C403=0),VLOOKUP(B403,'3 - LISTA DE ESPÉCIES'!B:H,6,FALSE()),IF(AND(A403=0,B403=0,C403&lt;&gt;0),VLOOKUP(C403,'3 - LISTA DE ESPÉCIES'!C:H,5,FALSE()))))</f>
        <v>0</v>
      </c>
      <c r="G403" s="21" t="b">
        <f>IF(AND(A403&lt;&gt;0,B403=0,C403=0),VLOOKUP(A403,'3 - LISTA DE ESPÉCIES'!A:H,3,FALSE()),IF(AND(A403=0,B403&lt;&gt;0,C403=0),VLOOKUP(B403,'3 - LISTA DE ESPÉCIES'!B:H,7,FALSE()),IF(AND(A403=0,B403=0,C403&lt;&gt;0),VLOOKUP(C403,'3 - LISTA DE ESPÉCIES'!C:H,6,FALSE()))))</f>
        <v>0</v>
      </c>
      <c r="H403" s="21" t="b">
        <f>IF(AND(A403&lt;&gt;0,B403=0,C403=0),VLOOKUP(A403,'3 - LISTA DE ESPÉCIES'!A:H,4,FALSE()),IF(AND(A403=0,B403&lt;&gt;0,C403=0),VLOOKUP(B403,'3 - LISTA DE ESPÉCIES'!B:H,3,FALSE()),IF(AND(A403=0,B403=0,C403&lt;&gt;0),VLOOKUP(C403,'3 - LISTA DE ESPÉCIES'!C:H,2,FALSE()))))</f>
        <v>0</v>
      </c>
      <c r="I403" s="21" t="b">
        <f>IF(AND(A403&lt;&gt;0,B403=0,C403=0),VLOOKUP(A403,'3 - LISTA DE ESPÉCIES'!A:H,5,FALSE()),IF(AND(A403=0,B403&lt;&gt;0,C403=0),VLOOKUP(B403,'3 - LISTA DE ESPÉCIES'!B:H,4,FALSE()),IF(AND(A403=0,B403=0,C403&lt;&gt;0),VLOOKUP(C403,'3 - LISTA DE ESPÉCIES'!C:H,3,FALSE()))))</f>
        <v>0</v>
      </c>
      <c r="J403" s="23"/>
      <c r="K403" s="23"/>
      <c r="L403" s="20"/>
      <c r="M403" s="20"/>
    </row>
    <row r="404" spans="1:13" x14ac:dyDescent="0.25">
      <c r="A404" s="20"/>
      <c r="B404" s="20"/>
      <c r="C404" s="20"/>
      <c r="E404" s="21" t="b">
        <f>IF(AND(A404&lt;&gt;0,B404=0,C404=0),VLOOKUP(A404,'3 - LISTA DE ESPÉCIES'!A:H,1,FALSE()),IF(AND(A404=0,B404&lt;&gt;0,C404=0),VLOOKUP(B404,'3 - LISTA DE ESPÉCIES'!B:H,5,FALSE()),IF(AND(A404=0,B404=0,C404&lt;&gt;0),VLOOKUP(C404,'3 - LISTA DE ESPÉCIES'!C:H,4,FALSE()))))</f>
        <v>0</v>
      </c>
      <c r="F404" s="21" t="b">
        <f>IF(AND(A404&lt;&gt;0,B404=0,C404=0),VLOOKUP(A404,'3 - LISTA DE ESPÉCIES'!A:H,2,FALSE()),IF(AND(A404=0,B404&lt;&gt;0,C404=0),VLOOKUP(B404,'3 - LISTA DE ESPÉCIES'!B:H,6,FALSE()),IF(AND(A404=0,B404=0,C404&lt;&gt;0),VLOOKUP(C404,'3 - LISTA DE ESPÉCIES'!C:H,5,FALSE()))))</f>
        <v>0</v>
      </c>
      <c r="G404" s="21" t="b">
        <f>IF(AND(A404&lt;&gt;0,B404=0,C404=0),VLOOKUP(A404,'3 - LISTA DE ESPÉCIES'!A:H,3,FALSE()),IF(AND(A404=0,B404&lt;&gt;0,C404=0),VLOOKUP(B404,'3 - LISTA DE ESPÉCIES'!B:H,7,FALSE()),IF(AND(A404=0,B404=0,C404&lt;&gt;0),VLOOKUP(C404,'3 - LISTA DE ESPÉCIES'!C:H,6,FALSE()))))</f>
        <v>0</v>
      </c>
      <c r="H404" s="21" t="b">
        <f>IF(AND(A404&lt;&gt;0,B404=0,C404=0),VLOOKUP(A404,'3 - LISTA DE ESPÉCIES'!A:H,4,FALSE()),IF(AND(A404=0,B404&lt;&gt;0,C404=0),VLOOKUP(B404,'3 - LISTA DE ESPÉCIES'!B:H,3,FALSE()),IF(AND(A404=0,B404=0,C404&lt;&gt;0),VLOOKUP(C404,'3 - LISTA DE ESPÉCIES'!C:H,2,FALSE()))))</f>
        <v>0</v>
      </c>
      <c r="I404" s="21" t="b">
        <f>IF(AND(A404&lt;&gt;0,B404=0,C404=0),VLOOKUP(A404,'3 - LISTA DE ESPÉCIES'!A:H,5,FALSE()),IF(AND(A404=0,B404&lt;&gt;0,C404=0),VLOOKUP(B404,'3 - LISTA DE ESPÉCIES'!B:H,4,FALSE()),IF(AND(A404=0,B404=0,C404&lt;&gt;0),VLOOKUP(C404,'3 - LISTA DE ESPÉCIES'!C:H,3,FALSE()))))</f>
        <v>0</v>
      </c>
      <c r="J404" s="23"/>
      <c r="K404" s="23"/>
      <c r="L404" s="20"/>
      <c r="M404" s="20"/>
    </row>
    <row r="405" spans="1:13" x14ac:dyDescent="0.25">
      <c r="A405" s="20"/>
      <c r="B405" s="20"/>
      <c r="C405" s="20"/>
      <c r="E405" s="21" t="b">
        <f>IF(AND(A405&lt;&gt;0,B405=0,C405=0),VLOOKUP(A405,'3 - LISTA DE ESPÉCIES'!A:H,1,FALSE()),IF(AND(A405=0,B405&lt;&gt;0,C405=0),VLOOKUP(B405,'3 - LISTA DE ESPÉCIES'!B:H,5,FALSE()),IF(AND(A405=0,B405=0,C405&lt;&gt;0),VLOOKUP(C405,'3 - LISTA DE ESPÉCIES'!C:H,4,FALSE()))))</f>
        <v>0</v>
      </c>
      <c r="F405" s="21" t="b">
        <f>IF(AND(A405&lt;&gt;0,B405=0,C405=0),VLOOKUP(A405,'3 - LISTA DE ESPÉCIES'!A:H,2,FALSE()),IF(AND(A405=0,B405&lt;&gt;0,C405=0),VLOOKUP(B405,'3 - LISTA DE ESPÉCIES'!B:H,6,FALSE()),IF(AND(A405=0,B405=0,C405&lt;&gt;0),VLOOKUP(C405,'3 - LISTA DE ESPÉCIES'!C:H,5,FALSE()))))</f>
        <v>0</v>
      </c>
      <c r="G405" s="21" t="b">
        <f>IF(AND(A405&lt;&gt;0,B405=0,C405=0),VLOOKUP(A405,'3 - LISTA DE ESPÉCIES'!A:H,3,FALSE()),IF(AND(A405=0,B405&lt;&gt;0,C405=0),VLOOKUP(B405,'3 - LISTA DE ESPÉCIES'!B:H,7,FALSE()),IF(AND(A405=0,B405=0,C405&lt;&gt;0),VLOOKUP(C405,'3 - LISTA DE ESPÉCIES'!C:H,6,FALSE()))))</f>
        <v>0</v>
      </c>
      <c r="H405" s="21" t="b">
        <f>IF(AND(A405&lt;&gt;0,B405=0,C405=0),VLOOKUP(A405,'3 - LISTA DE ESPÉCIES'!A:H,4,FALSE()),IF(AND(A405=0,B405&lt;&gt;0,C405=0),VLOOKUP(B405,'3 - LISTA DE ESPÉCIES'!B:H,3,FALSE()),IF(AND(A405=0,B405=0,C405&lt;&gt;0),VLOOKUP(C405,'3 - LISTA DE ESPÉCIES'!C:H,2,FALSE()))))</f>
        <v>0</v>
      </c>
      <c r="I405" s="21" t="b">
        <f>IF(AND(A405&lt;&gt;0,B405=0,C405=0),VLOOKUP(A405,'3 - LISTA DE ESPÉCIES'!A:H,5,FALSE()),IF(AND(A405=0,B405&lt;&gt;0,C405=0),VLOOKUP(B405,'3 - LISTA DE ESPÉCIES'!B:H,4,FALSE()),IF(AND(A405=0,B405=0,C405&lt;&gt;0),VLOOKUP(C405,'3 - LISTA DE ESPÉCIES'!C:H,3,FALSE()))))</f>
        <v>0</v>
      </c>
      <c r="J405" s="23"/>
      <c r="K405" s="23"/>
      <c r="L405" s="20"/>
      <c r="M405" s="20"/>
    </row>
    <row r="406" spans="1:13" x14ac:dyDescent="0.25">
      <c r="A406" s="20"/>
      <c r="B406" s="20"/>
      <c r="C406" s="20"/>
      <c r="E406" s="21" t="b">
        <f>IF(AND(A406&lt;&gt;0,B406=0,C406=0),VLOOKUP(A406,'3 - LISTA DE ESPÉCIES'!A:H,1,FALSE()),IF(AND(A406=0,B406&lt;&gt;0,C406=0),VLOOKUP(B406,'3 - LISTA DE ESPÉCIES'!B:H,5,FALSE()),IF(AND(A406=0,B406=0,C406&lt;&gt;0),VLOOKUP(C406,'3 - LISTA DE ESPÉCIES'!C:H,4,FALSE()))))</f>
        <v>0</v>
      </c>
      <c r="F406" s="21" t="b">
        <f>IF(AND(A406&lt;&gt;0,B406=0,C406=0),VLOOKUP(A406,'3 - LISTA DE ESPÉCIES'!A:H,2,FALSE()),IF(AND(A406=0,B406&lt;&gt;0,C406=0),VLOOKUP(B406,'3 - LISTA DE ESPÉCIES'!B:H,6,FALSE()),IF(AND(A406=0,B406=0,C406&lt;&gt;0),VLOOKUP(C406,'3 - LISTA DE ESPÉCIES'!C:H,5,FALSE()))))</f>
        <v>0</v>
      </c>
      <c r="G406" s="21" t="b">
        <f>IF(AND(A406&lt;&gt;0,B406=0,C406=0),VLOOKUP(A406,'3 - LISTA DE ESPÉCIES'!A:H,3,FALSE()),IF(AND(A406=0,B406&lt;&gt;0,C406=0),VLOOKUP(B406,'3 - LISTA DE ESPÉCIES'!B:H,7,FALSE()),IF(AND(A406=0,B406=0,C406&lt;&gt;0),VLOOKUP(C406,'3 - LISTA DE ESPÉCIES'!C:H,6,FALSE()))))</f>
        <v>0</v>
      </c>
      <c r="H406" s="21" t="b">
        <f>IF(AND(A406&lt;&gt;0,B406=0,C406=0),VLOOKUP(A406,'3 - LISTA DE ESPÉCIES'!A:H,4,FALSE()),IF(AND(A406=0,B406&lt;&gt;0,C406=0),VLOOKUP(B406,'3 - LISTA DE ESPÉCIES'!B:H,3,FALSE()),IF(AND(A406=0,B406=0,C406&lt;&gt;0),VLOOKUP(C406,'3 - LISTA DE ESPÉCIES'!C:H,2,FALSE()))))</f>
        <v>0</v>
      </c>
      <c r="I406" s="21" t="b">
        <f>IF(AND(A406&lt;&gt;0,B406=0,C406=0),VLOOKUP(A406,'3 - LISTA DE ESPÉCIES'!A:H,5,FALSE()),IF(AND(A406=0,B406&lt;&gt;0,C406=0),VLOOKUP(B406,'3 - LISTA DE ESPÉCIES'!B:H,4,FALSE()),IF(AND(A406=0,B406=0,C406&lt;&gt;0),VLOOKUP(C406,'3 - LISTA DE ESPÉCIES'!C:H,3,FALSE()))))</f>
        <v>0</v>
      </c>
      <c r="J406" s="23"/>
      <c r="K406" s="23"/>
      <c r="L406" s="20"/>
      <c r="M406" s="20"/>
    </row>
    <row r="407" spans="1:13" x14ac:dyDescent="0.25">
      <c r="A407" s="20"/>
      <c r="B407" s="20"/>
      <c r="C407" s="20"/>
      <c r="E407" s="21" t="b">
        <f>IF(AND(A407&lt;&gt;0,B407=0,C407=0),VLOOKUP(A407,'3 - LISTA DE ESPÉCIES'!A:H,1,FALSE()),IF(AND(A407=0,B407&lt;&gt;0,C407=0),VLOOKUP(B407,'3 - LISTA DE ESPÉCIES'!B:H,5,FALSE()),IF(AND(A407=0,B407=0,C407&lt;&gt;0),VLOOKUP(C407,'3 - LISTA DE ESPÉCIES'!C:H,4,FALSE()))))</f>
        <v>0</v>
      </c>
      <c r="F407" s="21" t="b">
        <f>IF(AND(A407&lt;&gt;0,B407=0,C407=0),VLOOKUP(A407,'3 - LISTA DE ESPÉCIES'!A:H,2,FALSE()),IF(AND(A407=0,B407&lt;&gt;0,C407=0),VLOOKUP(B407,'3 - LISTA DE ESPÉCIES'!B:H,6,FALSE()),IF(AND(A407=0,B407=0,C407&lt;&gt;0),VLOOKUP(C407,'3 - LISTA DE ESPÉCIES'!C:H,5,FALSE()))))</f>
        <v>0</v>
      </c>
      <c r="G407" s="21" t="b">
        <f>IF(AND(A407&lt;&gt;0,B407=0,C407=0),VLOOKUP(A407,'3 - LISTA DE ESPÉCIES'!A:H,3,FALSE()),IF(AND(A407=0,B407&lt;&gt;0,C407=0),VLOOKUP(B407,'3 - LISTA DE ESPÉCIES'!B:H,7,FALSE()),IF(AND(A407=0,B407=0,C407&lt;&gt;0),VLOOKUP(C407,'3 - LISTA DE ESPÉCIES'!C:H,6,FALSE()))))</f>
        <v>0</v>
      </c>
      <c r="H407" s="21" t="b">
        <f>IF(AND(A407&lt;&gt;0,B407=0,C407=0),VLOOKUP(A407,'3 - LISTA DE ESPÉCIES'!A:H,4,FALSE()),IF(AND(A407=0,B407&lt;&gt;0,C407=0),VLOOKUP(B407,'3 - LISTA DE ESPÉCIES'!B:H,3,FALSE()),IF(AND(A407=0,B407=0,C407&lt;&gt;0),VLOOKUP(C407,'3 - LISTA DE ESPÉCIES'!C:H,2,FALSE()))))</f>
        <v>0</v>
      </c>
      <c r="I407" s="21" t="b">
        <f>IF(AND(A407&lt;&gt;0,B407=0,C407=0),VLOOKUP(A407,'3 - LISTA DE ESPÉCIES'!A:H,5,FALSE()),IF(AND(A407=0,B407&lt;&gt;0,C407=0),VLOOKUP(B407,'3 - LISTA DE ESPÉCIES'!B:H,4,FALSE()),IF(AND(A407=0,B407=0,C407&lt;&gt;0),VLOOKUP(C407,'3 - LISTA DE ESPÉCIES'!C:H,3,FALSE()))))</f>
        <v>0</v>
      </c>
      <c r="J407" s="23"/>
      <c r="K407" s="23"/>
      <c r="L407" s="20"/>
      <c r="M407" s="20"/>
    </row>
    <row r="408" spans="1:13" x14ac:dyDescent="0.25">
      <c r="A408" s="20"/>
      <c r="B408" s="20"/>
      <c r="C408" s="20"/>
      <c r="E408" s="21" t="b">
        <f>IF(AND(A408&lt;&gt;0,B408=0,C408=0),VLOOKUP(A408,'3 - LISTA DE ESPÉCIES'!A:H,1,FALSE()),IF(AND(A408=0,B408&lt;&gt;0,C408=0),VLOOKUP(B408,'3 - LISTA DE ESPÉCIES'!B:H,5,FALSE()),IF(AND(A408=0,B408=0,C408&lt;&gt;0),VLOOKUP(C408,'3 - LISTA DE ESPÉCIES'!C:H,4,FALSE()))))</f>
        <v>0</v>
      </c>
      <c r="F408" s="21" t="b">
        <f>IF(AND(A408&lt;&gt;0,B408=0,C408=0),VLOOKUP(A408,'3 - LISTA DE ESPÉCIES'!A:H,2,FALSE()),IF(AND(A408=0,B408&lt;&gt;0,C408=0),VLOOKUP(B408,'3 - LISTA DE ESPÉCIES'!B:H,6,FALSE()),IF(AND(A408=0,B408=0,C408&lt;&gt;0),VLOOKUP(C408,'3 - LISTA DE ESPÉCIES'!C:H,5,FALSE()))))</f>
        <v>0</v>
      </c>
      <c r="G408" s="21" t="b">
        <f>IF(AND(A408&lt;&gt;0,B408=0,C408=0),VLOOKUP(A408,'3 - LISTA DE ESPÉCIES'!A:H,3,FALSE()),IF(AND(A408=0,B408&lt;&gt;0,C408=0),VLOOKUP(B408,'3 - LISTA DE ESPÉCIES'!B:H,7,FALSE()),IF(AND(A408=0,B408=0,C408&lt;&gt;0),VLOOKUP(C408,'3 - LISTA DE ESPÉCIES'!C:H,6,FALSE()))))</f>
        <v>0</v>
      </c>
      <c r="H408" s="21" t="b">
        <f>IF(AND(A408&lt;&gt;0,B408=0,C408=0),VLOOKUP(A408,'3 - LISTA DE ESPÉCIES'!A:H,4,FALSE()),IF(AND(A408=0,B408&lt;&gt;0,C408=0),VLOOKUP(B408,'3 - LISTA DE ESPÉCIES'!B:H,3,FALSE()),IF(AND(A408=0,B408=0,C408&lt;&gt;0),VLOOKUP(C408,'3 - LISTA DE ESPÉCIES'!C:H,2,FALSE()))))</f>
        <v>0</v>
      </c>
      <c r="I408" s="21" t="b">
        <f>IF(AND(A408&lt;&gt;0,B408=0,C408=0),VLOOKUP(A408,'3 - LISTA DE ESPÉCIES'!A:H,5,FALSE()),IF(AND(A408=0,B408&lt;&gt;0,C408=0),VLOOKUP(B408,'3 - LISTA DE ESPÉCIES'!B:H,4,FALSE()),IF(AND(A408=0,B408=0,C408&lt;&gt;0),VLOOKUP(C408,'3 - LISTA DE ESPÉCIES'!C:H,3,FALSE()))))</f>
        <v>0</v>
      </c>
      <c r="J408" s="23"/>
      <c r="K408" s="23"/>
      <c r="L408" s="20"/>
      <c r="M408" s="20"/>
    </row>
    <row r="409" spans="1:13" x14ac:dyDescent="0.25">
      <c r="A409" s="20"/>
      <c r="B409" s="20"/>
      <c r="C409" s="20"/>
      <c r="E409" s="21" t="b">
        <f>IF(AND(A409&lt;&gt;0,B409=0,C409=0),VLOOKUP(A409,'3 - LISTA DE ESPÉCIES'!A:H,1,FALSE()),IF(AND(A409=0,B409&lt;&gt;0,C409=0),VLOOKUP(B409,'3 - LISTA DE ESPÉCIES'!B:H,5,FALSE()),IF(AND(A409=0,B409=0,C409&lt;&gt;0),VLOOKUP(C409,'3 - LISTA DE ESPÉCIES'!C:H,4,FALSE()))))</f>
        <v>0</v>
      </c>
      <c r="F409" s="21" t="b">
        <f>IF(AND(A409&lt;&gt;0,B409=0,C409=0),VLOOKUP(A409,'3 - LISTA DE ESPÉCIES'!A:H,2,FALSE()),IF(AND(A409=0,B409&lt;&gt;0,C409=0),VLOOKUP(B409,'3 - LISTA DE ESPÉCIES'!B:H,6,FALSE()),IF(AND(A409=0,B409=0,C409&lt;&gt;0),VLOOKUP(C409,'3 - LISTA DE ESPÉCIES'!C:H,5,FALSE()))))</f>
        <v>0</v>
      </c>
      <c r="G409" s="21" t="b">
        <f>IF(AND(A409&lt;&gt;0,B409=0,C409=0),VLOOKUP(A409,'3 - LISTA DE ESPÉCIES'!A:H,3,FALSE()),IF(AND(A409=0,B409&lt;&gt;0,C409=0),VLOOKUP(B409,'3 - LISTA DE ESPÉCIES'!B:H,7,FALSE()),IF(AND(A409=0,B409=0,C409&lt;&gt;0),VLOOKUP(C409,'3 - LISTA DE ESPÉCIES'!C:H,6,FALSE()))))</f>
        <v>0</v>
      </c>
      <c r="H409" s="21" t="b">
        <f>IF(AND(A409&lt;&gt;0,B409=0,C409=0),VLOOKUP(A409,'3 - LISTA DE ESPÉCIES'!A:H,4,FALSE()),IF(AND(A409=0,B409&lt;&gt;0,C409=0),VLOOKUP(B409,'3 - LISTA DE ESPÉCIES'!B:H,3,FALSE()),IF(AND(A409=0,B409=0,C409&lt;&gt;0),VLOOKUP(C409,'3 - LISTA DE ESPÉCIES'!C:H,2,FALSE()))))</f>
        <v>0</v>
      </c>
      <c r="I409" s="21" t="b">
        <f>IF(AND(A409&lt;&gt;0,B409=0,C409=0),VLOOKUP(A409,'3 - LISTA DE ESPÉCIES'!A:H,5,FALSE()),IF(AND(A409=0,B409&lt;&gt;0,C409=0),VLOOKUP(B409,'3 - LISTA DE ESPÉCIES'!B:H,4,FALSE()),IF(AND(A409=0,B409=0,C409&lt;&gt;0),VLOOKUP(C409,'3 - LISTA DE ESPÉCIES'!C:H,3,FALSE()))))</f>
        <v>0</v>
      </c>
      <c r="J409" s="23"/>
      <c r="K409" s="23"/>
      <c r="L409" s="20"/>
      <c r="M409" s="20"/>
    </row>
    <row r="410" spans="1:13" x14ac:dyDescent="0.25">
      <c r="A410" s="20"/>
      <c r="B410" s="20"/>
      <c r="C410" s="20"/>
      <c r="E410" s="21" t="b">
        <f>IF(AND(A410&lt;&gt;0,B410=0,C410=0),VLOOKUP(A410,'3 - LISTA DE ESPÉCIES'!A:H,1,FALSE()),IF(AND(A410=0,B410&lt;&gt;0,C410=0),VLOOKUP(B410,'3 - LISTA DE ESPÉCIES'!B:H,5,FALSE()),IF(AND(A410=0,B410=0,C410&lt;&gt;0),VLOOKUP(C410,'3 - LISTA DE ESPÉCIES'!C:H,4,FALSE()))))</f>
        <v>0</v>
      </c>
      <c r="F410" s="21" t="b">
        <f>IF(AND(A410&lt;&gt;0,B410=0,C410=0),VLOOKUP(A410,'3 - LISTA DE ESPÉCIES'!A:H,2,FALSE()),IF(AND(A410=0,B410&lt;&gt;0,C410=0),VLOOKUP(B410,'3 - LISTA DE ESPÉCIES'!B:H,6,FALSE()),IF(AND(A410=0,B410=0,C410&lt;&gt;0),VLOOKUP(C410,'3 - LISTA DE ESPÉCIES'!C:H,5,FALSE()))))</f>
        <v>0</v>
      </c>
      <c r="G410" s="21" t="b">
        <f>IF(AND(A410&lt;&gt;0,B410=0,C410=0),VLOOKUP(A410,'3 - LISTA DE ESPÉCIES'!A:H,3,FALSE()),IF(AND(A410=0,B410&lt;&gt;0,C410=0),VLOOKUP(B410,'3 - LISTA DE ESPÉCIES'!B:H,7,FALSE()),IF(AND(A410=0,B410=0,C410&lt;&gt;0),VLOOKUP(C410,'3 - LISTA DE ESPÉCIES'!C:H,6,FALSE()))))</f>
        <v>0</v>
      </c>
      <c r="H410" s="21" t="b">
        <f>IF(AND(A410&lt;&gt;0,B410=0,C410=0),VLOOKUP(A410,'3 - LISTA DE ESPÉCIES'!A:H,4,FALSE()),IF(AND(A410=0,B410&lt;&gt;0,C410=0),VLOOKUP(B410,'3 - LISTA DE ESPÉCIES'!B:H,3,FALSE()),IF(AND(A410=0,B410=0,C410&lt;&gt;0),VLOOKUP(C410,'3 - LISTA DE ESPÉCIES'!C:H,2,FALSE()))))</f>
        <v>0</v>
      </c>
      <c r="I410" s="21" t="b">
        <f>IF(AND(A410&lt;&gt;0,B410=0,C410=0),VLOOKUP(A410,'3 - LISTA DE ESPÉCIES'!A:H,5,FALSE()),IF(AND(A410=0,B410&lt;&gt;0,C410=0),VLOOKUP(B410,'3 - LISTA DE ESPÉCIES'!B:H,4,FALSE()),IF(AND(A410=0,B410=0,C410&lt;&gt;0),VLOOKUP(C410,'3 - LISTA DE ESPÉCIES'!C:H,3,FALSE()))))</f>
        <v>0</v>
      </c>
      <c r="J410" s="23"/>
      <c r="K410" s="23"/>
      <c r="L410" s="20"/>
      <c r="M410" s="20"/>
    </row>
    <row r="411" spans="1:13" x14ac:dyDescent="0.25">
      <c r="A411" s="20"/>
      <c r="B411" s="20"/>
      <c r="C411" s="20"/>
      <c r="E411" s="21" t="b">
        <f>IF(AND(A411&lt;&gt;0,B411=0,C411=0),VLOOKUP(A411,'3 - LISTA DE ESPÉCIES'!A:H,1,FALSE()),IF(AND(A411=0,B411&lt;&gt;0,C411=0),VLOOKUP(B411,'3 - LISTA DE ESPÉCIES'!B:H,5,FALSE()),IF(AND(A411=0,B411=0,C411&lt;&gt;0),VLOOKUP(C411,'3 - LISTA DE ESPÉCIES'!C:H,4,FALSE()))))</f>
        <v>0</v>
      </c>
      <c r="F411" s="21" t="b">
        <f>IF(AND(A411&lt;&gt;0,B411=0,C411=0),VLOOKUP(A411,'3 - LISTA DE ESPÉCIES'!A:H,2,FALSE()),IF(AND(A411=0,B411&lt;&gt;0,C411=0),VLOOKUP(B411,'3 - LISTA DE ESPÉCIES'!B:H,6,FALSE()),IF(AND(A411=0,B411=0,C411&lt;&gt;0),VLOOKUP(C411,'3 - LISTA DE ESPÉCIES'!C:H,5,FALSE()))))</f>
        <v>0</v>
      </c>
      <c r="G411" s="21" t="b">
        <f>IF(AND(A411&lt;&gt;0,B411=0,C411=0),VLOOKUP(A411,'3 - LISTA DE ESPÉCIES'!A:H,3,FALSE()),IF(AND(A411=0,B411&lt;&gt;0,C411=0),VLOOKUP(B411,'3 - LISTA DE ESPÉCIES'!B:H,7,FALSE()),IF(AND(A411=0,B411=0,C411&lt;&gt;0),VLOOKUP(C411,'3 - LISTA DE ESPÉCIES'!C:H,6,FALSE()))))</f>
        <v>0</v>
      </c>
      <c r="H411" s="21" t="b">
        <f>IF(AND(A411&lt;&gt;0,B411=0,C411=0),VLOOKUP(A411,'3 - LISTA DE ESPÉCIES'!A:H,4,FALSE()),IF(AND(A411=0,B411&lt;&gt;0,C411=0),VLOOKUP(B411,'3 - LISTA DE ESPÉCIES'!B:H,3,FALSE()),IF(AND(A411=0,B411=0,C411&lt;&gt;0),VLOOKUP(C411,'3 - LISTA DE ESPÉCIES'!C:H,2,FALSE()))))</f>
        <v>0</v>
      </c>
      <c r="I411" s="21" t="b">
        <f>IF(AND(A411&lt;&gt;0,B411=0,C411=0),VLOOKUP(A411,'3 - LISTA DE ESPÉCIES'!A:H,5,FALSE()),IF(AND(A411=0,B411&lt;&gt;0,C411=0),VLOOKUP(B411,'3 - LISTA DE ESPÉCIES'!B:H,4,FALSE()),IF(AND(A411=0,B411=0,C411&lt;&gt;0),VLOOKUP(C411,'3 - LISTA DE ESPÉCIES'!C:H,3,FALSE()))))</f>
        <v>0</v>
      </c>
      <c r="J411" s="23"/>
      <c r="K411" s="23"/>
      <c r="L411" s="20"/>
      <c r="M411" s="20"/>
    </row>
    <row r="412" spans="1:13" x14ac:dyDescent="0.25">
      <c r="A412" s="20"/>
      <c r="B412" s="20"/>
      <c r="C412" s="20"/>
      <c r="E412" s="21" t="b">
        <f>IF(AND(A412&lt;&gt;0,B412=0,C412=0),VLOOKUP(A412,'3 - LISTA DE ESPÉCIES'!A:H,1,FALSE()),IF(AND(A412=0,B412&lt;&gt;0,C412=0),VLOOKUP(B412,'3 - LISTA DE ESPÉCIES'!B:H,5,FALSE()),IF(AND(A412=0,B412=0,C412&lt;&gt;0),VLOOKUP(C412,'3 - LISTA DE ESPÉCIES'!C:H,4,FALSE()))))</f>
        <v>0</v>
      </c>
      <c r="F412" s="21" t="b">
        <f>IF(AND(A412&lt;&gt;0,B412=0,C412=0),VLOOKUP(A412,'3 - LISTA DE ESPÉCIES'!A:H,2,FALSE()),IF(AND(A412=0,B412&lt;&gt;0,C412=0),VLOOKUP(B412,'3 - LISTA DE ESPÉCIES'!B:H,6,FALSE()),IF(AND(A412=0,B412=0,C412&lt;&gt;0),VLOOKUP(C412,'3 - LISTA DE ESPÉCIES'!C:H,5,FALSE()))))</f>
        <v>0</v>
      </c>
      <c r="G412" s="21" t="b">
        <f>IF(AND(A412&lt;&gt;0,B412=0,C412=0),VLOOKUP(A412,'3 - LISTA DE ESPÉCIES'!A:H,3,FALSE()),IF(AND(A412=0,B412&lt;&gt;0,C412=0),VLOOKUP(B412,'3 - LISTA DE ESPÉCIES'!B:H,7,FALSE()),IF(AND(A412=0,B412=0,C412&lt;&gt;0),VLOOKUP(C412,'3 - LISTA DE ESPÉCIES'!C:H,6,FALSE()))))</f>
        <v>0</v>
      </c>
      <c r="H412" s="21" t="b">
        <f>IF(AND(A412&lt;&gt;0,B412=0,C412=0),VLOOKUP(A412,'3 - LISTA DE ESPÉCIES'!A:H,4,FALSE()),IF(AND(A412=0,B412&lt;&gt;0,C412=0),VLOOKUP(B412,'3 - LISTA DE ESPÉCIES'!B:H,3,FALSE()),IF(AND(A412=0,B412=0,C412&lt;&gt;0),VLOOKUP(C412,'3 - LISTA DE ESPÉCIES'!C:H,2,FALSE()))))</f>
        <v>0</v>
      </c>
      <c r="I412" s="21" t="b">
        <f>IF(AND(A412&lt;&gt;0,B412=0,C412=0),VLOOKUP(A412,'3 - LISTA DE ESPÉCIES'!A:H,5,FALSE()),IF(AND(A412=0,B412&lt;&gt;0,C412=0),VLOOKUP(B412,'3 - LISTA DE ESPÉCIES'!B:H,4,FALSE()),IF(AND(A412=0,B412=0,C412&lt;&gt;0),VLOOKUP(C412,'3 - LISTA DE ESPÉCIES'!C:H,3,FALSE()))))</f>
        <v>0</v>
      </c>
      <c r="J412" s="23"/>
      <c r="K412" s="23"/>
      <c r="L412" s="20"/>
      <c r="M412" s="20"/>
    </row>
    <row r="413" spans="1:13" x14ac:dyDescent="0.25">
      <c r="A413" s="20"/>
      <c r="B413" s="20"/>
      <c r="C413" s="20"/>
      <c r="E413" s="21" t="b">
        <f>IF(AND(A413&lt;&gt;0,B413=0,C413=0),VLOOKUP(A413,'3 - LISTA DE ESPÉCIES'!A:H,1,FALSE()),IF(AND(A413=0,B413&lt;&gt;0,C413=0),VLOOKUP(B413,'3 - LISTA DE ESPÉCIES'!B:H,5,FALSE()),IF(AND(A413=0,B413=0,C413&lt;&gt;0),VLOOKUP(C413,'3 - LISTA DE ESPÉCIES'!C:H,4,FALSE()))))</f>
        <v>0</v>
      </c>
      <c r="F413" s="21" t="b">
        <f>IF(AND(A413&lt;&gt;0,B413=0,C413=0),VLOOKUP(A413,'3 - LISTA DE ESPÉCIES'!A:H,2,FALSE()),IF(AND(A413=0,B413&lt;&gt;0,C413=0),VLOOKUP(B413,'3 - LISTA DE ESPÉCIES'!B:H,6,FALSE()),IF(AND(A413=0,B413=0,C413&lt;&gt;0),VLOOKUP(C413,'3 - LISTA DE ESPÉCIES'!C:H,5,FALSE()))))</f>
        <v>0</v>
      </c>
      <c r="G413" s="21" t="b">
        <f>IF(AND(A413&lt;&gt;0,B413=0,C413=0),VLOOKUP(A413,'3 - LISTA DE ESPÉCIES'!A:H,3,FALSE()),IF(AND(A413=0,B413&lt;&gt;0,C413=0),VLOOKUP(B413,'3 - LISTA DE ESPÉCIES'!B:H,7,FALSE()),IF(AND(A413=0,B413=0,C413&lt;&gt;0),VLOOKUP(C413,'3 - LISTA DE ESPÉCIES'!C:H,6,FALSE()))))</f>
        <v>0</v>
      </c>
      <c r="H413" s="21" t="b">
        <f>IF(AND(A413&lt;&gt;0,B413=0,C413=0),VLOOKUP(A413,'3 - LISTA DE ESPÉCIES'!A:H,4,FALSE()),IF(AND(A413=0,B413&lt;&gt;0,C413=0),VLOOKUP(B413,'3 - LISTA DE ESPÉCIES'!B:H,3,FALSE()),IF(AND(A413=0,B413=0,C413&lt;&gt;0),VLOOKUP(C413,'3 - LISTA DE ESPÉCIES'!C:H,2,FALSE()))))</f>
        <v>0</v>
      </c>
      <c r="I413" s="21" t="b">
        <f>IF(AND(A413&lt;&gt;0,B413=0,C413=0),VLOOKUP(A413,'3 - LISTA DE ESPÉCIES'!A:H,5,FALSE()),IF(AND(A413=0,B413&lt;&gt;0,C413=0),VLOOKUP(B413,'3 - LISTA DE ESPÉCIES'!B:H,4,FALSE()),IF(AND(A413=0,B413=0,C413&lt;&gt;0),VLOOKUP(C413,'3 - LISTA DE ESPÉCIES'!C:H,3,FALSE()))))</f>
        <v>0</v>
      </c>
      <c r="J413" s="23"/>
      <c r="K413" s="23"/>
      <c r="L413" s="20"/>
      <c r="M413" s="20"/>
    </row>
    <row r="414" spans="1:13" x14ac:dyDescent="0.25">
      <c r="A414" s="20"/>
      <c r="B414" s="20"/>
      <c r="C414" s="20"/>
      <c r="E414" s="21" t="b">
        <f>IF(AND(A414&lt;&gt;0,B414=0,C414=0),VLOOKUP(A414,'3 - LISTA DE ESPÉCIES'!A:H,1,FALSE()),IF(AND(A414=0,B414&lt;&gt;0,C414=0),VLOOKUP(B414,'3 - LISTA DE ESPÉCIES'!B:H,5,FALSE()),IF(AND(A414=0,B414=0,C414&lt;&gt;0),VLOOKUP(C414,'3 - LISTA DE ESPÉCIES'!C:H,4,FALSE()))))</f>
        <v>0</v>
      </c>
      <c r="F414" s="21" t="b">
        <f>IF(AND(A414&lt;&gt;0,B414=0,C414=0),VLOOKUP(A414,'3 - LISTA DE ESPÉCIES'!A:H,2,FALSE()),IF(AND(A414=0,B414&lt;&gt;0,C414=0),VLOOKUP(B414,'3 - LISTA DE ESPÉCIES'!B:H,6,FALSE()),IF(AND(A414=0,B414=0,C414&lt;&gt;0),VLOOKUP(C414,'3 - LISTA DE ESPÉCIES'!C:H,5,FALSE()))))</f>
        <v>0</v>
      </c>
      <c r="G414" s="21" t="b">
        <f>IF(AND(A414&lt;&gt;0,B414=0,C414=0),VLOOKUP(A414,'3 - LISTA DE ESPÉCIES'!A:H,3,FALSE()),IF(AND(A414=0,B414&lt;&gt;0,C414=0),VLOOKUP(B414,'3 - LISTA DE ESPÉCIES'!B:H,7,FALSE()),IF(AND(A414=0,B414=0,C414&lt;&gt;0),VLOOKUP(C414,'3 - LISTA DE ESPÉCIES'!C:H,6,FALSE()))))</f>
        <v>0</v>
      </c>
      <c r="H414" s="21" t="b">
        <f>IF(AND(A414&lt;&gt;0,B414=0,C414=0),VLOOKUP(A414,'3 - LISTA DE ESPÉCIES'!A:H,4,FALSE()),IF(AND(A414=0,B414&lt;&gt;0,C414=0),VLOOKUP(B414,'3 - LISTA DE ESPÉCIES'!B:H,3,FALSE()),IF(AND(A414=0,B414=0,C414&lt;&gt;0),VLOOKUP(C414,'3 - LISTA DE ESPÉCIES'!C:H,2,FALSE()))))</f>
        <v>0</v>
      </c>
      <c r="I414" s="21" t="b">
        <f>IF(AND(A414&lt;&gt;0,B414=0,C414=0),VLOOKUP(A414,'3 - LISTA DE ESPÉCIES'!A:H,5,FALSE()),IF(AND(A414=0,B414&lt;&gt;0,C414=0),VLOOKUP(B414,'3 - LISTA DE ESPÉCIES'!B:H,4,FALSE()),IF(AND(A414=0,B414=0,C414&lt;&gt;0),VLOOKUP(C414,'3 - LISTA DE ESPÉCIES'!C:H,3,FALSE()))))</f>
        <v>0</v>
      </c>
      <c r="J414" s="23"/>
      <c r="K414" s="23"/>
      <c r="L414" s="20"/>
      <c r="M414" s="20"/>
    </row>
    <row r="415" spans="1:13" x14ac:dyDescent="0.25">
      <c r="A415" s="20"/>
      <c r="B415" s="20"/>
      <c r="C415" s="20"/>
      <c r="E415" s="21" t="b">
        <f>IF(AND(A415&lt;&gt;0,B415=0,C415=0),VLOOKUP(A415,'3 - LISTA DE ESPÉCIES'!A:H,1,FALSE()),IF(AND(A415=0,B415&lt;&gt;0,C415=0),VLOOKUP(B415,'3 - LISTA DE ESPÉCIES'!B:H,5,FALSE()),IF(AND(A415=0,B415=0,C415&lt;&gt;0),VLOOKUP(C415,'3 - LISTA DE ESPÉCIES'!C:H,4,FALSE()))))</f>
        <v>0</v>
      </c>
      <c r="F415" s="21" t="b">
        <f>IF(AND(A415&lt;&gt;0,B415=0,C415=0),VLOOKUP(A415,'3 - LISTA DE ESPÉCIES'!A:H,2,FALSE()),IF(AND(A415=0,B415&lt;&gt;0,C415=0),VLOOKUP(B415,'3 - LISTA DE ESPÉCIES'!B:H,6,FALSE()),IF(AND(A415=0,B415=0,C415&lt;&gt;0),VLOOKUP(C415,'3 - LISTA DE ESPÉCIES'!C:H,5,FALSE()))))</f>
        <v>0</v>
      </c>
      <c r="G415" s="21" t="b">
        <f>IF(AND(A415&lt;&gt;0,B415=0,C415=0),VLOOKUP(A415,'3 - LISTA DE ESPÉCIES'!A:H,3,FALSE()),IF(AND(A415=0,B415&lt;&gt;0,C415=0),VLOOKUP(B415,'3 - LISTA DE ESPÉCIES'!B:H,7,FALSE()),IF(AND(A415=0,B415=0,C415&lt;&gt;0),VLOOKUP(C415,'3 - LISTA DE ESPÉCIES'!C:H,6,FALSE()))))</f>
        <v>0</v>
      </c>
      <c r="H415" s="21" t="b">
        <f>IF(AND(A415&lt;&gt;0,B415=0,C415=0),VLOOKUP(A415,'3 - LISTA DE ESPÉCIES'!A:H,4,FALSE()),IF(AND(A415=0,B415&lt;&gt;0,C415=0),VLOOKUP(B415,'3 - LISTA DE ESPÉCIES'!B:H,3,FALSE()),IF(AND(A415=0,B415=0,C415&lt;&gt;0),VLOOKUP(C415,'3 - LISTA DE ESPÉCIES'!C:H,2,FALSE()))))</f>
        <v>0</v>
      </c>
      <c r="I415" s="21" t="b">
        <f>IF(AND(A415&lt;&gt;0,B415=0,C415=0),VLOOKUP(A415,'3 - LISTA DE ESPÉCIES'!A:H,5,FALSE()),IF(AND(A415=0,B415&lt;&gt;0,C415=0),VLOOKUP(B415,'3 - LISTA DE ESPÉCIES'!B:H,4,FALSE()),IF(AND(A415=0,B415=0,C415&lt;&gt;0),VLOOKUP(C415,'3 - LISTA DE ESPÉCIES'!C:H,3,FALSE()))))</f>
        <v>0</v>
      </c>
      <c r="J415" s="23"/>
      <c r="K415" s="23"/>
      <c r="L415" s="20"/>
      <c r="M415" s="20"/>
    </row>
    <row r="416" spans="1:13" x14ac:dyDescent="0.25">
      <c r="A416" s="20"/>
      <c r="B416" s="20"/>
      <c r="C416" s="20"/>
      <c r="E416" s="21" t="b">
        <f>IF(AND(A416&lt;&gt;0,B416=0,C416=0),VLOOKUP(A416,'3 - LISTA DE ESPÉCIES'!A:H,1,FALSE()),IF(AND(A416=0,B416&lt;&gt;0,C416=0),VLOOKUP(B416,'3 - LISTA DE ESPÉCIES'!B:H,5,FALSE()),IF(AND(A416=0,B416=0,C416&lt;&gt;0),VLOOKUP(C416,'3 - LISTA DE ESPÉCIES'!C:H,4,FALSE()))))</f>
        <v>0</v>
      </c>
      <c r="F416" s="21" t="b">
        <f>IF(AND(A416&lt;&gt;0,B416=0,C416=0),VLOOKUP(A416,'3 - LISTA DE ESPÉCIES'!A:H,2,FALSE()),IF(AND(A416=0,B416&lt;&gt;0,C416=0),VLOOKUP(B416,'3 - LISTA DE ESPÉCIES'!B:H,6,FALSE()),IF(AND(A416=0,B416=0,C416&lt;&gt;0),VLOOKUP(C416,'3 - LISTA DE ESPÉCIES'!C:H,5,FALSE()))))</f>
        <v>0</v>
      </c>
      <c r="G416" s="21" t="b">
        <f>IF(AND(A416&lt;&gt;0,B416=0,C416=0),VLOOKUP(A416,'3 - LISTA DE ESPÉCIES'!A:H,3,FALSE()),IF(AND(A416=0,B416&lt;&gt;0,C416=0),VLOOKUP(B416,'3 - LISTA DE ESPÉCIES'!B:H,7,FALSE()),IF(AND(A416=0,B416=0,C416&lt;&gt;0),VLOOKUP(C416,'3 - LISTA DE ESPÉCIES'!C:H,6,FALSE()))))</f>
        <v>0</v>
      </c>
      <c r="H416" s="21" t="b">
        <f>IF(AND(A416&lt;&gt;0,B416=0,C416=0),VLOOKUP(A416,'3 - LISTA DE ESPÉCIES'!A:H,4,FALSE()),IF(AND(A416=0,B416&lt;&gt;0,C416=0),VLOOKUP(B416,'3 - LISTA DE ESPÉCIES'!B:H,3,FALSE()),IF(AND(A416=0,B416=0,C416&lt;&gt;0),VLOOKUP(C416,'3 - LISTA DE ESPÉCIES'!C:H,2,FALSE()))))</f>
        <v>0</v>
      </c>
      <c r="I416" s="21" t="b">
        <f>IF(AND(A416&lt;&gt;0,B416=0,C416=0),VLOOKUP(A416,'3 - LISTA DE ESPÉCIES'!A:H,5,FALSE()),IF(AND(A416=0,B416&lt;&gt;0,C416=0),VLOOKUP(B416,'3 - LISTA DE ESPÉCIES'!B:H,4,FALSE()),IF(AND(A416=0,B416=0,C416&lt;&gt;0),VLOOKUP(C416,'3 - LISTA DE ESPÉCIES'!C:H,3,FALSE()))))</f>
        <v>0</v>
      </c>
      <c r="J416" s="23"/>
      <c r="K416" s="23"/>
      <c r="L416" s="20"/>
      <c r="M416" s="20"/>
    </row>
    <row r="417" spans="1:13" x14ac:dyDescent="0.25">
      <c r="A417" s="20"/>
      <c r="B417" s="20"/>
      <c r="C417" s="20"/>
      <c r="E417" s="21" t="b">
        <f>IF(AND(A417&lt;&gt;0,B417=0,C417=0),VLOOKUP(A417,'3 - LISTA DE ESPÉCIES'!A:H,1,FALSE()),IF(AND(A417=0,B417&lt;&gt;0,C417=0),VLOOKUP(B417,'3 - LISTA DE ESPÉCIES'!B:H,5,FALSE()),IF(AND(A417=0,B417=0,C417&lt;&gt;0),VLOOKUP(C417,'3 - LISTA DE ESPÉCIES'!C:H,4,FALSE()))))</f>
        <v>0</v>
      </c>
      <c r="F417" s="21" t="b">
        <f>IF(AND(A417&lt;&gt;0,B417=0,C417=0),VLOOKUP(A417,'3 - LISTA DE ESPÉCIES'!A:H,2,FALSE()),IF(AND(A417=0,B417&lt;&gt;0,C417=0),VLOOKUP(B417,'3 - LISTA DE ESPÉCIES'!B:H,6,FALSE()),IF(AND(A417=0,B417=0,C417&lt;&gt;0),VLOOKUP(C417,'3 - LISTA DE ESPÉCIES'!C:H,5,FALSE()))))</f>
        <v>0</v>
      </c>
      <c r="G417" s="21" t="b">
        <f>IF(AND(A417&lt;&gt;0,B417=0,C417=0),VLOOKUP(A417,'3 - LISTA DE ESPÉCIES'!A:H,3,FALSE()),IF(AND(A417=0,B417&lt;&gt;0,C417=0),VLOOKUP(B417,'3 - LISTA DE ESPÉCIES'!B:H,7,FALSE()),IF(AND(A417=0,B417=0,C417&lt;&gt;0),VLOOKUP(C417,'3 - LISTA DE ESPÉCIES'!C:H,6,FALSE()))))</f>
        <v>0</v>
      </c>
      <c r="H417" s="21" t="b">
        <f>IF(AND(A417&lt;&gt;0,B417=0,C417=0),VLOOKUP(A417,'3 - LISTA DE ESPÉCIES'!A:H,4,FALSE()),IF(AND(A417=0,B417&lt;&gt;0,C417=0),VLOOKUP(B417,'3 - LISTA DE ESPÉCIES'!B:H,3,FALSE()),IF(AND(A417=0,B417=0,C417&lt;&gt;0),VLOOKUP(C417,'3 - LISTA DE ESPÉCIES'!C:H,2,FALSE()))))</f>
        <v>0</v>
      </c>
      <c r="I417" s="21" t="b">
        <f>IF(AND(A417&lt;&gt;0,B417=0,C417=0),VLOOKUP(A417,'3 - LISTA DE ESPÉCIES'!A:H,5,FALSE()),IF(AND(A417=0,B417&lt;&gt;0,C417=0),VLOOKUP(B417,'3 - LISTA DE ESPÉCIES'!B:H,4,FALSE()),IF(AND(A417=0,B417=0,C417&lt;&gt;0),VLOOKUP(C417,'3 - LISTA DE ESPÉCIES'!C:H,3,FALSE()))))</f>
        <v>0</v>
      </c>
      <c r="J417" s="23"/>
      <c r="K417" s="23"/>
      <c r="L417" s="20"/>
      <c r="M417" s="20"/>
    </row>
    <row r="418" spans="1:13" x14ac:dyDescent="0.25">
      <c r="A418" s="20"/>
      <c r="B418" s="20"/>
      <c r="C418" s="20"/>
      <c r="E418" s="21" t="b">
        <f>IF(AND(A418&lt;&gt;0,B418=0,C418=0),VLOOKUP(A418,'3 - LISTA DE ESPÉCIES'!A:H,1,FALSE()),IF(AND(A418=0,B418&lt;&gt;0,C418=0),VLOOKUP(B418,'3 - LISTA DE ESPÉCIES'!B:H,5,FALSE()),IF(AND(A418=0,B418=0,C418&lt;&gt;0),VLOOKUP(C418,'3 - LISTA DE ESPÉCIES'!C:H,4,FALSE()))))</f>
        <v>0</v>
      </c>
      <c r="F418" s="21" t="b">
        <f>IF(AND(A418&lt;&gt;0,B418=0,C418=0),VLOOKUP(A418,'3 - LISTA DE ESPÉCIES'!A:H,2,FALSE()),IF(AND(A418=0,B418&lt;&gt;0,C418=0),VLOOKUP(B418,'3 - LISTA DE ESPÉCIES'!B:H,6,FALSE()),IF(AND(A418=0,B418=0,C418&lt;&gt;0),VLOOKUP(C418,'3 - LISTA DE ESPÉCIES'!C:H,5,FALSE()))))</f>
        <v>0</v>
      </c>
      <c r="G418" s="21" t="b">
        <f>IF(AND(A418&lt;&gt;0,B418=0,C418=0),VLOOKUP(A418,'3 - LISTA DE ESPÉCIES'!A:H,3,FALSE()),IF(AND(A418=0,B418&lt;&gt;0,C418=0),VLOOKUP(B418,'3 - LISTA DE ESPÉCIES'!B:H,7,FALSE()),IF(AND(A418=0,B418=0,C418&lt;&gt;0),VLOOKUP(C418,'3 - LISTA DE ESPÉCIES'!C:H,6,FALSE()))))</f>
        <v>0</v>
      </c>
      <c r="H418" s="21" t="b">
        <f>IF(AND(A418&lt;&gt;0,B418=0,C418=0),VLOOKUP(A418,'3 - LISTA DE ESPÉCIES'!A:H,4,FALSE()),IF(AND(A418=0,B418&lt;&gt;0,C418=0),VLOOKUP(B418,'3 - LISTA DE ESPÉCIES'!B:H,3,FALSE()),IF(AND(A418=0,B418=0,C418&lt;&gt;0),VLOOKUP(C418,'3 - LISTA DE ESPÉCIES'!C:H,2,FALSE()))))</f>
        <v>0</v>
      </c>
      <c r="I418" s="21" t="b">
        <f>IF(AND(A418&lt;&gt;0,B418=0,C418=0),VLOOKUP(A418,'3 - LISTA DE ESPÉCIES'!A:H,5,FALSE()),IF(AND(A418=0,B418&lt;&gt;0,C418=0),VLOOKUP(B418,'3 - LISTA DE ESPÉCIES'!B:H,4,FALSE()),IF(AND(A418=0,B418=0,C418&lt;&gt;0),VLOOKUP(C418,'3 - LISTA DE ESPÉCIES'!C:H,3,FALSE()))))</f>
        <v>0</v>
      </c>
      <c r="J418" s="23"/>
      <c r="K418" s="23"/>
      <c r="L418" s="20"/>
      <c r="M418" s="20"/>
    </row>
    <row r="419" spans="1:13" x14ac:dyDescent="0.25">
      <c r="A419" s="20"/>
      <c r="B419" s="20"/>
      <c r="C419" s="20"/>
      <c r="E419" s="21" t="b">
        <f>IF(AND(A419&lt;&gt;0,B419=0,C419=0),VLOOKUP(A419,'3 - LISTA DE ESPÉCIES'!A:H,1,FALSE()),IF(AND(A419=0,B419&lt;&gt;0,C419=0),VLOOKUP(B419,'3 - LISTA DE ESPÉCIES'!B:H,5,FALSE()),IF(AND(A419=0,B419=0,C419&lt;&gt;0),VLOOKUP(C419,'3 - LISTA DE ESPÉCIES'!C:H,4,FALSE()))))</f>
        <v>0</v>
      </c>
      <c r="F419" s="21" t="b">
        <f>IF(AND(A419&lt;&gt;0,B419=0,C419=0),VLOOKUP(A419,'3 - LISTA DE ESPÉCIES'!A:H,2,FALSE()),IF(AND(A419=0,B419&lt;&gt;0,C419=0),VLOOKUP(B419,'3 - LISTA DE ESPÉCIES'!B:H,6,FALSE()),IF(AND(A419=0,B419=0,C419&lt;&gt;0),VLOOKUP(C419,'3 - LISTA DE ESPÉCIES'!C:H,5,FALSE()))))</f>
        <v>0</v>
      </c>
      <c r="G419" s="21" t="b">
        <f>IF(AND(A419&lt;&gt;0,B419=0,C419=0),VLOOKUP(A419,'3 - LISTA DE ESPÉCIES'!A:H,3,FALSE()),IF(AND(A419=0,B419&lt;&gt;0,C419=0),VLOOKUP(B419,'3 - LISTA DE ESPÉCIES'!B:H,7,FALSE()),IF(AND(A419=0,B419=0,C419&lt;&gt;0),VLOOKUP(C419,'3 - LISTA DE ESPÉCIES'!C:H,6,FALSE()))))</f>
        <v>0</v>
      </c>
      <c r="H419" s="21" t="b">
        <f>IF(AND(A419&lt;&gt;0,B419=0,C419=0),VLOOKUP(A419,'3 - LISTA DE ESPÉCIES'!A:H,4,FALSE()),IF(AND(A419=0,B419&lt;&gt;0,C419=0),VLOOKUP(B419,'3 - LISTA DE ESPÉCIES'!B:H,3,FALSE()),IF(AND(A419=0,B419=0,C419&lt;&gt;0),VLOOKUP(C419,'3 - LISTA DE ESPÉCIES'!C:H,2,FALSE()))))</f>
        <v>0</v>
      </c>
      <c r="I419" s="21" t="b">
        <f>IF(AND(A419&lt;&gt;0,B419=0,C419=0),VLOOKUP(A419,'3 - LISTA DE ESPÉCIES'!A:H,5,FALSE()),IF(AND(A419=0,B419&lt;&gt;0,C419=0),VLOOKUP(B419,'3 - LISTA DE ESPÉCIES'!B:H,4,FALSE()),IF(AND(A419=0,B419=0,C419&lt;&gt;0),VLOOKUP(C419,'3 - LISTA DE ESPÉCIES'!C:H,3,FALSE()))))</f>
        <v>0</v>
      </c>
      <c r="J419" s="23"/>
      <c r="K419" s="23"/>
      <c r="L419" s="20"/>
      <c r="M419" s="20"/>
    </row>
    <row r="420" spans="1:13" x14ac:dyDescent="0.25">
      <c r="A420" s="20"/>
      <c r="B420" s="20"/>
      <c r="C420" s="20"/>
      <c r="E420" s="21" t="b">
        <f>IF(AND(A420&lt;&gt;0,B420=0,C420=0),VLOOKUP(A420,'3 - LISTA DE ESPÉCIES'!A:H,1,FALSE()),IF(AND(A420=0,B420&lt;&gt;0,C420=0),VLOOKUP(B420,'3 - LISTA DE ESPÉCIES'!B:H,5,FALSE()),IF(AND(A420=0,B420=0,C420&lt;&gt;0),VLOOKUP(C420,'3 - LISTA DE ESPÉCIES'!C:H,4,FALSE()))))</f>
        <v>0</v>
      </c>
      <c r="F420" s="21" t="b">
        <f>IF(AND(A420&lt;&gt;0,B420=0,C420=0),VLOOKUP(A420,'3 - LISTA DE ESPÉCIES'!A:H,2,FALSE()),IF(AND(A420=0,B420&lt;&gt;0,C420=0),VLOOKUP(B420,'3 - LISTA DE ESPÉCIES'!B:H,6,FALSE()),IF(AND(A420=0,B420=0,C420&lt;&gt;0),VLOOKUP(C420,'3 - LISTA DE ESPÉCIES'!C:H,5,FALSE()))))</f>
        <v>0</v>
      </c>
      <c r="G420" s="21" t="b">
        <f>IF(AND(A420&lt;&gt;0,B420=0,C420=0),VLOOKUP(A420,'3 - LISTA DE ESPÉCIES'!A:H,3,FALSE()),IF(AND(A420=0,B420&lt;&gt;0,C420=0),VLOOKUP(B420,'3 - LISTA DE ESPÉCIES'!B:H,7,FALSE()),IF(AND(A420=0,B420=0,C420&lt;&gt;0),VLOOKUP(C420,'3 - LISTA DE ESPÉCIES'!C:H,6,FALSE()))))</f>
        <v>0</v>
      </c>
      <c r="H420" s="21" t="b">
        <f>IF(AND(A420&lt;&gt;0,B420=0,C420=0),VLOOKUP(A420,'3 - LISTA DE ESPÉCIES'!A:H,4,FALSE()),IF(AND(A420=0,B420&lt;&gt;0,C420=0),VLOOKUP(B420,'3 - LISTA DE ESPÉCIES'!B:H,3,FALSE()),IF(AND(A420=0,B420=0,C420&lt;&gt;0),VLOOKUP(C420,'3 - LISTA DE ESPÉCIES'!C:H,2,FALSE()))))</f>
        <v>0</v>
      </c>
      <c r="I420" s="21" t="b">
        <f>IF(AND(A420&lt;&gt;0,B420=0,C420=0),VLOOKUP(A420,'3 - LISTA DE ESPÉCIES'!A:H,5,FALSE()),IF(AND(A420=0,B420&lt;&gt;0,C420=0),VLOOKUP(B420,'3 - LISTA DE ESPÉCIES'!B:H,4,FALSE()),IF(AND(A420=0,B420=0,C420&lt;&gt;0),VLOOKUP(C420,'3 - LISTA DE ESPÉCIES'!C:H,3,FALSE()))))</f>
        <v>0</v>
      </c>
      <c r="J420" s="23"/>
      <c r="K420" s="23"/>
      <c r="L420" s="20"/>
      <c r="M420" s="20"/>
    </row>
    <row r="421" spans="1:13" x14ac:dyDescent="0.25">
      <c r="A421" s="20"/>
      <c r="B421" s="20"/>
      <c r="C421" s="20"/>
      <c r="E421" s="21" t="b">
        <f>IF(AND(A421&lt;&gt;0,B421=0,C421=0),VLOOKUP(A421,'3 - LISTA DE ESPÉCIES'!A:H,1,FALSE()),IF(AND(A421=0,B421&lt;&gt;0,C421=0),VLOOKUP(B421,'3 - LISTA DE ESPÉCIES'!B:H,5,FALSE()),IF(AND(A421=0,B421=0,C421&lt;&gt;0),VLOOKUP(C421,'3 - LISTA DE ESPÉCIES'!C:H,4,FALSE()))))</f>
        <v>0</v>
      </c>
      <c r="F421" s="21" t="b">
        <f>IF(AND(A421&lt;&gt;0,B421=0,C421=0),VLOOKUP(A421,'3 - LISTA DE ESPÉCIES'!A:H,2,FALSE()),IF(AND(A421=0,B421&lt;&gt;0,C421=0),VLOOKUP(B421,'3 - LISTA DE ESPÉCIES'!B:H,6,FALSE()),IF(AND(A421=0,B421=0,C421&lt;&gt;0),VLOOKUP(C421,'3 - LISTA DE ESPÉCIES'!C:H,5,FALSE()))))</f>
        <v>0</v>
      </c>
      <c r="G421" s="21" t="b">
        <f>IF(AND(A421&lt;&gt;0,B421=0,C421=0),VLOOKUP(A421,'3 - LISTA DE ESPÉCIES'!A:H,3,FALSE()),IF(AND(A421=0,B421&lt;&gt;0,C421=0),VLOOKUP(B421,'3 - LISTA DE ESPÉCIES'!B:H,7,FALSE()),IF(AND(A421=0,B421=0,C421&lt;&gt;0),VLOOKUP(C421,'3 - LISTA DE ESPÉCIES'!C:H,6,FALSE()))))</f>
        <v>0</v>
      </c>
      <c r="H421" s="21" t="b">
        <f>IF(AND(A421&lt;&gt;0,B421=0,C421=0),VLOOKUP(A421,'3 - LISTA DE ESPÉCIES'!A:H,4,FALSE()),IF(AND(A421=0,B421&lt;&gt;0,C421=0),VLOOKUP(B421,'3 - LISTA DE ESPÉCIES'!B:H,3,FALSE()),IF(AND(A421=0,B421=0,C421&lt;&gt;0),VLOOKUP(C421,'3 - LISTA DE ESPÉCIES'!C:H,2,FALSE()))))</f>
        <v>0</v>
      </c>
      <c r="I421" s="21" t="b">
        <f>IF(AND(A421&lt;&gt;0,B421=0,C421=0),VLOOKUP(A421,'3 - LISTA DE ESPÉCIES'!A:H,5,FALSE()),IF(AND(A421=0,B421&lt;&gt;0,C421=0),VLOOKUP(B421,'3 - LISTA DE ESPÉCIES'!B:H,4,FALSE()),IF(AND(A421=0,B421=0,C421&lt;&gt;0),VLOOKUP(C421,'3 - LISTA DE ESPÉCIES'!C:H,3,FALSE()))))</f>
        <v>0</v>
      </c>
      <c r="J421" s="23"/>
      <c r="K421" s="23"/>
      <c r="L421" s="20"/>
      <c r="M421" s="20"/>
    </row>
    <row r="422" spans="1:13" x14ac:dyDescent="0.25">
      <c r="A422" s="20"/>
      <c r="B422" s="20"/>
      <c r="C422" s="20"/>
      <c r="E422" s="21" t="b">
        <f>IF(AND(A422&lt;&gt;0,B422=0,C422=0),VLOOKUP(A422,'3 - LISTA DE ESPÉCIES'!A:H,1,FALSE()),IF(AND(A422=0,B422&lt;&gt;0,C422=0),VLOOKUP(B422,'3 - LISTA DE ESPÉCIES'!B:H,5,FALSE()),IF(AND(A422=0,B422=0,C422&lt;&gt;0),VLOOKUP(C422,'3 - LISTA DE ESPÉCIES'!C:H,4,FALSE()))))</f>
        <v>0</v>
      </c>
      <c r="F422" s="21" t="b">
        <f>IF(AND(A422&lt;&gt;0,B422=0,C422=0),VLOOKUP(A422,'3 - LISTA DE ESPÉCIES'!A:H,2,FALSE()),IF(AND(A422=0,B422&lt;&gt;0,C422=0),VLOOKUP(B422,'3 - LISTA DE ESPÉCIES'!B:H,6,FALSE()),IF(AND(A422=0,B422=0,C422&lt;&gt;0),VLOOKUP(C422,'3 - LISTA DE ESPÉCIES'!C:H,5,FALSE()))))</f>
        <v>0</v>
      </c>
      <c r="G422" s="21" t="b">
        <f>IF(AND(A422&lt;&gt;0,B422=0,C422=0),VLOOKUP(A422,'3 - LISTA DE ESPÉCIES'!A:H,3,FALSE()),IF(AND(A422=0,B422&lt;&gt;0,C422=0),VLOOKUP(B422,'3 - LISTA DE ESPÉCIES'!B:H,7,FALSE()),IF(AND(A422=0,B422=0,C422&lt;&gt;0),VLOOKUP(C422,'3 - LISTA DE ESPÉCIES'!C:H,6,FALSE()))))</f>
        <v>0</v>
      </c>
      <c r="H422" s="21" t="b">
        <f>IF(AND(A422&lt;&gt;0,B422=0,C422=0),VLOOKUP(A422,'3 - LISTA DE ESPÉCIES'!A:H,4,FALSE()),IF(AND(A422=0,B422&lt;&gt;0,C422=0),VLOOKUP(B422,'3 - LISTA DE ESPÉCIES'!B:H,3,FALSE()),IF(AND(A422=0,B422=0,C422&lt;&gt;0),VLOOKUP(C422,'3 - LISTA DE ESPÉCIES'!C:H,2,FALSE()))))</f>
        <v>0</v>
      </c>
      <c r="I422" s="21" t="b">
        <f>IF(AND(A422&lt;&gt;0,B422=0,C422=0),VLOOKUP(A422,'3 - LISTA DE ESPÉCIES'!A:H,5,FALSE()),IF(AND(A422=0,B422&lt;&gt;0,C422=0),VLOOKUP(B422,'3 - LISTA DE ESPÉCIES'!B:H,4,FALSE()),IF(AND(A422=0,B422=0,C422&lt;&gt;0),VLOOKUP(C422,'3 - LISTA DE ESPÉCIES'!C:H,3,FALSE()))))</f>
        <v>0</v>
      </c>
      <c r="J422" s="23"/>
      <c r="K422" s="23"/>
      <c r="L422" s="20"/>
      <c r="M422" s="20"/>
    </row>
    <row r="423" spans="1:13" x14ac:dyDescent="0.25">
      <c r="A423" s="20"/>
      <c r="B423" s="20"/>
      <c r="C423" s="20"/>
      <c r="E423" s="21" t="b">
        <f>IF(AND(A423&lt;&gt;0,B423=0,C423=0),VLOOKUP(A423,'3 - LISTA DE ESPÉCIES'!A:H,1,FALSE()),IF(AND(A423=0,B423&lt;&gt;0,C423=0),VLOOKUP(B423,'3 - LISTA DE ESPÉCIES'!B:H,5,FALSE()),IF(AND(A423=0,B423=0,C423&lt;&gt;0),VLOOKUP(C423,'3 - LISTA DE ESPÉCIES'!C:H,4,FALSE()))))</f>
        <v>0</v>
      </c>
      <c r="F423" s="21" t="b">
        <f>IF(AND(A423&lt;&gt;0,B423=0,C423=0),VLOOKUP(A423,'3 - LISTA DE ESPÉCIES'!A:H,2,FALSE()),IF(AND(A423=0,B423&lt;&gt;0,C423=0),VLOOKUP(B423,'3 - LISTA DE ESPÉCIES'!B:H,6,FALSE()),IF(AND(A423=0,B423=0,C423&lt;&gt;0),VLOOKUP(C423,'3 - LISTA DE ESPÉCIES'!C:H,5,FALSE()))))</f>
        <v>0</v>
      </c>
      <c r="G423" s="21" t="b">
        <f>IF(AND(A423&lt;&gt;0,B423=0,C423=0),VLOOKUP(A423,'3 - LISTA DE ESPÉCIES'!A:H,3,FALSE()),IF(AND(A423=0,B423&lt;&gt;0,C423=0),VLOOKUP(B423,'3 - LISTA DE ESPÉCIES'!B:H,7,FALSE()),IF(AND(A423=0,B423=0,C423&lt;&gt;0),VLOOKUP(C423,'3 - LISTA DE ESPÉCIES'!C:H,6,FALSE()))))</f>
        <v>0</v>
      </c>
      <c r="H423" s="21" t="b">
        <f>IF(AND(A423&lt;&gt;0,B423=0,C423=0),VLOOKUP(A423,'3 - LISTA DE ESPÉCIES'!A:H,4,FALSE()),IF(AND(A423=0,B423&lt;&gt;0,C423=0),VLOOKUP(B423,'3 - LISTA DE ESPÉCIES'!B:H,3,FALSE()),IF(AND(A423=0,B423=0,C423&lt;&gt;0),VLOOKUP(C423,'3 - LISTA DE ESPÉCIES'!C:H,2,FALSE()))))</f>
        <v>0</v>
      </c>
      <c r="I423" s="21" t="b">
        <f>IF(AND(A423&lt;&gt;0,B423=0,C423=0),VLOOKUP(A423,'3 - LISTA DE ESPÉCIES'!A:H,5,FALSE()),IF(AND(A423=0,B423&lt;&gt;0,C423=0),VLOOKUP(B423,'3 - LISTA DE ESPÉCIES'!B:H,4,FALSE()),IF(AND(A423=0,B423=0,C423&lt;&gt;0),VLOOKUP(C423,'3 - LISTA DE ESPÉCIES'!C:H,3,FALSE()))))</f>
        <v>0</v>
      </c>
      <c r="J423" s="23"/>
      <c r="K423" s="23"/>
      <c r="L423" s="20"/>
      <c r="M423" s="20"/>
    </row>
    <row r="424" spans="1:13" x14ac:dyDescent="0.25">
      <c r="A424" s="20"/>
      <c r="B424" s="20"/>
      <c r="C424" s="20"/>
      <c r="E424" s="21" t="b">
        <f>IF(AND(A424&lt;&gt;0,B424=0,C424=0),VLOOKUP(A424,'3 - LISTA DE ESPÉCIES'!A:H,1,FALSE()),IF(AND(A424=0,B424&lt;&gt;0,C424=0),VLOOKUP(B424,'3 - LISTA DE ESPÉCIES'!B:H,5,FALSE()),IF(AND(A424=0,B424=0,C424&lt;&gt;0),VLOOKUP(C424,'3 - LISTA DE ESPÉCIES'!C:H,4,FALSE()))))</f>
        <v>0</v>
      </c>
      <c r="F424" s="21" t="b">
        <f>IF(AND(A424&lt;&gt;0,B424=0,C424=0),VLOOKUP(A424,'3 - LISTA DE ESPÉCIES'!A:H,2,FALSE()),IF(AND(A424=0,B424&lt;&gt;0,C424=0),VLOOKUP(B424,'3 - LISTA DE ESPÉCIES'!B:H,6,FALSE()),IF(AND(A424=0,B424=0,C424&lt;&gt;0),VLOOKUP(C424,'3 - LISTA DE ESPÉCIES'!C:H,5,FALSE()))))</f>
        <v>0</v>
      </c>
      <c r="G424" s="21" t="b">
        <f>IF(AND(A424&lt;&gt;0,B424=0,C424=0),VLOOKUP(A424,'3 - LISTA DE ESPÉCIES'!A:H,3,FALSE()),IF(AND(A424=0,B424&lt;&gt;0,C424=0),VLOOKUP(B424,'3 - LISTA DE ESPÉCIES'!B:H,7,FALSE()),IF(AND(A424=0,B424=0,C424&lt;&gt;0),VLOOKUP(C424,'3 - LISTA DE ESPÉCIES'!C:H,6,FALSE()))))</f>
        <v>0</v>
      </c>
      <c r="H424" s="21" t="b">
        <f>IF(AND(A424&lt;&gt;0,B424=0,C424=0),VLOOKUP(A424,'3 - LISTA DE ESPÉCIES'!A:H,4,FALSE()),IF(AND(A424=0,B424&lt;&gt;0,C424=0),VLOOKUP(B424,'3 - LISTA DE ESPÉCIES'!B:H,3,FALSE()),IF(AND(A424=0,B424=0,C424&lt;&gt;0),VLOOKUP(C424,'3 - LISTA DE ESPÉCIES'!C:H,2,FALSE()))))</f>
        <v>0</v>
      </c>
      <c r="I424" s="21" t="b">
        <f>IF(AND(A424&lt;&gt;0,B424=0,C424=0),VLOOKUP(A424,'3 - LISTA DE ESPÉCIES'!A:H,5,FALSE()),IF(AND(A424=0,B424&lt;&gt;0,C424=0),VLOOKUP(B424,'3 - LISTA DE ESPÉCIES'!B:H,4,FALSE()),IF(AND(A424=0,B424=0,C424&lt;&gt;0),VLOOKUP(C424,'3 - LISTA DE ESPÉCIES'!C:H,3,FALSE()))))</f>
        <v>0</v>
      </c>
      <c r="J424" s="23"/>
      <c r="K424" s="23"/>
      <c r="L424" s="20"/>
      <c r="M424" s="20"/>
    </row>
    <row r="425" spans="1:13" x14ac:dyDescent="0.25">
      <c r="A425" s="20"/>
      <c r="B425" s="20"/>
      <c r="C425" s="20"/>
      <c r="E425" s="21" t="b">
        <f>IF(AND(A425&lt;&gt;0,B425=0,C425=0),VLOOKUP(A425,'3 - LISTA DE ESPÉCIES'!A:H,1,FALSE()),IF(AND(A425=0,B425&lt;&gt;0,C425=0),VLOOKUP(B425,'3 - LISTA DE ESPÉCIES'!B:H,5,FALSE()),IF(AND(A425=0,B425=0,C425&lt;&gt;0),VLOOKUP(C425,'3 - LISTA DE ESPÉCIES'!C:H,4,FALSE()))))</f>
        <v>0</v>
      </c>
      <c r="F425" s="21" t="b">
        <f>IF(AND(A425&lt;&gt;0,B425=0,C425=0),VLOOKUP(A425,'3 - LISTA DE ESPÉCIES'!A:H,2,FALSE()),IF(AND(A425=0,B425&lt;&gt;0,C425=0),VLOOKUP(B425,'3 - LISTA DE ESPÉCIES'!B:H,6,FALSE()),IF(AND(A425=0,B425=0,C425&lt;&gt;0),VLOOKUP(C425,'3 - LISTA DE ESPÉCIES'!C:H,5,FALSE()))))</f>
        <v>0</v>
      </c>
      <c r="G425" s="21" t="b">
        <f>IF(AND(A425&lt;&gt;0,B425=0,C425=0),VLOOKUP(A425,'3 - LISTA DE ESPÉCIES'!A:H,3,FALSE()),IF(AND(A425=0,B425&lt;&gt;0,C425=0),VLOOKUP(B425,'3 - LISTA DE ESPÉCIES'!B:H,7,FALSE()),IF(AND(A425=0,B425=0,C425&lt;&gt;0),VLOOKUP(C425,'3 - LISTA DE ESPÉCIES'!C:H,6,FALSE()))))</f>
        <v>0</v>
      </c>
      <c r="H425" s="21" t="b">
        <f>IF(AND(A425&lt;&gt;0,B425=0,C425=0),VLOOKUP(A425,'3 - LISTA DE ESPÉCIES'!A:H,4,FALSE()),IF(AND(A425=0,B425&lt;&gt;0,C425=0),VLOOKUP(B425,'3 - LISTA DE ESPÉCIES'!B:H,3,FALSE()),IF(AND(A425=0,B425=0,C425&lt;&gt;0),VLOOKUP(C425,'3 - LISTA DE ESPÉCIES'!C:H,2,FALSE()))))</f>
        <v>0</v>
      </c>
      <c r="I425" s="21" t="b">
        <f>IF(AND(A425&lt;&gt;0,B425=0,C425=0),VLOOKUP(A425,'3 - LISTA DE ESPÉCIES'!A:H,5,FALSE()),IF(AND(A425=0,B425&lt;&gt;0,C425=0),VLOOKUP(B425,'3 - LISTA DE ESPÉCIES'!B:H,4,FALSE()),IF(AND(A425=0,B425=0,C425&lt;&gt;0),VLOOKUP(C425,'3 - LISTA DE ESPÉCIES'!C:H,3,FALSE()))))</f>
        <v>0</v>
      </c>
      <c r="J425" s="23"/>
      <c r="K425" s="23"/>
      <c r="L425" s="20"/>
      <c r="M425" s="20"/>
    </row>
    <row r="426" spans="1:13" x14ac:dyDescent="0.25">
      <c r="A426" s="20"/>
      <c r="B426" s="20"/>
      <c r="C426" s="20"/>
      <c r="E426" s="21" t="b">
        <f>IF(AND(A426&lt;&gt;0,B426=0,C426=0),VLOOKUP(A426,'3 - LISTA DE ESPÉCIES'!A:H,1,FALSE()),IF(AND(A426=0,B426&lt;&gt;0,C426=0),VLOOKUP(B426,'3 - LISTA DE ESPÉCIES'!B:H,5,FALSE()),IF(AND(A426=0,B426=0,C426&lt;&gt;0),VLOOKUP(C426,'3 - LISTA DE ESPÉCIES'!C:H,4,FALSE()))))</f>
        <v>0</v>
      </c>
      <c r="F426" s="21" t="b">
        <f>IF(AND(A426&lt;&gt;0,B426=0,C426=0),VLOOKUP(A426,'3 - LISTA DE ESPÉCIES'!A:H,2,FALSE()),IF(AND(A426=0,B426&lt;&gt;0,C426=0),VLOOKUP(B426,'3 - LISTA DE ESPÉCIES'!B:H,6,FALSE()),IF(AND(A426=0,B426=0,C426&lt;&gt;0),VLOOKUP(C426,'3 - LISTA DE ESPÉCIES'!C:H,5,FALSE()))))</f>
        <v>0</v>
      </c>
      <c r="G426" s="21" t="b">
        <f>IF(AND(A426&lt;&gt;0,B426=0,C426=0),VLOOKUP(A426,'3 - LISTA DE ESPÉCIES'!A:H,3,FALSE()),IF(AND(A426=0,B426&lt;&gt;0,C426=0),VLOOKUP(B426,'3 - LISTA DE ESPÉCIES'!B:H,7,FALSE()),IF(AND(A426=0,B426=0,C426&lt;&gt;0),VLOOKUP(C426,'3 - LISTA DE ESPÉCIES'!C:H,6,FALSE()))))</f>
        <v>0</v>
      </c>
      <c r="H426" s="21" t="b">
        <f>IF(AND(A426&lt;&gt;0,B426=0,C426=0),VLOOKUP(A426,'3 - LISTA DE ESPÉCIES'!A:H,4,FALSE()),IF(AND(A426=0,B426&lt;&gt;0,C426=0),VLOOKUP(B426,'3 - LISTA DE ESPÉCIES'!B:H,3,FALSE()),IF(AND(A426=0,B426=0,C426&lt;&gt;0),VLOOKUP(C426,'3 - LISTA DE ESPÉCIES'!C:H,2,FALSE()))))</f>
        <v>0</v>
      </c>
      <c r="I426" s="21" t="b">
        <f>IF(AND(A426&lt;&gt;0,B426=0,C426=0),VLOOKUP(A426,'3 - LISTA DE ESPÉCIES'!A:H,5,FALSE()),IF(AND(A426=0,B426&lt;&gt;0,C426=0),VLOOKUP(B426,'3 - LISTA DE ESPÉCIES'!B:H,4,FALSE()),IF(AND(A426=0,B426=0,C426&lt;&gt;0),VLOOKUP(C426,'3 - LISTA DE ESPÉCIES'!C:H,3,FALSE()))))</f>
        <v>0</v>
      </c>
      <c r="J426" s="23"/>
      <c r="K426" s="23"/>
      <c r="L426" s="20"/>
      <c r="M426" s="20"/>
    </row>
    <row r="427" spans="1:13" x14ac:dyDescent="0.25">
      <c r="A427" s="20"/>
      <c r="B427" s="20"/>
      <c r="C427" s="20"/>
      <c r="E427" s="21" t="b">
        <f>IF(AND(A427&lt;&gt;0,B427=0,C427=0),VLOOKUP(A427,'3 - LISTA DE ESPÉCIES'!A:H,1,FALSE()),IF(AND(A427=0,B427&lt;&gt;0,C427=0),VLOOKUP(B427,'3 - LISTA DE ESPÉCIES'!B:H,5,FALSE()),IF(AND(A427=0,B427=0,C427&lt;&gt;0),VLOOKUP(C427,'3 - LISTA DE ESPÉCIES'!C:H,4,FALSE()))))</f>
        <v>0</v>
      </c>
      <c r="F427" s="21" t="b">
        <f>IF(AND(A427&lt;&gt;0,B427=0,C427=0),VLOOKUP(A427,'3 - LISTA DE ESPÉCIES'!A:H,2,FALSE()),IF(AND(A427=0,B427&lt;&gt;0,C427=0),VLOOKUP(B427,'3 - LISTA DE ESPÉCIES'!B:H,6,FALSE()),IF(AND(A427=0,B427=0,C427&lt;&gt;0),VLOOKUP(C427,'3 - LISTA DE ESPÉCIES'!C:H,5,FALSE()))))</f>
        <v>0</v>
      </c>
      <c r="G427" s="21" t="b">
        <f>IF(AND(A427&lt;&gt;0,B427=0,C427=0),VLOOKUP(A427,'3 - LISTA DE ESPÉCIES'!A:H,3,FALSE()),IF(AND(A427=0,B427&lt;&gt;0,C427=0),VLOOKUP(B427,'3 - LISTA DE ESPÉCIES'!B:H,7,FALSE()),IF(AND(A427=0,B427=0,C427&lt;&gt;0),VLOOKUP(C427,'3 - LISTA DE ESPÉCIES'!C:H,6,FALSE()))))</f>
        <v>0</v>
      </c>
      <c r="H427" s="21" t="b">
        <f>IF(AND(A427&lt;&gt;0,B427=0,C427=0),VLOOKUP(A427,'3 - LISTA DE ESPÉCIES'!A:H,4,FALSE()),IF(AND(A427=0,B427&lt;&gt;0,C427=0),VLOOKUP(B427,'3 - LISTA DE ESPÉCIES'!B:H,3,FALSE()),IF(AND(A427=0,B427=0,C427&lt;&gt;0),VLOOKUP(C427,'3 - LISTA DE ESPÉCIES'!C:H,2,FALSE()))))</f>
        <v>0</v>
      </c>
      <c r="I427" s="21" t="b">
        <f>IF(AND(A427&lt;&gt;0,B427=0,C427=0),VLOOKUP(A427,'3 - LISTA DE ESPÉCIES'!A:H,5,FALSE()),IF(AND(A427=0,B427&lt;&gt;0,C427=0),VLOOKUP(B427,'3 - LISTA DE ESPÉCIES'!B:H,4,FALSE()),IF(AND(A427=0,B427=0,C427&lt;&gt;0),VLOOKUP(C427,'3 - LISTA DE ESPÉCIES'!C:H,3,FALSE()))))</f>
        <v>0</v>
      </c>
      <c r="J427" s="23"/>
      <c r="K427" s="23"/>
      <c r="L427" s="20"/>
      <c r="M427" s="20"/>
    </row>
    <row r="428" spans="1:13" x14ac:dyDescent="0.25">
      <c r="A428" s="20"/>
      <c r="B428" s="20"/>
      <c r="C428" s="20"/>
      <c r="E428" s="21" t="b">
        <f>IF(AND(A428&lt;&gt;0,B428=0,C428=0),VLOOKUP(A428,'3 - LISTA DE ESPÉCIES'!A:H,1,FALSE()),IF(AND(A428=0,B428&lt;&gt;0,C428=0),VLOOKUP(B428,'3 - LISTA DE ESPÉCIES'!B:H,5,FALSE()),IF(AND(A428=0,B428=0,C428&lt;&gt;0),VLOOKUP(C428,'3 - LISTA DE ESPÉCIES'!C:H,4,FALSE()))))</f>
        <v>0</v>
      </c>
      <c r="F428" s="21" t="b">
        <f>IF(AND(A428&lt;&gt;0,B428=0,C428=0),VLOOKUP(A428,'3 - LISTA DE ESPÉCIES'!A:H,2,FALSE()),IF(AND(A428=0,B428&lt;&gt;0,C428=0),VLOOKUP(B428,'3 - LISTA DE ESPÉCIES'!B:H,6,FALSE()),IF(AND(A428=0,B428=0,C428&lt;&gt;0),VLOOKUP(C428,'3 - LISTA DE ESPÉCIES'!C:H,5,FALSE()))))</f>
        <v>0</v>
      </c>
      <c r="G428" s="21" t="b">
        <f>IF(AND(A428&lt;&gt;0,B428=0,C428=0),VLOOKUP(A428,'3 - LISTA DE ESPÉCIES'!A:H,3,FALSE()),IF(AND(A428=0,B428&lt;&gt;0,C428=0),VLOOKUP(B428,'3 - LISTA DE ESPÉCIES'!B:H,7,FALSE()),IF(AND(A428=0,B428=0,C428&lt;&gt;0),VLOOKUP(C428,'3 - LISTA DE ESPÉCIES'!C:H,6,FALSE()))))</f>
        <v>0</v>
      </c>
      <c r="H428" s="21" t="b">
        <f>IF(AND(A428&lt;&gt;0,B428=0,C428=0),VLOOKUP(A428,'3 - LISTA DE ESPÉCIES'!A:H,4,FALSE()),IF(AND(A428=0,B428&lt;&gt;0,C428=0),VLOOKUP(B428,'3 - LISTA DE ESPÉCIES'!B:H,3,FALSE()),IF(AND(A428=0,B428=0,C428&lt;&gt;0),VLOOKUP(C428,'3 - LISTA DE ESPÉCIES'!C:H,2,FALSE()))))</f>
        <v>0</v>
      </c>
      <c r="I428" s="21" t="b">
        <f>IF(AND(A428&lt;&gt;0,B428=0,C428=0),VLOOKUP(A428,'3 - LISTA DE ESPÉCIES'!A:H,5,FALSE()),IF(AND(A428=0,B428&lt;&gt;0,C428=0),VLOOKUP(B428,'3 - LISTA DE ESPÉCIES'!B:H,4,FALSE()),IF(AND(A428=0,B428=0,C428&lt;&gt;0),VLOOKUP(C428,'3 - LISTA DE ESPÉCIES'!C:H,3,FALSE()))))</f>
        <v>0</v>
      </c>
      <c r="J428" s="23"/>
      <c r="K428" s="23"/>
      <c r="L428" s="20"/>
      <c r="M428" s="20"/>
    </row>
    <row r="429" spans="1:13" x14ac:dyDescent="0.25">
      <c r="A429" s="20"/>
      <c r="B429" s="20"/>
      <c r="C429" s="20"/>
      <c r="E429" s="21" t="b">
        <f>IF(AND(A429&lt;&gt;0,B429=0,C429=0),VLOOKUP(A429,'3 - LISTA DE ESPÉCIES'!A:H,1,FALSE()),IF(AND(A429=0,B429&lt;&gt;0,C429=0),VLOOKUP(B429,'3 - LISTA DE ESPÉCIES'!B:H,5,FALSE()),IF(AND(A429=0,B429=0,C429&lt;&gt;0),VLOOKUP(C429,'3 - LISTA DE ESPÉCIES'!C:H,4,FALSE()))))</f>
        <v>0</v>
      </c>
      <c r="F429" s="21" t="b">
        <f>IF(AND(A429&lt;&gt;0,B429=0,C429=0),VLOOKUP(A429,'3 - LISTA DE ESPÉCIES'!A:H,2,FALSE()),IF(AND(A429=0,B429&lt;&gt;0,C429=0),VLOOKUP(B429,'3 - LISTA DE ESPÉCIES'!B:H,6,FALSE()),IF(AND(A429=0,B429=0,C429&lt;&gt;0),VLOOKUP(C429,'3 - LISTA DE ESPÉCIES'!C:H,5,FALSE()))))</f>
        <v>0</v>
      </c>
      <c r="G429" s="21" t="b">
        <f>IF(AND(A429&lt;&gt;0,B429=0,C429=0),VLOOKUP(A429,'3 - LISTA DE ESPÉCIES'!A:H,3,FALSE()),IF(AND(A429=0,B429&lt;&gt;0,C429=0),VLOOKUP(B429,'3 - LISTA DE ESPÉCIES'!B:H,7,FALSE()),IF(AND(A429=0,B429=0,C429&lt;&gt;0),VLOOKUP(C429,'3 - LISTA DE ESPÉCIES'!C:H,6,FALSE()))))</f>
        <v>0</v>
      </c>
      <c r="H429" s="21" t="b">
        <f>IF(AND(A429&lt;&gt;0,B429=0,C429=0),VLOOKUP(A429,'3 - LISTA DE ESPÉCIES'!A:H,4,FALSE()),IF(AND(A429=0,B429&lt;&gt;0,C429=0),VLOOKUP(B429,'3 - LISTA DE ESPÉCIES'!B:H,3,FALSE()),IF(AND(A429=0,B429=0,C429&lt;&gt;0),VLOOKUP(C429,'3 - LISTA DE ESPÉCIES'!C:H,2,FALSE()))))</f>
        <v>0</v>
      </c>
      <c r="I429" s="21" t="b">
        <f>IF(AND(A429&lt;&gt;0,B429=0,C429=0),VLOOKUP(A429,'3 - LISTA DE ESPÉCIES'!A:H,5,FALSE()),IF(AND(A429=0,B429&lt;&gt;0,C429=0),VLOOKUP(B429,'3 - LISTA DE ESPÉCIES'!B:H,4,FALSE()),IF(AND(A429=0,B429=0,C429&lt;&gt;0),VLOOKUP(C429,'3 - LISTA DE ESPÉCIES'!C:H,3,FALSE()))))</f>
        <v>0</v>
      </c>
      <c r="J429" s="23"/>
      <c r="K429" s="23"/>
      <c r="L429" s="20"/>
      <c r="M429" s="20"/>
    </row>
    <row r="430" spans="1:13" x14ac:dyDescent="0.25">
      <c r="A430" s="20"/>
      <c r="B430" s="20"/>
      <c r="C430" s="20"/>
      <c r="E430" s="21" t="b">
        <f>IF(AND(A430&lt;&gt;0,B430=0,C430=0),VLOOKUP(A430,'3 - LISTA DE ESPÉCIES'!A:H,1,FALSE()),IF(AND(A430=0,B430&lt;&gt;0,C430=0),VLOOKUP(B430,'3 - LISTA DE ESPÉCIES'!B:H,5,FALSE()),IF(AND(A430=0,B430=0,C430&lt;&gt;0),VLOOKUP(C430,'3 - LISTA DE ESPÉCIES'!C:H,4,FALSE()))))</f>
        <v>0</v>
      </c>
      <c r="F430" s="21" t="b">
        <f>IF(AND(A430&lt;&gt;0,B430=0,C430=0),VLOOKUP(A430,'3 - LISTA DE ESPÉCIES'!A:H,2,FALSE()),IF(AND(A430=0,B430&lt;&gt;0,C430=0),VLOOKUP(B430,'3 - LISTA DE ESPÉCIES'!B:H,6,FALSE()),IF(AND(A430=0,B430=0,C430&lt;&gt;0),VLOOKUP(C430,'3 - LISTA DE ESPÉCIES'!C:H,5,FALSE()))))</f>
        <v>0</v>
      </c>
      <c r="G430" s="21" t="b">
        <f>IF(AND(A430&lt;&gt;0,B430=0,C430=0),VLOOKUP(A430,'3 - LISTA DE ESPÉCIES'!A:H,3,FALSE()),IF(AND(A430=0,B430&lt;&gt;0,C430=0),VLOOKUP(B430,'3 - LISTA DE ESPÉCIES'!B:H,7,FALSE()),IF(AND(A430=0,B430=0,C430&lt;&gt;0),VLOOKUP(C430,'3 - LISTA DE ESPÉCIES'!C:H,6,FALSE()))))</f>
        <v>0</v>
      </c>
      <c r="H430" s="21" t="b">
        <f>IF(AND(A430&lt;&gt;0,B430=0,C430=0),VLOOKUP(A430,'3 - LISTA DE ESPÉCIES'!A:H,4,FALSE()),IF(AND(A430=0,B430&lt;&gt;0,C430=0),VLOOKUP(B430,'3 - LISTA DE ESPÉCIES'!B:H,3,FALSE()),IF(AND(A430=0,B430=0,C430&lt;&gt;0),VLOOKUP(C430,'3 - LISTA DE ESPÉCIES'!C:H,2,FALSE()))))</f>
        <v>0</v>
      </c>
      <c r="I430" s="21" t="b">
        <f>IF(AND(A430&lt;&gt;0,B430=0,C430=0),VLOOKUP(A430,'3 - LISTA DE ESPÉCIES'!A:H,5,FALSE()),IF(AND(A430=0,B430&lt;&gt;0,C430=0),VLOOKUP(B430,'3 - LISTA DE ESPÉCIES'!B:H,4,FALSE()),IF(AND(A430=0,B430=0,C430&lt;&gt;0),VLOOKUP(C430,'3 - LISTA DE ESPÉCIES'!C:H,3,FALSE()))))</f>
        <v>0</v>
      </c>
      <c r="J430" s="23"/>
      <c r="K430" s="23"/>
      <c r="L430" s="20"/>
      <c r="M430" s="20"/>
    </row>
    <row r="431" spans="1:13" x14ac:dyDescent="0.25">
      <c r="A431" s="20"/>
      <c r="B431" s="20"/>
      <c r="C431" s="20"/>
      <c r="E431" s="21" t="b">
        <f>IF(AND(A431&lt;&gt;0,B431=0,C431=0),VLOOKUP(A431,'3 - LISTA DE ESPÉCIES'!A:H,1,FALSE()),IF(AND(A431=0,B431&lt;&gt;0,C431=0),VLOOKUP(B431,'3 - LISTA DE ESPÉCIES'!B:H,5,FALSE()),IF(AND(A431=0,B431=0,C431&lt;&gt;0),VLOOKUP(C431,'3 - LISTA DE ESPÉCIES'!C:H,4,FALSE()))))</f>
        <v>0</v>
      </c>
      <c r="F431" s="21" t="b">
        <f>IF(AND(A431&lt;&gt;0,B431=0,C431=0),VLOOKUP(A431,'3 - LISTA DE ESPÉCIES'!A:H,2,FALSE()),IF(AND(A431=0,B431&lt;&gt;0,C431=0),VLOOKUP(B431,'3 - LISTA DE ESPÉCIES'!B:H,6,FALSE()),IF(AND(A431=0,B431=0,C431&lt;&gt;0),VLOOKUP(C431,'3 - LISTA DE ESPÉCIES'!C:H,5,FALSE()))))</f>
        <v>0</v>
      </c>
      <c r="G431" s="21" t="b">
        <f>IF(AND(A431&lt;&gt;0,B431=0,C431=0),VLOOKUP(A431,'3 - LISTA DE ESPÉCIES'!A:H,3,FALSE()),IF(AND(A431=0,B431&lt;&gt;0,C431=0),VLOOKUP(B431,'3 - LISTA DE ESPÉCIES'!B:H,7,FALSE()),IF(AND(A431=0,B431=0,C431&lt;&gt;0),VLOOKUP(C431,'3 - LISTA DE ESPÉCIES'!C:H,6,FALSE()))))</f>
        <v>0</v>
      </c>
      <c r="H431" s="21" t="b">
        <f>IF(AND(A431&lt;&gt;0,B431=0,C431=0),VLOOKUP(A431,'3 - LISTA DE ESPÉCIES'!A:H,4,FALSE()),IF(AND(A431=0,B431&lt;&gt;0,C431=0),VLOOKUP(B431,'3 - LISTA DE ESPÉCIES'!B:H,3,FALSE()),IF(AND(A431=0,B431=0,C431&lt;&gt;0),VLOOKUP(C431,'3 - LISTA DE ESPÉCIES'!C:H,2,FALSE()))))</f>
        <v>0</v>
      </c>
      <c r="I431" s="21" t="b">
        <f>IF(AND(A431&lt;&gt;0,B431=0,C431=0),VLOOKUP(A431,'3 - LISTA DE ESPÉCIES'!A:H,5,FALSE()),IF(AND(A431=0,B431&lt;&gt;0,C431=0),VLOOKUP(B431,'3 - LISTA DE ESPÉCIES'!B:H,4,FALSE()),IF(AND(A431=0,B431=0,C431&lt;&gt;0),VLOOKUP(C431,'3 - LISTA DE ESPÉCIES'!C:H,3,FALSE()))))</f>
        <v>0</v>
      </c>
      <c r="J431" s="23"/>
      <c r="K431" s="23"/>
      <c r="L431" s="20"/>
      <c r="M431" s="20"/>
    </row>
    <row r="432" spans="1:13" x14ac:dyDescent="0.25">
      <c r="A432" s="20"/>
      <c r="B432" s="20"/>
      <c r="C432" s="20"/>
      <c r="E432" s="21" t="b">
        <f>IF(AND(A432&lt;&gt;0,B432=0,C432=0),VLOOKUP(A432,'3 - LISTA DE ESPÉCIES'!A:H,1,FALSE()),IF(AND(A432=0,B432&lt;&gt;0,C432=0),VLOOKUP(B432,'3 - LISTA DE ESPÉCIES'!B:H,5,FALSE()),IF(AND(A432=0,B432=0,C432&lt;&gt;0),VLOOKUP(C432,'3 - LISTA DE ESPÉCIES'!C:H,4,FALSE()))))</f>
        <v>0</v>
      </c>
      <c r="F432" s="21" t="b">
        <f>IF(AND(A432&lt;&gt;0,B432=0,C432=0),VLOOKUP(A432,'3 - LISTA DE ESPÉCIES'!A:H,2,FALSE()),IF(AND(A432=0,B432&lt;&gt;0,C432=0),VLOOKUP(B432,'3 - LISTA DE ESPÉCIES'!B:H,6,FALSE()),IF(AND(A432=0,B432=0,C432&lt;&gt;0),VLOOKUP(C432,'3 - LISTA DE ESPÉCIES'!C:H,5,FALSE()))))</f>
        <v>0</v>
      </c>
      <c r="G432" s="21" t="b">
        <f>IF(AND(A432&lt;&gt;0,B432=0,C432=0),VLOOKUP(A432,'3 - LISTA DE ESPÉCIES'!A:H,3,FALSE()),IF(AND(A432=0,B432&lt;&gt;0,C432=0),VLOOKUP(B432,'3 - LISTA DE ESPÉCIES'!B:H,7,FALSE()),IF(AND(A432=0,B432=0,C432&lt;&gt;0),VLOOKUP(C432,'3 - LISTA DE ESPÉCIES'!C:H,6,FALSE()))))</f>
        <v>0</v>
      </c>
      <c r="H432" s="21" t="b">
        <f>IF(AND(A432&lt;&gt;0,B432=0,C432=0),VLOOKUP(A432,'3 - LISTA DE ESPÉCIES'!A:H,4,FALSE()),IF(AND(A432=0,B432&lt;&gt;0,C432=0),VLOOKUP(B432,'3 - LISTA DE ESPÉCIES'!B:H,3,FALSE()),IF(AND(A432=0,B432=0,C432&lt;&gt;0),VLOOKUP(C432,'3 - LISTA DE ESPÉCIES'!C:H,2,FALSE()))))</f>
        <v>0</v>
      </c>
      <c r="I432" s="21" t="b">
        <f>IF(AND(A432&lt;&gt;0,B432=0,C432=0),VLOOKUP(A432,'3 - LISTA DE ESPÉCIES'!A:H,5,FALSE()),IF(AND(A432=0,B432&lt;&gt;0,C432=0),VLOOKUP(B432,'3 - LISTA DE ESPÉCIES'!B:H,4,FALSE()),IF(AND(A432=0,B432=0,C432&lt;&gt;0),VLOOKUP(C432,'3 - LISTA DE ESPÉCIES'!C:H,3,FALSE()))))</f>
        <v>0</v>
      </c>
      <c r="J432" s="23"/>
      <c r="K432" s="23"/>
      <c r="L432" s="20"/>
      <c r="M432" s="20"/>
    </row>
    <row r="433" spans="1:13" x14ac:dyDescent="0.25">
      <c r="A433" s="20"/>
      <c r="B433" s="20"/>
      <c r="C433" s="20"/>
      <c r="E433" s="21" t="b">
        <f>IF(AND(A433&lt;&gt;0,B433=0,C433=0),VLOOKUP(A433,'3 - LISTA DE ESPÉCIES'!A:H,1,FALSE()),IF(AND(A433=0,B433&lt;&gt;0,C433=0),VLOOKUP(B433,'3 - LISTA DE ESPÉCIES'!B:H,5,FALSE()),IF(AND(A433=0,B433=0,C433&lt;&gt;0),VLOOKUP(C433,'3 - LISTA DE ESPÉCIES'!C:H,4,FALSE()))))</f>
        <v>0</v>
      </c>
      <c r="F433" s="21" t="b">
        <f>IF(AND(A433&lt;&gt;0,B433=0,C433=0),VLOOKUP(A433,'3 - LISTA DE ESPÉCIES'!A:H,2,FALSE()),IF(AND(A433=0,B433&lt;&gt;0,C433=0),VLOOKUP(B433,'3 - LISTA DE ESPÉCIES'!B:H,6,FALSE()),IF(AND(A433=0,B433=0,C433&lt;&gt;0),VLOOKUP(C433,'3 - LISTA DE ESPÉCIES'!C:H,5,FALSE()))))</f>
        <v>0</v>
      </c>
      <c r="G433" s="21" t="b">
        <f>IF(AND(A433&lt;&gt;0,B433=0,C433=0),VLOOKUP(A433,'3 - LISTA DE ESPÉCIES'!A:H,3,FALSE()),IF(AND(A433=0,B433&lt;&gt;0,C433=0),VLOOKUP(B433,'3 - LISTA DE ESPÉCIES'!B:H,7,FALSE()),IF(AND(A433=0,B433=0,C433&lt;&gt;0),VLOOKUP(C433,'3 - LISTA DE ESPÉCIES'!C:H,6,FALSE()))))</f>
        <v>0</v>
      </c>
      <c r="H433" s="21" t="b">
        <f>IF(AND(A433&lt;&gt;0,B433=0,C433=0),VLOOKUP(A433,'3 - LISTA DE ESPÉCIES'!A:H,4,FALSE()),IF(AND(A433=0,B433&lt;&gt;0,C433=0),VLOOKUP(B433,'3 - LISTA DE ESPÉCIES'!B:H,3,FALSE()),IF(AND(A433=0,B433=0,C433&lt;&gt;0),VLOOKUP(C433,'3 - LISTA DE ESPÉCIES'!C:H,2,FALSE()))))</f>
        <v>0</v>
      </c>
      <c r="I433" s="21" t="b">
        <f>IF(AND(A433&lt;&gt;0,B433=0,C433=0),VLOOKUP(A433,'3 - LISTA DE ESPÉCIES'!A:H,5,FALSE()),IF(AND(A433=0,B433&lt;&gt;0,C433=0),VLOOKUP(B433,'3 - LISTA DE ESPÉCIES'!B:H,4,FALSE()),IF(AND(A433=0,B433=0,C433&lt;&gt;0),VLOOKUP(C433,'3 - LISTA DE ESPÉCIES'!C:H,3,FALSE()))))</f>
        <v>0</v>
      </c>
      <c r="J433" s="23"/>
      <c r="K433" s="23"/>
      <c r="L433" s="20"/>
      <c r="M433" s="20"/>
    </row>
    <row r="434" spans="1:13" x14ac:dyDescent="0.25">
      <c r="A434" s="20"/>
      <c r="B434" s="20"/>
      <c r="C434" s="20"/>
      <c r="E434" s="21" t="b">
        <f>IF(AND(A434&lt;&gt;0,B434=0,C434=0),VLOOKUP(A434,'3 - LISTA DE ESPÉCIES'!A:H,1,FALSE()),IF(AND(A434=0,B434&lt;&gt;0,C434=0),VLOOKUP(B434,'3 - LISTA DE ESPÉCIES'!B:H,5,FALSE()),IF(AND(A434=0,B434=0,C434&lt;&gt;0),VLOOKUP(C434,'3 - LISTA DE ESPÉCIES'!C:H,4,FALSE()))))</f>
        <v>0</v>
      </c>
      <c r="F434" s="21" t="b">
        <f>IF(AND(A434&lt;&gt;0,B434=0,C434=0),VLOOKUP(A434,'3 - LISTA DE ESPÉCIES'!A:H,2,FALSE()),IF(AND(A434=0,B434&lt;&gt;0,C434=0),VLOOKUP(B434,'3 - LISTA DE ESPÉCIES'!B:H,6,FALSE()),IF(AND(A434=0,B434=0,C434&lt;&gt;0),VLOOKUP(C434,'3 - LISTA DE ESPÉCIES'!C:H,5,FALSE()))))</f>
        <v>0</v>
      </c>
      <c r="G434" s="21" t="b">
        <f>IF(AND(A434&lt;&gt;0,B434=0,C434=0),VLOOKUP(A434,'3 - LISTA DE ESPÉCIES'!A:H,3,FALSE()),IF(AND(A434=0,B434&lt;&gt;0,C434=0),VLOOKUP(B434,'3 - LISTA DE ESPÉCIES'!B:H,7,FALSE()),IF(AND(A434=0,B434=0,C434&lt;&gt;0),VLOOKUP(C434,'3 - LISTA DE ESPÉCIES'!C:H,6,FALSE()))))</f>
        <v>0</v>
      </c>
      <c r="H434" s="21" t="b">
        <f>IF(AND(A434&lt;&gt;0,B434=0,C434=0),VLOOKUP(A434,'3 - LISTA DE ESPÉCIES'!A:H,4,FALSE()),IF(AND(A434=0,B434&lt;&gt;0,C434=0),VLOOKUP(B434,'3 - LISTA DE ESPÉCIES'!B:H,3,FALSE()),IF(AND(A434=0,B434=0,C434&lt;&gt;0),VLOOKUP(C434,'3 - LISTA DE ESPÉCIES'!C:H,2,FALSE()))))</f>
        <v>0</v>
      </c>
      <c r="I434" s="21" t="b">
        <f>IF(AND(A434&lt;&gt;0,B434=0,C434=0),VLOOKUP(A434,'3 - LISTA DE ESPÉCIES'!A:H,5,FALSE()),IF(AND(A434=0,B434&lt;&gt;0,C434=0),VLOOKUP(B434,'3 - LISTA DE ESPÉCIES'!B:H,4,FALSE()),IF(AND(A434=0,B434=0,C434&lt;&gt;0),VLOOKUP(C434,'3 - LISTA DE ESPÉCIES'!C:H,3,FALSE()))))</f>
        <v>0</v>
      </c>
      <c r="J434" s="23"/>
      <c r="K434" s="23"/>
      <c r="L434" s="20"/>
      <c r="M434" s="20"/>
    </row>
    <row r="435" spans="1:13" x14ac:dyDescent="0.25">
      <c r="A435" s="20"/>
      <c r="B435" s="20"/>
      <c r="C435" s="20"/>
      <c r="E435" s="21" t="b">
        <f>IF(AND(A435&lt;&gt;0,B435=0,C435=0),VLOOKUP(A435,'3 - LISTA DE ESPÉCIES'!A:H,1,FALSE()),IF(AND(A435=0,B435&lt;&gt;0,C435=0),VLOOKUP(B435,'3 - LISTA DE ESPÉCIES'!B:H,5,FALSE()),IF(AND(A435=0,B435=0,C435&lt;&gt;0),VLOOKUP(C435,'3 - LISTA DE ESPÉCIES'!C:H,4,FALSE()))))</f>
        <v>0</v>
      </c>
      <c r="F435" s="21" t="b">
        <f>IF(AND(A435&lt;&gt;0,B435=0,C435=0),VLOOKUP(A435,'3 - LISTA DE ESPÉCIES'!A:H,2,FALSE()),IF(AND(A435=0,B435&lt;&gt;0,C435=0),VLOOKUP(B435,'3 - LISTA DE ESPÉCIES'!B:H,6,FALSE()),IF(AND(A435=0,B435=0,C435&lt;&gt;0),VLOOKUP(C435,'3 - LISTA DE ESPÉCIES'!C:H,5,FALSE()))))</f>
        <v>0</v>
      </c>
      <c r="G435" s="21" t="b">
        <f>IF(AND(A435&lt;&gt;0,B435=0,C435=0),VLOOKUP(A435,'3 - LISTA DE ESPÉCIES'!A:H,3,FALSE()),IF(AND(A435=0,B435&lt;&gt;0,C435=0),VLOOKUP(B435,'3 - LISTA DE ESPÉCIES'!B:H,7,FALSE()),IF(AND(A435=0,B435=0,C435&lt;&gt;0),VLOOKUP(C435,'3 - LISTA DE ESPÉCIES'!C:H,6,FALSE()))))</f>
        <v>0</v>
      </c>
      <c r="H435" s="21" t="b">
        <f>IF(AND(A435&lt;&gt;0,B435=0,C435=0),VLOOKUP(A435,'3 - LISTA DE ESPÉCIES'!A:H,4,FALSE()),IF(AND(A435=0,B435&lt;&gt;0,C435=0),VLOOKUP(B435,'3 - LISTA DE ESPÉCIES'!B:H,3,FALSE()),IF(AND(A435=0,B435=0,C435&lt;&gt;0),VLOOKUP(C435,'3 - LISTA DE ESPÉCIES'!C:H,2,FALSE()))))</f>
        <v>0</v>
      </c>
      <c r="I435" s="21" t="b">
        <f>IF(AND(A435&lt;&gt;0,B435=0,C435=0),VLOOKUP(A435,'3 - LISTA DE ESPÉCIES'!A:H,5,FALSE()),IF(AND(A435=0,B435&lt;&gt;0,C435=0),VLOOKUP(B435,'3 - LISTA DE ESPÉCIES'!B:H,4,FALSE()),IF(AND(A435=0,B435=0,C435&lt;&gt;0),VLOOKUP(C435,'3 - LISTA DE ESPÉCIES'!C:H,3,FALSE()))))</f>
        <v>0</v>
      </c>
      <c r="J435" s="23"/>
      <c r="K435" s="23"/>
      <c r="L435" s="20"/>
      <c r="M435" s="20"/>
    </row>
    <row r="436" spans="1:13" x14ac:dyDescent="0.25">
      <c r="A436" s="20"/>
      <c r="B436" s="20"/>
      <c r="C436" s="20"/>
      <c r="E436" s="21" t="b">
        <f>IF(AND(A436&lt;&gt;0,B436=0,C436=0),VLOOKUP(A436,'3 - LISTA DE ESPÉCIES'!A:H,1,FALSE()),IF(AND(A436=0,B436&lt;&gt;0,C436=0),VLOOKUP(B436,'3 - LISTA DE ESPÉCIES'!B:H,5,FALSE()),IF(AND(A436=0,B436=0,C436&lt;&gt;0),VLOOKUP(C436,'3 - LISTA DE ESPÉCIES'!C:H,4,FALSE()))))</f>
        <v>0</v>
      </c>
      <c r="F436" s="21" t="b">
        <f>IF(AND(A436&lt;&gt;0,B436=0,C436=0),VLOOKUP(A436,'3 - LISTA DE ESPÉCIES'!A:H,2,FALSE()),IF(AND(A436=0,B436&lt;&gt;0,C436=0),VLOOKUP(B436,'3 - LISTA DE ESPÉCIES'!B:H,6,FALSE()),IF(AND(A436=0,B436=0,C436&lt;&gt;0),VLOOKUP(C436,'3 - LISTA DE ESPÉCIES'!C:H,5,FALSE()))))</f>
        <v>0</v>
      </c>
      <c r="G436" s="21" t="b">
        <f>IF(AND(A436&lt;&gt;0,B436=0,C436=0),VLOOKUP(A436,'3 - LISTA DE ESPÉCIES'!A:H,3,FALSE()),IF(AND(A436=0,B436&lt;&gt;0,C436=0),VLOOKUP(B436,'3 - LISTA DE ESPÉCIES'!B:H,7,FALSE()),IF(AND(A436=0,B436=0,C436&lt;&gt;0),VLOOKUP(C436,'3 - LISTA DE ESPÉCIES'!C:H,6,FALSE()))))</f>
        <v>0</v>
      </c>
      <c r="H436" s="21" t="b">
        <f>IF(AND(A436&lt;&gt;0,B436=0,C436=0),VLOOKUP(A436,'3 - LISTA DE ESPÉCIES'!A:H,4,FALSE()),IF(AND(A436=0,B436&lt;&gt;0,C436=0),VLOOKUP(B436,'3 - LISTA DE ESPÉCIES'!B:H,3,FALSE()),IF(AND(A436=0,B436=0,C436&lt;&gt;0),VLOOKUP(C436,'3 - LISTA DE ESPÉCIES'!C:H,2,FALSE()))))</f>
        <v>0</v>
      </c>
      <c r="I436" s="21" t="b">
        <f>IF(AND(A436&lt;&gt;0,B436=0,C436=0),VLOOKUP(A436,'3 - LISTA DE ESPÉCIES'!A:H,5,FALSE()),IF(AND(A436=0,B436&lt;&gt;0,C436=0),VLOOKUP(B436,'3 - LISTA DE ESPÉCIES'!B:H,4,FALSE()),IF(AND(A436=0,B436=0,C436&lt;&gt;0),VLOOKUP(C436,'3 - LISTA DE ESPÉCIES'!C:H,3,FALSE()))))</f>
        <v>0</v>
      </c>
      <c r="J436" s="23"/>
      <c r="K436" s="23"/>
      <c r="L436" s="20"/>
      <c r="M436" s="20"/>
    </row>
    <row r="437" spans="1:13" x14ac:dyDescent="0.25">
      <c r="A437" s="20"/>
      <c r="B437" s="20"/>
      <c r="C437" s="20"/>
      <c r="E437" s="21" t="b">
        <f>IF(AND(A437&lt;&gt;0,B437=0,C437=0),VLOOKUP(A437,'3 - LISTA DE ESPÉCIES'!A:H,1,FALSE()),IF(AND(A437=0,B437&lt;&gt;0,C437=0),VLOOKUP(B437,'3 - LISTA DE ESPÉCIES'!B:H,5,FALSE()),IF(AND(A437=0,B437=0,C437&lt;&gt;0),VLOOKUP(C437,'3 - LISTA DE ESPÉCIES'!C:H,4,FALSE()))))</f>
        <v>0</v>
      </c>
      <c r="F437" s="21" t="b">
        <f>IF(AND(A437&lt;&gt;0,B437=0,C437=0),VLOOKUP(A437,'3 - LISTA DE ESPÉCIES'!A:H,2,FALSE()),IF(AND(A437=0,B437&lt;&gt;0,C437=0),VLOOKUP(B437,'3 - LISTA DE ESPÉCIES'!B:H,6,FALSE()),IF(AND(A437=0,B437=0,C437&lt;&gt;0),VLOOKUP(C437,'3 - LISTA DE ESPÉCIES'!C:H,5,FALSE()))))</f>
        <v>0</v>
      </c>
      <c r="G437" s="21" t="b">
        <f>IF(AND(A437&lt;&gt;0,B437=0,C437=0),VLOOKUP(A437,'3 - LISTA DE ESPÉCIES'!A:H,3,FALSE()),IF(AND(A437=0,B437&lt;&gt;0,C437=0),VLOOKUP(B437,'3 - LISTA DE ESPÉCIES'!B:H,7,FALSE()),IF(AND(A437=0,B437=0,C437&lt;&gt;0),VLOOKUP(C437,'3 - LISTA DE ESPÉCIES'!C:H,6,FALSE()))))</f>
        <v>0</v>
      </c>
      <c r="H437" s="21" t="b">
        <f>IF(AND(A437&lt;&gt;0,B437=0,C437=0),VLOOKUP(A437,'3 - LISTA DE ESPÉCIES'!A:H,4,FALSE()),IF(AND(A437=0,B437&lt;&gt;0,C437=0),VLOOKUP(B437,'3 - LISTA DE ESPÉCIES'!B:H,3,FALSE()),IF(AND(A437=0,B437=0,C437&lt;&gt;0),VLOOKUP(C437,'3 - LISTA DE ESPÉCIES'!C:H,2,FALSE()))))</f>
        <v>0</v>
      </c>
      <c r="I437" s="21" t="b">
        <f>IF(AND(A437&lt;&gt;0,B437=0,C437=0),VLOOKUP(A437,'3 - LISTA DE ESPÉCIES'!A:H,5,FALSE()),IF(AND(A437=0,B437&lt;&gt;0,C437=0),VLOOKUP(B437,'3 - LISTA DE ESPÉCIES'!B:H,4,FALSE()),IF(AND(A437=0,B437=0,C437&lt;&gt;0),VLOOKUP(C437,'3 - LISTA DE ESPÉCIES'!C:H,3,FALSE()))))</f>
        <v>0</v>
      </c>
      <c r="J437" s="23"/>
      <c r="K437" s="23"/>
      <c r="L437" s="20"/>
      <c r="M437" s="20"/>
    </row>
    <row r="438" spans="1:13" x14ac:dyDescent="0.25">
      <c r="A438" s="20"/>
      <c r="B438" s="20"/>
      <c r="C438" s="20"/>
      <c r="E438" s="21" t="b">
        <f>IF(AND(A438&lt;&gt;0,B438=0,C438=0),VLOOKUP(A438,'3 - LISTA DE ESPÉCIES'!A:H,1,FALSE()),IF(AND(A438=0,B438&lt;&gt;0,C438=0),VLOOKUP(B438,'3 - LISTA DE ESPÉCIES'!B:H,5,FALSE()),IF(AND(A438=0,B438=0,C438&lt;&gt;0),VLOOKUP(C438,'3 - LISTA DE ESPÉCIES'!C:H,4,FALSE()))))</f>
        <v>0</v>
      </c>
      <c r="F438" s="21" t="b">
        <f>IF(AND(A438&lt;&gt;0,B438=0,C438=0),VLOOKUP(A438,'3 - LISTA DE ESPÉCIES'!A:H,2,FALSE()),IF(AND(A438=0,B438&lt;&gt;0,C438=0),VLOOKUP(B438,'3 - LISTA DE ESPÉCIES'!B:H,6,FALSE()),IF(AND(A438=0,B438=0,C438&lt;&gt;0),VLOOKUP(C438,'3 - LISTA DE ESPÉCIES'!C:H,5,FALSE()))))</f>
        <v>0</v>
      </c>
      <c r="G438" s="21" t="b">
        <f>IF(AND(A438&lt;&gt;0,B438=0,C438=0),VLOOKUP(A438,'3 - LISTA DE ESPÉCIES'!A:H,3,FALSE()),IF(AND(A438=0,B438&lt;&gt;0,C438=0),VLOOKUP(B438,'3 - LISTA DE ESPÉCIES'!B:H,7,FALSE()),IF(AND(A438=0,B438=0,C438&lt;&gt;0),VLOOKUP(C438,'3 - LISTA DE ESPÉCIES'!C:H,6,FALSE()))))</f>
        <v>0</v>
      </c>
      <c r="H438" s="21" t="b">
        <f>IF(AND(A438&lt;&gt;0,B438=0,C438=0),VLOOKUP(A438,'3 - LISTA DE ESPÉCIES'!A:H,4,FALSE()),IF(AND(A438=0,B438&lt;&gt;0,C438=0),VLOOKUP(B438,'3 - LISTA DE ESPÉCIES'!B:H,3,FALSE()),IF(AND(A438=0,B438=0,C438&lt;&gt;0),VLOOKUP(C438,'3 - LISTA DE ESPÉCIES'!C:H,2,FALSE()))))</f>
        <v>0</v>
      </c>
      <c r="I438" s="21" t="b">
        <f>IF(AND(A438&lt;&gt;0,B438=0,C438=0),VLOOKUP(A438,'3 - LISTA DE ESPÉCIES'!A:H,5,FALSE()),IF(AND(A438=0,B438&lt;&gt;0,C438=0),VLOOKUP(B438,'3 - LISTA DE ESPÉCIES'!B:H,4,FALSE()),IF(AND(A438=0,B438=0,C438&lt;&gt;0),VLOOKUP(C438,'3 - LISTA DE ESPÉCIES'!C:H,3,FALSE()))))</f>
        <v>0</v>
      </c>
      <c r="J438" s="23"/>
      <c r="K438" s="23"/>
      <c r="L438" s="20"/>
      <c r="M438" s="20"/>
    </row>
    <row r="439" spans="1:13" x14ac:dyDescent="0.25">
      <c r="A439" s="20"/>
      <c r="B439" s="20"/>
      <c r="C439" s="20"/>
      <c r="E439" s="21" t="b">
        <f>IF(AND(A439&lt;&gt;0,B439=0,C439=0),VLOOKUP(A439,'3 - LISTA DE ESPÉCIES'!A:H,1,FALSE()),IF(AND(A439=0,B439&lt;&gt;0,C439=0),VLOOKUP(B439,'3 - LISTA DE ESPÉCIES'!B:H,5,FALSE()),IF(AND(A439=0,B439=0,C439&lt;&gt;0),VLOOKUP(C439,'3 - LISTA DE ESPÉCIES'!C:H,4,FALSE()))))</f>
        <v>0</v>
      </c>
      <c r="F439" s="21" t="b">
        <f>IF(AND(A439&lt;&gt;0,B439=0,C439=0),VLOOKUP(A439,'3 - LISTA DE ESPÉCIES'!A:H,2,FALSE()),IF(AND(A439=0,B439&lt;&gt;0,C439=0),VLOOKUP(B439,'3 - LISTA DE ESPÉCIES'!B:H,6,FALSE()),IF(AND(A439=0,B439=0,C439&lt;&gt;0),VLOOKUP(C439,'3 - LISTA DE ESPÉCIES'!C:H,5,FALSE()))))</f>
        <v>0</v>
      </c>
      <c r="G439" s="21" t="b">
        <f>IF(AND(A439&lt;&gt;0,B439=0,C439=0),VLOOKUP(A439,'3 - LISTA DE ESPÉCIES'!A:H,3,FALSE()),IF(AND(A439=0,B439&lt;&gt;0,C439=0),VLOOKUP(B439,'3 - LISTA DE ESPÉCIES'!B:H,7,FALSE()),IF(AND(A439=0,B439=0,C439&lt;&gt;0),VLOOKUP(C439,'3 - LISTA DE ESPÉCIES'!C:H,6,FALSE()))))</f>
        <v>0</v>
      </c>
      <c r="H439" s="21" t="b">
        <f>IF(AND(A439&lt;&gt;0,B439=0,C439=0),VLOOKUP(A439,'3 - LISTA DE ESPÉCIES'!A:H,4,FALSE()),IF(AND(A439=0,B439&lt;&gt;0,C439=0),VLOOKUP(B439,'3 - LISTA DE ESPÉCIES'!B:H,3,FALSE()),IF(AND(A439=0,B439=0,C439&lt;&gt;0),VLOOKUP(C439,'3 - LISTA DE ESPÉCIES'!C:H,2,FALSE()))))</f>
        <v>0</v>
      </c>
      <c r="I439" s="21" t="b">
        <f>IF(AND(A439&lt;&gt;0,B439=0,C439=0),VLOOKUP(A439,'3 - LISTA DE ESPÉCIES'!A:H,5,FALSE()),IF(AND(A439=0,B439&lt;&gt;0,C439=0),VLOOKUP(B439,'3 - LISTA DE ESPÉCIES'!B:H,4,FALSE()),IF(AND(A439=0,B439=0,C439&lt;&gt;0),VLOOKUP(C439,'3 - LISTA DE ESPÉCIES'!C:H,3,FALSE()))))</f>
        <v>0</v>
      </c>
      <c r="J439" s="23"/>
      <c r="K439" s="23"/>
      <c r="L439" s="20"/>
      <c r="M439" s="20"/>
    </row>
    <row r="440" spans="1:13" x14ac:dyDescent="0.25">
      <c r="A440" s="20"/>
      <c r="B440" s="20"/>
      <c r="C440" s="20"/>
      <c r="E440" s="21" t="b">
        <f>IF(AND(A440&lt;&gt;0,B440=0,C440=0),VLOOKUP(A440,'3 - LISTA DE ESPÉCIES'!A:H,1,FALSE()),IF(AND(A440=0,B440&lt;&gt;0,C440=0),VLOOKUP(B440,'3 - LISTA DE ESPÉCIES'!B:H,5,FALSE()),IF(AND(A440=0,B440=0,C440&lt;&gt;0),VLOOKUP(C440,'3 - LISTA DE ESPÉCIES'!C:H,4,FALSE()))))</f>
        <v>0</v>
      </c>
      <c r="F440" s="21" t="b">
        <f>IF(AND(A440&lt;&gt;0,B440=0,C440=0),VLOOKUP(A440,'3 - LISTA DE ESPÉCIES'!A:H,2,FALSE()),IF(AND(A440=0,B440&lt;&gt;0,C440=0),VLOOKUP(B440,'3 - LISTA DE ESPÉCIES'!B:H,6,FALSE()),IF(AND(A440=0,B440=0,C440&lt;&gt;0),VLOOKUP(C440,'3 - LISTA DE ESPÉCIES'!C:H,5,FALSE()))))</f>
        <v>0</v>
      </c>
      <c r="G440" s="21" t="b">
        <f>IF(AND(A440&lt;&gt;0,B440=0,C440=0),VLOOKUP(A440,'3 - LISTA DE ESPÉCIES'!A:H,3,FALSE()),IF(AND(A440=0,B440&lt;&gt;0,C440=0),VLOOKUP(B440,'3 - LISTA DE ESPÉCIES'!B:H,7,FALSE()),IF(AND(A440=0,B440=0,C440&lt;&gt;0),VLOOKUP(C440,'3 - LISTA DE ESPÉCIES'!C:H,6,FALSE()))))</f>
        <v>0</v>
      </c>
      <c r="H440" s="21" t="b">
        <f>IF(AND(A440&lt;&gt;0,B440=0,C440=0),VLOOKUP(A440,'3 - LISTA DE ESPÉCIES'!A:H,4,FALSE()),IF(AND(A440=0,B440&lt;&gt;0,C440=0),VLOOKUP(B440,'3 - LISTA DE ESPÉCIES'!B:H,3,FALSE()),IF(AND(A440=0,B440=0,C440&lt;&gt;0),VLOOKUP(C440,'3 - LISTA DE ESPÉCIES'!C:H,2,FALSE()))))</f>
        <v>0</v>
      </c>
      <c r="I440" s="21" t="b">
        <f>IF(AND(A440&lt;&gt;0,B440=0,C440=0),VLOOKUP(A440,'3 - LISTA DE ESPÉCIES'!A:H,5,FALSE()),IF(AND(A440=0,B440&lt;&gt;0,C440=0),VLOOKUP(B440,'3 - LISTA DE ESPÉCIES'!B:H,4,FALSE()),IF(AND(A440=0,B440=0,C440&lt;&gt;0),VLOOKUP(C440,'3 - LISTA DE ESPÉCIES'!C:H,3,FALSE()))))</f>
        <v>0</v>
      </c>
      <c r="J440" s="23"/>
      <c r="K440" s="23"/>
      <c r="L440" s="20"/>
      <c r="M440" s="20"/>
    </row>
    <row r="441" spans="1:13" x14ac:dyDescent="0.25">
      <c r="A441" s="20"/>
      <c r="B441" s="20"/>
      <c r="C441" s="20"/>
      <c r="E441" s="21" t="b">
        <f>IF(AND(A441&lt;&gt;0,B441=0,C441=0),VLOOKUP(A441,'3 - LISTA DE ESPÉCIES'!A:H,1,FALSE()),IF(AND(A441=0,B441&lt;&gt;0,C441=0),VLOOKUP(B441,'3 - LISTA DE ESPÉCIES'!B:H,5,FALSE()),IF(AND(A441=0,B441=0,C441&lt;&gt;0),VLOOKUP(C441,'3 - LISTA DE ESPÉCIES'!C:H,4,FALSE()))))</f>
        <v>0</v>
      </c>
      <c r="F441" s="21" t="b">
        <f>IF(AND(A441&lt;&gt;0,B441=0,C441=0),VLOOKUP(A441,'3 - LISTA DE ESPÉCIES'!A:H,2,FALSE()),IF(AND(A441=0,B441&lt;&gt;0,C441=0),VLOOKUP(B441,'3 - LISTA DE ESPÉCIES'!B:H,6,FALSE()),IF(AND(A441=0,B441=0,C441&lt;&gt;0),VLOOKUP(C441,'3 - LISTA DE ESPÉCIES'!C:H,5,FALSE()))))</f>
        <v>0</v>
      </c>
      <c r="G441" s="21" t="b">
        <f>IF(AND(A441&lt;&gt;0,B441=0,C441=0),VLOOKUP(A441,'3 - LISTA DE ESPÉCIES'!A:H,3,FALSE()),IF(AND(A441=0,B441&lt;&gt;0,C441=0),VLOOKUP(B441,'3 - LISTA DE ESPÉCIES'!B:H,7,FALSE()),IF(AND(A441=0,B441=0,C441&lt;&gt;0),VLOOKUP(C441,'3 - LISTA DE ESPÉCIES'!C:H,6,FALSE()))))</f>
        <v>0</v>
      </c>
      <c r="H441" s="21" t="b">
        <f>IF(AND(A441&lt;&gt;0,B441=0,C441=0),VLOOKUP(A441,'3 - LISTA DE ESPÉCIES'!A:H,4,FALSE()),IF(AND(A441=0,B441&lt;&gt;0,C441=0),VLOOKUP(B441,'3 - LISTA DE ESPÉCIES'!B:H,3,FALSE()),IF(AND(A441=0,B441=0,C441&lt;&gt;0),VLOOKUP(C441,'3 - LISTA DE ESPÉCIES'!C:H,2,FALSE()))))</f>
        <v>0</v>
      </c>
      <c r="I441" s="21" t="b">
        <f>IF(AND(A441&lt;&gt;0,B441=0,C441=0),VLOOKUP(A441,'3 - LISTA DE ESPÉCIES'!A:H,5,FALSE()),IF(AND(A441=0,B441&lt;&gt;0,C441=0),VLOOKUP(B441,'3 - LISTA DE ESPÉCIES'!B:H,4,FALSE()),IF(AND(A441=0,B441=0,C441&lt;&gt;0),VLOOKUP(C441,'3 - LISTA DE ESPÉCIES'!C:H,3,FALSE()))))</f>
        <v>0</v>
      </c>
      <c r="J441" s="23"/>
      <c r="K441" s="23"/>
      <c r="L441" s="20"/>
      <c r="M441" s="20"/>
    </row>
    <row r="442" spans="1:13" x14ac:dyDescent="0.25">
      <c r="A442" s="20"/>
      <c r="B442" s="20"/>
      <c r="C442" s="20"/>
      <c r="E442" s="21" t="b">
        <f>IF(AND(A442&lt;&gt;0,B442=0,C442=0),VLOOKUP(A442,'3 - LISTA DE ESPÉCIES'!A:H,1,FALSE()),IF(AND(A442=0,B442&lt;&gt;0,C442=0),VLOOKUP(B442,'3 - LISTA DE ESPÉCIES'!B:H,5,FALSE()),IF(AND(A442=0,B442=0,C442&lt;&gt;0),VLOOKUP(C442,'3 - LISTA DE ESPÉCIES'!C:H,4,FALSE()))))</f>
        <v>0</v>
      </c>
      <c r="F442" s="21" t="b">
        <f>IF(AND(A442&lt;&gt;0,B442=0,C442=0),VLOOKUP(A442,'3 - LISTA DE ESPÉCIES'!A:H,2,FALSE()),IF(AND(A442=0,B442&lt;&gt;0,C442=0),VLOOKUP(B442,'3 - LISTA DE ESPÉCIES'!B:H,6,FALSE()),IF(AND(A442=0,B442=0,C442&lt;&gt;0),VLOOKUP(C442,'3 - LISTA DE ESPÉCIES'!C:H,5,FALSE()))))</f>
        <v>0</v>
      </c>
      <c r="G442" s="21" t="b">
        <f>IF(AND(A442&lt;&gt;0,B442=0,C442=0),VLOOKUP(A442,'3 - LISTA DE ESPÉCIES'!A:H,3,FALSE()),IF(AND(A442=0,B442&lt;&gt;0,C442=0),VLOOKUP(B442,'3 - LISTA DE ESPÉCIES'!B:H,7,FALSE()),IF(AND(A442=0,B442=0,C442&lt;&gt;0),VLOOKUP(C442,'3 - LISTA DE ESPÉCIES'!C:H,6,FALSE()))))</f>
        <v>0</v>
      </c>
      <c r="H442" s="21" t="b">
        <f>IF(AND(A442&lt;&gt;0,B442=0,C442=0),VLOOKUP(A442,'3 - LISTA DE ESPÉCIES'!A:H,4,FALSE()),IF(AND(A442=0,B442&lt;&gt;0,C442=0),VLOOKUP(B442,'3 - LISTA DE ESPÉCIES'!B:H,3,FALSE()),IF(AND(A442=0,B442=0,C442&lt;&gt;0),VLOOKUP(C442,'3 - LISTA DE ESPÉCIES'!C:H,2,FALSE()))))</f>
        <v>0</v>
      </c>
      <c r="I442" s="21" t="b">
        <f>IF(AND(A442&lt;&gt;0,B442=0,C442=0),VLOOKUP(A442,'3 - LISTA DE ESPÉCIES'!A:H,5,FALSE()),IF(AND(A442=0,B442&lt;&gt;0,C442=0),VLOOKUP(B442,'3 - LISTA DE ESPÉCIES'!B:H,4,FALSE()),IF(AND(A442=0,B442=0,C442&lt;&gt;0),VLOOKUP(C442,'3 - LISTA DE ESPÉCIES'!C:H,3,FALSE()))))</f>
        <v>0</v>
      </c>
      <c r="J442" s="23"/>
      <c r="K442" s="23"/>
      <c r="L442" s="20"/>
      <c r="M442" s="20"/>
    </row>
    <row r="443" spans="1:13" x14ac:dyDescent="0.25">
      <c r="A443" s="20"/>
      <c r="B443" s="20"/>
      <c r="C443" s="20"/>
      <c r="E443" s="21" t="b">
        <f>IF(AND(A443&lt;&gt;0,B443=0,C443=0),VLOOKUP(A443,'3 - LISTA DE ESPÉCIES'!A:H,1,FALSE()),IF(AND(A443=0,B443&lt;&gt;0,C443=0),VLOOKUP(B443,'3 - LISTA DE ESPÉCIES'!B:H,5,FALSE()),IF(AND(A443=0,B443=0,C443&lt;&gt;0),VLOOKUP(C443,'3 - LISTA DE ESPÉCIES'!C:H,4,FALSE()))))</f>
        <v>0</v>
      </c>
      <c r="F443" s="21" t="b">
        <f>IF(AND(A443&lt;&gt;0,B443=0,C443=0),VLOOKUP(A443,'3 - LISTA DE ESPÉCIES'!A:H,2,FALSE()),IF(AND(A443=0,B443&lt;&gt;0,C443=0),VLOOKUP(B443,'3 - LISTA DE ESPÉCIES'!B:H,6,FALSE()),IF(AND(A443=0,B443=0,C443&lt;&gt;0),VLOOKUP(C443,'3 - LISTA DE ESPÉCIES'!C:H,5,FALSE()))))</f>
        <v>0</v>
      </c>
      <c r="G443" s="21" t="b">
        <f>IF(AND(A443&lt;&gt;0,B443=0,C443=0),VLOOKUP(A443,'3 - LISTA DE ESPÉCIES'!A:H,3,FALSE()),IF(AND(A443=0,B443&lt;&gt;0,C443=0),VLOOKUP(B443,'3 - LISTA DE ESPÉCIES'!B:H,7,FALSE()),IF(AND(A443=0,B443=0,C443&lt;&gt;0),VLOOKUP(C443,'3 - LISTA DE ESPÉCIES'!C:H,6,FALSE()))))</f>
        <v>0</v>
      </c>
      <c r="H443" s="21" t="b">
        <f>IF(AND(A443&lt;&gt;0,B443=0,C443=0),VLOOKUP(A443,'3 - LISTA DE ESPÉCIES'!A:H,4,FALSE()),IF(AND(A443=0,B443&lt;&gt;0,C443=0),VLOOKUP(B443,'3 - LISTA DE ESPÉCIES'!B:H,3,FALSE()),IF(AND(A443=0,B443=0,C443&lt;&gt;0),VLOOKUP(C443,'3 - LISTA DE ESPÉCIES'!C:H,2,FALSE()))))</f>
        <v>0</v>
      </c>
      <c r="I443" s="21" t="b">
        <f>IF(AND(A443&lt;&gt;0,B443=0,C443=0),VLOOKUP(A443,'3 - LISTA DE ESPÉCIES'!A:H,5,FALSE()),IF(AND(A443=0,B443&lt;&gt;0,C443=0),VLOOKUP(B443,'3 - LISTA DE ESPÉCIES'!B:H,4,FALSE()),IF(AND(A443=0,B443=0,C443&lt;&gt;0),VLOOKUP(C443,'3 - LISTA DE ESPÉCIES'!C:H,3,FALSE()))))</f>
        <v>0</v>
      </c>
      <c r="J443" s="23"/>
      <c r="K443" s="23"/>
      <c r="L443" s="20"/>
      <c r="M443" s="20"/>
    </row>
    <row r="444" spans="1:13" x14ac:dyDescent="0.25">
      <c r="A444" s="20"/>
      <c r="B444" s="20"/>
      <c r="C444" s="20"/>
      <c r="E444" s="21" t="b">
        <f>IF(AND(A444&lt;&gt;0,B444=0,C444=0),VLOOKUP(A444,'3 - LISTA DE ESPÉCIES'!A:H,1,FALSE()),IF(AND(A444=0,B444&lt;&gt;0,C444=0),VLOOKUP(B444,'3 - LISTA DE ESPÉCIES'!B:H,5,FALSE()),IF(AND(A444=0,B444=0,C444&lt;&gt;0),VLOOKUP(C444,'3 - LISTA DE ESPÉCIES'!C:H,4,FALSE()))))</f>
        <v>0</v>
      </c>
      <c r="F444" s="21" t="b">
        <f>IF(AND(A444&lt;&gt;0,B444=0,C444=0),VLOOKUP(A444,'3 - LISTA DE ESPÉCIES'!A:H,2,FALSE()),IF(AND(A444=0,B444&lt;&gt;0,C444=0),VLOOKUP(B444,'3 - LISTA DE ESPÉCIES'!B:H,6,FALSE()),IF(AND(A444=0,B444=0,C444&lt;&gt;0),VLOOKUP(C444,'3 - LISTA DE ESPÉCIES'!C:H,5,FALSE()))))</f>
        <v>0</v>
      </c>
      <c r="G444" s="21" t="b">
        <f>IF(AND(A444&lt;&gt;0,B444=0,C444=0),VLOOKUP(A444,'3 - LISTA DE ESPÉCIES'!A:H,3,FALSE()),IF(AND(A444=0,B444&lt;&gt;0,C444=0),VLOOKUP(B444,'3 - LISTA DE ESPÉCIES'!B:H,7,FALSE()),IF(AND(A444=0,B444=0,C444&lt;&gt;0),VLOOKUP(C444,'3 - LISTA DE ESPÉCIES'!C:H,6,FALSE()))))</f>
        <v>0</v>
      </c>
      <c r="H444" s="21" t="b">
        <f>IF(AND(A444&lt;&gt;0,B444=0,C444=0),VLOOKUP(A444,'3 - LISTA DE ESPÉCIES'!A:H,4,FALSE()),IF(AND(A444=0,B444&lt;&gt;0,C444=0),VLOOKUP(B444,'3 - LISTA DE ESPÉCIES'!B:H,3,FALSE()),IF(AND(A444=0,B444=0,C444&lt;&gt;0),VLOOKUP(C444,'3 - LISTA DE ESPÉCIES'!C:H,2,FALSE()))))</f>
        <v>0</v>
      </c>
      <c r="I444" s="21" t="b">
        <f>IF(AND(A444&lt;&gt;0,B444=0,C444=0),VLOOKUP(A444,'3 - LISTA DE ESPÉCIES'!A:H,5,FALSE()),IF(AND(A444=0,B444&lt;&gt;0,C444=0),VLOOKUP(B444,'3 - LISTA DE ESPÉCIES'!B:H,4,FALSE()),IF(AND(A444=0,B444=0,C444&lt;&gt;0),VLOOKUP(C444,'3 - LISTA DE ESPÉCIES'!C:H,3,FALSE()))))</f>
        <v>0</v>
      </c>
      <c r="J444" s="23"/>
      <c r="K444" s="23"/>
      <c r="L444" s="20"/>
      <c r="M444" s="20"/>
    </row>
    <row r="445" spans="1:13" x14ac:dyDescent="0.25">
      <c r="A445" s="20"/>
      <c r="B445" s="20"/>
      <c r="C445" s="20"/>
      <c r="E445" s="21" t="b">
        <f>IF(AND(A445&lt;&gt;0,B445=0,C445=0),VLOOKUP(A445,'3 - LISTA DE ESPÉCIES'!A:H,1,FALSE()),IF(AND(A445=0,B445&lt;&gt;0,C445=0),VLOOKUP(B445,'3 - LISTA DE ESPÉCIES'!B:H,5,FALSE()),IF(AND(A445=0,B445=0,C445&lt;&gt;0),VLOOKUP(C445,'3 - LISTA DE ESPÉCIES'!C:H,4,FALSE()))))</f>
        <v>0</v>
      </c>
      <c r="F445" s="21" t="b">
        <f>IF(AND(A445&lt;&gt;0,B445=0,C445=0),VLOOKUP(A445,'3 - LISTA DE ESPÉCIES'!A:H,2,FALSE()),IF(AND(A445=0,B445&lt;&gt;0,C445=0),VLOOKUP(B445,'3 - LISTA DE ESPÉCIES'!B:H,6,FALSE()),IF(AND(A445=0,B445=0,C445&lt;&gt;0),VLOOKUP(C445,'3 - LISTA DE ESPÉCIES'!C:H,5,FALSE()))))</f>
        <v>0</v>
      </c>
      <c r="G445" s="21" t="b">
        <f>IF(AND(A445&lt;&gt;0,B445=0,C445=0),VLOOKUP(A445,'3 - LISTA DE ESPÉCIES'!A:H,3,FALSE()),IF(AND(A445=0,B445&lt;&gt;0,C445=0),VLOOKUP(B445,'3 - LISTA DE ESPÉCIES'!B:H,7,FALSE()),IF(AND(A445=0,B445=0,C445&lt;&gt;0),VLOOKUP(C445,'3 - LISTA DE ESPÉCIES'!C:H,6,FALSE()))))</f>
        <v>0</v>
      </c>
      <c r="H445" s="21" t="b">
        <f>IF(AND(A445&lt;&gt;0,B445=0,C445=0),VLOOKUP(A445,'3 - LISTA DE ESPÉCIES'!A:H,4,FALSE()),IF(AND(A445=0,B445&lt;&gt;0,C445=0),VLOOKUP(B445,'3 - LISTA DE ESPÉCIES'!B:H,3,FALSE()),IF(AND(A445=0,B445=0,C445&lt;&gt;0),VLOOKUP(C445,'3 - LISTA DE ESPÉCIES'!C:H,2,FALSE()))))</f>
        <v>0</v>
      </c>
      <c r="I445" s="21" t="b">
        <f>IF(AND(A445&lt;&gt;0,B445=0,C445=0),VLOOKUP(A445,'3 - LISTA DE ESPÉCIES'!A:H,5,FALSE()),IF(AND(A445=0,B445&lt;&gt;0,C445=0),VLOOKUP(B445,'3 - LISTA DE ESPÉCIES'!B:H,4,FALSE()),IF(AND(A445=0,B445=0,C445&lt;&gt;0),VLOOKUP(C445,'3 - LISTA DE ESPÉCIES'!C:H,3,FALSE()))))</f>
        <v>0</v>
      </c>
      <c r="J445" s="23"/>
      <c r="K445" s="23"/>
      <c r="L445" s="20"/>
      <c r="M445" s="20"/>
    </row>
    <row r="446" spans="1:13" x14ac:dyDescent="0.25">
      <c r="A446" s="20"/>
      <c r="B446" s="20"/>
      <c r="C446" s="20"/>
      <c r="E446" s="21" t="b">
        <f>IF(AND(A446&lt;&gt;0,B446=0,C446=0),VLOOKUP(A446,'3 - LISTA DE ESPÉCIES'!A:H,1,FALSE()),IF(AND(A446=0,B446&lt;&gt;0,C446=0),VLOOKUP(B446,'3 - LISTA DE ESPÉCIES'!B:H,5,FALSE()),IF(AND(A446=0,B446=0,C446&lt;&gt;0),VLOOKUP(C446,'3 - LISTA DE ESPÉCIES'!C:H,4,FALSE()))))</f>
        <v>0</v>
      </c>
      <c r="F446" s="21" t="b">
        <f>IF(AND(A446&lt;&gt;0,B446=0,C446=0),VLOOKUP(A446,'3 - LISTA DE ESPÉCIES'!A:H,2,FALSE()),IF(AND(A446=0,B446&lt;&gt;0,C446=0),VLOOKUP(B446,'3 - LISTA DE ESPÉCIES'!B:H,6,FALSE()),IF(AND(A446=0,B446=0,C446&lt;&gt;0),VLOOKUP(C446,'3 - LISTA DE ESPÉCIES'!C:H,5,FALSE()))))</f>
        <v>0</v>
      </c>
      <c r="G446" s="21" t="b">
        <f>IF(AND(A446&lt;&gt;0,B446=0,C446=0),VLOOKUP(A446,'3 - LISTA DE ESPÉCIES'!A:H,3,FALSE()),IF(AND(A446=0,B446&lt;&gt;0,C446=0),VLOOKUP(B446,'3 - LISTA DE ESPÉCIES'!B:H,7,FALSE()),IF(AND(A446=0,B446=0,C446&lt;&gt;0),VLOOKUP(C446,'3 - LISTA DE ESPÉCIES'!C:H,6,FALSE()))))</f>
        <v>0</v>
      </c>
      <c r="H446" s="21" t="b">
        <f>IF(AND(A446&lt;&gt;0,B446=0,C446=0),VLOOKUP(A446,'3 - LISTA DE ESPÉCIES'!A:H,4,FALSE()),IF(AND(A446=0,B446&lt;&gt;0,C446=0),VLOOKUP(B446,'3 - LISTA DE ESPÉCIES'!B:H,3,FALSE()),IF(AND(A446=0,B446=0,C446&lt;&gt;0),VLOOKUP(C446,'3 - LISTA DE ESPÉCIES'!C:H,2,FALSE()))))</f>
        <v>0</v>
      </c>
      <c r="I446" s="21" t="b">
        <f>IF(AND(A446&lt;&gt;0,B446=0,C446=0),VLOOKUP(A446,'3 - LISTA DE ESPÉCIES'!A:H,5,FALSE()),IF(AND(A446=0,B446&lt;&gt;0,C446=0),VLOOKUP(B446,'3 - LISTA DE ESPÉCIES'!B:H,4,FALSE()),IF(AND(A446=0,B446=0,C446&lt;&gt;0),VLOOKUP(C446,'3 - LISTA DE ESPÉCIES'!C:H,3,FALSE()))))</f>
        <v>0</v>
      </c>
      <c r="J446" s="23"/>
      <c r="K446" s="23"/>
      <c r="L446" s="20"/>
      <c r="M446" s="20"/>
    </row>
    <row r="447" spans="1:13" x14ac:dyDescent="0.25">
      <c r="A447" s="20"/>
      <c r="B447" s="20"/>
      <c r="C447" s="20"/>
      <c r="E447" s="21" t="b">
        <f>IF(AND(A447&lt;&gt;0,B447=0,C447=0),VLOOKUP(A447,'3 - LISTA DE ESPÉCIES'!A:H,1,FALSE()),IF(AND(A447=0,B447&lt;&gt;0,C447=0),VLOOKUP(B447,'3 - LISTA DE ESPÉCIES'!B:H,5,FALSE()),IF(AND(A447=0,B447=0,C447&lt;&gt;0),VLOOKUP(C447,'3 - LISTA DE ESPÉCIES'!C:H,4,FALSE()))))</f>
        <v>0</v>
      </c>
      <c r="F447" s="21" t="b">
        <f>IF(AND(A447&lt;&gt;0,B447=0,C447=0),VLOOKUP(A447,'3 - LISTA DE ESPÉCIES'!A:H,2,FALSE()),IF(AND(A447=0,B447&lt;&gt;0,C447=0),VLOOKUP(B447,'3 - LISTA DE ESPÉCIES'!B:H,6,FALSE()),IF(AND(A447=0,B447=0,C447&lt;&gt;0),VLOOKUP(C447,'3 - LISTA DE ESPÉCIES'!C:H,5,FALSE()))))</f>
        <v>0</v>
      </c>
      <c r="G447" s="21" t="b">
        <f>IF(AND(A447&lt;&gt;0,B447=0,C447=0),VLOOKUP(A447,'3 - LISTA DE ESPÉCIES'!A:H,3,FALSE()),IF(AND(A447=0,B447&lt;&gt;0,C447=0),VLOOKUP(B447,'3 - LISTA DE ESPÉCIES'!B:H,7,FALSE()),IF(AND(A447=0,B447=0,C447&lt;&gt;0),VLOOKUP(C447,'3 - LISTA DE ESPÉCIES'!C:H,6,FALSE()))))</f>
        <v>0</v>
      </c>
      <c r="H447" s="21" t="b">
        <f>IF(AND(A447&lt;&gt;0,B447=0,C447=0),VLOOKUP(A447,'3 - LISTA DE ESPÉCIES'!A:H,4,FALSE()),IF(AND(A447=0,B447&lt;&gt;0,C447=0),VLOOKUP(B447,'3 - LISTA DE ESPÉCIES'!B:H,3,FALSE()),IF(AND(A447=0,B447=0,C447&lt;&gt;0),VLOOKUP(C447,'3 - LISTA DE ESPÉCIES'!C:H,2,FALSE()))))</f>
        <v>0</v>
      </c>
      <c r="I447" s="21" t="b">
        <f>IF(AND(A447&lt;&gt;0,B447=0,C447=0),VLOOKUP(A447,'3 - LISTA DE ESPÉCIES'!A:H,5,FALSE()),IF(AND(A447=0,B447&lt;&gt;0,C447=0),VLOOKUP(B447,'3 - LISTA DE ESPÉCIES'!B:H,4,FALSE()),IF(AND(A447=0,B447=0,C447&lt;&gt;0),VLOOKUP(C447,'3 - LISTA DE ESPÉCIES'!C:H,3,FALSE()))))</f>
        <v>0</v>
      </c>
      <c r="J447" s="23"/>
      <c r="K447" s="23"/>
      <c r="L447" s="20"/>
      <c r="M447" s="20"/>
    </row>
    <row r="448" spans="1:13" x14ac:dyDescent="0.25">
      <c r="A448" s="20"/>
      <c r="B448" s="20"/>
      <c r="C448" s="20"/>
      <c r="E448" s="21" t="b">
        <f>IF(AND(A448&lt;&gt;0,B448=0,C448=0),VLOOKUP(A448,'3 - LISTA DE ESPÉCIES'!A:H,1,FALSE()),IF(AND(A448=0,B448&lt;&gt;0,C448=0),VLOOKUP(B448,'3 - LISTA DE ESPÉCIES'!B:H,5,FALSE()),IF(AND(A448=0,B448=0,C448&lt;&gt;0),VLOOKUP(C448,'3 - LISTA DE ESPÉCIES'!C:H,4,FALSE()))))</f>
        <v>0</v>
      </c>
      <c r="F448" s="21" t="b">
        <f>IF(AND(A448&lt;&gt;0,B448=0,C448=0),VLOOKUP(A448,'3 - LISTA DE ESPÉCIES'!A:H,2,FALSE()),IF(AND(A448=0,B448&lt;&gt;0,C448=0),VLOOKUP(B448,'3 - LISTA DE ESPÉCIES'!B:H,6,FALSE()),IF(AND(A448=0,B448=0,C448&lt;&gt;0),VLOOKUP(C448,'3 - LISTA DE ESPÉCIES'!C:H,5,FALSE()))))</f>
        <v>0</v>
      </c>
      <c r="G448" s="21" t="b">
        <f>IF(AND(A448&lt;&gt;0,B448=0,C448=0),VLOOKUP(A448,'3 - LISTA DE ESPÉCIES'!A:H,3,FALSE()),IF(AND(A448=0,B448&lt;&gt;0,C448=0),VLOOKUP(B448,'3 - LISTA DE ESPÉCIES'!B:H,7,FALSE()),IF(AND(A448=0,B448=0,C448&lt;&gt;0),VLOOKUP(C448,'3 - LISTA DE ESPÉCIES'!C:H,6,FALSE()))))</f>
        <v>0</v>
      </c>
      <c r="H448" s="21" t="b">
        <f>IF(AND(A448&lt;&gt;0,B448=0,C448=0),VLOOKUP(A448,'3 - LISTA DE ESPÉCIES'!A:H,4,FALSE()),IF(AND(A448=0,B448&lt;&gt;0,C448=0),VLOOKUP(B448,'3 - LISTA DE ESPÉCIES'!B:H,3,FALSE()),IF(AND(A448=0,B448=0,C448&lt;&gt;0),VLOOKUP(C448,'3 - LISTA DE ESPÉCIES'!C:H,2,FALSE()))))</f>
        <v>0</v>
      </c>
      <c r="I448" s="21" t="b">
        <f>IF(AND(A448&lt;&gt;0,B448=0,C448=0),VLOOKUP(A448,'3 - LISTA DE ESPÉCIES'!A:H,5,FALSE()),IF(AND(A448=0,B448&lt;&gt;0,C448=0),VLOOKUP(B448,'3 - LISTA DE ESPÉCIES'!B:H,4,FALSE()),IF(AND(A448=0,B448=0,C448&lt;&gt;0),VLOOKUP(C448,'3 - LISTA DE ESPÉCIES'!C:H,3,FALSE()))))</f>
        <v>0</v>
      </c>
      <c r="J448" s="23"/>
      <c r="K448" s="23"/>
      <c r="L448" s="20"/>
      <c r="M448" s="20"/>
    </row>
    <row r="449" spans="1:13" x14ac:dyDescent="0.25">
      <c r="A449" s="20"/>
      <c r="B449" s="20"/>
      <c r="C449" s="20"/>
      <c r="E449" s="21" t="b">
        <f>IF(AND(A449&lt;&gt;0,B449=0,C449=0),VLOOKUP(A449,'3 - LISTA DE ESPÉCIES'!A:H,1,FALSE()),IF(AND(A449=0,B449&lt;&gt;0,C449=0),VLOOKUP(B449,'3 - LISTA DE ESPÉCIES'!B:H,5,FALSE()),IF(AND(A449=0,B449=0,C449&lt;&gt;0),VLOOKUP(C449,'3 - LISTA DE ESPÉCIES'!C:H,4,FALSE()))))</f>
        <v>0</v>
      </c>
      <c r="F449" s="21" t="b">
        <f>IF(AND(A449&lt;&gt;0,B449=0,C449=0),VLOOKUP(A449,'3 - LISTA DE ESPÉCIES'!A:H,2,FALSE()),IF(AND(A449=0,B449&lt;&gt;0,C449=0),VLOOKUP(B449,'3 - LISTA DE ESPÉCIES'!B:H,6,FALSE()),IF(AND(A449=0,B449=0,C449&lt;&gt;0),VLOOKUP(C449,'3 - LISTA DE ESPÉCIES'!C:H,5,FALSE()))))</f>
        <v>0</v>
      </c>
      <c r="G449" s="21" t="b">
        <f>IF(AND(A449&lt;&gt;0,B449=0,C449=0),VLOOKUP(A449,'3 - LISTA DE ESPÉCIES'!A:H,3,FALSE()),IF(AND(A449=0,B449&lt;&gt;0,C449=0),VLOOKUP(B449,'3 - LISTA DE ESPÉCIES'!B:H,7,FALSE()),IF(AND(A449=0,B449=0,C449&lt;&gt;0),VLOOKUP(C449,'3 - LISTA DE ESPÉCIES'!C:H,6,FALSE()))))</f>
        <v>0</v>
      </c>
      <c r="H449" s="21" t="b">
        <f>IF(AND(A449&lt;&gt;0,B449=0,C449=0),VLOOKUP(A449,'3 - LISTA DE ESPÉCIES'!A:H,4,FALSE()),IF(AND(A449=0,B449&lt;&gt;0,C449=0),VLOOKUP(B449,'3 - LISTA DE ESPÉCIES'!B:H,3,FALSE()),IF(AND(A449=0,B449=0,C449&lt;&gt;0),VLOOKUP(C449,'3 - LISTA DE ESPÉCIES'!C:H,2,FALSE()))))</f>
        <v>0</v>
      </c>
      <c r="I449" s="21" t="b">
        <f>IF(AND(A449&lt;&gt;0,B449=0,C449=0),VLOOKUP(A449,'3 - LISTA DE ESPÉCIES'!A:H,5,FALSE()),IF(AND(A449=0,B449&lt;&gt;0,C449=0),VLOOKUP(B449,'3 - LISTA DE ESPÉCIES'!B:H,4,FALSE()),IF(AND(A449=0,B449=0,C449&lt;&gt;0),VLOOKUP(C449,'3 - LISTA DE ESPÉCIES'!C:H,3,FALSE()))))</f>
        <v>0</v>
      </c>
      <c r="J449" s="23"/>
      <c r="K449" s="23"/>
      <c r="L449" s="20"/>
      <c r="M449" s="20"/>
    </row>
    <row r="450" spans="1:13" x14ac:dyDescent="0.25">
      <c r="A450" s="20"/>
      <c r="B450" s="20"/>
      <c r="C450" s="20"/>
      <c r="E450" s="21" t="b">
        <f>IF(AND(A450&lt;&gt;0,B450=0,C450=0),VLOOKUP(A450,'3 - LISTA DE ESPÉCIES'!A:H,1,FALSE()),IF(AND(A450=0,B450&lt;&gt;0,C450=0),VLOOKUP(B450,'3 - LISTA DE ESPÉCIES'!B:H,5,FALSE()),IF(AND(A450=0,B450=0,C450&lt;&gt;0),VLOOKUP(C450,'3 - LISTA DE ESPÉCIES'!C:H,4,FALSE()))))</f>
        <v>0</v>
      </c>
      <c r="F450" s="21" t="b">
        <f>IF(AND(A450&lt;&gt;0,B450=0,C450=0),VLOOKUP(A450,'3 - LISTA DE ESPÉCIES'!A:H,2,FALSE()),IF(AND(A450=0,B450&lt;&gt;0,C450=0),VLOOKUP(B450,'3 - LISTA DE ESPÉCIES'!B:H,6,FALSE()),IF(AND(A450=0,B450=0,C450&lt;&gt;0),VLOOKUP(C450,'3 - LISTA DE ESPÉCIES'!C:H,5,FALSE()))))</f>
        <v>0</v>
      </c>
      <c r="G450" s="21" t="b">
        <f>IF(AND(A450&lt;&gt;0,B450=0,C450=0),VLOOKUP(A450,'3 - LISTA DE ESPÉCIES'!A:H,3,FALSE()),IF(AND(A450=0,B450&lt;&gt;0,C450=0),VLOOKUP(B450,'3 - LISTA DE ESPÉCIES'!B:H,7,FALSE()),IF(AND(A450=0,B450=0,C450&lt;&gt;0),VLOOKUP(C450,'3 - LISTA DE ESPÉCIES'!C:H,6,FALSE()))))</f>
        <v>0</v>
      </c>
      <c r="H450" s="21" t="b">
        <f>IF(AND(A450&lt;&gt;0,B450=0,C450=0),VLOOKUP(A450,'3 - LISTA DE ESPÉCIES'!A:H,4,FALSE()),IF(AND(A450=0,B450&lt;&gt;0,C450=0),VLOOKUP(B450,'3 - LISTA DE ESPÉCIES'!B:H,3,FALSE()),IF(AND(A450=0,B450=0,C450&lt;&gt;0),VLOOKUP(C450,'3 - LISTA DE ESPÉCIES'!C:H,2,FALSE()))))</f>
        <v>0</v>
      </c>
      <c r="I450" s="21" t="b">
        <f>IF(AND(A450&lt;&gt;0,B450=0,C450=0),VLOOKUP(A450,'3 - LISTA DE ESPÉCIES'!A:H,5,FALSE()),IF(AND(A450=0,B450&lt;&gt;0,C450=0),VLOOKUP(B450,'3 - LISTA DE ESPÉCIES'!B:H,4,FALSE()),IF(AND(A450=0,B450=0,C450&lt;&gt;0),VLOOKUP(C450,'3 - LISTA DE ESPÉCIES'!C:H,3,FALSE()))))</f>
        <v>0</v>
      </c>
      <c r="J450" s="23"/>
      <c r="K450" s="23"/>
      <c r="L450" s="20"/>
      <c r="M450" s="20"/>
    </row>
    <row r="451" spans="1:13" x14ac:dyDescent="0.25">
      <c r="A451" s="20"/>
      <c r="B451" s="20"/>
      <c r="C451" s="20"/>
      <c r="E451" s="21" t="b">
        <f>IF(AND(A451&lt;&gt;0,B451=0,C451=0),VLOOKUP(A451,'3 - LISTA DE ESPÉCIES'!A:H,1,FALSE()),IF(AND(A451=0,B451&lt;&gt;0,C451=0),VLOOKUP(B451,'3 - LISTA DE ESPÉCIES'!B:H,5,FALSE()),IF(AND(A451=0,B451=0,C451&lt;&gt;0),VLOOKUP(C451,'3 - LISTA DE ESPÉCIES'!C:H,4,FALSE()))))</f>
        <v>0</v>
      </c>
      <c r="F451" s="21" t="b">
        <f>IF(AND(A451&lt;&gt;0,B451=0,C451=0),VLOOKUP(A451,'3 - LISTA DE ESPÉCIES'!A:H,2,FALSE()),IF(AND(A451=0,B451&lt;&gt;0,C451=0),VLOOKUP(B451,'3 - LISTA DE ESPÉCIES'!B:H,6,FALSE()),IF(AND(A451=0,B451=0,C451&lt;&gt;0),VLOOKUP(C451,'3 - LISTA DE ESPÉCIES'!C:H,5,FALSE()))))</f>
        <v>0</v>
      </c>
      <c r="G451" s="21" t="b">
        <f>IF(AND(A451&lt;&gt;0,B451=0,C451=0),VLOOKUP(A451,'3 - LISTA DE ESPÉCIES'!A:H,3,FALSE()),IF(AND(A451=0,B451&lt;&gt;0,C451=0),VLOOKUP(B451,'3 - LISTA DE ESPÉCIES'!B:H,7,FALSE()),IF(AND(A451=0,B451=0,C451&lt;&gt;0),VLOOKUP(C451,'3 - LISTA DE ESPÉCIES'!C:H,6,FALSE()))))</f>
        <v>0</v>
      </c>
      <c r="H451" s="21" t="b">
        <f>IF(AND(A451&lt;&gt;0,B451=0,C451=0),VLOOKUP(A451,'3 - LISTA DE ESPÉCIES'!A:H,4,FALSE()),IF(AND(A451=0,B451&lt;&gt;0,C451=0),VLOOKUP(B451,'3 - LISTA DE ESPÉCIES'!B:H,3,FALSE()),IF(AND(A451=0,B451=0,C451&lt;&gt;0),VLOOKUP(C451,'3 - LISTA DE ESPÉCIES'!C:H,2,FALSE()))))</f>
        <v>0</v>
      </c>
      <c r="I451" s="21" t="b">
        <f>IF(AND(A451&lt;&gt;0,B451=0,C451=0),VLOOKUP(A451,'3 - LISTA DE ESPÉCIES'!A:H,5,FALSE()),IF(AND(A451=0,B451&lt;&gt;0,C451=0),VLOOKUP(B451,'3 - LISTA DE ESPÉCIES'!B:H,4,FALSE()),IF(AND(A451=0,B451=0,C451&lt;&gt;0),VLOOKUP(C451,'3 - LISTA DE ESPÉCIES'!C:H,3,FALSE()))))</f>
        <v>0</v>
      </c>
      <c r="J451" s="23"/>
      <c r="K451" s="23"/>
      <c r="L451" s="20"/>
      <c r="M451" s="20"/>
    </row>
    <row r="452" spans="1:13" x14ac:dyDescent="0.25">
      <c r="A452" s="20"/>
      <c r="B452" s="20"/>
      <c r="C452" s="20"/>
      <c r="E452" s="21" t="b">
        <f>IF(AND(A452&lt;&gt;0,B452=0,C452=0),VLOOKUP(A452,'3 - LISTA DE ESPÉCIES'!A:H,1,FALSE()),IF(AND(A452=0,B452&lt;&gt;0,C452=0),VLOOKUP(B452,'3 - LISTA DE ESPÉCIES'!B:H,5,FALSE()),IF(AND(A452=0,B452=0,C452&lt;&gt;0),VLOOKUP(C452,'3 - LISTA DE ESPÉCIES'!C:H,4,FALSE()))))</f>
        <v>0</v>
      </c>
      <c r="F452" s="21" t="b">
        <f>IF(AND(A452&lt;&gt;0,B452=0,C452=0),VLOOKUP(A452,'3 - LISTA DE ESPÉCIES'!A:H,2,FALSE()),IF(AND(A452=0,B452&lt;&gt;0,C452=0),VLOOKUP(B452,'3 - LISTA DE ESPÉCIES'!B:H,6,FALSE()),IF(AND(A452=0,B452=0,C452&lt;&gt;0),VLOOKUP(C452,'3 - LISTA DE ESPÉCIES'!C:H,5,FALSE()))))</f>
        <v>0</v>
      </c>
      <c r="G452" s="21" t="b">
        <f>IF(AND(A452&lt;&gt;0,B452=0,C452=0),VLOOKUP(A452,'3 - LISTA DE ESPÉCIES'!A:H,3,FALSE()),IF(AND(A452=0,B452&lt;&gt;0,C452=0),VLOOKUP(B452,'3 - LISTA DE ESPÉCIES'!B:H,7,FALSE()),IF(AND(A452=0,B452=0,C452&lt;&gt;0),VLOOKUP(C452,'3 - LISTA DE ESPÉCIES'!C:H,6,FALSE()))))</f>
        <v>0</v>
      </c>
      <c r="H452" s="21" t="b">
        <f>IF(AND(A452&lt;&gt;0,B452=0,C452=0),VLOOKUP(A452,'3 - LISTA DE ESPÉCIES'!A:H,4,FALSE()),IF(AND(A452=0,B452&lt;&gt;0,C452=0),VLOOKUP(B452,'3 - LISTA DE ESPÉCIES'!B:H,3,FALSE()),IF(AND(A452=0,B452=0,C452&lt;&gt;0),VLOOKUP(C452,'3 - LISTA DE ESPÉCIES'!C:H,2,FALSE()))))</f>
        <v>0</v>
      </c>
      <c r="I452" s="21" t="b">
        <f>IF(AND(A452&lt;&gt;0,B452=0,C452=0),VLOOKUP(A452,'3 - LISTA DE ESPÉCIES'!A:H,5,FALSE()),IF(AND(A452=0,B452&lt;&gt;0,C452=0),VLOOKUP(B452,'3 - LISTA DE ESPÉCIES'!B:H,4,FALSE()),IF(AND(A452=0,B452=0,C452&lt;&gt;0),VLOOKUP(C452,'3 - LISTA DE ESPÉCIES'!C:H,3,FALSE()))))</f>
        <v>0</v>
      </c>
      <c r="J452" s="23"/>
      <c r="K452" s="23"/>
      <c r="L452" s="20"/>
      <c r="M452" s="20"/>
    </row>
    <row r="453" spans="1:13" x14ac:dyDescent="0.25">
      <c r="A453" s="20"/>
      <c r="B453" s="20"/>
      <c r="C453" s="20"/>
      <c r="E453" s="21" t="b">
        <f>IF(AND(A453&lt;&gt;0,B453=0,C453=0),VLOOKUP(A453,'3 - LISTA DE ESPÉCIES'!A:H,1,FALSE()),IF(AND(A453=0,B453&lt;&gt;0,C453=0),VLOOKUP(B453,'3 - LISTA DE ESPÉCIES'!B:H,5,FALSE()),IF(AND(A453=0,B453=0,C453&lt;&gt;0),VLOOKUP(C453,'3 - LISTA DE ESPÉCIES'!C:H,4,FALSE()))))</f>
        <v>0</v>
      </c>
      <c r="F453" s="21" t="b">
        <f>IF(AND(A453&lt;&gt;0,B453=0,C453=0),VLOOKUP(A453,'3 - LISTA DE ESPÉCIES'!A:H,2,FALSE()),IF(AND(A453=0,B453&lt;&gt;0,C453=0),VLOOKUP(B453,'3 - LISTA DE ESPÉCIES'!B:H,6,FALSE()),IF(AND(A453=0,B453=0,C453&lt;&gt;0),VLOOKUP(C453,'3 - LISTA DE ESPÉCIES'!C:H,5,FALSE()))))</f>
        <v>0</v>
      </c>
      <c r="G453" s="21" t="b">
        <f>IF(AND(A453&lt;&gt;0,B453=0,C453=0),VLOOKUP(A453,'3 - LISTA DE ESPÉCIES'!A:H,3,FALSE()),IF(AND(A453=0,B453&lt;&gt;0,C453=0),VLOOKUP(B453,'3 - LISTA DE ESPÉCIES'!B:H,7,FALSE()),IF(AND(A453=0,B453=0,C453&lt;&gt;0),VLOOKUP(C453,'3 - LISTA DE ESPÉCIES'!C:H,6,FALSE()))))</f>
        <v>0</v>
      </c>
      <c r="H453" s="21" t="b">
        <f>IF(AND(A453&lt;&gt;0,B453=0,C453=0),VLOOKUP(A453,'3 - LISTA DE ESPÉCIES'!A:H,4,FALSE()),IF(AND(A453=0,B453&lt;&gt;0,C453=0),VLOOKUP(B453,'3 - LISTA DE ESPÉCIES'!B:H,3,FALSE()),IF(AND(A453=0,B453=0,C453&lt;&gt;0),VLOOKUP(C453,'3 - LISTA DE ESPÉCIES'!C:H,2,FALSE()))))</f>
        <v>0</v>
      </c>
      <c r="I453" s="21" t="b">
        <f>IF(AND(A453&lt;&gt;0,B453=0,C453=0),VLOOKUP(A453,'3 - LISTA DE ESPÉCIES'!A:H,5,FALSE()),IF(AND(A453=0,B453&lt;&gt;0,C453=0),VLOOKUP(B453,'3 - LISTA DE ESPÉCIES'!B:H,4,FALSE()),IF(AND(A453=0,B453=0,C453&lt;&gt;0),VLOOKUP(C453,'3 - LISTA DE ESPÉCIES'!C:H,3,FALSE()))))</f>
        <v>0</v>
      </c>
      <c r="J453" s="23"/>
      <c r="K453" s="23"/>
      <c r="L453" s="20"/>
      <c r="M453" s="20"/>
    </row>
    <row r="454" spans="1:13" x14ac:dyDescent="0.25">
      <c r="A454" s="20"/>
      <c r="B454" s="20"/>
      <c r="C454" s="20"/>
      <c r="E454" s="21" t="b">
        <f>IF(AND(A454&lt;&gt;0,B454=0,C454=0),VLOOKUP(A454,'3 - LISTA DE ESPÉCIES'!A:H,1,FALSE()),IF(AND(A454=0,B454&lt;&gt;0,C454=0),VLOOKUP(B454,'3 - LISTA DE ESPÉCIES'!B:H,5,FALSE()),IF(AND(A454=0,B454=0,C454&lt;&gt;0),VLOOKUP(C454,'3 - LISTA DE ESPÉCIES'!C:H,4,FALSE()))))</f>
        <v>0</v>
      </c>
      <c r="F454" s="21" t="b">
        <f>IF(AND(A454&lt;&gt;0,B454=0,C454=0),VLOOKUP(A454,'3 - LISTA DE ESPÉCIES'!A:H,2,FALSE()),IF(AND(A454=0,B454&lt;&gt;0,C454=0),VLOOKUP(B454,'3 - LISTA DE ESPÉCIES'!B:H,6,FALSE()),IF(AND(A454=0,B454=0,C454&lt;&gt;0),VLOOKUP(C454,'3 - LISTA DE ESPÉCIES'!C:H,5,FALSE()))))</f>
        <v>0</v>
      </c>
      <c r="G454" s="21" t="b">
        <f>IF(AND(A454&lt;&gt;0,B454=0,C454=0),VLOOKUP(A454,'3 - LISTA DE ESPÉCIES'!A:H,3,FALSE()),IF(AND(A454=0,B454&lt;&gt;0,C454=0),VLOOKUP(B454,'3 - LISTA DE ESPÉCIES'!B:H,7,FALSE()),IF(AND(A454=0,B454=0,C454&lt;&gt;0),VLOOKUP(C454,'3 - LISTA DE ESPÉCIES'!C:H,6,FALSE()))))</f>
        <v>0</v>
      </c>
      <c r="H454" s="21" t="b">
        <f>IF(AND(A454&lt;&gt;0,B454=0,C454=0),VLOOKUP(A454,'3 - LISTA DE ESPÉCIES'!A:H,4,FALSE()),IF(AND(A454=0,B454&lt;&gt;0,C454=0),VLOOKUP(B454,'3 - LISTA DE ESPÉCIES'!B:H,3,FALSE()),IF(AND(A454=0,B454=0,C454&lt;&gt;0),VLOOKUP(C454,'3 - LISTA DE ESPÉCIES'!C:H,2,FALSE()))))</f>
        <v>0</v>
      </c>
      <c r="I454" s="21" t="b">
        <f>IF(AND(A454&lt;&gt;0,B454=0,C454=0),VLOOKUP(A454,'3 - LISTA DE ESPÉCIES'!A:H,5,FALSE()),IF(AND(A454=0,B454&lt;&gt;0,C454=0),VLOOKUP(B454,'3 - LISTA DE ESPÉCIES'!B:H,4,FALSE()),IF(AND(A454=0,B454=0,C454&lt;&gt;0),VLOOKUP(C454,'3 - LISTA DE ESPÉCIES'!C:H,3,FALSE()))))</f>
        <v>0</v>
      </c>
      <c r="J454" s="23"/>
      <c r="K454" s="23"/>
      <c r="L454" s="20"/>
      <c r="M454" s="20"/>
    </row>
    <row r="455" spans="1:13" x14ac:dyDescent="0.25">
      <c r="A455" s="20"/>
      <c r="B455" s="20"/>
      <c r="C455" s="20"/>
      <c r="E455" s="21" t="b">
        <f>IF(AND(A455&lt;&gt;0,B455=0,C455=0),VLOOKUP(A455,'3 - LISTA DE ESPÉCIES'!A:H,1,FALSE()),IF(AND(A455=0,B455&lt;&gt;0,C455=0),VLOOKUP(B455,'3 - LISTA DE ESPÉCIES'!B:H,5,FALSE()),IF(AND(A455=0,B455=0,C455&lt;&gt;0),VLOOKUP(C455,'3 - LISTA DE ESPÉCIES'!C:H,4,FALSE()))))</f>
        <v>0</v>
      </c>
      <c r="F455" s="21" t="b">
        <f>IF(AND(A455&lt;&gt;0,B455=0,C455=0),VLOOKUP(A455,'3 - LISTA DE ESPÉCIES'!A:H,2,FALSE()),IF(AND(A455=0,B455&lt;&gt;0,C455=0),VLOOKUP(B455,'3 - LISTA DE ESPÉCIES'!B:H,6,FALSE()),IF(AND(A455=0,B455=0,C455&lt;&gt;0),VLOOKUP(C455,'3 - LISTA DE ESPÉCIES'!C:H,5,FALSE()))))</f>
        <v>0</v>
      </c>
      <c r="G455" s="21" t="b">
        <f>IF(AND(A455&lt;&gt;0,B455=0,C455=0),VLOOKUP(A455,'3 - LISTA DE ESPÉCIES'!A:H,3,FALSE()),IF(AND(A455=0,B455&lt;&gt;0,C455=0),VLOOKUP(B455,'3 - LISTA DE ESPÉCIES'!B:H,7,FALSE()),IF(AND(A455=0,B455=0,C455&lt;&gt;0),VLOOKUP(C455,'3 - LISTA DE ESPÉCIES'!C:H,6,FALSE()))))</f>
        <v>0</v>
      </c>
      <c r="H455" s="21" t="b">
        <f>IF(AND(A455&lt;&gt;0,B455=0,C455=0),VLOOKUP(A455,'3 - LISTA DE ESPÉCIES'!A:H,4,FALSE()),IF(AND(A455=0,B455&lt;&gt;0,C455=0),VLOOKUP(B455,'3 - LISTA DE ESPÉCIES'!B:H,3,FALSE()),IF(AND(A455=0,B455=0,C455&lt;&gt;0),VLOOKUP(C455,'3 - LISTA DE ESPÉCIES'!C:H,2,FALSE()))))</f>
        <v>0</v>
      </c>
      <c r="I455" s="21" t="b">
        <f>IF(AND(A455&lt;&gt;0,B455=0,C455=0),VLOOKUP(A455,'3 - LISTA DE ESPÉCIES'!A:H,5,FALSE()),IF(AND(A455=0,B455&lt;&gt;0,C455=0),VLOOKUP(B455,'3 - LISTA DE ESPÉCIES'!B:H,4,FALSE()),IF(AND(A455=0,B455=0,C455&lt;&gt;0),VLOOKUP(C455,'3 - LISTA DE ESPÉCIES'!C:H,3,FALSE()))))</f>
        <v>0</v>
      </c>
      <c r="J455" s="23"/>
      <c r="K455" s="23"/>
      <c r="L455" s="20"/>
      <c r="M455" s="20"/>
    </row>
    <row r="456" spans="1:13" x14ac:dyDescent="0.25">
      <c r="A456" s="20"/>
      <c r="B456" s="20"/>
      <c r="C456" s="20"/>
      <c r="E456" s="21" t="b">
        <f>IF(AND(A456&lt;&gt;0,B456=0,C456=0),VLOOKUP(A456,'3 - LISTA DE ESPÉCIES'!A:H,1,FALSE()),IF(AND(A456=0,B456&lt;&gt;0,C456=0),VLOOKUP(B456,'3 - LISTA DE ESPÉCIES'!B:H,5,FALSE()),IF(AND(A456=0,B456=0,C456&lt;&gt;0),VLOOKUP(C456,'3 - LISTA DE ESPÉCIES'!C:H,4,FALSE()))))</f>
        <v>0</v>
      </c>
      <c r="F456" s="21" t="b">
        <f>IF(AND(A456&lt;&gt;0,B456=0,C456=0),VLOOKUP(A456,'3 - LISTA DE ESPÉCIES'!A:H,2,FALSE()),IF(AND(A456=0,B456&lt;&gt;0,C456=0),VLOOKUP(B456,'3 - LISTA DE ESPÉCIES'!B:H,6,FALSE()),IF(AND(A456=0,B456=0,C456&lt;&gt;0),VLOOKUP(C456,'3 - LISTA DE ESPÉCIES'!C:H,5,FALSE()))))</f>
        <v>0</v>
      </c>
      <c r="G456" s="21" t="b">
        <f>IF(AND(A456&lt;&gt;0,B456=0,C456=0),VLOOKUP(A456,'3 - LISTA DE ESPÉCIES'!A:H,3,FALSE()),IF(AND(A456=0,B456&lt;&gt;0,C456=0),VLOOKUP(B456,'3 - LISTA DE ESPÉCIES'!B:H,7,FALSE()),IF(AND(A456=0,B456=0,C456&lt;&gt;0),VLOOKUP(C456,'3 - LISTA DE ESPÉCIES'!C:H,6,FALSE()))))</f>
        <v>0</v>
      </c>
      <c r="H456" s="21" t="b">
        <f>IF(AND(A456&lt;&gt;0,B456=0,C456=0),VLOOKUP(A456,'3 - LISTA DE ESPÉCIES'!A:H,4,FALSE()),IF(AND(A456=0,B456&lt;&gt;0,C456=0),VLOOKUP(B456,'3 - LISTA DE ESPÉCIES'!B:H,3,FALSE()),IF(AND(A456=0,B456=0,C456&lt;&gt;0),VLOOKUP(C456,'3 - LISTA DE ESPÉCIES'!C:H,2,FALSE()))))</f>
        <v>0</v>
      </c>
      <c r="I456" s="21" t="b">
        <f>IF(AND(A456&lt;&gt;0,B456=0,C456=0),VLOOKUP(A456,'3 - LISTA DE ESPÉCIES'!A:H,5,FALSE()),IF(AND(A456=0,B456&lt;&gt;0,C456=0),VLOOKUP(B456,'3 - LISTA DE ESPÉCIES'!B:H,4,FALSE()),IF(AND(A456=0,B456=0,C456&lt;&gt;0),VLOOKUP(C456,'3 - LISTA DE ESPÉCIES'!C:H,3,FALSE()))))</f>
        <v>0</v>
      </c>
      <c r="J456" s="23"/>
      <c r="K456" s="23"/>
      <c r="L456" s="20"/>
      <c r="M456" s="20"/>
    </row>
    <row r="457" spans="1:13" x14ac:dyDescent="0.25">
      <c r="A457" s="20"/>
      <c r="B457" s="20"/>
      <c r="C457" s="20"/>
      <c r="E457" s="21" t="b">
        <f>IF(AND(A457&lt;&gt;0,B457=0,C457=0),VLOOKUP(A457,'3 - LISTA DE ESPÉCIES'!A:H,1,FALSE()),IF(AND(A457=0,B457&lt;&gt;0,C457=0),VLOOKUP(B457,'3 - LISTA DE ESPÉCIES'!B:H,5,FALSE()),IF(AND(A457=0,B457=0,C457&lt;&gt;0),VLOOKUP(C457,'3 - LISTA DE ESPÉCIES'!C:H,4,FALSE()))))</f>
        <v>0</v>
      </c>
      <c r="F457" s="21" t="b">
        <f>IF(AND(A457&lt;&gt;0,B457=0,C457=0),VLOOKUP(A457,'3 - LISTA DE ESPÉCIES'!A:H,2,FALSE()),IF(AND(A457=0,B457&lt;&gt;0,C457=0),VLOOKUP(B457,'3 - LISTA DE ESPÉCIES'!B:H,6,FALSE()),IF(AND(A457=0,B457=0,C457&lt;&gt;0),VLOOKUP(C457,'3 - LISTA DE ESPÉCIES'!C:H,5,FALSE()))))</f>
        <v>0</v>
      </c>
      <c r="G457" s="21" t="b">
        <f>IF(AND(A457&lt;&gt;0,B457=0,C457=0),VLOOKUP(A457,'3 - LISTA DE ESPÉCIES'!A:H,3,FALSE()),IF(AND(A457=0,B457&lt;&gt;0,C457=0),VLOOKUP(B457,'3 - LISTA DE ESPÉCIES'!B:H,7,FALSE()),IF(AND(A457=0,B457=0,C457&lt;&gt;0),VLOOKUP(C457,'3 - LISTA DE ESPÉCIES'!C:H,6,FALSE()))))</f>
        <v>0</v>
      </c>
      <c r="H457" s="21" t="b">
        <f>IF(AND(A457&lt;&gt;0,B457=0,C457=0),VLOOKUP(A457,'3 - LISTA DE ESPÉCIES'!A:H,4,FALSE()),IF(AND(A457=0,B457&lt;&gt;0,C457=0),VLOOKUP(B457,'3 - LISTA DE ESPÉCIES'!B:H,3,FALSE()),IF(AND(A457=0,B457=0,C457&lt;&gt;0),VLOOKUP(C457,'3 - LISTA DE ESPÉCIES'!C:H,2,FALSE()))))</f>
        <v>0</v>
      </c>
      <c r="I457" s="21" t="b">
        <f>IF(AND(A457&lt;&gt;0,B457=0,C457=0),VLOOKUP(A457,'3 - LISTA DE ESPÉCIES'!A:H,5,FALSE()),IF(AND(A457=0,B457&lt;&gt;0,C457=0),VLOOKUP(B457,'3 - LISTA DE ESPÉCIES'!B:H,4,FALSE()),IF(AND(A457=0,B457=0,C457&lt;&gt;0),VLOOKUP(C457,'3 - LISTA DE ESPÉCIES'!C:H,3,FALSE()))))</f>
        <v>0</v>
      </c>
      <c r="J457" s="23"/>
      <c r="K457" s="23"/>
      <c r="L457" s="20"/>
      <c r="M457" s="20"/>
    </row>
    <row r="458" spans="1:13" x14ac:dyDescent="0.25">
      <c r="A458" s="20"/>
      <c r="B458" s="20"/>
      <c r="C458" s="20"/>
      <c r="E458" s="21" t="b">
        <f>IF(AND(A458&lt;&gt;0,B458=0,C458=0),VLOOKUP(A458,'3 - LISTA DE ESPÉCIES'!A:H,1,FALSE()),IF(AND(A458=0,B458&lt;&gt;0,C458=0),VLOOKUP(B458,'3 - LISTA DE ESPÉCIES'!B:H,5,FALSE()),IF(AND(A458=0,B458=0,C458&lt;&gt;0),VLOOKUP(C458,'3 - LISTA DE ESPÉCIES'!C:H,4,FALSE()))))</f>
        <v>0</v>
      </c>
      <c r="F458" s="21" t="b">
        <f>IF(AND(A458&lt;&gt;0,B458=0,C458=0),VLOOKUP(A458,'3 - LISTA DE ESPÉCIES'!A:H,2,FALSE()),IF(AND(A458=0,B458&lt;&gt;0,C458=0),VLOOKUP(B458,'3 - LISTA DE ESPÉCIES'!B:H,6,FALSE()),IF(AND(A458=0,B458=0,C458&lt;&gt;0),VLOOKUP(C458,'3 - LISTA DE ESPÉCIES'!C:H,5,FALSE()))))</f>
        <v>0</v>
      </c>
      <c r="G458" s="21" t="b">
        <f>IF(AND(A458&lt;&gt;0,B458=0,C458=0),VLOOKUP(A458,'3 - LISTA DE ESPÉCIES'!A:H,3,FALSE()),IF(AND(A458=0,B458&lt;&gt;0,C458=0),VLOOKUP(B458,'3 - LISTA DE ESPÉCIES'!B:H,7,FALSE()),IF(AND(A458=0,B458=0,C458&lt;&gt;0),VLOOKUP(C458,'3 - LISTA DE ESPÉCIES'!C:H,6,FALSE()))))</f>
        <v>0</v>
      </c>
      <c r="H458" s="21" t="b">
        <f>IF(AND(A458&lt;&gt;0,B458=0,C458=0),VLOOKUP(A458,'3 - LISTA DE ESPÉCIES'!A:H,4,FALSE()),IF(AND(A458=0,B458&lt;&gt;0,C458=0),VLOOKUP(B458,'3 - LISTA DE ESPÉCIES'!B:H,3,FALSE()),IF(AND(A458=0,B458=0,C458&lt;&gt;0),VLOOKUP(C458,'3 - LISTA DE ESPÉCIES'!C:H,2,FALSE()))))</f>
        <v>0</v>
      </c>
      <c r="I458" s="21" t="b">
        <f>IF(AND(A458&lt;&gt;0,B458=0,C458=0),VLOOKUP(A458,'3 - LISTA DE ESPÉCIES'!A:H,5,FALSE()),IF(AND(A458=0,B458&lt;&gt;0,C458=0),VLOOKUP(B458,'3 - LISTA DE ESPÉCIES'!B:H,4,FALSE()),IF(AND(A458=0,B458=0,C458&lt;&gt;0),VLOOKUP(C458,'3 - LISTA DE ESPÉCIES'!C:H,3,FALSE()))))</f>
        <v>0</v>
      </c>
      <c r="J458" s="23"/>
      <c r="K458" s="23"/>
      <c r="L458" s="20"/>
      <c r="M458" s="20"/>
    </row>
    <row r="459" spans="1:13" x14ac:dyDescent="0.25">
      <c r="A459" s="20"/>
      <c r="B459" s="20"/>
      <c r="C459" s="20"/>
      <c r="E459" s="21" t="b">
        <f>IF(AND(A459&lt;&gt;0,B459=0,C459=0),VLOOKUP(A459,'3 - LISTA DE ESPÉCIES'!A:H,1,FALSE()),IF(AND(A459=0,B459&lt;&gt;0,C459=0),VLOOKUP(B459,'3 - LISTA DE ESPÉCIES'!B:H,5,FALSE()),IF(AND(A459=0,B459=0,C459&lt;&gt;0),VLOOKUP(C459,'3 - LISTA DE ESPÉCIES'!C:H,4,FALSE()))))</f>
        <v>0</v>
      </c>
      <c r="F459" s="21" t="b">
        <f>IF(AND(A459&lt;&gt;0,B459=0,C459=0),VLOOKUP(A459,'3 - LISTA DE ESPÉCIES'!A:H,2,FALSE()),IF(AND(A459=0,B459&lt;&gt;0,C459=0),VLOOKUP(B459,'3 - LISTA DE ESPÉCIES'!B:H,6,FALSE()),IF(AND(A459=0,B459=0,C459&lt;&gt;0),VLOOKUP(C459,'3 - LISTA DE ESPÉCIES'!C:H,5,FALSE()))))</f>
        <v>0</v>
      </c>
      <c r="G459" s="21" t="b">
        <f>IF(AND(A459&lt;&gt;0,B459=0,C459=0),VLOOKUP(A459,'3 - LISTA DE ESPÉCIES'!A:H,3,FALSE()),IF(AND(A459=0,B459&lt;&gt;0,C459=0),VLOOKUP(B459,'3 - LISTA DE ESPÉCIES'!B:H,7,FALSE()),IF(AND(A459=0,B459=0,C459&lt;&gt;0),VLOOKUP(C459,'3 - LISTA DE ESPÉCIES'!C:H,6,FALSE()))))</f>
        <v>0</v>
      </c>
      <c r="H459" s="21" t="b">
        <f>IF(AND(A459&lt;&gt;0,B459=0,C459=0),VLOOKUP(A459,'3 - LISTA DE ESPÉCIES'!A:H,4,FALSE()),IF(AND(A459=0,B459&lt;&gt;0,C459=0),VLOOKUP(B459,'3 - LISTA DE ESPÉCIES'!B:H,3,FALSE()),IF(AND(A459=0,B459=0,C459&lt;&gt;0),VLOOKUP(C459,'3 - LISTA DE ESPÉCIES'!C:H,2,FALSE()))))</f>
        <v>0</v>
      </c>
      <c r="I459" s="21" t="b">
        <f>IF(AND(A459&lt;&gt;0,B459=0,C459=0),VLOOKUP(A459,'3 - LISTA DE ESPÉCIES'!A:H,5,FALSE()),IF(AND(A459=0,B459&lt;&gt;0,C459=0),VLOOKUP(B459,'3 - LISTA DE ESPÉCIES'!B:H,4,FALSE()),IF(AND(A459=0,B459=0,C459&lt;&gt;0),VLOOKUP(C459,'3 - LISTA DE ESPÉCIES'!C:H,3,FALSE()))))</f>
        <v>0</v>
      </c>
      <c r="J459" s="23"/>
      <c r="K459" s="23"/>
      <c r="L459" s="20"/>
      <c r="M459" s="20"/>
    </row>
    <row r="460" spans="1:13" x14ac:dyDescent="0.25">
      <c r="A460" s="20"/>
      <c r="B460" s="20"/>
      <c r="C460" s="20"/>
      <c r="E460" s="21" t="b">
        <f>IF(AND(A460&lt;&gt;0,B460=0,C460=0),VLOOKUP(A460,'3 - LISTA DE ESPÉCIES'!A:H,1,FALSE()),IF(AND(A460=0,B460&lt;&gt;0,C460=0),VLOOKUP(B460,'3 - LISTA DE ESPÉCIES'!B:H,5,FALSE()),IF(AND(A460=0,B460=0,C460&lt;&gt;0),VLOOKUP(C460,'3 - LISTA DE ESPÉCIES'!C:H,4,FALSE()))))</f>
        <v>0</v>
      </c>
      <c r="F460" s="21" t="b">
        <f>IF(AND(A460&lt;&gt;0,B460=0,C460=0),VLOOKUP(A460,'3 - LISTA DE ESPÉCIES'!A:H,2,FALSE()),IF(AND(A460=0,B460&lt;&gt;0,C460=0),VLOOKUP(B460,'3 - LISTA DE ESPÉCIES'!B:H,6,FALSE()),IF(AND(A460=0,B460=0,C460&lt;&gt;0),VLOOKUP(C460,'3 - LISTA DE ESPÉCIES'!C:H,5,FALSE()))))</f>
        <v>0</v>
      </c>
      <c r="G460" s="21" t="b">
        <f>IF(AND(A460&lt;&gt;0,B460=0,C460=0),VLOOKUP(A460,'3 - LISTA DE ESPÉCIES'!A:H,3,FALSE()),IF(AND(A460=0,B460&lt;&gt;0,C460=0),VLOOKUP(B460,'3 - LISTA DE ESPÉCIES'!B:H,7,FALSE()),IF(AND(A460=0,B460=0,C460&lt;&gt;0),VLOOKUP(C460,'3 - LISTA DE ESPÉCIES'!C:H,6,FALSE()))))</f>
        <v>0</v>
      </c>
      <c r="H460" s="21" t="b">
        <f>IF(AND(A460&lt;&gt;0,B460=0,C460=0),VLOOKUP(A460,'3 - LISTA DE ESPÉCIES'!A:H,4,FALSE()),IF(AND(A460=0,B460&lt;&gt;0,C460=0),VLOOKUP(B460,'3 - LISTA DE ESPÉCIES'!B:H,3,FALSE()),IF(AND(A460=0,B460=0,C460&lt;&gt;0),VLOOKUP(C460,'3 - LISTA DE ESPÉCIES'!C:H,2,FALSE()))))</f>
        <v>0</v>
      </c>
      <c r="I460" s="21" t="b">
        <f>IF(AND(A460&lt;&gt;0,B460=0,C460=0),VLOOKUP(A460,'3 - LISTA DE ESPÉCIES'!A:H,5,FALSE()),IF(AND(A460=0,B460&lt;&gt;0,C460=0),VLOOKUP(B460,'3 - LISTA DE ESPÉCIES'!B:H,4,FALSE()),IF(AND(A460=0,B460=0,C460&lt;&gt;0),VLOOKUP(C460,'3 - LISTA DE ESPÉCIES'!C:H,3,FALSE()))))</f>
        <v>0</v>
      </c>
      <c r="J460" s="23"/>
      <c r="K460" s="23"/>
      <c r="L460" s="20"/>
      <c r="M460" s="20"/>
    </row>
    <row r="461" spans="1:13" x14ac:dyDescent="0.25">
      <c r="A461" s="20"/>
      <c r="B461" s="20"/>
      <c r="C461" s="20"/>
      <c r="E461" s="21" t="b">
        <f>IF(AND(A461&lt;&gt;0,B461=0,C461=0),VLOOKUP(A461,'3 - LISTA DE ESPÉCIES'!A:H,1,FALSE()),IF(AND(A461=0,B461&lt;&gt;0,C461=0),VLOOKUP(B461,'3 - LISTA DE ESPÉCIES'!B:H,5,FALSE()),IF(AND(A461=0,B461=0,C461&lt;&gt;0),VLOOKUP(C461,'3 - LISTA DE ESPÉCIES'!C:H,4,FALSE()))))</f>
        <v>0</v>
      </c>
      <c r="F461" s="21" t="b">
        <f>IF(AND(A461&lt;&gt;0,B461=0,C461=0),VLOOKUP(A461,'3 - LISTA DE ESPÉCIES'!A:H,2,FALSE()),IF(AND(A461=0,B461&lt;&gt;0,C461=0),VLOOKUP(B461,'3 - LISTA DE ESPÉCIES'!B:H,6,FALSE()),IF(AND(A461=0,B461=0,C461&lt;&gt;0),VLOOKUP(C461,'3 - LISTA DE ESPÉCIES'!C:H,5,FALSE()))))</f>
        <v>0</v>
      </c>
      <c r="G461" s="21" t="b">
        <f>IF(AND(A461&lt;&gt;0,B461=0,C461=0),VLOOKUP(A461,'3 - LISTA DE ESPÉCIES'!A:H,3,FALSE()),IF(AND(A461=0,B461&lt;&gt;0,C461=0),VLOOKUP(B461,'3 - LISTA DE ESPÉCIES'!B:H,7,FALSE()),IF(AND(A461=0,B461=0,C461&lt;&gt;0),VLOOKUP(C461,'3 - LISTA DE ESPÉCIES'!C:H,6,FALSE()))))</f>
        <v>0</v>
      </c>
      <c r="H461" s="21" t="b">
        <f>IF(AND(A461&lt;&gt;0,B461=0,C461=0),VLOOKUP(A461,'3 - LISTA DE ESPÉCIES'!A:H,4,FALSE()),IF(AND(A461=0,B461&lt;&gt;0,C461=0),VLOOKUP(B461,'3 - LISTA DE ESPÉCIES'!B:H,3,FALSE()),IF(AND(A461=0,B461=0,C461&lt;&gt;0),VLOOKUP(C461,'3 - LISTA DE ESPÉCIES'!C:H,2,FALSE()))))</f>
        <v>0</v>
      </c>
      <c r="I461" s="21" t="b">
        <f>IF(AND(A461&lt;&gt;0,B461=0,C461=0),VLOOKUP(A461,'3 - LISTA DE ESPÉCIES'!A:H,5,FALSE()),IF(AND(A461=0,B461&lt;&gt;0,C461=0),VLOOKUP(B461,'3 - LISTA DE ESPÉCIES'!B:H,4,FALSE()),IF(AND(A461=0,B461=0,C461&lt;&gt;0),VLOOKUP(C461,'3 - LISTA DE ESPÉCIES'!C:H,3,FALSE()))))</f>
        <v>0</v>
      </c>
      <c r="J461" s="23"/>
      <c r="K461" s="23"/>
      <c r="L461" s="20"/>
      <c r="M461" s="20"/>
    </row>
    <row r="462" spans="1:13" x14ac:dyDescent="0.25">
      <c r="A462" s="20"/>
      <c r="B462" s="20"/>
      <c r="C462" s="20"/>
      <c r="E462" s="21" t="b">
        <f>IF(AND(A462&lt;&gt;0,B462=0,C462=0),VLOOKUP(A462,'3 - LISTA DE ESPÉCIES'!A:H,1,FALSE()),IF(AND(A462=0,B462&lt;&gt;0,C462=0),VLOOKUP(B462,'3 - LISTA DE ESPÉCIES'!B:H,5,FALSE()),IF(AND(A462=0,B462=0,C462&lt;&gt;0),VLOOKUP(C462,'3 - LISTA DE ESPÉCIES'!C:H,4,FALSE()))))</f>
        <v>0</v>
      </c>
      <c r="F462" s="21" t="b">
        <f>IF(AND(A462&lt;&gt;0,B462=0,C462=0),VLOOKUP(A462,'3 - LISTA DE ESPÉCIES'!A:H,2,FALSE()),IF(AND(A462=0,B462&lt;&gt;0,C462=0),VLOOKUP(B462,'3 - LISTA DE ESPÉCIES'!B:H,6,FALSE()),IF(AND(A462=0,B462=0,C462&lt;&gt;0),VLOOKUP(C462,'3 - LISTA DE ESPÉCIES'!C:H,5,FALSE()))))</f>
        <v>0</v>
      </c>
      <c r="G462" s="21" t="b">
        <f>IF(AND(A462&lt;&gt;0,B462=0,C462=0),VLOOKUP(A462,'3 - LISTA DE ESPÉCIES'!A:H,3,FALSE()),IF(AND(A462=0,B462&lt;&gt;0,C462=0),VLOOKUP(B462,'3 - LISTA DE ESPÉCIES'!B:H,7,FALSE()),IF(AND(A462=0,B462=0,C462&lt;&gt;0),VLOOKUP(C462,'3 - LISTA DE ESPÉCIES'!C:H,6,FALSE()))))</f>
        <v>0</v>
      </c>
      <c r="H462" s="21" t="b">
        <f>IF(AND(A462&lt;&gt;0,B462=0,C462=0),VLOOKUP(A462,'3 - LISTA DE ESPÉCIES'!A:H,4,FALSE()),IF(AND(A462=0,B462&lt;&gt;0,C462=0),VLOOKUP(B462,'3 - LISTA DE ESPÉCIES'!B:H,3,FALSE()),IF(AND(A462=0,B462=0,C462&lt;&gt;0),VLOOKUP(C462,'3 - LISTA DE ESPÉCIES'!C:H,2,FALSE()))))</f>
        <v>0</v>
      </c>
      <c r="I462" s="21" t="b">
        <f>IF(AND(A462&lt;&gt;0,B462=0,C462=0),VLOOKUP(A462,'3 - LISTA DE ESPÉCIES'!A:H,5,FALSE()),IF(AND(A462=0,B462&lt;&gt;0,C462=0),VLOOKUP(B462,'3 - LISTA DE ESPÉCIES'!B:H,4,FALSE()),IF(AND(A462=0,B462=0,C462&lt;&gt;0),VLOOKUP(C462,'3 - LISTA DE ESPÉCIES'!C:H,3,FALSE()))))</f>
        <v>0</v>
      </c>
      <c r="J462" s="23"/>
      <c r="K462" s="23"/>
      <c r="L462" s="20"/>
      <c r="M462" s="20"/>
    </row>
    <row r="463" spans="1:13" x14ac:dyDescent="0.25">
      <c r="A463" s="20"/>
      <c r="B463" s="20"/>
      <c r="C463" s="20"/>
      <c r="E463" s="21" t="b">
        <f>IF(AND(A463&lt;&gt;0,B463=0,C463=0),VLOOKUP(A463,'3 - LISTA DE ESPÉCIES'!A:H,1,FALSE()),IF(AND(A463=0,B463&lt;&gt;0,C463=0),VLOOKUP(B463,'3 - LISTA DE ESPÉCIES'!B:H,5,FALSE()),IF(AND(A463=0,B463=0,C463&lt;&gt;0),VLOOKUP(C463,'3 - LISTA DE ESPÉCIES'!C:H,4,FALSE()))))</f>
        <v>0</v>
      </c>
      <c r="F463" s="21" t="b">
        <f>IF(AND(A463&lt;&gt;0,B463=0,C463=0),VLOOKUP(A463,'3 - LISTA DE ESPÉCIES'!A:H,2,FALSE()),IF(AND(A463=0,B463&lt;&gt;0,C463=0),VLOOKUP(B463,'3 - LISTA DE ESPÉCIES'!B:H,6,FALSE()),IF(AND(A463=0,B463=0,C463&lt;&gt;0),VLOOKUP(C463,'3 - LISTA DE ESPÉCIES'!C:H,5,FALSE()))))</f>
        <v>0</v>
      </c>
      <c r="G463" s="21" t="b">
        <f>IF(AND(A463&lt;&gt;0,B463=0,C463=0),VLOOKUP(A463,'3 - LISTA DE ESPÉCIES'!A:H,3,FALSE()),IF(AND(A463=0,B463&lt;&gt;0,C463=0),VLOOKUP(B463,'3 - LISTA DE ESPÉCIES'!B:H,7,FALSE()),IF(AND(A463=0,B463=0,C463&lt;&gt;0),VLOOKUP(C463,'3 - LISTA DE ESPÉCIES'!C:H,6,FALSE()))))</f>
        <v>0</v>
      </c>
      <c r="H463" s="21" t="b">
        <f>IF(AND(A463&lt;&gt;0,B463=0,C463=0),VLOOKUP(A463,'3 - LISTA DE ESPÉCIES'!A:H,4,FALSE()),IF(AND(A463=0,B463&lt;&gt;0,C463=0),VLOOKUP(B463,'3 - LISTA DE ESPÉCIES'!B:H,3,FALSE()),IF(AND(A463=0,B463=0,C463&lt;&gt;0),VLOOKUP(C463,'3 - LISTA DE ESPÉCIES'!C:H,2,FALSE()))))</f>
        <v>0</v>
      </c>
      <c r="I463" s="21" t="b">
        <f>IF(AND(A463&lt;&gt;0,B463=0,C463=0),VLOOKUP(A463,'3 - LISTA DE ESPÉCIES'!A:H,5,FALSE()),IF(AND(A463=0,B463&lt;&gt;0,C463=0),VLOOKUP(B463,'3 - LISTA DE ESPÉCIES'!B:H,4,FALSE()),IF(AND(A463=0,B463=0,C463&lt;&gt;0),VLOOKUP(C463,'3 - LISTA DE ESPÉCIES'!C:H,3,FALSE()))))</f>
        <v>0</v>
      </c>
      <c r="J463" s="23"/>
      <c r="K463" s="23"/>
      <c r="L463" s="20"/>
      <c r="M463" s="20"/>
    </row>
    <row r="464" spans="1:13" x14ac:dyDescent="0.25">
      <c r="A464" s="20"/>
      <c r="B464" s="20"/>
      <c r="C464" s="20"/>
      <c r="E464" s="21" t="b">
        <f>IF(AND(A464&lt;&gt;0,B464=0,C464=0),VLOOKUP(A464,'3 - LISTA DE ESPÉCIES'!A:H,1,FALSE()),IF(AND(A464=0,B464&lt;&gt;0,C464=0),VLOOKUP(B464,'3 - LISTA DE ESPÉCIES'!B:H,5,FALSE()),IF(AND(A464=0,B464=0,C464&lt;&gt;0),VLOOKUP(C464,'3 - LISTA DE ESPÉCIES'!C:H,4,FALSE()))))</f>
        <v>0</v>
      </c>
      <c r="F464" s="21" t="b">
        <f>IF(AND(A464&lt;&gt;0,B464=0,C464=0),VLOOKUP(A464,'3 - LISTA DE ESPÉCIES'!A:H,2,FALSE()),IF(AND(A464=0,B464&lt;&gt;0,C464=0),VLOOKUP(B464,'3 - LISTA DE ESPÉCIES'!B:H,6,FALSE()),IF(AND(A464=0,B464=0,C464&lt;&gt;0),VLOOKUP(C464,'3 - LISTA DE ESPÉCIES'!C:H,5,FALSE()))))</f>
        <v>0</v>
      </c>
      <c r="G464" s="21" t="b">
        <f>IF(AND(A464&lt;&gt;0,B464=0,C464=0),VLOOKUP(A464,'3 - LISTA DE ESPÉCIES'!A:H,3,FALSE()),IF(AND(A464=0,B464&lt;&gt;0,C464=0),VLOOKUP(B464,'3 - LISTA DE ESPÉCIES'!B:H,7,FALSE()),IF(AND(A464=0,B464=0,C464&lt;&gt;0),VLOOKUP(C464,'3 - LISTA DE ESPÉCIES'!C:H,6,FALSE()))))</f>
        <v>0</v>
      </c>
      <c r="H464" s="21" t="b">
        <f>IF(AND(A464&lt;&gt;0,B464=0,C464=0),VLOOKUP(A464,'3 - LISTA DE ESPÉCIES'!A:H,4,FALSE()),IF(AND(A464=0,B464&lt;&gt;0,C464=0),VLOOKUP(B464,'3 - LISTA DE ESPÉCIES'!B:H,3,FALSE()),IF(AND(A464=0,B464=0,C464&lt;&gt;0),VLOOKUP(C464,'3 - LISTA DE ESPÉCIES'!C:H,2,FALSE()))))</f>
        <v>0</v>
      </c>
      <c r="I464" s="21" t="b">
        <f>IF(AND(A464&lt;&gt;0,B464=0,C464=0),VLOOKUP(A464,'3 - LISTA DE ESPÉCIES'!A:H,5,FALSE()),IF(AND(A464=0,B464&lt;&gt;0,C464=0),VLOOKUP(B464,'3 - LISTA DE ESPÉCIES'!B:H,4,FALSE()),IF(AND(A464=0,B464=0,C464&lt;&gt;0),VLOOKUP(C464,'3 - LISTA DE ESPÉCIES'!C:H,3,FALSE()))))</f>
        <v>0</v>
      </c>
      <c r="J464" s="23"/>
      <c r="K464" s="23"/>
      <c r="L464" s="20"/>
      <c r="M464" s="20"/>
    </row>
    <row r="465" spans="1:13" x14ac:dyDescent="0.25">
      <c r="A465" s="20"/>
      <c r="B465" s="20"/>
      <c r="C465" s="20"/>
      <c r="E465" s="21" t="b">
        <f>IF(AND(A465&lt;&gt;0,B465=0,C465=0),VLOOKUP(A465,'3 - LISTA DE ESPÉCIES'!A:H,1,FALSE()),IF(AND(A465=0,B465&lt;&gt;0,C465=0),VLOOKUP(B465,'3 - LISTA DE ESPÉCIES'!B:H,5,FALSE()),IF(AND(A465=0,B465=0,C465&lt;&gt;0),VLOOKUP(C465,'3 - LISTA DE ESPÉCIES'!C:H,4,FALSE()))))</f>
        <v>0</v>
      </c>
      <c r="F465" s="21" t="b">
        <f>IF(AND(A465&lt;&gt;0,B465=0,C465=0),VLOOKUP(A465,'3 - LISTA DE ESPÉCIES'!A:H,2,FALSE()),IF(AND(A465=0,B465&lt;&gt;0,C465=0),VLOOKUP(B465,'3 - LISTA DE ESPÉCIES'!B:H,6,FALSE()),IF(AND(A465=0,B465=0,C465&lt;&gt;0),VLOOKUP(C465,'3 - LISTA DE ESPÉCIES'!C:H,5,FALSE()))))</f>
        <v>0</v>
      </c>
      <c r="G465" s="21" t="b">
        <f>IF(AND(A465&lt;&gt;0,B465=0,C465=0),VLOOKUP(A465,'3 - LISTA DE ESPÉCIES'!A:H,3,FALSE()),IF(AND(A465=0,B465&lt;&gt;0,C465=0),VLOOKUP(B465,'3 - LISTA DE ESPÉCIES'!B:H,7,FALSE()),IF(AND(A465=0,B465=0,C465&lt;&gt;0),VLOOKUP(C465,'3 - LISTA DE ESPÉCIES'!C:H,6,FALSE()))))</f>
        <v>0</v>
      </c>
      <c r="H465" s="21" t="b">
        <f>IF(AND(A465&lt;&gt;0,B465=0,C465=0),VLOOKUP(A465,'3 - LISTA DE ESPÉCIES'!A:H,4,FALSE()),IF(AND(A465=0,B465&lt;&gt;0,C465=0),VLOOKUP(B465,'3 - LISTA DE ESPÉCIES'!B:H,3,FALSE()),IF(AND(A465=0,B465=0,C465&lt;&gt;0),VLOOKUP(C465,'3 - LISTA DE ESPÉCIES'!C:H,2,FALSE()))))</f>
        <v>0</v>
      </c>
      <c r="I465" s="21" t="b">
        <f>IF(AND(A465&lt;&gt;0,B465=0,C465=0),VLOOKUP(A465,'3 - LISTA DE ESPÉCIES'!A:H,5,FALSE()),IF(AND(A465=0,B465&lt;&gt;0,C465=0),VLOOKUP(B465,'3 - LISTA DE ESPÉCIES'!B:H,4,FALSE()),IF(AND(A465=0,B465=0,C465&lt;&gt;0),VLOOKUP(C465,'3 - LISTA DE ESPÉCIES'!C:H,3,FALSE()))))</f>
        <v>0</v>
      </c>
      <c r="J465" s="23"/>
      <c r="K465" s="23"/>
      <c r="L465" s="20"/>
      <c r="M465" s="20"/>
    </row>
    <row r="466" spans="1:13" x14ac:dyDescent="0.25">
      <c r="A466" s="20"/>
      <c r="B466" s="20"/>
      <c r="C466" s="20"/>
      <c r="E466" s="21" t="b">
        <f>IF(AND(A466&lt;&gt;0,B466=0,C466=0),VLOOKUP(A466,'3 - LISTA DE ESPÉCIES'!A:H,1,FALSE()),IF(AND(A466=0,B466&lt;&gt;0,C466=0),VLOOKUP(B466,'3 - LISTA DE ESPÉCIES'!B:H,5,FALSE()),IF(AND(A466=0,B466=0,C466&lt;&gt;0),VLOOKUP(C466,'3 - LISTA DE ESPÉCIES'!C:H,4,FALSE()))))</f>
        <v>0</v>
      </c>
      <c r="F466" s="21" t="b">
        <f>IF(AND(A466&lt;&gt;0,B466=0,C466=0),VLOOKUP(A466,'3 - LISTA DE ESPÉCIES'!A:H,2,FALSE()),IF(AND(A466=0,B466&lt;&gt;0,C466=0),VLOOKUP(B466,'3 - LISTA DE ESPÉCIES'!B:H,6,FALSE()),IF(AND(A466=0,B466=0,C466&lt;&gt;0),VLOOKUP(C466,'3 - LISTA DE ESPÉCIES'!C:H,5,FALSE()))))</f>
        <v>0</v>
      </c>
      <c r="G466" s="21" t="b">
        <f>IF(AND(A466&lt;&gt;0,B466=0,C466=0),VLOOKUP(A466,'3 - LISTA DE ESPÉCIES'!A:H,3,FALSE()),IF(AND(A466=0,B466&lt;&gt;0,C466=0),VLOOKUP(B466,'3 - LISTA DE ESPÉCIES'!B:H,7,FALSE()),IF(AND(A466=0,B466=0,C466&lt;&gt;0),VLOOKUP(C466,'3 - LISTA DE ESPÉCIES'!C:H,6,FALSE()))))</f>
        <v>0</v>
      </c>
      <c r="H466" s="21" t="b">
        <f>IF(AND(A466&lt;&gt;0,B466=0,C466=0),VLOOKUP(A466,'3 - LISTA DE ESPÉCIES'!A:H,4,FALSE()),IF(AND(A466=0,B466&lt;&gt;0,C466=0),VLOOKUP(B466,'3 - LISTA DE ESPÉCIES'!B:H,3,FALSE()),IF(AND(A466=0,B466=0,C466&lt;&gt;0),VLOOKUP(C466,'3 - LISTA DE ESPÉCIES'!C:H,2,FALSE()))))</f>
        <v>0</v>
      </c>
      <c r="I466" s="21" t="b">
        <f>IF(AND(A466&lt;&gt;0,B466=0,C466=0),VLOOKUP(A466,'3 - LISTA DE ESPÉCIES'!A:H,5,FALSE()),IF(AND(A466=0,B466&lt;&gt;0,C466=0),VLOOKUP(B466,'3 - LISTA DE ESPÉCIES'!B:H,4,FALSE()),IF(AND(A466=0,B466=0,C466&lt;&gt;0),VLOOKUP(C466,'3 - LISTA DE ESPÉCIES'!C:H,3,FALSE()))))</f>
        <v>0</v>
      </c>
      <c r="J466" s="23"/>
      <c r="K466" s="23"/>
      <c r="L466" s="20"/>
      <c r="M466" s="20"/>
    </row>
    <row r="467" spans="1:13" x14ac:dyDescent="0.25">
      <c r="A467" s="20"/>
      <c r="B467" s="20"/>
      <c r="C467" s="20"/>
      <c r="E467" s="21" t="b">
        <f>IF(AND(A467&lt;&gt;0,B467=0,C467=0),VLOOKUP(A467,'3 - LISTA DE ESPÉCIES'!A:H,1,FALSE()),IF(AND(A467=0,B467&lt;&gt;0,C467=0),VLOOKUP(B467,'3 - LISTA DE ESPÉCIES'!B:H,5,FALSE()),IF(AND(A467=0,B467=0,C467&lt;&gt;0),VLOOKUP(C467,'3 - LISTA DE ESPÉCIES'!C:H,4,FALSE()))))</f>
        <v>0</v>
      </c>
      <c r="F467" s="21" t="b">
        <f>IF(AND(A467&lt;&gt;0,B467=0,C467=0),VLOOKUP(A467,'3 - LISTA DE ESPÉCIES'!A:H,2,FALSE()),IF(AND(A467=0,B467&lt;&gt;0,C467=0),VLOOKUP(B467,'3 - LISTA DE ESPÉCIES'!B:H,6,FALSE()),IF(AND(A467=0,B467=0,C467&lt;&gt;0),VLOOKUP(C467,'3 - LISTA DE ESPÉCIES'!C:H,5,FALSE()))))</f>
        <v>0</v>
      </c>
      <c r="G467" s="21" t="b">
        <f>IF(AND(A467&lt;&gt;0,B467=0,C467=0),VLOOKUP(A467,'3 - LISTA DE ESPÉCIES'!A:H,3,FALSE()),IF(AND(A467=0,B467&lt;&gt;0,C467=0),VLOOKUP(B467,'3 - LISTA DE ESPÉCIES'!B:H,7,FALSE()),IF(AND(A467=0,B467=0,C467&lt;&gt;0),VLOOKUP(C467,'3 - LISTA DE ESPÉCIES'!C:H,6,FALSE()))))</f>
        <v>0</v>
      </c>
      <c r="H467" s="21" t="b">
        <f>IF(AND(A467&lt;&gt;0,B467=0,C467=0),VLOOKUP(A467,'3 - LISTA DE ESPÉCIES'!A:H,4,FALSE()),IF(AND(A467=0,B467&lt;&gt;0,C467=0),VLOOKUP(B467,'3 - LISTA DE ESPÉCIES'!B:H,3,FALSE()),IF(AND(A467=0,B467=0,C467&lt;&gt;0),VLOOKUP(C467,'3 - LISTA DE ESPÉCIES'!C:H,2,FALSE()))))</f>
        <v>0</v>
      </c>
      <c r="I467" s="21" t="b">
        <f>IF(AND(A467&lt;&gt;0,B467=0,C467=0),VLOOKUP(A467,'3 - LISTA DE ESPÉCIES'!A:H,5,FALSE()),IF(AND(A467=0,B467&lt;&gt;0,C467=0),VLOOKUP(B467,'3 - LISTA DE ESPÉCIES'!B:H,4,FALSE()),IF(AND(A467=0,B467=0,C467&lt;&gt;0),VLOOKUP(C467,'3 - LISTA DE ESPÉCIES'!C:H,3,FALSE()))))</f>
        <v>0</v>
      </c>
      <c r="J467" s="23"/>
      <c r="K467" s="23"/>
      <c r="L467" s="20"/>
      <c r="M467" s="20"/>
    </row>
    <row r="468" spans="1:13" x14ac:dyDescent="0.25">
      <c r="A468" s="20"/>
      <c r="B468" s="20"/>
      <c r="C468" s="20"/>
      <c r="E468" s="21" t="b">
        <f>IF(AND(A468&lt;&gt;0,B468=0,C468=0),VLOOKUP(A468,'3 - LISTA DE ESPÉCIES'!A:H,1,FALSE()),IF(AND(A468=0,B468&lt;&gt;0,C468=0),VLOOKUP(B468,'3 - LISTA DE ESPÉCIES'!B:H,5,FALSE()),IF(AND(A468=0,B468=0,C468&lt;&gt;0),VLOOKUP(C468,'3 - LISTA DE ESPÉCIES'!C:H,4,FALSE()))))</f>
        <v>0</v>
      </c>
      <c r="F468" s="21" t="b">
        <f>IF(AND(A468&lt;&gt;0,B468=0,C468=0),VLOOKUP(A468,'3 - LISTA DE ESPÉCIES'!A:H,2,FALSE()),IF(AND(A468=0,B468&lt;&gt;0,C468=0),VLOOKUP(B468,'3 - LISTA DE ESPÉCIES'!B:H,6,FALSE()),IF(AND(A468=0,B468=0,C468&lt;&gt;0),VLOOKUP(C468,'3 - LISTA DE ESPÉCIES'!C:H,5,FALSE()))))</f>
        <v>0</v>
      </c>
      <c r="G468" s="21" t="b">
        <f>IF(AND(A468&lt;&gt;0,B468=0,C468=0),VLOOKUP(A468,'3 - LISTA DE ESPÉCIES'!A:H,3,FALSE()),IF(AND(A468=0,B468&lt;&gt;0,C468=0),VLOOKUP(B468,'3 - LISTA DE ESPÉCIES'!B:H,7,FALSE()),IF(AND(A468=0,B468=0,C468&lt;&gt;0),VLOOKUP(C468,'3 - LISTA DE ESPÉCIES'!C:H,6,FALSE()))))</f>
        <v>0</v>
      </c>
      <c r="H468" s="21" t="b">
        <f>IF(AND(A468&lt;&gt;0,B468=0,C468=0),VLOOKUP(A468,'3 - LISTA DE ESPÉCIES'!A:H,4,FALSE()),IF(AND(A468=0,B468&lt;&gt;0,C468=0),VLOOKUP(B468,'3 - LISTA DE ESPÉCIES'!B:H,3,FALSE()),IF(AND(A468=0,B468=0,C468&lt;&gt;0),VLOOKUP(C468,'3 - LISTA DE ESPÉCIES'!C:H,2,FALSE()))))</f>
        <v>0</v>
      </c>
      <c r="I468" s="21" t="b">
        <f>IF(AND(A468&lt;&gt;0,B468=0,C468=0),VLOOKUP(A468,'3 - LISTA DE ESPÉCIES'!A:H,5,FALSE()),IF(AND(A468=0,B468&lt;&gt;0,C468=0),VLOOKUP(B468,'3 - LISTA DE ESPÉCIES'!B:H,4,FALSE()),IF(AND(A468=0,B468=0,C468&lt;&gt;0),VLOOKUP(C468,'3 - LISTA DE ESPÉCIES'!C:H,3,FALSE()))))</f>
        <v>0</v>
      </c>
      <c r="J468" s="23"/>
      <c r="K468" s="23"/>
      <c r="L468" s="20"/>
      <c r="M468" s="20"/>
    </row>
    <row r="469" spans="1:13" x14ac:dyDescent="0.25">
      <c r="A469" s="20"/>
      <c r="B469" s="20"/>
      <c r="C469" s="20"/>
      <c r="E469" s="21" t="b">
        <f>IF(AND(A469&lt;&gt;0,B469=0,C469=0),VLOOKUP(A469,'3 - LISTA DE ESPÉCIES'!A:H,1,FALSE()),IF(AND(A469=0,B469&lt;&gt;0,C469=0),VLOOKUP(B469,'3 - LISTA DE ESPÉCIES'!B:H,5,FALSE()),IF(AND(A469=0,B469=0,C469&lt;&gt;0),VLOOKUP(C469,'3 - LISTA DE ESPÉCIES'!C:H,4,FALSE()))))</f>
        <v>0</v>
      </c>
      <c r="F469" s="21" t="b">
        <f>IF(AND(A469&lt;&gt;0,B469=0,C469=0),VLOOKUP(A469,'3 - LISTA DE ESPÉCIES'!A:H,2,FALSE()),IF(AND(A469=0,B469&lt;&gt;0,C469=0),VLOOKUP(B469,'3 - LISTA DE ESPÉCIES'!B:H,6,FALSE()),IF(AND(A469=0,B469=0,C469&lt;&gt;0),VLOOKUP(C469,'3 - LISTA DE ESPÉCIES'!C:H,5,FALSE()))))</f>
        <v>0</v>
      </c>
      <c r="G469" s="21" t="b">
        <f>IF(AND(A469&lt;&gt;0,B469=0,C469=0),VLOOKUP(A469,'3 - LISTA DE ESPÉCIES'!A:H,3,FALSE()),IF(AND(A469=0,B469&lt;&gt;0,C469=0),VLOOKUP(B469,'3 - LISTA DE ESPÉCIES'!B:H,7,FALSE()),IF(AND(A469=0,B469=0,C469&lt;&gt;0),VLOOKUP(C469,'3 - LISTA DE ESPÉCIES'!C:H,6,FALSE()))))</f>
        <v>0</v>
      </c>
      <c r="H469" s="21" t="b">
        <f>IF(AND(A469&lt;&gt;0,B469=0,C469=0),VLOOKUP(A469,'3 - LISTA DE ESPÉCIES'!A:H,4,FALSE()),IF(AND(A469=0,B469&lt;&gt;0,C469=0),VLOOKUP(B469,'3 - LISTA DE ESPÉCIES'!B:H,3,FALSE()),IF(AND(A469=0,B469=0,C469&lt;&gt;0),VLOOKUP(C469,'3 - LISTA DE ESPÉCIES'!C:H,2,FALSE()))))</f>
        <v>0</v>
      </c>
      <c r="I469" s="21" t="b">
        <f>IF(AND(A469&lt;&gt;0,B469=0,C469=0),VLOOKUP(A469,'3 - LISTA DE ESPÉCIES'!A:H,5,FALSE()),IF(AND(A469=0,B469&lt;&gt;0,C469=0),VLOOKUP(B469,'3 - LISTA DE ESPÉCIES'!B:H,4,FALSE()),IF(AND(A469=0,B469=0,C469&lt;&gt;0),VLOOKUP(C469,'3 - LISTA DE ESPÉCIES'!C:H,3,FALSE()))))</f>
        <v>0</v>
      </c>
      <c r="J469" s="23"/>
      <c r="K469" s="23"/>
      <c r="L469" s="20"/>
      <c r="M469" s="20"/>
    </row>
    <row r="470" spans="1:13" x14ac:dyDescent="0.25">
      <c r="A470" s="20"/>
      <c r="B470" s="20"/>
      <c r="C470" s="20"/>
      <c r="E470" s="21" t="b">
        <f>IF(AND(A470&lt;&gt;0,B470=0,C470=0),VLOOKUP(A470,'3 - LISTA DE ESPÉCIES'!A:H,1,FALSE()),IF(AND(A470=0,B470&lt;&gt;0,C470=0),VLOOKUP(B470,'3 - LISTA DE ESPÉCIES'!B:H,5,FALSE()),IF(AND(A470=0,B470=0,C470&lt;&gt;0),VLOOKUP(C470,'3 - LISTA DE ESPÉCIES'!C:H,4,FALSE()))))</f>
        <v>0</v>
      </c>
      <c r="F470" s="21" t="b">
        <f>IF(AND(A470&lt;&gt;0,B470=0,C470=0),VLOOKUP(A470,'3 - LISTA DE ESPÉCIES'!A:H,2,FALSE()),IF(AND(A470=0,B470&lt;&gt;0,C470=0),VLOOKUP(B470,'3 - LISTA DE ESPÉCIES'!B:H,6,FALSE()),IF(AND(A470=0,B470=0,C470&lt;&gt;0),VLOOKUP(C470,'3 - LISTA DE ESPÉCIES'!C:H,5,FALSE()))))</f>
        <v>0</v>
      </c>
      <c r="G470" s="21" t="b">
        <f>IF(AND(A470&lt;&gt;0,B470=0,C470=0),VLOOKUP(A470,'3 - LISTA DE ESPÉCIES'!A:H,3,FALSE()),IF(AND(A470=0,B470&lt;&gt;0,C470=0),VLOOKUP(B470,'3 - LISTA DE ESPÉCIES'!B:H,7,FALSE()),IF(AND(A470=0,B470=0,C470&lt;&gt;0),VLOOKUP(C470,'3 - LISTA DE ESPÉCIES'!C:H,6,FALSE()))))</f>
        <v>0</v>
      </c>
      <c r="H470" s="21" t="b">
        <f>IF(AND(A470&lt;&gt;0,B470=0,C470=0),VLOOKUP(A470,'3 - LISTA DE ESPÉCIES'!A:H,4,FALSE()),IF(AND(A470=0,B470&lt;&gt;0,C470=0),VLOOKUP(B470,'3 - LISTA DE ESPÉCIES'!B:H,3,FALSE()),IF(AND(A470=0,B470=0,C470&lt;&gt;0),VLOOKUP(C470,'3 - LISTA DE ESPÉCIES'!C:H,2,FALSE()))))</f>
        <v>0</v>
      </c>
      <c r="I470" s="21" t="b">
        <f>IF(AND(A470&lt;&gt;0,B470=0,C470=0),VLOOKUP(A470,'3 - LISTA DE ESPÉCIES'!A:H,5,FALSE()),IF(AND(A470=0,B470&lt;&gt;0,C470=0),VLOOKUP(B470,'3 - LISTA DE ESPÉCIES'!B:H,4,FALSE()),IF(AND(A470=0,B470=0,C470&lt;&gt;0),VLOOKUP(C470,'3 - LISTA DE ESPÉCIES'!C:H,3,FALSE()))))</f>
        <v>0</v>
      </c>
      <c r="J470" s="23"/>
      <c r="K470" s="23"/>
      <c r="L470" s="20"/>
      <c r="M470" s="20"/>
    </row>
    <row r="471" spans="1:13" x14ac:dyDescent="0.25">
      <c r="A471" s="20"/>
      <c r="B471" s="20"/>
      <c r="C471" s="20"/>
      <c r="E471" s="21" t="b">
        <f>IF(AND(A471&lt;&gt;0,B471=0,C471=0),VLOOKUP(A471,'3 - LISTA DE ESPÉCIES'!A:H,1,FALSE()),IF(AND(A471=0,B471&lt;&gt;0,C471=0),VLOOKUP(B471,'3 - LISTA DE ESPÉCIES'!B:H,5,FALSE()),IF(AND(A471=0,B471=0,C471&lt;&gt;0),VLOOKUP(C471,'3 - LISTA DE ESPÉCIES'!C:H,4,FALSE()))))</f>
        <v>0</v>
      </c>
      <c r="F471" s="21" t="b">
        <f>IF(AND(A471&lt;&gt;0,B471=0,C471=0),VLOOKUP(A471,'3 - LISTA DE ESPÉCIES'!A:H,2,FALSE()),IF(AND(A471=0,B471&lt;&gt;0,C471=0),VLOOKUP(B471,'3 - LISTA DE ESPÉCIES'!B:H,6,FALSE()),IF(AND(A471=0,B471=0,C471&lt;&gt;0),VLOOKUP(C471,'3 - LISTA DE ESPÉCIES'!C:H,5,FALSE()))))</f>
        <v>0</v>
      </c>
      <c r="G471" s="21" t="b">
        <f>IF(AND(A471&lt;&gt;0,B471=0,C471=0),VLOOKUP(A471,'3 - LISTA DE ESPÉCIES'!A:H,3,FALSE()),IF(AND(A471=0,B471&lt;&gt;0,C471=0),VLOOKUP(B471,'3 - LISTA DE ESPÉCIES'!B:H,7,FALSE()),IF(AND(A471=0,B471=0,C471&lt;&gt;0),VLOOKUP(C471,'3 - LISTA DE ESPÉCIES'!C:H,6,FALSE()))))</f>
        <v>0</v>
      </c>
      <c r="H471" s="21" t="b">
        <f>IF(AND(A471&lt;&gt;0,B471=0,C471=0),VLOOKUP(A471,'3 - LISTA DE ESPÉCIES'!A:H,4,FALSE()),IF(AND(A471=0,B471&lt;&gt;0,C471=0),VLOOKUP(B471,'3 - LISTA DE ESPÉCIES'!B:H,3,FALSE()),IF(AND(A471=0,B471=0,C471&lt;&gt;0),VLOOKUP(C471,'3 - LISTA DE ESPÉCIES'!C:H,2,FALSE()))))</f>
        <v>0</v>
      </c>
      <c r="I471" s="21" t="b">
        <f>IF(AND(A471&lt;&gt;0,B471=0,C471=0),VLOOKUP(A471,'3 - LISTA DE ESPÉCIES'!A:H,5,FALSE()),IF(AND(A471=0,B471&lt;&gt;0,C471=0),VLOOKUP(B471,'3 - LISTA DE ESPÉCIES'!B:H,4,FALSE()),IF(AND(A471=0,B471=0,C471&lt;&gt;0),VLOOKUP(C471,'3 - LISTA DE ESPÉCIES'!C:H,3,FALSE()))))</f>
        <v>0</v>
      </c>
      <c r="J471" s="23"/>
      <c r="K471" s="23"/>
      <c r="L471" s="20"/>
      <c r="M471" s="20"/>
    </row>
    <row r="472" spans="1:13" x14ac:dyDescent="0.25">
      <c r="A472" s="20"/>
      <c r="B472" s="20"/>
      <c r="C472" s="20"/>
      <c r="E472" s="21" t="b">
        <f>IF(AND(A472&lt;&gt;0,B472=0,C472=0),VLOOKUP(A472,'3 - LISTA DE ESPÉCIES'!A:H,1,FALSE()),IF(AND(A472=0,B472&lt;&gt;0,C472=0),VLOOKUP(B472,'3 - LISTA DE ESPÉCIES'!B:H,5,FALSE()),IF(AND(A472=0,B472=0,C472&lt;&gt;0),VLOOKUP(C472,'3 - LISTA DE ESPÉCIES'!C:H,4,FALSE()))))</f>
        <v>0</v>
      </c>
      <c r="F472" s="21" t="b">
        <f>IF(AND(A472&lt;&gt;0,B472=0,C472=0),VLOOKUP(A472,'3 - LISTA DE ESPÉCIES'!A:H,2,FALSE()),IF(AND(A472=0,B472&lt;&gt;0,C472=0),VLOOKUP(B472,'3 - LISTA DE ESPÉCIES'!B:H,6,FALSE()),IF(AND(A472=0,B472=0,C472&lt;&gt;0),VLOOKUP(C472,'3 - LISTA DE ESPÉCIES'!C:H,5,FALSE()))))</f>
        <v>0</v>
      </c>
      <c r="G472" s="21" t="b">
        <f>IF(AND(A472&lt;&gt;0,B472=0,C472=0),VLOOKUP(A472,'3 - LISTA DE ESPÉCIES'!A:H,3,FALSE()),IF(AND(A472=0,B472&lt;&gt;0,C472=0),VLOOKUP(B472,'3 - LISTA DE ESPÉCIES'!B:H,7,FALSE()),IF(AND(A472=0,B472=0,C472&lt;&gt;0),VLOOKUP(C472,'3 - LISTA DE ESPÉCIES'!C:H,6,FALSE()))))</f>
        <v>0</v>
      </c>
      <c r="H472" s="21" t="b">
        <f>IF(AND(A472&lt;&gt;0,B472=0,C472=0),VLOOKUP(A472,'3 - LISTA DE ESPÉCIES'!A:H,4,FALSE()),IF(AND(A472=0,B472&lt;&gt;0,C472=0),VLOOKUP(B472,'3 - LISTA DE ESPÉCIES'!B:H,3,FALSE()),IF(AND(A472=0,B472=0,C472&lt;&gt;0),VLOOKUP(C472,'3 - LISTA DE ESPÉCIES'!C:H,2,FALSE()))))</f>
        <v>0</v>
      </c>
      <c r="I472" s="21" t="b">
        <f>IF(AND(A472&lt;&gt;0,B472=0,C472=0),VLOOKUP(A472,'3 - LISTA DE ESPÉCIES'!A:H,5,FALSE()),IF(AND(A472=0,B472&lt;&gt;0,C472=0),VLOOKUP(B472,'3 - LISTA DE ESPÉCIES'!B:H,4,FALSE()),IF(AND(A472=0,B472=0,C472&lt;&gt;0),VLOOKUP(C472,'3 - LISTA DE ESPÉCIES'!C:H,3,FALSE()))))</f>
        <v>0</v>
      </c>
      <c r="J472" s="23"/>
      <c r="K472" s="23"/>
      <c r="L472" s="20"/>
      <c r="M472" s="20"/>
    </row>
    <row r="473" spans="1:13" x14ac:dyDescent="0.25">
      <c r="A473" s="20"/>
      <c r="B473" s="20"/>
      <c r="C473" s="20"/>
      <c r="E473" s="21" t="b">
        <f>IF(AND(A473&lt;&gt;0,B473=0,C473=0),VLOOKUP(A473,'3 - LISTA DE ESPÉCIES'!A:H,1,FALSE()),IF(AND(A473=0,B473&lt;&gt;0,C473=0),VLOOKUP(B473,'3 - LISTA DE ESPÉCIES'!B:H,5,FALSE()),IF(AND(A473=0,B473=0,C473&lt;&gt;0),VLOOKUP(C473,'3 - LISTA DE ESPÉCIES'!C:H,4,FALSE()))))</f>
        <v>0</v>
      </c>
      <c r="F473" s="21" t="b">
        <f>IF(AND(A473&lt;&gt;0,B473=0,C473=0),VLOOKUP(A473,'3 - LISTA DE ESPÉCIES'!A:H,2,FALSE()),IF(AND(A473=0,B473&lt;&gt;0,C473=0),VLOOKUP(B473,'3 - LISTA DE ESPÉCIES'!B:H,6,FALSE()),IF(AND(A473=0,B473=0,C473&lt;&gt;0),VLOOKUP(C473,'3 - LISTA DE ESPÉCIES'!C:H,5,FALSE()))))</f>
        <v>0</v>
      </c>
      <c r="G473" s="21" t="b">
        <f>IF(AND(A473&lt;&gt;0,B473=0,C473=0),VLOOKUP(A473,'3 - LISTA DE ESPÉCIES'!A:H,3,FALSE()),IF(AND(A473=0,B473&lt;&gt;0,C473=0),VLOOKUP(B473,'3 - LISTA DE ESPÉCIES'!B:H,7,FALSE()),IF(AND(A473=0,B473=0,C473&lt;&gt;0),VLOOKUP(C473,'3 - LISTA DE ESPÉCIES'!C:H,6,FALSE()))))</f>
        <v>0</v>
      </c>
      <c r="H473" s="21" t="b">
        <f>IF(AND(A473&lt;&gt;0,B473=0,C473=0),VLOOKUP(A473,'3 - LISTA DE ESPÉCIES'!A:H,4,FALSE()),IF(AND(A473=0,B473&lt;&gt;0,C473=0),VLOOKUP(B473,'3 - LISTA DE ESPÉCIES'!B:H,3,FALSE()),IF(AND(A473=0,B473=0,C473&lt;&gt;0),VLOOKUP(C473,'3 - LISTA DE ESPÉCIES'!C:H,2,FALSE()))))</f>
        <v>0</v>
      </c>
      <c r="I473" s="21" t="b">
        <f>IF(AND(A473&lt;&gt;0,B473=0,C473=0),VLOOKUP(A473,'3 - LISTA DE ESPÉCIES'!A:H,5,FALSE()),IF(AND(A473=0,B473&lt;&gt;0,C473=0),VLOOKUP(B473,'3 - LISTA DE ESPÉCIES'!B:H,4,FALSE()),IF(AND(A473=0,B473=0,C473&lt;&gt;0),VLOOKUP(C473,'3 - LISTA DE ESPÉCIES'!C:H,3,FALSE()))))</f>
        <v>0</v>
      </c>
      <c r="J473" s="23"/>
      <c r="K473" s="23"/>
      <c r="L473" s="20"/>
      <c r="M473" s="20"/>
    </row>
    <row r="474" spans="1:13" x14ac:dyDescent="0.25">
      <c r="A474" s="20"/>
      <c r="B474" s="20"/>
      <c r="C474" s="20"/>
      <c r="E474" s="21" t="b">
        <f>IF(AND(A474&lt;&gt;0,B474=0,C474=0),VLOOKUP(A474,'3 - LISTA DE ESPÉCIES'!A:H,1,FALSE()),IF(AND(A474=0,B474&lt;&gt;0,C474=0),VLOOKUP(B474,'3 - LISTA DE ESPÉCIES'!B:H,5,FALSE()),IF(AND(A474=0,B474=0,C474&lt;&gt;0),VLOOKUP(C474,'3 - LISTA DE ESPÉCIES'!C:H,4,FALSE()))))</f>
        <v>0</v>
      </c>
      <c r="F474" s="21" t="b">
        <f>IF(AND(A474&lt;&gt;0,B474=0,C474=0),VLOOKUP(A474,'3 - LISTA DE ESPÉCIES'!A:H,2,FALSE()),IF(AND(A474=0,B474&lt;&gt;0,C474=0),VLOOKUP(B474,'3 - LISTA DE ESPÉCIES'!B:H,6,FALSE()),IF(AND(A474=0,B474=0,C474&lt;&gt;0),VLOOKUP(C474,'3 - LISTA DE ESPÉCIES'!C:H,5,FALSE()))))</f>
        <v>0</v>
      </c>
      <c r="G474" s="21" t="b">
        <f>IF(AND(A474&lt;&gt;0,B474=0,C474=0),VLOOKUP(A474,'3 - LISTA DE ESPÉCIES'!A:H,3,FALSE()),IF(AND(A474=0,B474&lt;&gt;0,C474=0),VLOOKUP(B474,'3 - LISTA DE ESPÉCIES'!B:H,7,FALSE()),IF(AND(A474=0,B474=0,C474&lt;&gt;0),VLOOKUP(C474,'3 - LISTA DE ESPÉCIES'!C:H,6,FALSE()))))</f>
        <v>0</v>
      </c>
      <c r="H474" s="21" t="b">
        <f>IF(AND(A474&lt;&gt;0,B474=0,C474=0),VLOOKUP(A474,'3 - LISTA DE ESPÉCIES'!A:H,4,FALSE()),IF(AND(A474=0,B474&lt;&gt;0,C474=0),VLOOKUP(B474,'3 - LISTA DE ESPÉCIES'!B:H,3,FALSE()),IF(AND(A474=0,B474=0,C474&lt;&gt;0),VLOOKUP(C474,'3 - LISTA DE ESPÉCIES'!C:H,2,FALSE()))))</f>
        <v>0</v>
      </c>
      <c r="I474" s="21" t="b">
        <f>IF(AND(A474&lt;&gt;0,B474=0,C474=0),VLOOKUP(A474,'3 - LISTA DE ESPÉCIES'!A:H,5,FALSE()),IF(AND(A474=0,B474&lt;&gt;0,C474=0),VLOOKUP(B474,'3 - LISTA DE ESPÉCIES'!B:H,4,FALSE()),IF(AND(A474=0,B474=0,C474&lt;&gt;0),VLOOKUP(C474,'3 - LISTA DE ESPÉCIES'!C:H,3,FALSE()))))</f>
        <v>0</v>
      </c>
      <c r="J474" s="23"/>
      <c r="K474" s="23"/>
      <c r="L474" s="20"/>
      <c r="M474" s="20"/>
    </row>
    <row r="475" spans="1:13" x14ac:dyDescent="0.25">
      <c r="A475" s="20"/>
      <c r="B475" s="20"/>
      <c r="C475" s="20"/>
      <c r="E475" s="21" t="b">
        <f>IF(AND(A475&lt;&gt;0,B475=0,C475=0),VLOOKUP(A475,'3 - LISTA DE ESPÉCIES'!A:H,1,FALSE()),IF(AND(A475=0,B475&lt;&gt;0,C475=0),VLOOKUP(B475,'3 - LISTA DE ESPÉCIES'!B:H,5,FALSE()),IF(AND(A475=0,B475=0,C475&lt;&gt;0),VLOOKUP(C475,'3 - LISTA DE ESPÉCIES'!C:H,4,FALSE()))))</f>
        <v>0</v>
      </c>
      <c r="F475" s="21" t="b">
        <f>IF(AND(A475&lt;&gt;0,B475=0,C475=0),VLOOKUP(A475,'3 - LISTA DE ESPÉCIES'!A:H,2,FALSE()),IF(AND(A475=0,B475&lt;&gt;0,C475=0),VLOOKUP(B475,'3 - LISTA DE ESPÉCIES'!B:H,6,FALSE()),IF(AND(A475=0,B475=0,C475&lt;&gt;0),VLOOKUP(C475,'3 - LISTA DE ESPÉCIES'!C:H,5,FALSE()))))</f>
        <v>0</v>
      </c>
      <c r="G475" s="21" t="b">
        <f>IF(AND(A475&lt;&gt;0,B475=0,C475=0),VLOOKUP(A475,'3 - LISTA DE ESPÉCIES'!A:H,3,FALSE()),IF(AND(A475=0,B475&lt;&gt;0,C475=0),VLOOKUP(B475,'3 - LISTA DE ESPÉCIES'!B:H,7,FALSE()),IF(AND(A475=0,B475=0,C475&lt;&gt;0),VLOOKUP(C475,'3 - LISTA DE ESPÉCIES'!C:H,6,FALSE()))))</f>
        <v>0</v>
      </c>
      <c r="H475" s="21" t="b">
        <f>IF(AND(A475&lt;&gt;0,B475=0,C475=0),VLOOKUP(A475,'3 - LISTA DE ESPÉCIES'!A:H,4,FALSE()),IF(AND(A475=0,B475&lt;&gt;0,C475=0),VLOOKUP(B475,'3 - LISTA DE ESPÉCIES'!B:H,3,FALSE()),IF(AND(A475=0,B475=0,C475&lt;&gt;0),VLOOKUP(C475,'3 - LISTA DE ESPÉCIES'!C:H,2,FALSE()))))</f>
        <v>0</v>
      </c>
      <c r="I475" s="21" t="b">
        <f>IF(AND(A475&lt;&gt;0,B475=0,C475=0),VLOOKUP(A475,'3 - LISTA DE ESPÉCIES'!A:H,5,FALSE()),IF(AND(A475=0,B475&lt;&gt;0,C475=0),VLOOKUP(B475,'3 - LISTA DE ESPÉCIES'!B:H,4,FALSE()),IF(AND(A475=0,B475=0,C475&lt;&gt;0),VLOOKUP(C475,'3 - LISTA DE ESPÉCIES'!C:H,3,FALSE()))))</f>
        <v>0</v>
      </c>
      <c r="J475" s="23"/>
      <c r="K475" s="23"/>
      <c r="L475" s="20"/>
      <c r="M475" s="20"/>
    </row>
    <row r="476" spans="1:13" x14ac:dyDescent="0.25">
      <c r="A476" s="20"/>
      <c r="B476" s="20"/>
      <c r="C476" s="20"/>
      <c r="E476" s="21" t="b">
        <f>IF(AND(A476&lt;&gt;0,B476=0,C476=0),VLOOKUP(A476,'3 - LISTA DE ESPÉCIES'!A:H,1,FALSE()),IF(AND(A476=0,B476&lt;&gt;0,C476=0),VLOOKUP(B476,'3 - LISTA DE ESPÉCIES'!B:H,5,FALSE()),IF(AND(A476=0,B476=0,C476&lt;&gt;0),VLOOKUP(C476,'3 - LISTA DE ESPÉCIES'!C:H,4,FALSE()))))</f>
        <v>0</v>
      </c>
      <c r="F476" s="21" t="b">
        <f>IF(AND(A476&lt;&gt;0,B476=0,C476=0),VLOOKUP(A476,'3 - LISTA DE ESPÉCIES'!A:H,2,FALSE()),IF(AND(A476=0,B476&lt;&gt;0,C476=0),VLOOKUP(B476,'3 - LISTA DE ESPÉCIES'!B:H,6,FALSE()),IF(AND(A476=0,B476=0,C476&lt;&gt;0),VLOOKUP(C476,'3 - LISTA DE ESPÉCIES'!C:H,5,FALSE()))))</f>
        <v>0</v>
      </c>
      <c r="G476" s="21" t="b">
        <f>IF(AND(A476&lt;&gt;0,B476=0,C476=0),VLOOKUP(A476,'3 - LISTA DE ESPÉCIES'!A:H,3,FALSE()),IF(AND(A476=0,B476&lt;&gt;0,C476=0),VLOOKUP(B476,'3 - LISTA DE ESPÉCIES'!B:H,7,FALSE()),IF(AND(A476=0,B476=0,C476&lt;&gt;0),VLOOKUP(C476,'3 - LISTA DE ESPÉCIES'!C:H,6,FALSE()))))</f>
        <v>0</v>
      </c>
      <c r="H476" s="21" t="b">
        <f>IF(AND(A476&lt;&gt;0,B476=0,C476=0),VLOOKUP(A476,'3 - LISTA DE ESPÉCIES'!A:H,4,FALSE()),IF(AND(A476=0,B476&lt;&gt;0,C476=0),VLOOKUP(B476,'3 - LISTA DE ESPÉCIES'!B:H,3,FALSE()),IF(AND(A476=0,B476=0,C476&lt;&gt;0),VLOOKUP(C476,'3 - LISTA DE ESPÉCIES'!C:H,2,FALSE()))))</f>
        <v>0</v>
      </c>
      <c r="I476" s="21" t="b">
        <f>IF(AND(A476&lt;&gt;0,B476=0,C476=0),VLOOKUP(A476,'3 - LISTA DE ESPÉCIES'!A:H,5,FALSE()),IF(AND(A476=0,B476&lt;&gt;0,C476=0),VLOOKUP(B476,'3 - LISTA DE ESPÉCIES'!B:H,4,FALSE()),IF(AND(A476=0,B476=0,C476&lt;&gt;0),VLOOKUP(C476,'3 - LISTA DE ESPÉCIES'!C:H,3,FALSE()))))</f>
        <v>0</v>
      </c>
      <c r="J476" s="23"/>
      <c r="K476" s="23"/>
      <c r="L476" s="20"/>
      <c r="M476" s="20"/>
    </row>
    <row r="477" spans="1:13" x14ac:dyDescent="0.25">
      <c r="A477" s="20"/>
      <c r="B477" s="20"/>
      <c r="C477" s="20"/>
      <c r="E477" s="21" t="b">
        <f>IF(AND(A477&lt;&gt;0,B477=0,C477=0),VLOOKUP(A477,'3 - LISTA DE ESPÉCIES'!A:H,1,FALSE()),IF(AND(A477=0,B477&lt;&gt;0,C477=0),VLOOKUP(B477,'3 - LISTA DE ESPÉCIES'!B:H,5,FALSE()),IF(AND(A477=0,B477=0,C477&lt;&gt;0),VLOOKUP(C477,'3 - LISTA DE ESPÉCIES'!C:H,4,FALSE()))))</f>
        <v>0</v>
      </c>
      <c r="F477" s="21" t="b">
        <f>IF(AND(A477&lt;&gt;0,B477=0,C477=0),VLOOKUP(A477,'3 - LISTA DE ESPÉCIES'!A:H,2,FALSE()),IF(AND(A477=0,B477&lt;&gt;0,C477=0),VLOOKUP(B477,'3 - LISTA DE ESPÉCIES'!B:H,6,FALSE()),IF(AND(A477=0,B477=0,C477&lt;&gt;0),VLOOKUP(C477,'3 - LISTA DE ESPÉCIES'!C:H,5,FALSE()))))</f>
        <v>0</v>
      </c>
      <c r="G477" s="21" t="b">
        <f>IF(AND(A477&lt;&gt;0,B477=0,C477=0),VLOOKUP(A477,'3 - LISTA DE ESPÉCIES'!A:H,3,FALSE()),IF(AND(A477=0,B477&lt;&gt;0,C477=0),VLOOKUP(B477,'3 - LISTA DE ESPÉCIES'!B:H,7,FALSE()),IF(AND(A477=0,B477=0,C477&lt;&gt;0),VLOOKUP(C477,'3 - LISTA DE ESPÉCIES'!C:H,6,FALSE()))))</f>
        <v>0</v>
      </c>
      <c r="H477" s="21" t="b">
        <f>IF(AND(A477&lt;&gt;0,B477=0,C477=0),VLOOKUP(A477,'3 - LISTA DE ESPÉCIES'!A:H,4,FALSE()),IF(AND(A477=0,B477&lt;&gt;0,C477=0),VLOOKUP(B477,'3 - LISTA DE ESPÉCIES'!B:H,3,FALSE()),IF(AND(A477=0,B477=0,C477&lt;&gt;0),VLOOKUP(C477,'3 - LISTA DE ESPÉCIES'!C:H,2,FALSE()))))</f>
        <v>0</v>
      </c>
      <c r="I477" s="21" t="b">
        <f>IF(AND(A477&lt;&gt;0,B477=0,C477=0),VLOOKUP(A477,'3 - LISTA DE ESPÉCIES'!A:H,5,FALSE()),IF(AND(A477=0,B477&lt;&gt;0,C477=0),VLOOKUP(B477,'3 - LISTA DE ESPÉCIES'!B:H,4,FALSE()),IF(AND(A477=0,B477=0,C477&lt;&gt;0),VLOOKUP(C477,'3 - LISTA DE ESPÉCIES'!C:H,3,FALSE()))))</f>
        <v>0</v>
      </c>
      <c r="J477" s="23"/>
      <c r="K477" s="23"/>
      <c r="L477" s="20"/>
      <c r="M477" s="20"/>
    </row>
    <row r="478" spans="1:13" x14ac:dyDescent="0.25">
      <c r="A478" s="20"/>
      <c r="B478" s="20"/>
      <c r="C478" s="20"/>
      <c r="E478" s="21" t="b">
        <f>IF(AND(A478&lt;&gt;0,B478=0,C478=0),VLOOKUP(A478,'3 - LISTA DE ESPÉCIES'!A:H,1,FALSE()),IF(AND(A478=0,B478&lt;&gt;0,C478=0),VLOOKUP(B478,'3 - LISTA DE ESPÉCIES'!B:H,5,FALSE()),IF(AND(A478=0,B478=0,C478&lt;&gt;0),VLOOKUP(C478,'3 - LISTA DE ESPÉCIES'!C:H,4,FALSE()))))</f>
        <v>0</v>
      </c>
      <c r="F478" s="21" t="b">
        <f>IF(AND(A478&lt;&gt;0,B478=0,C478=0),VLOOKUP(A478,'3 - LISTA DE ESPÉCIES'!A:H,2,FALSE()),IF(AND(A478=0,B478&lt;&gt;0,C478=0),VLOOKUP(B478,'3 - LISTA DE ESPÉCIES'!B:H,6,FALSE()),IF(AND(A478=0,B478=0,C478&lt;&gt;0),VLOOKUP(C478,'3 - LISTA DE ESPÉCIES'!C:H,5,FALSE()))))</f>
        <v>0</v>
      </c>
      <c r="G478" s="21" t="b">
        <f>IF(AND(A478&lt;&gt;0,B478=0,C478=0),VLOOKUP(A478,'3 - LISTA DE ESPÉCIES'!A:H,3,FALSE()),IF(AND(A478=0,B478&lt;&gt;0,C478=0),VLOOKUP(B478,'3 - LISTA DE ESPÉCIES'!B:H,7,FALSE()),IF(AND(A478=0,B478=0,C478&lt;&gt;0),VLOOKUP(C478,'3 - LISTA DE ESPÉCIES'!C:H,6,FALSE()))))</f>
        <v>0</v>
      </c>
      <c r="H478" s="21" t="b">
        <f>IF(AND(A478&lt;&gt;0,B478=0,C478=0),VLOOKUP(A478,'3 - LISTA DE ESPÉCIES'!A:H,4,FALSE()),IF(AND(A478=0,B478&lt;&gt;0,C478=0),VLOOKUP(B478,'3 - LISTA DE ESPÉCIES'!B:H,3,FALSE()),IF(AND(A478=0,B478=0,C478&lt;&gt;0),VLOOKUP(C478,'3 - LISTA DE ESPÉCIES'!C:H,2,FALSE()))))</f>
        <v>0</v>
      </c>
      <c r="I478" s="21" t="b">
        <f>IF(AND(A478&lt;&gt;0,B478=0,C478=0),VLOOKUP(A478,'3 - LISTA DE ESPÉCIES'!A:H,5,FALSE()),IF(AND(A478=0,B478&lt;&gt;0,C478=0),VLOOKUP(B478,'3 - LISTA DE ESPÉCIES'!B:H,4,FALSE()),IF(AND(A478=0,B478=0,C478&lt;&gt;0),VLOOKUP(C478,'3 - LISTA DE ESPÉCIES'!C:H,3,FALSE()))))</f>
        <v>0</v>
      </c>
      <c r="J478" s="23"/>
      <c r="K478" s="23"/>
      <c r="L478" s="20"/>
      <c r="M478" s="20"/>
    </row>
    <row r="479" spans="1:13" x14ac:dyDescent="0.25">
      <c r="A479" s="20"/>
      <c r="B479" s="20"/>
      <c r="C479" s="20"/>
      <c r="E479" s="21" t="b">
        <f>IF(AND(A479&lt;&gt;0,B479=0,C479=0),VLOOKUP(A479,'3 - LISTA DE ESPÉCIES'!A:H,1,FALSE()),IF(AND(A479=0,B479&lt;&gt;0,C479=0),VLOOKUP(B479,'3 - LISTA DE ESPÉCIES'!B:H,5,FALSE()),IF(AND(A479=0,B479=0,C479&lt;&gt;0),VLOOKUP(C479,'3 - LISTA DE ESPÉCIES'!C:H,4,FALSE()))))</f>
        <v>0</v>
      </c>
      <c r="F479" s="21" t="b">
        <f>IF(AND(A479&lt;&gt;0,B479=0,C479=0),VLOOKUP(A479,'3 - LISTA DE ESPÉCIES'!A:H,2,FALSE()),IF(AND(A479=0,B479&lt;&gt;0,C479=0),VLOOKUP(B479,'3 - LISTA DE ESPÉCIES'!B:H,6,FALSE()),IF(AND(A479=0,B479=0,C479&lt;&gt;0),VLOOKUP(C479,'3 - LISTA DE ESPÉCIES'!C:H,5,FALSE()))))</f>
        <v>0</v>
      </c>
      <c r="G479" s="21" t="b">
        <f>IF(AND(A479&lt;&gt;0,B479=0,C479=0),VLOOKUP(A479,'3 - LISTA DE ESPÉCIES'!A:H,3,FALSE()),IF(AND(A479=0,B479&lt;&gt;0,C479=0),VLOOKUP(B479,'3 - LISTA DE ESPÉCIES'!B:H,7,FALSE()),IF(AND(A479=0,B479=0,C479&lt;&gt;0),VLOOKUP(C479,'3 - LISTA DE ESPÉCIES'!C:H,6,FALSE()))))</f>
        <v>0</v>
      </c>
      <c r="H479" s="21" t="b">
        <f>IF(AND(A479&lt;&gt;0,B479=0,C479=0),VLOOKUP(A479,'3 - LISTA DE ESPÉCIES'!A:H,4,FALSE()),IF(AND(A479=0,B479&lt;&gt;0,C479=0),VLOOKUP(B479,'3 - LISTA DE ESPÉCIES'!B:H,3,FALSE()),IF(AND(A479=0,B479=0,C479&lt;&gt;0),VLOOKUP(C479,'3 - LISTA DE ESPÉCIES'!C:H,2,FALSE()))))</f>
        <v>0</v>
      </c>
      <c r="I479" s="21" t="b">
        <f>IF(AND(A479&lt;&gt;0,B479=0,C479=0),VLOOKUP(A479,'3 - LISTA DE ESPÉCIES'!A:H,5,FALSE()),IF(AND(A479=0,B479&lt;&gt;0,C479=0),VLOOKUP(B479,'3 - LISTA DE ESPÉCIES'!B:H,4,FALSE()),IF(AND(A479=0,B479=0,C479&lt;&gt;0),VLOOKUP(C479,'3 - LISTA DE ESPÉCIES'!C:H,3,FALSE()))))</f>
        <v>0</v>
      </c>
      <c r="J479" s="23"/>
      <c r="K479" s="23"/>
      <c r="L479" s="20"/>
      <c r="M479" s="20"/>
    </row>
    <row r="480" spans="1:13" x14ac:dyDescent="0.25">
      <c r="A480" s="20"/>
      <c r="B480" s="20"/>
      <c r="C480" s="20"/>
      <c r="E480" s="21" t="b">
        <f>IF(AND(A480&lt;&gt;0,B480=0,C480=0),VLOOKUP(A480,'3 - LISTA DE ESPÉCIES'!A:H,1,FALSE()),IF(AND(A480=0,B480&lt;&gt;0,C480=0),VLOOKUP(B480,'3 - LISTA DE ESPÉCIES'!B:H,5,FALSE()),IF(AND(A480=0,B480=0,C480&lt;&gt;0),VLOOKUP(C480,'3 - LISTA DE ESPÉCIES'!C:H,4,FALSE()))))</f>
        <v>0</v>
      </c>
      <c r="F480" s="21" t="b">
        <f>IF(AND(A480&lt;&gt;0,B480=0,C480=0),VLOOKUP(A480,'3 - LISTA DE ESPÉCIES'!A:H,2,FALSE()),IF(AND(A480=0,B480&lt;&gt;0,C480=0),VLOOKUP(B480,'3 - LISTA DE ESPÉCIES'!B:H,6,FALSE()),IF(AND(A480=0,B480=0,C480&lt;&gt;0),VLOOKUP(C480,'3 - LISTA DE ESPÉCIES'!C:H,5,FALSE()))))</f>
        <v>0</v>
      </c>
      <c r="G480" s="21" t="b">
        <f>IF(AND(A480&lt;&gt;0,B480=0,C480=0),VLOOKUP(A480,'3 - LISTA DE ESPÉCIES'!A:H,3,FALSE()),IF(AND(A480=0,B480&lt;&gt;0,C480=0),VLOOKUP(B480,'3 - LISTA DE ESPÉCIES'!B:H,7,FALSE()),IF(AND(A480=0,B480=0,C480&lt;&gt;0),VLOOKUP(C480,'3 - LISTA DE ESPÉCIES'!C:H,6,FALSE()))))</f>
        <v>0</v>
      </c>
      <c r="H480" s="21" t="b">
        <f>IF(AND(A480&lt;&gt;0,B480=0,C480=0),VLOOKUP(A480,'3 - LISTA DE ESPÉCIES'!A:H,4,FALSE()),IF(AND(A480=0,B480&lt;&gt;0,C480=0),VLOOKUP(B480,'3 - LISTA DE ESPÉCIES'!B:H,3,FALSE()),IF(AND(A480=0,B480=0,C480&lt;&gt;0),VLOOKUP(C480,'3 - LISTA DE ESPÉCIES'!C:H,2,FALSE()))))</f>
        <v>0</v>
      </c>
      <c r="I480" s="21" t="b">
        <f>IF(AND(A480&lt;&gt;0,B480=0,C480=0),VLOOKUP(A480,'3 - LISTA DE ESPÉCIES'!A:H,5,FALSE()),IF(AND(A480=0,B480&lt;&gt;0,C480=0),VLOOKUP(B480,'3 - LISTA DE ESPÉCIES'!B:H,4,FALSE()),IF(AND(A480=0,B480=0,C480&lt;&gt;0),VLOOKUP(C480,'3 - LISTA DE ESPÉCIES'!C:H,3,FALSE()))))</f>
        <v>0</v>
      </c>
      <c r="J480" s="23"/>
      <c r="K480" s="23"/>
      <c r="L480" s="20"/>
      <c r="M480" s="20"/>
    </row>
    <row r="481" spans="1:13" x14ac:dyDescent="0.25">
      <c r="A481" s="20"/>
      <c r="B481" s="20"/>
      <c r="C481" s="20"/>
      <c r="E481" s="21" t="b">
        <f>IF(AND(A481&lt;&gt;0,B481=0,C481=0),VLOOKUP(A481,'3 - LISTA DE ESPÉCIES'!A:H,1,FALSE()),IF(AND(A481=0,B481&lt;&gt;0,C481=0),VLOOKUP(B481,'3 - LISTA DE ESPÉCIES'!B:H,5,FALSE()),IF(AND(A481=0,B481=0,C481&lt;&gt;0),VLOOKUP(C481,'3 - LISTA DE ESPÉCIES'!C:H,4,FALSE()))))</f>
        <v>0</v>
      </c>
      <c r="F481" s="21" t="b">
        <f>IF(AND(A481&lt;&gt;0,B481=0,C481=0),VLOOKUP(A481,'3 - LISTA DE ESPÉCIES'!A:H,2,FALSE()),IF(AND(A481=0,B481&lt;&gt;0,C481=0),VLOOKUP(B481,'3 - LISTA DE ESPÉCIES'!B:H,6,FALSE()),IF(AND(A481=0,B481=0,C481&lt;&gt;0),VLOOKUP(C481,'3 - LISTA DE ESPÉCIES'!C:H,5,FALSE()))))</f>
        <v>0</v>
      </c>
      <c r="G481" s="21" t="b">
        <f>IF(AND(A481&lt;&gt;0,B481=0,C481=0),VLOOKUP(A481,'3 - LISTA DE ESPÉCIES'!A:H,3,FALSE()),IF(AND(A481=0,B481&lt;&gt;0,C481=0),VLOOKUP(B481,'3 - LISTA DE ESPÉCIES'!B:H,7,FALSE()),IF(AND(A481=0,B481=0,C481&lt;&gt;0),VLOOKUP(C481,'3 - LISTA DE ESPÉCIES'!C:H,6,FALSE()))))</f>
        <v>0</v>
      </c>
      <c r="H481" s="21" t="b">
        <f>IF(AND(A481&lt;&gt;0,B481=0,C481=0),VLOOKUP(A481,'3 - LISTA DE ESPÉCIES'!A:H,4,FALSE()),IF(AND(A481=0,B481&lt;&gt;0,C481=0),VLOOKUP(B481,'3 - LISTA DE ESPÉCIES'!B:H,3,FALSE()),IF(AND(A481=0,B481=0,C481&lt;&gt;0),VLOOKUP(C481,'3 - LISTA DE ESPÉCIES'!C:H,2,FALSE()))))</f>
        <v>0</v>
      </c>
      <c r="I481" s="21" t="b">
        <f>IF(AND(A481&lt;&gt;0,B481=0,C481=0),VLOOKUP(A481,'3 - LISTA DE ESPÉCIES'!A:H,5,FALSE()),IF(AND(A481=0,B481&lt;&gt;0,C481=0),VLOOKUP(B481,'3 - LISTA DE ESPÉCIES'!B:H,4,FALSE()),IF(AND(A481=0,B481=0,C481&lt;&gt;0),VLOOKUP(C481,'3 - LISTA DE ESPÉCIES'!C:H,3,FALSE()))))</f>
        <v>0</v>
      </c>
      <c r="J481" s="23"/>
      <c r="K481" s="23"/>
      <c r="L481" s="20"/>
      <c r="M481" s="20"/>
    </row>
    <row r="482" spans="1:13" x14ac:dyDescent="0.25">
      <c r="A482" s="20"/>
      <c r="B482" s="20"/>
      <c r="C482" s="20"/>
      <c r="E482" s="21" t="b">
        <f>IF(AND(A482&lt;&gt;0,B482=0,C482=0),VLOOKUP(A482,'3 - LISTA DE ESPÉCIES'!A:H,1,FALSE()),IF(AND(A482=0,B482&lt;&gt;0,C482=0),VLOOKUP(B482,'3 - LISTA DE ESPÉCIES'!B:H,5,FALSE()),IF(AND(A482=0,B482=0,C482&lt;&gt;0),VLOOKUP(C482,'3 - LISTA DE ESPÉCIES'!C:H,4,FALSE()))))</f>
        <v>0</v>
      </c>
      <c r="F482" s="21" t="b">
        <f>IF(AND(A482&lt;&gt;0,B482=0,C482=0),VLOOKUP(A482,'3 - LISTA DE ESPÉCIES'!A:H,2,FALSE()),IF(AND(A482=0,B482&lt;&gt;0,C482=0),VLOOKUP(B482,'3 - LISTA DE ESPÉCIES'!B:H,6,FALSE()),IF(AND(A482=0,B482=0,C482&lt;&gt;0),VLOOKUP(C482,'3 - LISTA DE ESPÉCIES'!C:H,5,FALSE()))))</f>
        <v>0</v>
      </c>
      <c r="G482" s="21" t="b">
        <f>IF(AND(A482&lt;&gt;0,B482=0,C482=0),VLOOKUP(A482,'3 - LISTA DE ESPÉCIES'!A:H,3,FALSE()),IF(AND(A482=0,B482&lt;&gt;0,C482=0),VLOOKUP(B482,'3 - LISTA DE ESPÉCIES'!B:H,7,FALSE()),IF(AND(A482=0,B482=0,C482&lt;&gt;0),VLOOKUP(C482,'3 - LISTA DE ESPÉCIES'!C:H,6,FALSE()))))</f>
        <v>0</v>
      </c>
      <c r="H482" s="21" t="b">
        <f>IF(AND(A482&lt;&gt;0,B482=0,C482=0),VLOOKUP(A482,'3 - LISTA DE ESPÉCIES'!A:H,4,FALSE()),IF(AND(A482=0,B482&lt;&gt;0,C482=0),VLOOKUP(B482,'3 - LISTA DE ESPÉCIES'!B:H,3,FALSE()),IF(AND(A482=0,B482=0,C482&lt;&gt;0),VLOOKUP(C482,'3 - LISTA DE ESPÉCIES'!C:H,2,FALSE()))))</f>
        <v>0</v>
      </c>
      <c r="I482" s="21" t="b">
        <f>IF(AND(A482&lt;&gt;0,B482=0,C482=0),VLOOKUP(A482,'3 - LISTA DE ESPÉCIES'!A:H,5,FALSE()),IF(AND(A482=0,B482&lt;&gt;0,C482=0),VLOOKUP(B482,'3 - LISTA DE ESPÉCIES'!B:H,4,FALSE()),IF(AND(A482=0,B482=0,C482&lt;&gt;0),VLOOKUP(C482,'3 - LISTA DE ESPÉCIES'!C:H,3,FALSE()))))</f>
        <v>0</v>
      </c>
      <c r="J482" s="23"/>
      <c r="K482" s="23"/>
      <c r="L482" s="20"/>
      <c r="M482" s="20"/>
    </row>
    <row r="483" spans="1:13" x14ac:dyDescent="0.25">
      <c r="A483" s="20"/>
      <c r="B483" s="20"/>
      <c r="C483" s="20"/>
      <c r="E483" s="21" t="b">
        <f>IF(AND(A483&lt;&gt;0,B483=0,C483=0),VLOOKUP(A483,'3 - LISTA DE ESPÉCIES'!A:H,1,FALSE()),IF(AND(A483=0,B483&lt;&gt;0,C483=0),VLOOKUP(B483,'3 - LISTA DE ESPÉCIES'!B:H,5,FALSE()),IF(AND(A483=0,B483=0,C483&lt;&gt;0),VLOOKUP(C483,'3 - LISTA DE ESPÉCIES'!C:H,4,FALSE()))))</f>
        <v>0</v>
      </c>
      <c r="F483" s="21" t="b">
        <f>IF(AND(A483&lt;&gt;0,B483=0,C483=0),VLOOKUP(A483,'3 - LISTA DE ESPÉCIES'!A:H,2,FALSE()),IF(AND(A483=0,B483&lt;&gt;0,C483=0),VLOOKUP(B483,'3 - LISTA DE ESPÉCIES'!B:H,6,FALSE()),IF(AND(A483=0,B483=0,C483&lt;&gt;0),VLOOKUP(C483,'3 - LISTA DE ESPÉCIES'!C:H,5,FALSE()))))</f>
        <v>0</v>
      </c>
      <c r="G483" s="21" t="b">
        <f>IF(AND(A483&lt;&gt;0,B483=0,C483=0),VLOOKUP(A483,'3 - LISTA DE ESPÉCIES'!A:H,3,FALSE()),IF(AND(A483=0,B483&lt;&gt;0,C483=0),VLOOKUP(B483,'3 - LISTA DE ESPÉCIES'!B:H,7,FALSE()),IF(AND(A483=0,B483=0,C483&lt;&gt;0),VLOOKUP(C483,'3 - LISTA DE ESPÉCIES'!C:H,6,FALSE()))))</f>
        <v>0</v>
      </c>
      <c r="H483" s="21" t="b">
        <f>IF(AND(A483&lt;&gt;0,B483=0,C483=0),VLOOKUP(A483,'3 - LISTA DE ESPÉCIES'!A:H,4,FALSE()),IF(AND(A483=0,B483&lt;&gt;0,C483=0),VLOOKUP(B483,'3 - LISTA DE ESPÉCIES'!B:H,3,FALSE()),IF(AND(A483=0,B483=0,C483&lt;&gt;0),VLOOKUP(C483,'3 - LISTA DE ESPÉCIES'!C:H,2,FALSE()))))</f>
        <v>0</v>
      </c>
      <c r="I483" s="21" t="b">
        <f>IF(AND(A483&lt;&gt;0,B483=0,C483=0),VLOOKUP(A483,'3 - LISTA DE ESPÉCIES'!A:H,5,FALSE()),IF(AND(A483=0,B483&lt;&gt;0,C483=0),VLOOKUP(B483,'3 - LISTA DE ESPÉCIES'!B:H,4,FALSE()),IF(AND(A483=0,B483=0,C483&lt;&gt;0),VLOOKUP(C483,'3 - LISTA DE ESPÉCIES'!C:H,3,FALSE()))))</f>
        <v>0</v>
      </c>
      <c r="J483" s="23"/>
      <c r="K483" s="23"/>
      <c r="L483" s="20"/>
      <c r="M483" s="20"/>
    </row>
    <row r="484" spans="1:13" x14ac:dyDescent="0.25">
      <c r="A484" s="20"/>
      <c r="B484" s="20"/>
      <c r="C484" s="20"/>
      <c r="E484" s="21" t="b">
        <f>IF(AND(A484&lt;&gt;0,B484=0,C484=0),VLOOKUP(A484,'3 - LISTA DE ESPÉCIES'!A:H,1,FALSE()),IF(AND(A484=0,B484&lt;&gt;0,C484=0),VLOOKUP(B484,'3 - LISTA DE ESPÉCIES'!B:H,5,FALSE()),IF(AND(A484=0,B484=0,C484&lt;&gt;0),VLOOKUP(C484,'3 - LISTA DE ESPÉCIES'!C:H,4,FALSE()))))</f>
        <v>0</v>
      </c>
      <c r="F484" s="21" t="b">
        <f>IF(AND(A484&lt;&gt;0,B484=0,C484=0),VLOOKUP(A484,'3 - LISTA DE ESPÉCIES'!A:H,2,FALSE()),IF(AND(A484=0,B484&lt;&gt;0,C484=0),VLOOKUP(B484,'3 - LISTA DE ESPÉCIES'!B:H,6,FALSE()),IF(AND(A484=0,B484=0,C484&lt;&gt;0),VLOOKUP(C484,'3 - LISTA DE ESPÉCIES'!C:H,5,FALSE()))))</f>
        <v>0</v>
      </c>
      <c r="G484" s="21" t="b">
        <f>IF(AND(A484&lt;&gt;0,B484=0,C484=0),VLOOKUP(A484,'3 - LISTA DE ESPÉCIES'!A:H,3,FALSE()),IF(AND(A484=0,B484&lt;&gt;0,C484=0),VLOOKUP(B484,'3 - LISTA DE ESPÉCIES'!B:H,7,FALSE()),IF(AND(A484=0,B484=0,C484&lt;&gt;0),VLOOKUP(C484,'3 - LISTA DE ESPÉCIES'!C:H,6,FALSE()))))</f>
        <v>0</v>
      </c>
      <c r="H484" s="21" t="b">
        <f>IF(AND(A484&lt;&gt;0,B484=0,C484=0),VLOOKUP(A484,'3 - LISTA DE ESPÉCIES'!A:H,4,FALSE()),IF(AND(A484=0,B484&lt;&gt;0,C484=0),VLOOKUP(B484,'3 - LISTA DE ESPÉCIES'!B:H,3,FALSE()),IF(AND(A484=0,B484=0,C484&lt;&gt;0),VLOOKUP(C484,'3 - LISTA DE ESPÉCIES'!C:H,2,FALSE()))))</f>
        <v>0</v>
      </c>
      <c r="I484" s="21" t="b">
        <f>IF(AND(A484&lt;&gt;0,B484=0,C484=0),VLOOKUP(A484,'3 - LISTA DE ESPÉCIES'!A:H,5,FALSE()),IF(AND(A484=0,B484&lt;&gt;0,C484=0),VLOOKUP(B484,'3 - LISTA DE ESPÉCIES'!B:H,4,FALSE()),IF(AND(A484=0,B484=0,C484&lt;&gt;0),VLOOKUP(C484,'3 - LISTA DE ESPÉCIES'!C:H,3,FALSE()))))</f>
        <v>0</v>
      </c>
      <c r="J484" s="23"/>
      <c r="K484" s="23"/>
      <c r="L484" s="20"/>
      <c r="M484" s="20"/>
    </row>
    <row r="485" spans="1:13" x14ac:dyDescent="0.25">
      <c r="A485" s="20"/>
      <c r="B485" s="20"/>
      <c r="C485" s="20"/>
      <c r="E485" s="21" t="b">
        <f>IF(AND(A485&lt;&gt;0,B485=0,C485=0),VLOOKUP(A485,'3 - LISTA DE ESPÉCIES'!A:H,1,FALSE()),IF(AND(A485=0,B485&lt;&gt;0,C485=0),VLOOKUP(B485,'3 - LISTA DE ESPÉCIES'!B:H,5,FALSE()),IF(AND(A485=0,B485=0,C485&lt;&gt;0),VLOOKUP(C485,'3 - LISTA DE ESPÉCIES'!C:H,4,FALSE()))))</f>
        <v>0</v>
      </c>
      <c r="F485" s="21" t="b">
        <f>IF(AND(A485&lt;&gt;0,B485=0,C485=0),VLOOKUP(A485,'3 - LISTA DE ESPÉCIES'!A:H,2,FALSE()),IF(AND(A485=0,B485&lt;&gt;0,C485=0),VLOOKUP(B485,'3 - LISTA DE ESPÉCIES'!B:H,6,FALSE()),IF(AND(A485=0,B485=0,C485&lt;&gt;0),VLOOKUP(C485,'3 - LISTA DE ESPÉCIES'!C:H,5,FALSE()))))</f>
        <v>0</v>
      </c>
      <c r="G485" s="21" t="b">
        <f>IF(AND(A485&lt;&gt;0,B485=0,C485=0),VLOOKUP(A485,'3 - LISTA DE ESPÉCIES'!A:H,3,FALSE()),IF(AND(A485=0,B485&lt;&gt;0,C485=0),VLOOKUP(B485,'3 - LISTA DE ESPÉCIES'!B:H,7,FALSE()),IF(AND(A485=0,B485=0,C485&lt;&gt;0),VLOOKUP(C485,'3 - LISTA DE ESPÉCIES'!C:H,6,FALSE()))))</f>
        <v>0</v>
      </c>
      <c r="H485" s="21" t="b">
        <f>IF(AND(A485&lt;&gt;0,B485=0,C485=0),VLOOKUP(A485,'3 - LISTA DE ESPÉCIES'!A:H,4,FALSE()),IF(AND(A485=0,B485&lt;&gt;0,C485=0),VLOOKUP(B485,'3 - LISTA DE ESPÉCIES'!B:H,3,FALSE()),IF(AND(A485=0,B485=0,C485&lt;&gt;0),VLOOKUP(C485,'3 - LISTA DE ESPÉCIES'!C:H,2,FALSE()))))</f>
        <v>0</v>
      </c>
      <c r="I485" s="21" t="b">
        <f>IF(AND(A485&lt;&gt;0,B485=0,C485=0),VLOOKUP(A485,'3 - LISTA DE ESPÉCIES'!A:H,5,FALSE()),IF(AND(A485=0,B485&lt;&gt;0,C485=0),VLOOKUP(B485,'3 - LISTA DE ESPÉCIES'!B:H,4,FALSE()),IF(AND(A485=0,B485=0,C485&lt;&gt;0),VLOOKUP(C485,'3 - LISTA DE ESPÉCIES'!C:H,3,FALSE()))))</f>
        <v>0</v>
      </c>
      <c r="J485" s="23"/>
      <c r="K485" s="23"/>
      <c r="L485" s="20"/>
      <c r="M485" s="20"/>
    </row>
    <row r="486" spans="1:13" x14ac:dyDescent="0.25">
      <c r="A486" s="20"/>
      <c r="B486" s="20"/>
      <c r="C486" s="20"/>
      <c r="E486" s="21" t="b">
        <f>IF(AND(A486&lt;&gt;0,B486=0,C486=0),VLOOKUP(A486,'3 - LISTA DE ESPÉCIES'!A:H,1,FALSE()),IF(AND(A486=0,B486&lt;&gt;0,C486=0),VLOOKUP(B486,'3 - LISTA DE ESPÉCIES'!B:H,5,FALSE()),IF(AND(A486=0,B486=0,C486&lt;&gt;0),VLOOKUP(C486,'3 - LISTA DE ESPÉCIES'!C:H,4,FALSE()))))</f>
        <v>0</v>
      </c>
      <c r="F486" s="21" t="b">
        <f>IF(AND(A486&lt;&gt;0,B486=0,C486=0),VLOOKUP(A486,'3 - LISTA DE ESPÉCIES'!A:H,2,FALSE()),IF(AND(A486=0,B486&lt;&gt;0,C486=0),VLOOKUP(B486,'3 - LISTA DE ESPÉCIES'!B:H,6,FALSE()),IF(AND(A486=0,B486=0,C486&lt;&gt;0),VLOOKUP(C486,'3 - LISTA DE ESPÉCIES'!C:H,5,FALSE()))))</f>
        <v>0</v>
      </c>
      <c r="G486" s="21" t="b">
        <f>IF(AND(A486&lt;&gt;0,B486=0,C486=0),VLOOKUP(A486,'3 - LISTA DE ESPÉCIES'!A:H,3,FALSE()),IF(AND(A486=0,B486&lt;&gt;0,C486=0),VLOOKUP(B486,'3 - LISTA DE ESPÉCIES'!B:H,7,FALSE()),IF(AND(A486=0,B486=0,C486&lt;&gt;0),VLOOKUP(C486,'3 - LISTA DE ESPÉCIES'!C:H,6,FALSE()))))</f>
        <v>0</v>
      </c>
      <c r="H486" s="21" t="b">
        <f>IF(AND(A486&lt;&gt;0,B486=0,C486=0),VLOOKUP(A486,'3 - LISTA DE ESPÉCIES'!A:H,4,FALSE()),IF(AND(A486=0,B486&lt;&gt;0,C486=0),VLOOKUP(B486,'3 - LISTA DE ESPÉCIES'!B:H,3,FALSE()),IF(AND(A486=0,B486=0,C486&lt;&gt;0),VLOOKUP(C486,'3 - LISTA DE ESPÉCIES'!C:H,2,FALSE()))))</f>
        <v>0</v>
      </c>
      <c r="I486" s="21" t="b">
        <f>IF(AND(A486&lt;&gt;0,B486=0,C486=0),VLOOKUP(A486,'3 - LISTA DE ESPÉCIES'!A:H,5,FALSE()),IF(AND(A486=0,B486&lt;&gt;0,C486=0),VLOOKUP(B486,'3 - LISTA DE ESPÉCIES'!B:H,4,FALSE()),IF(AND(A486=0,B486=0,C486&lt;&gt;0),VLOOKUP(C486,'3 - LISTA DE ESPÉCIES'!C:H,3,FALSE()))))</f>
        <v>0</v>
      </c>
      <c r="J486" s="23"/>
      <c r="K486" s="23"/>
      <c r="L486" s="20"/>
      <c r="M486" s="20"/>
    </row>
    <row r="487" spans="1:13" x14ac:dyDescent="0.25">
      <c r="A487" s="20"/>
      <c r="B487" s="20"/>
      <c r="C487" s="20"/>
      <c r="E487" s="21" t="b">
        <f>IF(AND(A487&lt;&gt;0,B487=0,C487=0),VLOOKUP(A487,'3 - LISTA DE ESPÉCIES'!A:H,1,FALSE()),IF(AND(A487=0,B487&lt;&gt;0,C487=0),VLOOKUP(B487,'3 - LISTA DE ESPÉCIES'!B:H,5,FALSE()),IF(AND(A487=0,B487=0,C487&lt;&gt;0),VLOOKUP(C487,'3 - LISTA DE ESPÉCIES'!C:H,4,FALSE()))))</f>
        <v>0</v>
      </c>
      <c r="F487" s="21" t="b">
        <f>IF(AND(A487&lt;&gt;0,B487=0,C487=0),VLOOKUP(A487,'3 - LISTA DE ESPÉCIES'!A:H,2,FALSE()),IF(AND(A487=0,B487&lt;&gt;0,C487=0),VLOOKUP(B487,'3 - LISTA DE ESPÉCIES'!B:H,6,FALSE()),IF(AND(A487=0,B487=0,C487&lt;&gt;0),VLOOKUP(C487,'3 - LISTA DE ESPÉCIES'!C:H,5,FALSE()))))</f>
        <v>0</v>
      </c>
      <c r="G487" s="21" t="b">
        <f>IF(AND(A487&lt;&gt;0,B487=0,C487=0),VLOOKUP(A487,'3 - LISTA DE ESPÉCIES'!A:H,3,FALSE()),IF(AND(A487=0,B487&lt;&gt;0,C487=0),VLOOKUP(B487,'3 - LISTA DE ESPÉCIES'!B:H,7,FALSE()),IF(AND(A487=0,B487=0,C487&lt;&gt;0),VLOOKUP(C487,'3 - LISTA DE ESPÉCIES'!C:H,6,FALSE()))))</f>
        <v>0</v>
      </c>
      <c r="H487" s="21" t="b">
        <f>IF(AND(A487&lt;&gt;0,B487=0,C487=0),VLOOKUP(A487,'3 - LISTA DE ESPÉCIES'!A:H,4,FALSE()),IF(AND(A487=0,B487&lt;&gt;0,C487=0),VLOOKUP(B487,'3 - LISTA DE ESPÉCIES'!B:H,3,FALSE()),IF(AND(A487=0,B487=0,C487&lt;&gt;0),VLOOKUP(C487,'3 - LISTA DE ESPÉCIES'!C:H,2,FALSE()))))</f>
        <v>0</v>
      </c>
      <c r="I487" s="21" t="b">
        <f>IF(AND(A487&lt;&gt;0,B487=0,C487=0),VLOOKUP(A487,'3 - LISTA DE ESPÉCIES'!A:H,5,FALSE()),IF(AND(A487=0,B487&lt;&gt;0,C487=0),VLOOKUP(B487,'3 - LISTA DE ESPÉCIES'!B:H,4,FALSE()),IF(AND(A487=0,B487=0,C487&lt;&gt;0),VLOOKUP(C487,'3 - LISTA DE ESPÉCIES'!C:H,3,FALSE()))))</f>
        <v>0</v>
      </c>
      <c r="J487" s="23"/>
      <c r="K487" s="23"/>
      <c r="L487" s="20"/>
      <c r="M487" s="20"/>
    </row>
    <row r="488" spans="1:13" x14ac:dyDescent="0.25">
      <c r="A488" s="20"/>
      <c r="B488" s="20"/>
      <c r="C488" s="20"/>
      <c r="E488" s="21" t="b">
        <f>IF(AND(A488&lt;&gt;0,B488=0,C488=0),VLOOKUP(A488,'3 - LISTA DE ESPÉCIES'!A:H,1,FALSE()),IF(AND(A488=0,B488&lt;&gt;0,C488=0),VLOOKUP(B488,'3 - LISTA DE ESPÉCIES'!B:H,5,FALSE()),IF(AND(A488=0,B488=0,C488&lt;&gt;0),VLOOKUP(C488,'3 - LISTA DE ESPÉCIES'!C:H,4,FALSE()))))</f>
        <v>0</v>
      </c>
      <c r="F488" s="21" t="b">
        <f>IF(AND(A488&lt;&gt;0,B488=0,C488=0),VLOOKUP(A488,'3 - LISTA DE ESPÉCIES'!A:H,2,FALSE()),IF(AND(A488=0,B488&lt;&gt;0,C488=0),VLOOKUP(B488,'3 - LISTA DE ESPÉCIES'!B:H,6,FALSE()),IF(AND(A488=0,B488=0,C488&lt;&gt;0),VLOOKUP(C488,'3 - LISTA DE ESPÉCIES'!C:H,5,FALSE()))))</f>
        <v>0</v>
      </c>
      <c r="G488" s="21" t="b">
        <f>IF(AND(A488&lt;&gt;0,B488=0,C488=0),VLOOKUP(A488,'3 - LISTA DE ESPÉCIES'!A:H,3,FALSE()),IF(AND(A488=0,B488&lt;&gt;0,C488=0),VLOOKUP(B488,'3 - LISTA DE ESPÉCIES'!B:H,7,FALSE()),IF(AND(A488=0,B488=0,C488&lt;&gt;0),VLOOKUP(C488,'3 - LISTA DE ESPÉCIES'!C:H,6,FALSE()))))</f>
        <v>0</v>
      </c>
      <c r="H488" s="21" t="b">
        <f>IF(AND(A488&lt;&gt;0,B488=0,C488=0),VLOOKUP(A488,'3 - LISTA DE ESPÉCIES'!A:H,4,FALSE()),IF(AND(A488=0,B488&lt;&gt;0,C488=0),VLOOKUP(B488,'3 - LISTA DE ESPÉCIES'!B:H,3,FALSE()),IF(AND(A488=0,B488=0,C488&lt;&gt;0),VLOOKUP(C488,'3 - LISTA DE ESPÉCIES'!C:H,2,FALSE()))))</f>
        <v>0</v>
      </c>
      <c r="I488" s="21" t="b">
        <f>IF(AND(A488&lt;&gt;0,B488=0,C488=0),VLOOKUP(A488,'3 - LISTA DE ESPÉCIES'!A:H,5,FALSE()),IF(AND(A488=0,B488&lt;&gt;0,C488=0),VLOOKUP(B488,'3 - LISTA DE ESPÉCIES'!B:H,4,FALSE()),IF(AND(A488=0,B488=0,C488&lt;&gt;0),VLOOKUP(C488,'3 - LISTA DE ESPÉCIES'!C:H,3,FALSE()))))</f>
        <v>0</v>
      </c>
      <c r="J488" s="23"/>
      <c r="K488" s="23"/>
      <c r="L488" s="20"/>
      <c r="M488" s="20"/>
    </row>
    <row r="489" spans="1:13" x14ac:dyDescent="0.25">
      <c r="A489" s="20"/>
      <c r="B489" s="20"/>
      <c r="C489" s="20"/>
      <c r="E489" s="21" t="b">
        <f>IF(AND(A489&lt;&gt;0,B489=0,C489=0),VLOOKUP(A489,'3 - LISTA DE ESPÉCIES'!A:H,1,FALSE()),IF(AND(A489=0,B489&lt;&gt;0,C489=0),VLOOKUP(B489,'3 - LISTA DE ESPÉCIES'!B:H,5,FALSE()),IF(AND(A489=0,B489=0,C489&lt;&gt;0),VLOOKUP(C489,'3 - LISTA DE ESPÉCIES'!C:H,4,FALSE()))))</f>
        <v>0</v>
      </c>
      <c r="F489" s="21" t="b">
        <f>IF(AND(A489&lt;&gt;0,B489=0,C489=0),VLOOKUP(A489,'3 - LISTA DE ESPÉCIES'!A:H,2,FALSE()),IF(AND(A489=0,B489&lt;&gt;0,C489=0),VLOOKUP(B489,'3 - LISTA DE ESPÉCIES'!B:H,6,FALSE()),IF(AND(A489=0,B489=0,C489&lt;&gt;0),VLOOKUP(C489,'3 - LISTA DE ESPÉCIES'!C:H,5,FALSE()))))</f>
        <v>0</v>
      </c>
      <c r="G489" s="21" t="b">
        <f>IF(AND(A489&lt;&gt;0,B489=0,C489=0),VLOOKUP(A489,'3 - LISTA DE ESPÉCIES'!A:H,3,FALSE()),IF(AND(A489=0,B489&lt;&gt;0,C489=0),VLOOKUP(B489,'3 - LISTA DE ESPÉCIES'!B:H,7,FALSE()),IF(AND(A489=0,B489=0,C489&lt;&gt;0),VLOOKUP(C489,'3 - LISTA DE ESPÉCIES'!C:H,6,FALSE()))))</f>
        <v>0</v>
      </c>
      <c r="H489" s="21" t="b">
        <f>IF(AND(A489&lt;&gt;0,B489=0,C489=0),VLOOKUP(A489,'3 - LISTA DE ESPÉCIES'!A:H,4,FALSE()),IF(AND(A489=0,B489&lt;&gt;0,C489=0),VLOOKUP(B489,'3 - LISTA DE ESPÉCIES'!B:H,3,FALSE()),IF(AND(A489=0,B489=0,C489&lt;&gt;0),VLOOKUP(C489,'3 - LISTA DE ESPÉCIES'!C:H,2,FALSE()))))</f>
        <v>0</v>
      </c>
      <c r="I489" s="21" t="b">
        <f>IF(AND(A489&lt;&gt;0,B489=0,C489=0),VLOOKUP(A489,'3 - LISTA DE ESPÉCIES'!A:H,5,FALSE()),IF(AND(A489=0,B489&lt;&gt;0,C489=0),VLOOKUP(B489,'3 - LISTA DE ESPÉCIES'!B:H,4,FALSE()),IF(AND(A489=0,B489=0,C489&lt;&gt;0),VLOOKUP(C489,'3 - LISTA DE ESPÉCIES'!C:H,3,FALSE()))))</f>
        <v>0</v>
      </c>
      <c r="J489" s="23"/>
      <c r="K489" s="23"/>
      <c r="L489" s="20"/>
      <c r="M489" s="20"/>
    </row>
    <row r="490" spans="1:13" x14ac:dyDescent="0.25">
      <c r="A490" s="20"/>
      <c r="B490" s="20"/>
      <c r="C490" s="20"/>
      <c r="E490" s="21" t="b">
        <f>IF(AND(A490&lt;&gt;0,B490=0,C490=0),VLOOKUP(A490,'3 - LISTA DE ESPÉCIES'!A:H,1,FALSE()),IF(AND(A490=0,B490&lt;&gt;0,C490=0),VLOOKUP(B490,'3 - LISTA DE ESPÉCIES'!B:H,5,FALSE()),IF(AND(A490=0,B490=0,C490&lt;&gt;0),VLOOKUP(C490,'3 - LISTA DE ESPÉCIES'!C:H,4,FALSE()))))</f>
        <v>0</v>
      </c>
      <c r="F490" s="21" t="b">
        <f>IF(AND(A490&lt;&gt;0,B490=0,C490=0),VLOOKUP(A490,'3 - LISTA DE ESPÉCIES'!A:H,2,FALSE()),IF(AND(A490=0,B490&lt;&gt;0,C490=0),VLOOKUP(B490,'3 - LISTA DE ESPÉCIES'!B:H,6,FALSE()),IF(AND(A490=0,B490=0,C490&lt;&gt;0),VLOOKUP(C490,'3 - LISTA DE ESPÉCIES'!C:H,5,FALSE()))))</f>
        <v>0</v>
      </c>
      <c r="G490" s="21" t="b">
        <f>IF(AND(A490&lt;&gt;0,B490=0,C490=0),VLOOKUP(A490,'3 - LISTA DE ESPÉCIES'!A:H,3,FALSE()),IF(AND(A490=0,B490&lt;&gt;0,C490=0),VLOOKUP(B490,'3 - LISTA DE ESPÉCIES'!B:H,7,FALSE()),IF(AND(A490=0,B490=0,C490&lt;&gt;0),VLOOKUP(C490,'3 - LISTA DE ESPÉCIES'!C:H,6,FALSE()))))</f>
        <v>0</v>
      </c>
      <c r="H490" s="21" t="b">
        <f>IF(AND(A490&lt;&gt;0,B490=0,C490=0),VLOOKUP(A490,'3 - LISTA DE ESPÉCIES'!A:H,4,FALSE()),IF(AND(A490=0,B490&lt;&gt;0,C490=0),VLOOKUP(B490,'3 - LISTA DE ESPÉCIES'!B:H,3,FALSE()),IF(AND(A490=0,B490=0,C490&lt;&gt;0),VLOOKUP(C490,'3 - LISTA DE ESPÉCIES'!C:H,2,FALSE()))))</f>
        <v>0</v>
      </c>
      <c r="I490" s="21" t="b">
        <f>IF(AND(A490&lt;&gt;0,B490=0,C490=0),VLOOKUP(A490,'3 - LISTA DE ESPÉCIES'!A:H,5,FALSE()),IF(AND(A490=0,B490&lt;&gt;0,C490=0),VLOOKUP(B490,'3 - LISTA DE ESPÉCIES'!B:H,4,FALSE()),IF(AND(A490=0,B490=0,C490&lt;&gt;0),VLOOKUP(C490,'3 - LISTA DE ESPÉCIES'!C:H,3,FALSE()))))</f>
        <v>0</v>
      </c>
      <c r="J490" s="23"/>
      <c r="K490" s="23"/>
      <c r="L490" s="20"/>
      <c r="M490" s="20"/>
    </row>
    <row r="491" spans="1:13" x14ac:dyDescent="0.25">
      <c r="A491" s="20"/>
      <c r="B491" s="20"/>
      <c r="C491" s="20"/>
      <c r="E491" s="21" t="b">
        <f>IF(AND(A491&lt;&gt;0,B491=0,C491=0),VLOOKUP(A491,'3 - LISTA DE ESPÉCIES'!A:H,1,FALSE()),IF(AND(A491=0,B491&lt;&gt;0,C491=0),VLOOKUP(B491,'3 - LISTA DE ESPÉCIES'!B:H,5,FALSE()),IF(AND(A491=0,B491=0,C491&lt;&gt;0),VLOOKUP(C491,'3 - LISTA DE ESPÉCIES'!C:H,4,FALSE()))))</f>
        <v>0</v>
      </c>
      <c r="F491" s="21" t="b">
        <f>IF(AND(A491&lt;&gt;0,B491=0,C491=0),VLOOKUP(A491,'3 - LISTA DE ESPÉCIES'!A:H,2,FALSE()),IF(AND(A491=0,B491&lt;&gt;0,C491=0),VLOOKUP(B491,'3 - LISTA DE ESPÉCIES'!B:H,6,FALSE()),IF(AND(A491=0,B491=0,C491&lt;&gt;0),VLOOKUP(C491,'3 - LISTA DE ESPÉCIES'!C:H,5,FALSE()))))</f>
        <v>0</v>
      </c>
      <c r="G491" s="21" t="b">
        <f>IF(AND(A491&lt;&gt;0,B491=0,C491=0),VLOOKUP(A491,'3 - LISTA DE ESPÉCIES'!A:H,3,FALSE()),IF(AND(A491=0,B491&lt;&gt;0,C491=0),VLOOKUP(B491,'3 - LISTA DE ESPÉCIES'!B:H,7,FALSE()),IF(AND(A491=0,B491=0,C491&lt;&gt;0),VLOOKUP(C491,'3 - LISTA DE ESPÉCIES'!C:H,6,FALSE()))))</f>
        <v>0</v>
      </c>
      <c r="H491" s="21" t="b">
        <f>IF(AND(A491&lt;&gt;0,B491=0,C491=0),VLOOKUP(A491,'3 - LISTA DE ESPÉCIES'!A:H,4,FALSE()),IF(AND(A491=0,B491&lt;&gt;0,C491=0),VLOOKUP(B491,'3 - LISTA DE ESPÉCIES'!B:H,3,FALSE()),IF(AND(A491=0,B491=0,C491&lt;&gt;0),VLOOKUP(C491,'3 - LISTA DE ESPÉCIES'!C:H,2,FALSE()))))</f>
        <v>0</v>
      </c>
      <c r="I491" s="21" t="b">
        <f>IF(AND(A491&lt;&gt;0,B491=0,C491=0),VLOOKUP(A491,'3 - LISTA DE ESPÉCIES'!A:H,5,FALSE()),IF(AND(A491=0,B491&lt;&gt;0,C491=0),VLOOKUP(B491,'3 - LISTA DE ESPÉCIES'!B:H,4,FALSE()),IF(AND(A491=0,B491=0,C491&lt;&gt;0),VLOOKUP(C491,'3 - LISTA DE ESPÉCIES'!C:H,3,FALSE()))))</f>
        <v>0</v>
      </c>
      <c r="J491" s="23"/>
      <c r="K491" s="23"/>
      <c r="L491" s="20"/>
      <c r="M491" s="20"/>
    </row>
    <row r="492" spans="1:13" x14ac:dyDescent="0.25">
      <c r="A492" s="20"/>
      <c r="B492" s="20"/>
      <c r="C492" s="20"/>
      <c r="E492" s="21" t="b">
        <f>IF(AND(A492&lt;&gt;0,B492=0,C492=0),VLOOKUP(A492,'3 - LISTA DE ESPÉCIES'!A:H,1,FALSE()),IF(AND(A492=0,B492&lt;&gt;0,C492=0),VLOOKUP(B492,'3 - LISTA DE ESPÉCIES'!B:H,5,FALSE()),IF(AND(A492=0,B492=0,C492&lt;&gt;0),VLOOKUP(C492,'3 - LISTA DE ESPÉCIES'!C:H,4,FALSE()))))</f>
        <v>0</v>
      </c>
      <c r="F492" s="21" t="b">
        <f>IF(AND(A492&lt;&gt;0,B492=0,C492=0),VLOOKUP(A492,'3 - LISTA DE ESPÉCIES'!A:H,2,FALSE()),IF(AND(A492=0,B492&lt;&gt;0,C492=0),VLOOKUP(B492,'3 - LISTA DE ESPÉCIES'!B:H,6,FALSE()),IF(AND(A492=0,B492=0,C492&lt;&gt;0),VLOOKUP(C492,'3 - LISTA DE ESPÉCIES'!C:H,5,FALSE()))))</f>
        <v>0</v>
      </c>
      <c r="G492" s="21" t="b">
        <f>IF(AND(A492&lt;&gt;0,B492=0,C492=0),VLOOKUP(A492,'3 - LISTA DE ESPÉCIES'!A:H,3,FALSE()),IF(AND(A492=0,B492&lt;&gt;0,C492=0),VLOOKUP(B492,'3 - LISTA DE ESPÉCIES'!B:H,7,FALSE()),IF(AND(A492=0,B492=0,C492&lt;&gt;0),VLOOKUP(C492,'3 - LISTA DE ESPÉCIES'!C:H,6,FALSE()))))</f>
        <v>0</v>
      </c>
      <c r="H492" s="21" t="b">
        <f>IF(AND(A492&lt;&gt;0,B492=0,C492=0),VLOOKUP(A492,'3 - LISTA DE ESPÉCIES'!A:H,4,FALSE()),IF(AND(A492=0,B492&lt;&gt;0,C492=0),VLOOKUP(B492,'3 - LISTA DE ESPÉCIES'!B:H,3,FALSE()),IF(AND(A492=0,B492=0,C492&lt;&gt;0),VLOOKUP(C492,'3 - LISTA DE ESPÉCIES'!C:H,2,FALSE()))))</f>
        <v>0</v>
      </c>
      <c r="I492" s="21" t="b">
        <f>IF(AND(A492&lt;&gt;0,B492=0,C492=0),VLOOKUP(A492,'3 - LISTA DE ESPÉCIES'!A:H,5,FALSE()),IF(AND(A492=0,B492&lt;&gt;0,C492=0),VLOOKUP(B492,'3 - LISTA DE ESPÉCIES'!B:H,4,FALSE()),IF(AND(A492=0,B492=0,C492&lt;&gt;0),VLOOKUP(C492,'3 - LISTA DE ESPÉCIES'!C:H,3,FALSE()))))</f>
        <v>0</v>
      </c>
      <c r="J492" s="23"/>
      <c r="K492" s="23"/>
      <c r="L492" s="20"/>
      <c r="M492" s="20"/>
    </row>
    <row r="493" spans="1:13" x14ac:dyDescent="0.25">
      <c r="A493" s="20"/>
      <c r="B493" s="20"/>
      <c r="C493" s="20"/>
      <c r="E493" s="21" t="b">
        <f>IF(AND(A493&lt;&gt;0,B493=0,C493=0),VLOOKUP(A493,'3 - LISTA DE ESPÉCIES'!A:H,1,FALSE()),IF(AND(A493=0,B493&lt;&gt;0,C493=0),VLOOKUP(B493,'3 - LISTA DE ESPÉCIES'!B:H,5,FALSE()),IF(AND(A493=0,B493=0,C493&lt;&gt;0),VLOOKUP(C493,'3 - LISTA DE ESPÉCIES'!C:H,4,FALSE()))))</f>
        <v>0</v>
      </c>
      <c r="F493" s="21" t="b">
        <f>IF(AND(A493&lt;&gt;0,B493=0,C493=0),VLOOKUP(A493,'3 - LISTA DE ESPÉCIES'!A:H,2,FALSE()),IF(AND(A493=0,B493&lt;&gt;0,C493=0),VLOOKUP(B493,'3 - LISTA DE ESPÉCIES'!B:H,6,FALSE()),IF(AND(A493=0,B493=0,C493&lt;&gt;0),VLOOKUP(C493,'3 - LISTA DE ESPÉCIES'!C:H,5,FALSE()))))</f>
        <v>0</v>
      </c>
      <c r="G493" s="21" t="b">
        <f>IF(AND(A493&lt;&gt;0,B493=0,C493=0),VLOOKUP(A493,'3 - LISTA DE ESPÉCIES'!A:H,3,FALSE()),IF(AND(A493=0,B493&lt;&gt;0,C493=0),VLOOKUP(B493,'3 - LISTA DE ESPÉCIES'!B:H,7,FALSE()),IF(AND(A493=0,B493=0,C493&lt;&gt;0),VLOOKUP(C493,'3 - LISTA DE ESPÉCIES'!C:H,6,FALSE()))))</f>
        <v>0</v>
      </c>
      <c r="H493" s="21" t="b">
        <f>IF(AND(A493&lt;&gt;0,B493=0,C493=0),VLOOKUP(A493,'3 - LISTA DE ESPÉCIES'!A:H,4,FALSE()),IF(AND(A493=0,B493&lt;&gt;0,C493=0),VLOOKUP(B493,'3 - LISTA DE ESPÉCIES'!B:H,3,FALSE()),IF(AND(A493=0,B493=0,C493&lt;&gt;0),VLOOKUP(C493,'3 - LISTA DE ESPÉCIES'!C:H,2,FALSE()))))</f>
        <v>0</v>
      </c>
      <c r="I493" s="21" t="b">
        <f>IF(AND(A493&lt;&gt;0,B493=0,C493=0),VLOOKUP(A493,'3 - LISTA DE ESPÉCIES'!A:H,5,FALSE()),IF(AND(A493=0,B493&lt;&gt;0,C493=0),VLOOKUP(B493,'3 - LISTA DE ESPÉCIES'!B:H,4,FALSE()),IF(AND(A493=0,B493=0,C493&lt;&gt;0),VLOOKUP(C493,'3 - LISTA DE ESPÉCIES'!C:H,3,FALSE()))))</f>
        <v>0</v>
      </c>
      <c r="J493" s="23"/>
      <c r="K493" s="23"/>
      <c r="L493" s="20"/>
      <c r="M493" s="20"/>
    </row>
    <row r="494" spans="1:13" x14ac:dyDescent="0.25">
      <c r="A494" s="20"/>
      <c r="B494" s="20"/>
      <c r="C494" s="20"/>
      <c r="E494" s="21" t="b">
        <f>IF(AND(A494&lt;&gt;0,B494=0,C494=0),VLOOKUP(A494,'3 - LISTA DE ESPÉCIES'!A:H,1,FALSE()),IF(AND(A494=0,B494&lt;&gt;0,C494=0),VLOOKUP(B494,'3 - LISTA DE ESPÉCIES'!B:H,5,FALSE()),IF(AND(A494=0,B494=0,C494&lt;&gt;0),VLOOKUP(C494,'3 - LISTA DE ESPÉCIES'!C:H,4,FALSE()))))</f>
        <v>0</v>
      </c>
      <c r="F494" s="21" t="b">
        <f>IF(AND(A494&lt;&gt;0,B494=0,C494=0),VLOOKUP(A494,'3 - LISTA DE ESPÉCIES'!A:H,2,FALSE()),IF(AND(A494=0,B494&lt;&gt;0,C494=0),VLOOKUP(B494,'3 - LISTA DE ESPÉCIES'!B:H,6,FALSE()),IF(AND(A494=0,B494=0,C494&lt;&gt;0),VLOOKUP(C494,'3 - LISTA DE ESPÉCIES'!C:H,5,FALSE()))))</f>
        <v>0</v>
      </c>
      <c r="G494" s="21" t="b">
        <f>IF(AND(A494&lt;&gt;0,B494=0,C494=0),VLOOKUP(A494,'3 - LISTA DE ESPÉCIES'!A:H,3,FALSE()),IF(AND(A494=0,B494&lt;&gt;0,C494=0),VLOOKUP(B494,'3 - LISTA DE ESPÉCIES'!B:H,7,FALSE()),IF(AND(A494=0,B494=0,C494&lt;&gt;0),VLOOKUP(C494,'3 - LISTA DE ESPÉCIES'!C:H,6,FALSE()))))</f>
        <v>0</v>
      </c>
      <c r="H494" s="21" t="b">
        <f>IF(AND(A494&lt;&gt;0,B494=0,C494=0),VLOOKUP(A494,'3 - LISTA DE ESPÉCIES'!A:H,4,FALSE()),IF(AND(A494=0,B494&lt;&gt;0,C494=0),VLOOKUP(B494,'3 - LISTA DE ESPÉCIES'!B:H,3,FALSE()),IF(AND(A494=0,B494=0,C494&lt;&gt;0),VLOOKUP(C494,'3 - LISTA DE ESPÉCIES'!C:H,2,FALSE()))))</f>
        <v>0</v>
      </c>
      <c r="I494" s="21" t="b">
        <f>IF(AND(A494&lt;&gt;0,B494=0,C494=0),VLOOKUP(A494,'3 - LISTA DE ESPÉCIES'!A:H,5,FALSE()),IF(AND(A494=0,B494&lt;&gt;0,C494=0),VLOOKUP(B494,'3 - LISTA DE ESPÉCIES'!B:H,4,FALSE()),IF(AND(A494=0,B494=0,C494&lt;&gt;0),VLOOKUP(C494,'3 - LISTA DE ESPÉCIES'!C:H,3,FALSE()))))</f>
        <v>0</v>
      </c>
      <c r="J494" s="23"/>
      <c r="K494" s="23"/>
      <c r="L494" s="20"/>
      <c r="M494" s="20"/>
    </row>
    <row r="495" spans="1:13" x14ac:dyDescent="0.25">
      <c r="A495" s="20"/>
      <c r="B495" s="20"/>
      <c r="C495" s="20"/>
      <c r="E495" s="21" t="b">
        <f>IF(AND(A495&lt;&gt;0,B495=0,C495=0),VLOOKUP(A495,'3 - LISTA DE ESPÉCIES'!A:H,1,FALSE()),IF(AND(A495=0,B495&lt;&gt;0,C495=0),VLOOKUP(B495,'3 - LISTA DE ESPÉCIES'!B:H,5,FALSE()),IF(AND(A495=0,B495=0,C495&lt;&gt;0),VLOOKUP(C495,'3 - LISTA DE ESPÉCIES'!C:H,4,FALSE()))))</f>
        <v>0</v>
      </c>
      <c r="F495" s="21" t="b">
        <f>IF(AND(A495&lt;&gt;0,B495=0,C495=0),VLOOKUP(A495,'3 - LISTA DE ESPÉCIES'!A:H,2,FALSE()),IF(AND(A495=0,B495&lt;&gt;0,C495=0),VLOOKUP(B495,'3 - LISTA DE ESPÉCIES'!B:H,6,FALSE()),IF(AND(A495=0,B495=0,C495&lt;&gt;0),VLOOKUP(C495,'3 - LISTA DE ESPÉCIES'!C:H,5,FALSE()))))</f>
        <v>0</v>
      </c>
      <c r="G495" s="21" t="b">
        <f>IF(AND(A495&lt;&gt;0,B495=0,C495=0),VLOOKUP(A495,'3 - LISTA DE ESPÉCIES'!A:H,3,FALSE()),IF(AND(A495=0,B495&lt;&gt;0,C495=0),VLOOKUP(B495,'3 - LISTA DE ESPÉCIES'!B:H,7,FALSE()),IF(AND(A495=0,B495=0,C495&lt;&gt;0),VLOOKUP(C495,'3 - LISTA DE ESPÉCIES'!C:H,6,FALSE()))))</f>
        <v>0</v>
      </c>
      <c r="H495" s="21" t="b">
        <f>IF(AND(A495&lt;&gt;0,B495=0,C495=0),VLOOKUP(A495,'3 - LISTA DE ESPÉCIES'!A:H,4,FALSE()),IF(AND(A495=0,B495&lt;&gt;0,C495=0),VLOOKUP(B495,'3 - LISTA DE ESPÉCIES'!B:H,3,FALSE()),IF(AND(A495=0,B495=0,C495&lt;&gt;0),VLOOKUP(C495,'3 - LISTA DE ESPÉCIES'!C:H,2,FALSE()))))</f>
        <v>0</v>
      </c>
      <c r="I495" s="21" t="b">
        <f>IF(AND(A495&lt;&gt;0,B495=0,C495=0),VLOOKUP(A495,'3 - LISTA DE ESPÉCIES'!A:H,5,FALSE()),IF(AND(A495=0,B495&lt;&gt;0,C495=0),VLOOKUP(B495,'3 - LISTA DE ESPÉCIES'!B:H,4,FALSE()),IF(AND(A495=0,B495=0,C495&lt;&gt;0),VLOOKUP(C495,'3 - LISTA DE ESPÉCIES'!C:H,3,FALSE()))))</f>
        <v>0</v>
      </c>
      <c r="J495" s="23"/>
      <c r="K495" s="23"/>
      <c r="L495" s="20"/>
      <c r="M495" s="20"/>
    </row>
    <row r="496" spans="1:13" x14ac:dyDescent="0.25">
      <c r="A496" s="20"/>
      <c r="B496" s="20"/>
      <c r="C496" s="20"/>
      <c r="E496" s="21" t="b">
        <f>IF(AND(A496&lt;&gt;0,B496=0,C496=0),VLOOKUP(A496,'3 - LISTA DE ESPÉCIES'!A:H,1,FALSE()),IF(AND(A496=0,B496&lt;&gt;0,C496=0),VLOOKUP(B496,'3 - LISTA DE ESPÉCIES'!B:H,5,FALSE()),IF(AND(A496=0,B496=0,C496&lt;&gt;0),VLOOKUP(C496,'3 - LISTA DE ESPÉCIES'!C:H,4,FALSE()))))</f>
        <v>0</v>
      </c>
      <c r="F496" s="21" t="b">
        <f>IF(AND(A496&lt;&gt;0,B496=0,C496=0),VLOOKUP(A496,'3 - LISTA DE ESPÉCIES'!A:H,2,FALSE()),IF(AND(A496=0,B496&lt;&gt;0,C496=0),VLOOKUP(B496,'3 - LISTA DE ESPÉCIES'!B:H,6,FALSE()),IF(AND(A496=0,B496=0,C496&lt;&gt;0),VLOOKUP(C496,'3 - LISTA DE ESPÉCIES'!C:H,5,FALSE()))))</f>
        <v>0</v>
      </c>
      <c r="G496" s="21" t="b">
        <f>IF(AND(A496&lt;&gt;0,B496=0,C496=0),VLOOKUP(A496,'3 - LISTA DE ESPÉCIES'!A:H,3,FALSE()),IF(AND(A496=0,B496&lt;&gt;0,C496=0),VLOOKUP(B496,'3 - LISTA DE ESPÉCIES'!B:H,7,FALSE()),IF(AND(A496=0,B496=0,C496&lt;&gt;0),VLOOKUP(C496,'3 - LISTA DE ESPÉCIES'!C:H,6,FALSE()))))</f>
        <v>0</v>
      </c>
      <c r="H496" s="21" t="b">
        <f>IF(AND(A496&lt;&gt;0,B496=0,C496=0),VLOOKUP(A496,'3 - LISTA DE ESPÉCIES'!A:H,4,FALSE()),IF(AND(A496=0,B496&lt;&gt;0,C496=0),VLOOKUP(B496,'3 - LISTA DE ESPÉCIES'!B:H,3,FALSE()),IF(AND(A496=0,B496=0,C496&lt;&gt;0),VLOOKUP(C496,'3 - LISTA DE ESPÉCIES'!C:H,2,FALSE()))))</f>
        <v>0</v>
      </c>
      <c r="I496" s="21" t="b">
        <f>IF(AND(A496&lt;&gt;0,B496=0,C496=0),VLOOKUP(A496,'3 - LISTA DE ESPÉCIES'!A:H,5,FALSE()),IF(AND(A496=0,B496&lt;&gt;0,C496=0),VLOOKUP(B496,'3 - LISTA DE ESPÉCIES'!B:H,4,FALSE()),IF(AND(A496=0,B496=0,C496&lt;&gt;0),VLOOKUP(C496,'3 - LISTA DE ESPÉCIES'!C:H,3,FALSE()))))</f>
        <v>0</v>
      </c>
      <c r="J496" s="23"/>
      <c r="K496" s="23"/>
      <c r="L496" s="20"/>
      <c r="M496" s="20"/>
    </row>
    <row r="497" spans="1:13" x14ac:dyDescent="0.25">
      <c r="A497" s="20"/>
      <c r="B497" s="20"/>
      <c r="C497" s="20"/>
      <c r="E497" s="21" t="b">
        <f>IF(AND(A497&lt;&gt;0,B497=0,C497=0),VLOOKUP(A497,'3 - LISTA DE ESPÉCIES'!A:H,1,FALSE()),IF(AND(A497=0,B497&lt;&gt;0,C497=0),VLOOKUP(B497,'3 - LISTA DE ESPÉCIES'!B:H,5,FALSE()),IF(AND(A497=0,B497=0,C497&lt;&gt;0),VLOOKUP(C497,'3 - LISTA DE ESPÉCIES'!C:H,4,FALSE()))))</f>
        <v>0</v>
      </c>
      <c r="F497" s="21" t="b">
        <f>IF(AND(A497&lt;&gt;0,B497=0,C497=0),VLOOKUP(A497,'3 - LISTA DE ESPÉCIES'!A:H,2,FALSE()),IF(AND(A497=0,B497&lt;&gt;0,C497=0),VLOOKUP(B497,'3 - LISTA DE ESPÉCIES'!B:H,6,FALSE()),IF(AND(A497=0,B497=0,C497&lt;&gt;0),VLOOKUP(C497,'3 - LISTA DE ESPÉCIES'!C:H,5,FALSE()))))</f>
        <v>0</v>
      </c>
      <c r="G497" s="21" t="b">
        <f>IF(AND(A497&lt;&gt;0,B497=0,C497=0),VLOOKUP(A497,'3 - LISTA DE ESPÉCIES'!A:H,3,FALSE()),IF(AND(A497=0,B497&lt;&gt;0,C497=0),VLOOKUP(B497,'3 - LISTA DE ESPÉCIES'!B:H,7,FALSE()),IF(AND(A497=0,B497=0,C497&lt;&gt;0),VLOOKUP(C497,'3 - LISTA DE ESPÉCIES'!C:H,6,FALSE()))))</f>
        <v>0</v>
      </c>
      <c r="H497" s="21" t="b">
        <f>IF(AND(A497&lt;&gt;0,B497=0,C497=0),VLOOKUP(A497,'3 - LISTA DE ESPÉCIES'!A:H,4,FALSE()),IF(AND(A497=0,B497&lt;&gt;0,C497=0),VLOOKUP(B497,'3 - LISTA DE ESPÉCIES'!B:H,3,FALSE()),IF(AND(A497=0,B497=0,C497&lt;&gt;0),VLOOKUP(C497,'3 - LISTA DE ESPÉCIES'!C:H,2,FALSE()))))</f>
        <v>0</v>
      </c>
      <c r="I497" s="21" t="b">
        <f>IF(AND(A497&lt;&gt;0,B497=0,C497=0),VLOOKUP(A497,'3 - LISTA DE ESPÉCIES'!A:H,5,FALSE()),IF(AND(A497=0,B497&lt;&gt;0,C497=0),VLOOKUP(B497,'3 - LISTA DE ESPÉCIES'!B:H,4,FALSE()),IF(AND(A497=0,B497=0,C497&lt;&gt;0),VLOOKUP(C497,'3 - LISTA DE ESPÉCIES'!C:H,3,FALSE()))))</f>
        <v>0</v>
      </c>
      <c r="J497" s="23"/>
      <c r="K497" s="23"/>
      <c r="L497" s="20"/>
      <c r="M497" s="20"/>
    </row>
    <row r="498" spans="1:13" x14ac:dyDescent="0.25">
      <c r="A498" s="20"/>
      <c r="B498" s="20"/>
      <c r="C498" s="20"/>
      <c r="E498" s="21" t="b">
        <f>IF(AND(A498&lt;&gt;0,B498=0,C498=0),VLOOKUP(A498,'3 - LISTA DE ESPÉCIES'!A:H,1,FALSE()),IF(AND(A498=0,B498&lt;&gt;0,C498=0),VLOOKUP(B498,'3 - LISTA DE ESPÉCIES'!B:H,5,FALSE()),IF(AND(A498=0,B498=0,C498&lt;&gt;0),VLOOKUP(C498,'3 - LISTA DE ESPÉCIES'!C:H,4,FALSE()))))</f>
        <v>0</v>
      </c>
      <c r="F498" s="21" t="b">
        <f>IF(AND(A498&lt;&gt;0,B498=0,C498=0),VLOOKUP(A498,'3 - LISTA DE ESPÉCIES'!A:H,2,FALSE()),IF(AND(A498=0,B498&lt;&gt;0,C498=0),VLOOKUP(B498,'3 - LISTA DE ESPÉCIES'!B:H,6,FALSE()),IF(AND(A498=0,B498=0,C498&lt;&gt;0),VLOOKUP(C498,'3 - LISTA DE ESPÉCIES'!C:H,5,FALSE()))))</f>
        <v>0</v>
      </c>
      <c r="G498" s="21" t="b">
        <f>IF(AND(A498&lt;&gt;0,B498=0,C498=0),VLOOKUP(A498,'3 - LISTA DE ESPÉCIES'!A:H,3,FALSE()),IF(AND(A498=0,B498&lt;&gt;0,C498=0),VLOOKUP(B498,'3 - LISTA DE ESPÉCIES'!B:H,7,FALSE()),IF(AND(A498=0,B498=0,C498&lt;&gt;0),VLOOKUP(C498,'3 - LISTA DE ESPÉCIES'!C:H,6,FALSE()))))</f>
        <v>0</v>
      </c>
      <c r="H498" s="21" t="b">
        <f>IF(AND(A498&lt;&gt;0,B498=0,C498=0),VLOOKUP(A498,'3 - LISTA DE ESPÉCIES'!A:H,4,FALSE()),IF(AND(A498=0,B498&lt;&gt;0,C498=0),VLOOKUP(B498,'3 - LISTA DE ESPÉCIES'!B:H,3,FALSE()),IF(AND(A498=0,B498=0,C498&lt;&gt;0),VLOOKUP(C498,'3 - LISTA DE ESPÉCIES'!C:H,2,FALSE()))))</f>
        <v>0</v>
      </c>
      <c r="I498" s="21" t="b">
        <f>IF(AND(A498&lt;&gt;0,B498=0,C498=0),VLOOKUP(A498,'3 - LISTA DE ESPÉCIES'!A:H,5,FALSE()),IF(AND(A498=0,B498&lt;&gt;0,C498=0),VLOOKUP(B498,'3 - LISTA DE ESPÉCIES'!B:H,4,FALSE()),IF(AND(A498=0,B498=0,C498&lt;&gt;0),VLOOKUP(C498,'3 - LISTA DE ESPÉCIES'!C:H,3,FALSE()))))</f>
        <v>0</v>
      </c>
      <c r="J498" s="23"/>
      <c r="K498" s="23"/>
      <c r="L498" s="20"/>
      <c r="M498" s="20"/>
    </row>
    <row r="499" spans="1:13" x14ac:dyDescent="0.25">
      <c r="A499" s="20"/>
      <c r="B499" s="20"/>
      <c r="C499" s="20"/>
      <c r="E499" s="21" t="b">
        <f>IF(AND(A499&lt;&gt;0,B499=0,C499=0),VLOOKUP(A499,'3 - LISTA DE ESPÉCIES'!A:H,1,FALSE()),IF(AND(A499=0,B499&lt;&gt;0,C499=0),VLOOKUP(B499,'3 - LISTA DE ESPÉCIES'!B:H,5,FALSE()),IF(AND(A499=0,B499=0,C499&lt;&gt;0),VLOOKUP(C499,'3 - LISTA DE ESPÉCIES'!C:H,4,FALSE()))))</f>
        <v>0</v>
      </c>
      <c r="F499" s="21" t="b">
        <f>IF(AND(A499&lt;&gt;0,B499=0,C499=0),VLOOKUP(A499,'3 - LISTA DE ESPÉCIES'!A:H,2,FALSE()),IF(AND(A499=0,B499&lt;&gt;0,C499=0),VLOOKUP(B499,'3 - LISTA DE ESPÉCIES'!B:H,6,FALSE()),IF(AND(A499=0,B499=0,C499&lt;&gt;0),VLOOKUP(C499,'3 - LISTA DE ESPÉCIES'!C:H,5,FALSE()))))</f>
        <v>0</v>
      </c>
      <c r="G499" s="21" t="b">
        <f>IF(AND(A499&lt;&gt;0,B499=0,C499=0),VLOOKUP(A499,'3 - LISTA DE ESPÉCIES'!A:H,3,FALSE()),IF(AND(A499=0,B499&lt;&gt;0,C499=0),VLOOKUP(B499,'3 - LISTA DE ESPÉCIES'!B:H,7,FALSE()),IF(AND(A499=0,B499=0,C499&lt;&gt;0),VLOOKUP(C499,'3 - LISTA DE ESPÉCIES'!C:H,6,FALSE()))))</f>
        <v>0</v>
      </c>
      <c r="H499" s="21" t="b">
        <f>IF(AND(A499&lt;&gt;0,B499=0,C499=0),VLOOKUP(A499,'3 - LISTA DE ESPÉCIES'!A:H,4,FALSE()),IF(AND(A499=0,B499&lt;&gt;0,C499=0),VLOOKUP(B499,'3 - LISTA DE ESPÉCIES'!B:H,3,FALSE()),IF(AND(A499=0,B499=0,C499&lt;&gt;0),VLOOKUP(C499,'3 - LISTA DE ESPÉCIES'!C:H,2,FALSE()))))</f>
        <v>0</v>
      </c>
      <c r="I499" s="21" t="b">
        <f>IF(AND(A499&lt;&gt;0,B499=0,C499=0),VLOOKUP(A499,'3 - LISTA DE ESPÉCIES'!A:H,5,FALSE()),IF(AND(A499=0,B499&lt;&gt;0,C499=0),VLOOKUP(B499,'3 - LISTA DE ESPÉCIES'!B:H,4,FALSE()),IF(AND(A499=0,B499=0,C499&lt;&gt;0),VLOOKUP(C499,'3 - LISTA DE ESPÉCIES'!C:H,3,FALSE()))))</f>
        <v>0</v>
      </c>
      <c r="J499" s="23"/>
      <c r="K499" s="23"/>
      <c r="L499" s="20"/>
      <c r="M499" s="20"/>
    </row>
    <row r="500" spans="1:13" x14ac:dyDescent="0.25">
      <c r="A500" s="20"/>
      <c r="B500" s="20"/>
      <c r="C500" s="20"/>
      <c r="E500" s="21" t="b">
        <f>IF(AND(A500&lt;&gt;0,B500=0,C500=0),VLOOKUP(A500,'3 - LISTA DE ESPÉCIES'!A:H,1,FALSE()),IF(AND(A500=0,B500&lt;&gt;0,C500=0),VLOOKUP(B500,'3 - LISTA DE ESPÉCIES'!B:H,5,FALSE()),IF(AND(A500=0,B500=0,C500&lt;&gt;0),VLOOKUP(C500,'3 - LISTA DE ESPÉCIES'!C:H,4,FALSE()))))</f>
        <v>0</v>
      </c>
      <c r="F500" s="21" t="b">
        <f>IF(AND(A500&lt;&gt;0,B500=0,C500=0),VLOOKUP(A500,'3 - LISTA DE ESPÉCIES'!A:H,2,FALSE()),IF(AND(A500=0,B500&lt;&gt;0,C500=0),VLOOKUP(B500,'3 - LISTA DE ESPÉCIES'!B:H,6,FALSE()),IF(AND(A500=0,B500=0,C500&lt;&gt;0),VLOOKUP(C500,'3 - LISTA DE ESPÉCIES'!C:H,5,FALSE()))))</f>
        <v>0</v>
      </c>
      <c r="G500" s="21" t="b">
        <f>IF(AND(A500&lt;&gt;0,B500=0,C500=0),VLOOKUP(A500,'3 - LISTA DE ESPÉCIES'!A:H,3,FALSE()),IF(AND(A500=0,B500&lt;&gt;0,C500=0),VLOOKUP(B500,'3 - LISTA DE ESPÉCIES'!B:H,7,FALSE()),IF(AND(A500=0,B500=0,C500&lt;&gt;0),VLOOKUP(C500,'3 - LISTA DE ESPÉCIES'!C:H,6,FALSE()))))</f>
        <v>0</v>
      </c>
      <c r="H500" s="21" t="b">
        <f>IF(AND(A500&lt;&gt;0,B500=0,C500=0),VLOOKUP(A500,'3 - LISTA DE ESPÉCIES'!A:H,4,FALSE()),IF(AND(A500=0,B500&lt;&gt;0,C500=0),VLOOKUP(B500,'3 - LISTA DE ESPÉCIES'!B:H,3,FALSE()),IF(AND(A500=0,B500=0,C500&lt;&gt;0),VLOOKUP(C500,'3 - LISTA DE ESPÉCIES'!C:H,2,FALSE()))))</f>
        <v>0</v>
      </c>
      <c r="I500" s="21" t="b">
        <f>IF(AND(A500&lt;&gt;0,B500=0,C500=0),VLOOKUP(A500,'3 - LISTA DE ESPÉCIES'!A:H,5,FALSE()),IF(AND(A500=0,B500&lt;&gt;0,C500=0),VLOOKUP(B500,'3 - LISTA DE ESPÉCIES'!B:H,4,FALSE()),IF(AND(A500=0,B500=0,C500&lt;&gt;0),VLOOKUP(C500,'3 - LISTA DE ESPÉCIES'!C:H,3,FALSE()))))</f>
        <v>0</v>
      </c>
      <c r="J500" s="23"/>
      <c r="K500" s="23"/>
      <c r="L500" s="20"/>
      <c r="M500" s="20"/>
    </row>
    <row r="501" spans="1:13" x14ac:dyDescent="0.25">
      <c r="A501" s="20"/>
      <c r="B501" s="20"/>
      <c r="C501" s="20"/>
      <c r="E501" s="21" t="b">
        <f>IF(AND(A501&lt;&gt;0,B501=0,C501=0),VLOOKUP(A501,'3 - LISTA DE ESPÉCIES'!A:H,1,FALSE()),IF(AND(A501=0,B501&lt;&gt;0,C501=0),VLOOKUP(B501,'3 - LISTA DE ESPÉCIES'!B:H,5,FALSE()),IF(AND(A501=0,B501=0,C501&lt;&gt;0),VLOOKUP(C501,'3 - LISTA DE ESPÉCIES'!C:H,4,FALSE()))))</f>
        <v>0</v>
      </c>
      <c r="F501" s="21" t="b">
        <f>IF(AND(A501&lt;&gt;0,B501=0,C501=0),VLOOKUP(A501,'3 - LISTA DE ESPÉCIES'!A:H,2,FALSE()),IF(AND(A501=0,B501&lt;&gt;0,C501=0),VLOOKUP(B501,'3 - LISTA DE ESPÉCIES'!B:H,6,FALSE()),IF(AND(A501=0,B501=0,C501&lt;&gt;0),VLOOKUP(C501,'3 - LISTA DE ESPÉCIES'!C:H,5,FALSE()))))</f>
        <v>0</v>
      </c>
      <c r="G501" s="21" t="b">
        <f>IF(AND(A501&lt;&gt;0,B501=0,C501=0),VLOOKUP(A501,'3 - LISTA DE ESPÉCIES'!A:H,3,FALSE()),IF(AND(A501=0,B501&lt;&gt;0,C501=0),VLOOKUP(B501,'3 - LISTA DE ESPÉCIES'!B:H,7,FALSE()),IF(AND(A501=0,B501=0,C501&lt;&gt;0),VLOOKUP(C501,'3 - LISTA DE ESPÉCIES'!C:H,6,FALSE()))))</f>
        <v>0</v>
      </c>
      <c r="H501" s="21" t="b">
        <f>IF(AND(A501&lt;&gt;0,B501=0,C501=0),VLOOKUP(A501,'3 - LISTA DE ESPÉCIES'!A:H,4,FALSE()),IF(AND(A501=0,B501&lt;&gt;0,C501=0),VLOOKUP(B501,'3 - LISTA DE ESPÉCIES'!B:H,3,FALSE()),IF(AND(A501=0,B501=0,C501&lt;&gt;0),VLOOKUP(C501,'3 - LISTA DE ESPÉCIES'!C:H,2,FALSE()))))</f>
        <v>0</v>
      </c>
      <c r="I501" s="21" t="b">
        <f>IF(AND(A501&lt;&gt;0,B501=0,C501=0),VLOOKUP(A501,'3 - LISTA DE ESPÉCIES'!A:H,5,FALSE()),IF(AND(A501=0,B501&lt;&gt;0,C501=0),VLOOKUP(B501,'3 - LISTA DE ESPÉCIES'!B:H,4,FALSE()),IF(AND(A501=0,B501=0,C501&lt;&gt;0),VLOOKUP(C501,'3 - LISTA DE ESPÉCIES'!C:H,3,FALSE()))))</f>
        <v>0</v>
      </c>
      <c r="J501" s="23"/>
      <c r="K501" s="23"/>
      <c r="L501" s="20"/>
      <c r="M501" s="20"/>
    </row>
    <row r="502" spans="1:13" x14ac:dyDescent="0.25">
      <c r="A502" s="20"/>
      <c r="B502" s="20"/>
      <c r="C502" s="20"/>
      <c r="E502" s="21" t="b">
        <f>IF(AND(A502&lt;&gt;0,B502=0,C502=0),VLOOKUP(A502,'3 - LISTA DE ESPÉCIES'!A:H,1,FALSE()),IF(AND(A502=0,B502&lt;&gt;0,C502=0),VLOOKUP(B502,'3 - LISTA DE ESPÉCIES'!B:H,5,FALSE()),IF(AND(A502=0,B502=0,C502&lt;&gt;0),VLOOKUP(C502,'3 - LISTA DE ESPÉCIES'!C:H,4,FALSE()))))</f>
        <v>0</v>
      </c>
      <c r="F502" s="21" t="b">
        <f>IF(AND(A502&lt;&gt;0,B502=0,C502=0),VLOOKUP(A502,'3 - LISTA DE ESPÉCIES'!A:H,2,FALSE()),IF(AND(A502=0,B502&lt;&gt;0,C502=0),VLOOKUP(B502,'3 - LISTA DE ESPÉCIES'!B:H,6,FALSE()),IF(AND(A502=0,B502=0,C502&lt;&gt;0),VLOOKUP(C502,'3 - LISTA DE ESPÉCIES'!C:H,5,FALSE()))))</f>
        <v>0</v>
      </c>
      <c r="G502" s="21" t="b">
        <f>IF(AND(A502&lt;&gt;0,B502=0,C502=0),VLOOKUP(A502,'3 - LISTA DE ESPÉCIES'!A:H,3,FALSE()),IF(AND(A502=0,B502&lt;&gt;0,C502=0),VLOOKUP(B502,'3 - LISTA DE ESPÉCIES'!B:H,7,FALSE()),IF(AND(A502=0,B502=0,C502&lt;&gt;0),VLOOKUP(C502,'3 - LISTA DE ESPÉCIES'!C:H,6,FALSE()))))</f>
        <v>0</v>
      </c>
      <c r="H502" s="21" t="b">
        <f>IF(AND(A502&lt;&gt;0,B502=0,C502=0),VLOOKUP(A502,'3 - LISTA DE ESPÉCIES'!A:H,4,FALSE()),IF(AND(A502=0,B502&lt;&gt;0,C502=0),VLOOKUP(B502,'3 - LISTA DE ESPÉCIES'!B:H,3,FALSE()),IF(AND(A502=0,B502=0,C502&lt;&gt;0),VLOOKUP(C502,'3 - LISTA DE ESPÉCIES'!C:H,2,FALSE()))))</f>
        <v>0</v>
      </c>
      <c r="I502" s="21" t="b">
        <f>IF(AND(A502&lt;&gt;0,B502=0,C502=0),VLOOKUP(A502,'3 - LISTA DE ESPÉCIES'!A:H,5,FALSE()),IF(AND(A502=0,B502&lt;&gt;0,C502=0),VLOOKUP(B502,'3 - LISTA DE ESPÉCIES'!B:H,4,FALSE()),IF(AND(A502=0,B502=0,C502&lt;&gt;0),VLOOKUP(C502,'3 - LISTA DE ESPÉCIES'!C:H,3,FALSE()))))</f>
        <v>0</v>
      </c>
      <c r="J502" s="23"/>
      <c r="K502" s="23"/>
      <c r="L502" s="20"/>
      <c r="M502" s="20"/>
    </row>
    <row r="503" spans="1:13" x14ac:dyDescent="0.25">
      <c r="A503" s="20"/>
      <c r="B503" s="20"/>
      <c r="C503" s="20"/>
      <c r="E503" s="21" t="b">
        <f>IF(AND(A503&lt;&gt;0,B503=0,C503=0),VLOOKUP(A503,'3 - LISTA DE ESPÉCIES'!A:H,1,FALSE()),IF(AND(A503=0,B503&lt;&gt;0,C503=0),VLOOKUP(B503,'3 - LISTA DE ESPÉCIES'!B:H,5,FALSE()),IF(AND(A503=0,B503=0,C503&lt;&gt;0),VLOOKUP(C503,'3 - LISTA DE ESPÉCIES'!C:H,4,FALSE()))))</f>
        <v>0</v>
      </c>
      <c r="F503" s="21" t="b">
        <f>IF(AND(A503&lt;&gt;0,B503=0,C503=0),VLOOKUP(A503,'3 - LISTA DE ESPÉCIES'!A:H,2,FALSE()),IF(AND(A503=0,B503&lt;&gt;0,C503=0),VLOOKUP(B503,'3 - LISTA DE ESPÉCIES'!B:H,6,FALSE()),IF(AND(A503=0,B503=0,C503&lt;&gt;0),VLOOKUP(C503,'3 - LISTA DE ESPÉCIES'!C:H,5,FALSE()))))</f>
        <v>0</v>
      </c>
      <c r="G503" s="21" t="b">
        <f>IF(AND(A503&lt;&gt;0,B503=0,C503=0),VLOOKUP(A503,'3 - LISTA DE ESPÉCIES'!A:H,3,FALSE()),IF(AND(A503=0,B503&lt;&gt;0,C503=0),VLOOKUP(B503,'3 - LISTA DE ESPÉCIES'!B:H,7,FALSE()),IF(AND(A503=0,B503=0,C503&lt;&gt;0),VLOOKUP(C503,'3 - LISTA DE ESPÉCIES'!C:H,6,FALSE()))))</f>
        <v>0</v>
      </c>
      <c r="H503" s="21" t="b">
        <f>IF(AND(A503&lt;&gt;0,B503=0,C503=0),VLOOKUP(A503,'3 - LISTA DE ESPÉCIES'!A:H,4,FALSE()),IF(AND(A503=0,B503&lt;&gt;0,C503=0),VLOOKUP(B503,'3 - LISTA DE ESPÉCIES'!B:H,3,FALSE()),IF(AND(A503=0,B503=0,C503&lt;&gt;0),VLOOKUP(C503,'3 - LISTA DE ESPÉCIES'!C:H,2,FALSE()))))</f>
        <v>0</v>
      </c>
      <c r="I503" s="21" t="b">
        <f>IF(AND(A503&lt;&gt;0,B503=0,C503=0),VLOOKUP(A503,'3 - LISTA DE ESPÉCIES'!A:H,5,FALSE()),IF(AND(A503=0,B503&lt;&gt;0,C503=0),VLOOKUP(B503,'3 - LISTA DE ESPÉCIES'!B:H,4,FALSE()),IF(AND(A503=0,B503=0,C503&lt;&gt;0),VLOOKUP(C503,'3 - LISTA DE ESPÉCIES'!C:H,3,FALSE()))))</f>
        <v>0</v>
      </c>
      <c r="J503" s="23"/>
      <c r="K503" s="23"/>
      <c r="L503" s="20"/>
      <c r="M503" s="20"/>
    </row>
    <row r="504" spans="1:13" x14ac:dyDescent="0.25">
      <c r="A504" s="20"/>
      <c r="B504" s="20"/>
      <c r="C504" s="20"/>
      <c r="E504" s="21" t="b">
        <f>IF(AND(A504&lt;&gt;0,B504=0,C504=0),VLOOKUP(A504,'3 - LISTA DE ESPÉCIES'!A:H,1,FALSE()),IF(AND(A504=0,B504&lt;&gt;0,C504=0),VLOOKUP(B504,'3 - LISTA DE ESPÉCIES'!B:H,5,FALSE()),IF(AND(A504=0,B504=0,C504&lt;&gt;0),VLOOKUP(C504,'3 - LISTA DE ESPÉCIES'!C:H,4,FALSE()))))</f>
        <v>0</v>
      </c>
      <c r="F504" s="21" t="b">
        <f>IF(AND(A504&lt;&gt;0,B504=0,C504=0),VLOOKUP(A504,'3 - LISTA DE ESPÉCIES'!A:H,2,FALSE()),IF(AND(A504=0,B504&lt;&gt;0,C504=0),VLOOKUP(B504,'3 - LISTA DE ESPÉCIES'!B:H,6,FALSE()),IF(AND(A504=0,B504=0,C504&lt;&gt;0),VLOOKUP(C504,'3 - LISTA DE ESPÉCIES'!C:H,5,FALSE()))))</f>
        <v>0</v>
      </c>
      <c r="G504" s="21" t="b">
        <f>IF(AND(A504&lt;&gt;0,B504=0,C504=0),VLOOKUP(A504,'3 - LISTA DE ESPÉCIES'!A:H,3,FALSE()),IF(AND(A504=0,B504&lt;&gt;0,C504=0),VLOOKUP(B504,'3 - LISTA DE ESPÉCIES'!B:H,7,FALSE()),IF(AND(A504=0,B504=0,C504&lt;&gt;0),VLOOKUP(C504,'3 - LISTA DE ESPÉCIES'!C:H,6,FALSE()))))</f>
        <v>0</v>
      </c>
      <c r="H504" s="21" t="b">
        <f>IF(AND(A504&lt;&gt;0,B504=0,C504=0),VLOOKUP(A504,'3 - LISTA DE ESPÉCIES'!A:H,4,FALSE()),IF(AND(A504=0,B504&lt;&gt;0,C504=0),VLOOKUP(B504,'3 - LISTA DE ESPÉCIES'!B:H,3,FALSE()),IF(AND(A504=0,B504=0,C504&lt;&gt;0),VLOOKUP(C504,'3 - LISTA DE ESPÉCIES'!C:H,2,FALSE()))))</f>
        <v>0</v>
      </c>
      <c r="I504" s="21" t="b">
        <f>IF(AND(A504&lt;&gt;0,B504=0,C504=0),VLOOKUP(A504,'3 - LISTA DE ESPÉCIES'!A:H,5,FALSE()),IF(AND(A504=0,B504&lt;&gt;0,C504=0),VLOOKUP(B504,'3 - LISTA DE ESPÉCIES'!B:H,4,FALSE()),IF(AND(A504=0,B504=0,C504&lt;&gt;0),VLOOKUP(C504,'3 - LISTA DE ESPÉCIES'!C:H,3,FALSE()))))</f>
        <v>0</v>
      </c>
      <c r="J504" s="23"/>
      <c r="K504" s="23"/>
      <c r="L504" s="20"/>
      <c r="M504" s="20"/>
    </row>
    <row r="505" spans="1:13" x14ac:dyDescent="0.25">
      <c r="A505" s="20"/>
      <c r="B505" s="20"/>
      <c r="C505" s="20"/>
      <c r="E505" s="21" t="b">
        <f>IF(AND(A505&lt;&gt;0,B505=0,C505=0),VLOOKUP(A505,'3 - LISTA DE ESPÉCIES'!A:H,1,FALSE()),IF(AND(A505=0,B505&lt;&gt;0,C505=0),VLOOKUP(B505,'3 - LISTA DE ESPÉCIES'!B:H,5,FALSE()),IF(AND(A505=0,B505=0,C505&lt;&gt;0),VLOOKUP(C505,'3 - LISTA DE ESPÉCIES'!C:H,4,FALSE()))))</f>
        <v>0</v>
      </c>
      <c r="F505" s="21" t="b">
        <f>IF(AND(A505&lt;&gt;0,B505=0,C505=0),VLOOKUP(A505,'3 - LISTA DE ESPÉCIES'!A:H,2,FALSE()),IF(AND(A505=0,B505&lt;&gt;0,C505=0),VLOOKUP(B505,'3 - LISTA DE ESPÉCIES'!B:H,6,FALSE()),IF(AND(A505=0,B505=0,C505&lt;&gt;0),VLOOKUP(C505,'3 - LISTA DE ESPÉCIES'!C:H,5,FALSE()))))</f>
        <v>0</v>
      </c>
      <c r="G505" s="21" t="b">
        <f>IF(AND(A505&lt;&gt;0,B505=0,C505=0),VLOOKUP(A505,'3 - LISTA DE ESPÉCIES'!A:H,3,FALSE()),IF(AND(A505=0,B505&lt;&gt;0,C505=0),VLOOKUP(B505,'3 - LISTA DE ESPÉCIES'!B:H,7,FALSE()),IF(AND(A505=0,B505=0,C505&lt;&gt;0),VLOOKUP(C505,'3 - LISTA DE ESPÉCIES'!C:H,6,FALSE()))))</f>
        <v>0</v>
      </c>
      <c r="H505" s="21" t="b">
        <f>IF(AND(A505&lt;&gt;0,B505=0,C505=0),VLOOKUP(A505,'3 - LISTA DE ESPÉCIES'!A:H,4,FALSE()),IF(AND(A505=0,B505&lt;&gt;0,C505=0),VLOOKUP(B505,'3 - LISTA DE ESPÉCIES'!B:H,3,FALSE()),IF(AND(A505=0,B505=0,C505&lt;&gt;0),VLOOKUP(C505,'3 - LISTA DE ESPÉCIES'!C:H,2,FALSE()))))</f>
        <v>0</v>
      </c>
      <c r="I505" s="21" t="b">
        <f>IF(AND(A505&lt;&gt;0,B505=0,C505=0),VLOOKUP(A505,'3 - LISTA DE ESPÉCIES'!A:H,5,FALSE()),IF(AND(A505=0,B505&lt;&gt;0,C505=0),VLOOKUP(B505,'3 - LISTA DE ESPÉCIES'!B:H,4,FALSE()),IF(AND(A505=0,B505=0,C505&lt;&gt;0),VLOOKUP(C505,'3 - LISTA DE ESPÉCIES'!C:H,3,FALSE()))))</f>
        <v>0</v>
      </c>
      <c r="J505" s="23"/>
      <c r="K505" s="23"/>
      <c r="L505" s="20"/>
      <c r="M505" s="20"/>
    </row>
    <row r="506" spans="1:13" x14ac:dyDescent="0.25">
      <c r="A506" s="20"/>
      <c r="B506" s="20"/>
      <c r="C506" s="20"/>
      <c r="E506" s="21" t="b">
        <f>IF(AND(A506&lt;&gt;0,B506=0,C506=0),VLOOKUP(A506,'3 - LISTA DE ESPÉCIES'!A:H,1,FALSE()),IF(AND(A506=0,B506&lt;&gt;0,C506=0),VLOOKUP(B506,'3 - LISTA DE ESPÉCIES'!B:H,5,FALSE()),IF(AND(A506=0,B506=0,C506&lt;&gt;0),VLOOKUP(C506,'3 - LISTA DE ESPÉCIES'!C:H,4,FALSE()))))</f>
        <v>0</v>
      </c>
      <c r="F506" s="21" t="b">
        <f>IF(AND(A506&lt;&gt;0,B506=0,C506=0),VLOOKUP(A506,'3 - LISTA DE ESPÉCIES'!A:H,2,FALSE()),IF(AND(A506=0,B506&lt;&gt;0,C506=0),VLOOKUP(B506,'3 - LISTA DE ESPÉCIES'!B:H,6,FALSE()),IF(AND(A506=0,B506=0,C506&lt;&gt;0),VLOOKUP(C506,'3 - LISTA DE ESPÉCIES'!C:H,5,FALSE()))))</f>
        <v>0</v>
      </c>
      <c r="G506" s="21" t="b">
        <f>IF(AND(A506&lt;&gt;0,B506=0,C506=0),VLOOKUP(A506,'3 - LISTA DE ESPÉCIES'!A:H,3,FALSE()),IF(AND(A506=0,B506&lt;&gt;0,C506=0),VLOOKUP(B506,'3 - LISTA DE ESPÉCIES'!B:H,7,FALSE()),IF(AND(A506=0,B506=0,C506&lt;&gt;0),VLOOKUP(C506,'3 - LISTA DE ESPÉCIES'!C:H,6,FALSE()))))</f>
        <v>0</v>
      </c>
      <c r="H506" s="21" t="b">
        <f>IF(AND(A506&lt;&gt;0,B506=0,C506=0),VLOOKUP(A506,'3 - LISTA DE ESPÉCIES'!A:H,4,FALSE()),IF(AND(A506=0,B506&lt;&gt;0,C506=0),VLOOKUP(B506,'3 - LISTA DE ESPÉCIES'!B:H,3,FALSE()),IF(AND(A506=0,B506=0,C506&lt;&gt;0),VLOOKUP(C506,'3 - LISTA DE ESPÉCIES'!C:H,2,FALSE()))))</f>
        <v>0</v>
      </c>
      <c r="I506" s="21" t="b">
        <f>IF(AND(A506&lt;&gt;0,B506=0,C506=0),VLOOKUP(A506,'3 - LISTA DE ESPÉCIES'!A:H,5,FALSE()),IF(AND(A506=0,B506&lt;&gt;0,C506=0),VLOOKUP(B506,'3 - LISTA DE ESPÉCIES'!B:H,4,FALSE()),IF(AND(A506=0,B506=0,C506&lt;&gt;0),VLOOKUP(C506,'3 - LISTA DE ESPÉCIES'!C:H,3,FALSE()))))</f>
        <v>0</v>
      </c>
      <c r="J506" s="23"/>
      <c r="K506" s="23"/>
      <c r="L506" s="20"/>
      <c r="M506" s="20"/>
    </row>
    <row r="507" spans="1:13" x14ac:dyDescent="0.25">
      <c r="A507" s="20"/>
      <c r="B507" s="20"/>
      <c r="C507" s="20"/>
      <c r="E507" s="21" t="b">
        <f>IF(AND(A507&lt;&gt;0,B507=0,C507=0),VLOOKUP(A507,'3 - LISTA DE ESPÉCIES'!A:H,1,FALSE()),IF(AND(A507=0,B507&lt;&gt;0,C507=0),VLOOKUP(B507,'3 - LISTA DE ESPÉCIES'!B:H,5,FALSE()),IF(AND(A507=0,B507=0,C507&lt;&gt;0),VLOOKUP(C507,'3 - LISTA DE ESPÉCIES'!C:H,4,FALSE()))))</f>
        <v>0</v>
      </c>
      <c r="F507" s="21" t="b">
        <f>IF(AND(A507&lt;&gt;0,B507=0,C507=0),VLOOKUP(A507,'3 - LISTA DE ESPÉCIES'!A:H,2,FALSE()),IF(AND(A507=0,B507&lt;&gt;0,C507=0),VLOOKUP(B507,'3 - LISTA DE ESPÉCIES'!B:H,6,FALSE()),IF(AND(A507=0,B507=0,C507&lt;&gt;0),VLOOKUP(C507,'3 - LISTA DE ESPÉCIES'!C:H,5,FALSE()))))</f>
        <v>0</v>
      </c>
      <c r="G507" s="21" t="b">
        <f>IF(AND(A507&lt;&gt;0,B507=0,C507=0),VLOOKUP(A507,'3 - LISTA DE ESPÉCIES'!A:H,3,FALSE()),IF(AND(A507=0,B507&lt;&gt;0,C507=0),VLOOKUP(B507,'3 - LISTA DE ESPÉCIES'!B:H,7,FALSE()),IF(AND(A507=0,B507=0,C507&lt;&gt;0),VLOOKUP(C507,'3 - LISTA DE ESPÉCIES'!C:H,6,FALSE()))))</f>
        <v>0</v>
      </c>
      <c r="H507" s="21" t="b">
        <f>IF(AND(A507&lt;&gt;0,B507=0,C507=0),VLOOKUP(A507,'3 - LISTA DE ESPÉCIES'!A:H,4,FALSE()),IF(AND(A507=0,B507&lt;&gt;0,C507=0),VLOOKUP(B507,'3 - LISTA DE ESPÉCIES'!B:H,3,FALSE()),IF(AND(A507=0,B507=0,C507&lt;&gt;0),VLOOKUP(C507,'3 - LISTA DE ESPÉCIES'!C:H,2,FALSE()))))</f>
        <v>0</v>
      </c>
      <c r="I507" s="21" t="b">
        <f>IF(AND(A507&lt;&gt;0,B507=0,C507=0),VLOOKUP(A507,'3 - LISTA DE ESPÉCIES'!A:H,5,FALSE()),IF(AND(A507=0,B507&lt;&gt;0,C507=0),VLOOKUP(B507,'3 - LISTA DE ESPÉCIES'!B:H,4,FALSE()),IF(AND(A507=0,B507=0,C507&lt;&gt;0),VLOOKUP(C507,'3 - LISTA DE ESPÉCIES'!C:H,3,FALSE()))))</f>
        <v>0</v>
      </c>
      <c r="J507" s="23"/>
      <c r="K507" s="23"/>
      <c r="L507" s="20"/>
      <c r="M507" s="20"/>
    </row>
    <row r="508" spans="1:13" x14ac:dyDescent="0.25">
      <c r="A508" s="20"/>
      <c r="B508" s="20"/>
      <c r="C508" s="20"/>
      <c r="E508" s="21" t="b">
        <f>IF(AND(A508&lt;&gt;0,B508=0,C508=0),VLOOKUP(A508,'3 - LISTA DE ESPÉCIES'!A:H,1,FALSE()),IF(AND(A508=0,B508&lt;&gt;0,C508=0),VLOOKUP(B508,'3 - LISTA DE ESPÉCIES'!B:H,5,FALSE()),IF(AND(A508=0,B508=0,C508&lt;&gt;0),VLOOKUP(C508,'3 - LISTA DE ESPÉCIES'!C:H,4,FALSE()))))</f>
        <v>0</v>
      </c>
      <c r="F508" s="21" t="b">
        <f>IF(AND(A508&lt;&gt;0,B508=0,C508=0),VLOOKUP(A508,'3 - LISTA DE ESPÉCIES'!A:H,2,FALSE()),IF(AND(A508=0,B508&lt;&gt;0,C508=0),VLOOKUP(B508,'3 - LISTA DE ESPÉCIES'!B:H,6,FALSE()),IF(AND(A508=0,B508=0,C508&lt;&gt;0),VLOOKUP(C508,'3 - LISTA DE ESPÉCIES'!C:H,5,FALSE()))))</f>
        <v>0</v>
      </c>
      <c r="G508" s="21" t="b">
        <f>IF(AND(A508&lt;&gt;0,B508=0,C508=0),VLOOKUP(A508,'3 - LISTA DE ESPÉCIES'!A:H,3,FALSE()),IF(AND(A508=0,B508&lt;&gt;0,C508=0),VLOOKUP(B508,'3 - LISTA DE ESPÉCIES'!B:H,7,FALSE()),IF(AND(A508=0,B508=0,C508&lt;&gt;0),VLOOKUP(C508,'3 - LISTA DE ESPÉCIES'!C:H,6,FALSE()))))</f>
        <v>0</v>
      </c>
      <c r="H508" s="21" t="b">
        <f>IF(AND(A508&lt;&gt;0,B508=0,C508=0),VLOOKUP(A508,'3 - LISTA DE ESPÉCIES'!A:H,4,FALSE()),IF(AND(A508=0,B508&lt;&gt;0,C508=0),VLOOKUP(B508,'3 - LISTA DE ESPÉCIES'!B:H,3,FALSE()),IF(AND(A508=0,B508=0,C508&lt;&gt;0),VLOOKUP(C508,'3 - LISTA DE ESPÉCIES'!C:H,2,FALSE()))))</f>
        <v>0</v>
      </c>
      <c r="I508" s="21" t="b">
        <f>IF(AND(A508&lt;&gt;0,B508=0,C508=0),VLOOKUP(A508,'3 - LISTA DE ESPÉCIES'!A:H,5,FALSE()),IF(AND(A508=0,B508&lt;&gt;0,C508=0),VLOOKUP(B508,'3 - LISTA DE ESPÉCIES'!B:H,4,FALSE()),IF(AND(A508=0,B508=0,C508&lt;&gt;0),VLOOKUP(C508,'3 - LISTA DE ESPÉCIES'!C:H,3,FALSE()))))</f>
        <v>0</v>
      </c>
      <c r="J508" s="23"/>
      <c r="K508" s="23"/>
      <c r="L508" s="20"/>
      <c r="M508" s="20"/>
    </row>
    <row r="509" spans="1:13" x14ac:dyDescent="0.25">
      <c r="A509" s="20"/>
      <c r="B509" s="20"/>
      <c r="C509" s="20"/>
      <c r="E509" s="21" t="b">
        <f>IF(AND(A509&lt;&gt;0,B509=0,C509=0),VLOOKUP(A509,'3 - LISTA DE ESPÉCIES'!A:H,1,FALSE()),IF(AND(A509=0,B509&lt;&gt;0,C509=0),VLOOKUP(B509,'3 - LISTA DE ESPÉCIES'!B:H,5,FALSE()),IF(AND(A509=0,B509=0,C509&lt;&gt;0),VLOOKUP(C509,'3 - LISTA DE ESPÉCIES'!C:H,4,FALSE()))))</f>
        <v>0</v>
      </c>
      <c r="F509" s="21" t="b">
        <f>IF(AND(A509&lt;&gt;0,B509=0,C509=0),VLOOKUP(A509,'3 - LISTA DE ESPÉCIES'!A:H,2,FALSE()),IF(AND(A509=0,B509&lt;&gt;0,C509=0),VLOOKUP(B509,'3 - LISTA DE ESPÉCIES'!B:H,6,FALSE()),IF(AND(A509=0,B509=0,C509&lt;&gt;0),VLOOKUP(C509,'3 - LISTA DE ESPÉCIES'!C:H,5,FALSE()))))</f>
        <v>0</v>
      </c>
      <c r="G509" s="21" t="b">
        <f>IF(AND(A509&lt;&gt;0,B509=0,C509=0),VLOOKUP(A509,'3 - LISTA DE ESPÉCIES'!A:H,3,FALSE()),IF(AND(A509=0,B509&lt;&gt;0,C509=0),VLOOKUP(B509,'3 - LISTA DE ESPÉCIES'!B:H,7,FALSE()),IF(AND(A509=0,B509=0,C509&lt;&gt;0),VLOOKUP(C509,'3 - LISTA DE ESPÉCIES'!C:H,6,FALSE()))))</f>
        <v>0</v>
      </c>
      <c r="H509" s="21" t="b">
        <f>IF(AND(A509&lt;&gt;0,B509=0,C509=0),VLOOKUP(A509,'3 - LISTA DE ESPÉCIES'!A:H,4,FALSE()),IF(AND(A509=0,B509&lt;&gt;0,C509=0),VLOOKUP(B509,'3 - LISTA DE ESPÉCIES'!B:H,3,FALSE()),IF(AND(A509=0,B509=0,C509&lt;&gt;0),VLOOKUP(C509,'3 - LISTA DE ESPÉCIES'!C:H,2,FALSE()))))</f>
        <v>0</v>
      </c>
      <c r="I509" s="21" t="b">
        <f>IF(AND(A509&lt;&gt;0,B509=0,C509=0),VLOOKUP(A509,'3 - LISTA DE ESPÉCIES'!A:H,5,FALSE()),IF(AND(A509=0,B509&lt;&gt;0,C509=0),VLOOKUP(B509,'3 - LISTA DE ESPÉCIES'!B:H,4,FALSE()),IF(AND(A509=0,B509=0,C509&lt;&gt;0),VLOOKUP(C509,'3 - LISTA DE ESPÉCIES'!C:H,3,FALSE()))))</f>
        <v>0</v>
      </c>
      <c r="J509" s="23"/>
      <c r="K509" s="23"/>
      <c r="L509" s="20"/>
      <c r="M509" s="20"/>
    </row>
    <row r="510" spans="1:13" x14ac:dyDescent="0.25">
      <c r="A510" s="20"/>
      <c r="B510" s="20"/>
      <c r="C510" s="20"/>
      <c r="E510" s="21" t="b">
        <f>IF(AND(A510&lt;&gt;0,B510=0,C510=0),VLOOKUP(A510,'3 - LISTA DE ESPÉCIES'!A:H,1,FALSE()),IF(AND(A510=0,B510&lt;&gt;0,C510=0),VLOOKUP(B510,'3 - LISTA DE ESPÉCIES'!B:H,5,FALSE()),IF(AND(A510=0,B510=0,C510&lt;&gt;0),VLOOKUP(C510,'3 - LISTA DE ESPÉCIES'!C:H,4,FALSE()))))</f>
        <v>0</v>
      </c>
      <c r="F510" s="21" t="b">
        <f>IF(AND(A510&lt;&gt;0,B510=0,C510=0),VLOOKUP(A510,'3 - LISTA DE ESPÉCIES'!A:H,2,FALSE()),IF(AND(A510=0,B510&lt;&gt;0,C510=0),VLOOKUP(B510,'3 - LISTA DE ESPÉCIES'!B:H,6,FALSE()),IF(AND(A510=0,B510=0,C510&lt;&gt;0),VLOOKUP(C510,'3 - LISTA DE ESPÉCIES'!C:H,5,FALSE()))))</f>
        <v>0</v>
      </c>
      <c r="G510" s="21" t="b">
        <f>IF(AND(A510&lt;&gt;0,B510=0,C510=0),VLOOKUP(A510,'3 - LISTA DE ESPÉCIES'!A:H,3,FALSE()),IF(AND(A510=0,B510&lt;&gt;0,C510=0),VLOOKUP(B510,'3 - LISTA DE ESPÉCIES'!B:H,7,FALSE()),IF(AND(A510=0,B510=0,C510&lt;&gt;0),VLOOKUP(C510,'3 - LISTA DE ESPÉCIES'!C:H,6,FALSE()))))</f>
        <v>0</v>
      </c>
      <c r="H510" s="21" t="b">
        <f>IF(AND(A510&lt;&gt;0,B510=0,C510=0),VLOOKUP(A510,'3 - LISTA DE ESPÉCIES'!A:H,4,FALSE()),IF(AND(A510=0,B510&lt;&gt;0,C510=0),VLOOKUP(B510,'3 - LISTA DE ESPÉCIES'!B:H,3,FALSE()),IF(AND(A510=0,B510=0,C510&lt;&gt;0),VLOOKUP(C510,'3 - LISTA DE ESPÉCIES'!C:H,2,FALSE()))))</f>
        <v>0</v>
      </c>
      <c r="I510" s="21" t="b">
        <f>IF(AND(A510&lt;&gt;0,B510=0,C510=0),VLOOKUP(A510,'3 - LISTA DE ESPÉCIES'!A:H,5,FALSE()),IF(AND(A510=0,B510&lt;&gt;0,C510=0),VLOOKUP(B510,'3 - LISTA DE ESPÉCIES'!B:H,4,FALSE()),IF(AND(A510=0,B510=0,C510&lt;&gt;0),VLOOKUP(C510,'3 - LISTA DE ESPÉCIES'!C:H,3,FALSE()))))</f>
        <v>0</v>
      </c>
      <c r="J510" s="23"/>
      <c r="K510" s="23"/>
      <c r="L510" s="20"/>
      <c r="M510" s="20"/>
    </row>
    <row r="511" spans="1:13" x14ac:dyDescent="0.25">
      <c r="A511" s="20"/>
      <c r="B511" s="20"/>
      <c r="C511" s="20"/>
      <c r="E511" s="21" t="b">
        <f>IF(AND(A511&lt;&gt;0,B511=0,C511=0),VLOOKUP(A511,'3 - LISTA DE ESPÉCIES'!A:H,1,FALSE()),IF(AND(A511=0,B511&lt;&gt;0,C511=0),VLOOKUP(B511,'3 - LISTA DE ESPÉCIES'!B:H,5,FALSE()),IF(AND(A511=0,B511=0,C511&lt;&gt;0),VLOOKUP(C511,'3 - LISTA DE ESPÉCIES'!C:H,4,FALSE()))))</f>
        <v>0</v>
      </c>
      <c r="F511" s="21" t="b">
        <f>IF(AND(A511&lt;&gt;0,B511=0,C511=0),VLOOKUP(A511,'3 - LISTA DE ESPÉCIES'!A:H,2,FALSE()),IF(AND(A511=0,B511&lt;&gt;0,C511=0),VLOOKUP(B511,'3 - LISTA DE ESPÉCIES'!B:H,6,FALSE()),IF(AND(A511=0,B511=0,C511&lt;&gt;0),VLOOKUP(C511,'3 - LISTA DE ESPÉCIES'!C:H,5,FALSE()))))</f>
        <v>0</v>
      </c>
      <c r="G511" s="21" t="b">
        <f>IF(AND(A511&lt;&gt;0,B511=0,C511=0),VLOOKUP(A511,'3 - LISTA DE ESPÉCIES'!A:H,3,FALSE()),IF(AND(A511=0,B511&lt;&gt;0,C511=0),VLOOKUP(B511,'3 - LISTA DE ESPÉCIES'!B:H,7,FALSE()),IF(AND(A511=0,B511=0,C511&lt;&gt;0),VLOOKUP(C511,'3 - LISTA DE ESPÉCIES'!C:H,6,FALSE()))))</f>
        <v>0</v>
      </c>
      <c r="H511" s="21" t="b">
        <f>IF(AND(A511&lt;&gt;0,B511=0,C511=0),VLOOKUP(A511,'3 - LISTA DE ESPÉCIES'!A:H,4,FALSE()),IF(AND(A511=0,B511&lt;&gt;0,C511=0),VLOOKUP(B511,'3 - LISTA DE ESPÉCIES'!B:H,3,FALSE()),IF(AND(A511=0,B511=0,C511&lt;&gt;0),VLOOKUP(C511,'3 - LISTA DE ESPÉCIES'!C:H,2,FALSE()))))</f>
        <v>0</v>
      </c>
      <c r="I511" s="21" t="b">
        <f>IF(AND(A511&lt;&gt;0,B511=0,C511=0),VLOOKUP(A511,'3 - LISTA DE ESPÉCIES'!A:H,5,FALSE()),IF(AND(A511=0,B511&lt;&gt;0,C511=0),VLOOKUP(B511,'3 - LISTA DE ESPÉCIES'!B:H,4,FALSE()),IF(AND(A511=0,B511=0,C511&lt;&gt;0),VLOOKUP(C511,'3 - LISTA DE ESPÉCIES'!C:H,3,FALSE()))))</f>
        <v>0</v>
      </c>
      <c r="J511" s="23"/>
      <c r="K511" s="23"/>
      <c r="L511" s="20"/>
      <c r="M511" s="20"/>
    </row>
    <row r="512" spans="1:13" x14ac:dyDescent="0.25">
      <c r="A512" s="20"/>
      <c r="B512" s="20"/>
      <c r="C512" s="20"/>
      <c r="E512" s="21" t="b">
        <f>IF(AND(A512&lt;&gt;0,B512=0,C512=0),VLOOKUP(A512,'3 - LISTA DE ESPÉCIES'!A:H,1,FALSE()),IF(AND(A512=0,B512&lt;&gt;0,C512=0),VLOOKUP(B512,'3 - LISTA DE ESPÉCIES'!B:H,5,FALSE()),IF(AND(A512=0,B512=0,C512&lt;&gt;0),VLOOKUP(C512,'3 - LISTA DE ESPÉCIES'!C:H,4,FALSE()))))</f>
        <v>0</v>
      </c>
      <c r="F512" s="21" t="b">
        <f>IF(AND(A512&lt;&gt;0,B512=0,C512=0),VLOOKUP(A512,'3 - LISTA DE ESPÉCIES'!A:H,2,FALSE()),IF(AND(A512=0,B512&lt;&gt;0,C512=0),VLOOKUP(B512,'3 - LISTA DE ESPÉCIES'!B:H,6,FALSE()),IF(AND(A512=0,B512=0,C512&lt;&gt;0),VLOOKUP(C512,'3 - LISTA DE ESPÉCIES'!C:H,5,FALSE()))))</f>
        <v>0</v>
      </c>
      <c r="G512" s="21" t="b">
        <f>IF(AND(A512&lt;&gt;0,B512=0,C512=0),VLOOKUP(A512,'3 - LISTA DE ESPÉCIES'!A:H,3,FALSE()),IF(AND(A512=0,B512&lt;&gt;0,C512=0),VLOOKUP(B512,'3 - LISTA DE ESPÉCIES'!B:H,7,FALSE()),IF(AND(A512=0,B512=0,C512&lt;&gt;0),VLOOKUP(C512,'3 - LISTA DE ESPÉCIES'!C:H,6,FALSE()))))</f>
        <v>0</v>
      </c>
      <c r="H512" s="21" t="b">
        <f>IF(AND(A512&lt;&gt;0,B512=0,C512=0),VLOOKUP(A512,'3 - LISTA DE ESPÉCIES'!A:H,4,FALSE()),IF(AND(A512=0,B512&lt;&gt;0,C512=0),VLOOKUP(B512,'3 - LISTA DE ESPÉCIES'!B:H,3,FALSE()),IF(AND(A512=0,B512=0,C512&lt;&gt;0),VLOOKUP(C512,'3 - LISTA DE ESPÉCIES'!C:H,2,FALSE()))))</f>
        <v>0</v>
      </c>
      <c r="I512" s="21" t="b">
        <f>IF(AND(A512&lt;&gt;0,B512=0,C512=0),VLOOKUP(A512,'3 - LISTA DE ESPÉCIES'!A:H,5,FALSE()),IF(AND(A512=0,B512&lt;&gt;0,C512=0),VLOOKUP(B512,'3 - LISTA DE ESPÉCIES'!B:H,4,FALSE()),IF(AND(A512=0,B512=0,C512&lt;&gt;0),VLOOKUP(C512,'3 - LISTA DE ESPÉCIES'!C:H,3,FALSE()))))</f>
        <v>0</v>
      </c>
      <c r="J512" s="23"/>
      <c r="K512" s="23"/>
      <c r="L512" s="20"/>
      <c r="M512" s="20"/>
    </row>
    <row r="513" spans="1:13" x14ac:dyDescent="0.25">
      <c r="A513" s="20"/>
      <c r="B513" s="20"/>
      <c r="C513" s="20"/>
      <c r="E513" s="21" t="b">
        <f>IF(AND(A513&lt;&gt;0,B513=0,C513=0),VLOOKUP(A513,'3 - LISTA DE ESPÉCIES'!A:H,1,FALSE()),IF(AND(A513=0,B513&lt;&gt;0,C513=0),VLOOKUP(B513,'3 - LISTA DE ESPÉCIES'!B:H,5,FALSE()),IF(AND(A513=0,B513=0,C513&lt;&gt;0),VLOOKUP(C513,'3 - LISTA DE ESPÉCIES'!C:H,4,FALSE()))))</f>
        <v>0</v>
      </c>
      <c r="F513" s="21" t="b">
        <f>IF(AND(A513&lt;&gt;0,B513=0,C513=0),VLOOKUP(A513,'3 - LISTA DE ESPÉCIES'!A:H,2,FALSE()),IF(AND(A513=0,B513&lt;&gt;0,C513=0),VLOOKUP(B513,'3 - LISTA DE ESPÉCIES'!B:H,6,FALSE()),IF(AND(A513=0,B513=0,C513&lt;&gt;0),VLOOKUP(C513,'3 - LISTA DE ESPÉCIES'!C:H,5,FALSE()))))</f>
        <v>0</v>
      </c>
      <c r="G513" s="21" t="b">
        <f>IF(AND(A513&lt;&gt;0,B513=0,C513=0),VLOOKUP(A513,'3 - LISTA DE ESPÉCIES'!A:H,3,FALSE()),IF(AND(A513=0,B513&lt;&gt;0,C513=0),VLOOKUP(B513,'3 - LISTA DE ESPÉCIES'!B:H,7,FALSE()),IF(AND(A513=0,B513=0,C513&lt;&gt;0),VLOOKUP(C513,'3 - LISTA DE ESPÉCIES'!C:H,6,FALSE()))))</f>
        <v>0</v>
      </c>
      <c r="H513" s="21" t="b">
        <f>IF(AND(A513&lt;&gt;0,B513=0,C513=0),VLOOKUP(A513,'3 - LISTA DE ESPÉCIES'!A:H,4,FALSE()),IF(AND(A513=0,B513&lt;&gt;0,C513=0),VLOOKUP(B513,'3 - LISTA DE ESPÉCIES'!B:H,3,FALSE()),IF(AND(A513=0,B513=0,C513&lt;&gt;0),VLOOKUP(C513,'3 - LISTA DE ESPÉCIES'!C:H,2,FALSE()))))</f>
        <v>0</v>
      </c>
      <c r="I513" s="21" t="b">
        <f>IF(AND(A513&lt;&gt;0,B513=0,C513=0),VLOOKUP(A513,'3 - LISTA DE ESPÉCIES'!A:H,5,FALSE()),IF(AND(A513=0,B513&lt;&gt;0,C513=0),VLOOKUP(B513,'3 - LISTA DE ESPÉCIES'!B:H,4,FALSE()),IF(AND(A513=0,B513=0,C513&lt;&gt;0),VLOOKUP(C513,'3 - LISTA DE ESPÉCIES'!C:H,3,FALSE()))))</f>
        <v>0</v>
      </c>
      <c r="J513" s="23"/>
      <c r="K513" s="23"/>
      <c r="L513" s="20"/>
      <c r="M513" s="20"/>
    </row>
    <row r="514" spans="1:13" x14ac:dyDescent="0.25">
      <c r="A514" s="20"/>
      <c r="B514" s="20"/>
      <c r="C514" s="20"/>
      <c r="E514" s="21" t="b">
        <f>IF(AND(A514&lt;&gt;0,B514=0,C514=0),VLOOKUP(A514,'3 - LISTA DE ESPÉCIES'!A:H,1,FALSE()),IF(AND(A514=0,B514&lt;&gt;0,C514=0),VLOOKUP(B514,'3 - LISTA DE ESPÉCIES'!B:H,5,FALSE()),IF(AND(A514=0,B514=0,C514&lt;&gt;0),VLOOKUP(C514,'3 - LISTA DE ESPÉCIES'!C:H,4,FALSE()))))</f>
        <v>0</v>
      </c>
      <c r="F514" s="21" t="b">
        <f>IF(AND(A514&lt;&gt;0,B514=0,C514=0),VLOOKUP(A514,'3 - LISTA DE ESPÉCIES'!A:H,2,FALSE()),IF(AND(A514=0,B514&lt;&gt;0,C514=0),VLOOKUP(B514,'3 - LISTA DE ESPÉCIES'!B:H,6,FALSE()),IF(AND(A514=0,B514=0,C514&lt;&gt;0),VLOOKUP(C514,'3 - LISTA DE ESPÉCIES'!C:H,5,FALSE()))))</f>
        <v>0</v>
      </c>
      <c r="G514" s="21" t="b">
        <f>IF(AND(A514&lt;&gt;0,B514=0,C514=0),VLOOKUP(A514,'3 - LISTA DE ESPÉCIES'!A:H,3,FALSE()),IF(AND(A514=0,B514&lt;&gt;0,C514=0),VLOOKUP(B514,'3 - LISTA DE ESPÉCIES'!B:H,7,FALSE()),IF(AND(A514=0,B514=0,C514&lt;&gt;0),VLOOKUP(C514,'3 - LISTA DE ESPÉCIES'!C:H,6,FALSE()))))</f>
        <v>0</v>
      </c>
      <c r="H514" s="21" t="b">
        <f>IF(AND(A514&lt;&gt;0,B514=0,C514=0),VLOOKUP(A514,'3 - LISTA DE ESPÉCIES'!A:H,4,FALSE()),IF(AND(A514=0,B514&lt;&gt;0,C514=0),VLOOKUP(B514,'3 - LISTA DE ESPÉCIES'!B:H,3,FALSE()),IF(AND(A514=0,B514=0,C514&lt;&gt;0),VLOOKUP(C514,'3 - LISTA DE ESPÉCIES'!C:H,2,FALSE()))))</f>
        <v>0</v>
      </c>
      <c r="I514" s="21" t="b">
        <f>IF(AND(A514&lt;&gt;0,B514=0,C514=0),VLOOKUP(A514,'3 - LISTA DE ESPÉCIES'!A:H,5,FALSE()),IF(AND(A514=0,B514&lt;&gt;0,C514=0),VLOOKUP(B514,'3 - LISTA DE ESPÉCIES'!B:H,4,FALSE()),IF(AND(A514=0,B514=0,C514&lt;&gt;0),VLOOKUP(C514,'3 - LISTA DE ESPÉCIES'!C:H,3,FALSE()))))</f>
        <v>0</v>
      </c>
      <c r="J514" s="23"/>
      <c r="K514" s="23"/>
      <c r="L514" s="20"/>
      <c r="M514" s="20"/>
    </row>
    <row r="515" spans="1:13" x14ac:dyDescent="0.25">
      <c r="A515" s="20"/>
      <c r="B515" s="20"/>
      <c r="C515" s="20"/>
      <c r="E515" s="21" t="b">
        <f>IF(AND(A515&lt;&gt;0,B515=0,C515=0),VLOOKUP(A515,'3 - LISTA DE ESPÉCIES'!A:H,1,FALSE()),IF(AND(A515=0,B515&lt;&gt;0,C515=0),VLOOKUP(B515,'3 - LISTA DE ESPÉCIES'!B:H,5,FALSE()),IF(AND(A515=0,B515=0,C515&lt;&gt;0),VLOOKUP(C515,'3 - LISTA DE ESPÉCIES'!C:H,4,FALSE()))))</f>
        <v>0</v>
      </c>
      <c r="F515" s="21" t="b">
        <f>IF(AND(A515&lt;&gt;0,B515=0,C515=0),VLOOKUP(A515,'3 - LISTA DE ESPÉCIES'!A:H,2,FALSE()),IF(AND(A515=0,B515&lt;&gt;0,C515=0),VLOOKUP(B515,'3 - LISTA DE ESPÉCIES'!B:H,6,FALSE()),IF(AND(A515=0,B515=0,C515&lt;&gt;0),VLOOKUP(C515,'3 - LISTA DE ESPÉCIES'!C:H,5,FALSE()))))</f>
        <v>0</v>
      </c>
      <c r="G515" s="21" t="b">
        <f>IF(AND(A515&lt;&gt;0,B515=0,C515=0),VLOOKUP(A515,'3 - LISTA DE ESPÉCIES'!A:H,3,FALSE()),IF(AND(A515=0,B515&lt;&gt;0,C515=0),VLOOKUP(B515,'3 - LISTA DE ESPÉCIES'!B:H,7,FALSE()),IF(AND(A515=0,B515=0,C515&lt;&gt;0),VLOOKUP(C515,'3 - LISTA DE ESPÉCIES'!C:H,6,FALSE()))))</f>
        <v>0</v>
      </c>
      <c r="H515" s="21" t="b">
        <f>IF(AND(A515&lt;&gt;0,B515=0,C515=0),VLOOKUP(A515,'3 - LISTA DE ESPÉCIES'!A:H,4,FALSE()),IF(AND(A515=0,B515&lt;&gt;0,C515=0),VLOOKUP(B515,'3 - LISTA DE ESPÉCIES'!B:H,3,FALSE()),IF(AND(A515=0,B515=0,C515&lt;&gt;0),VLOOKUP(C515,'3 - LISTA DE ESPÉCIES'!C:H,2,FALSE()))))</f>
        <v>0</v>
      </c>
      <c r="I515" s="21" t="b">
        <f>IF(AND(A515&lt;&gt;0,B515=0,C515=0),VLOOKUP(A515,'3 - LISTA DE ESPÉCIES'!A:H,5,FALSE()),IF(AND(A515=0,B515&lt;&gt;0,C515=0),VLOOKUP(B515,'3 - LISTA DE ESPÉCIES'!B:H,4,FALSE()),IF(AND(A515=0,B515=0,C515&lt;&gt;0),VLOOKUP(C515,'3 - LISTA DE ESPÉCIES'!C:H,3,FALSE()))))</f>
        <v>0</v>
      </c>
      <c r="J515" s="23"/>
      <c r="K515" s="23"/>
      <c r="L515" s="20"/>
      <c r="M515" s="20"/>
    </row>
    <row r="516" spans="1:13" x14ac:dyDescent="0.25">
      <c r="A516" s="20"/>
      <c r="B516" s="20"/>
      <c r="C516" s="20"/>
      <c r="E516" s="21" t="b">
        <f>IF(AND(A516&lt;&gt;0,B516=0,C516=0),VLOOKUP(A516,'3 - LISTA DE ESPÉCIES'!A:H,1,FALSE()),IF(AND(A516=0,B516&lt;&gt;0,C516=0),VLOOKUP(B516,'3 - LISTA DE ESPÉCIES'!B:H,5,FALSE()),IF(AND(A516=0,B516=0,C516&lt;&gt;0),VLOOKUP(C516,'3 - LISTA DE ESPÉCIES'!C:H,4,FALSE()))))</f>
        <v>0</v>
      </c>
      <c r="F516" s="21" t="b">
        <f>IF(AND(A516&lt;&gt;0,B516=0,C516=0),VLOOKUP(A516,'3 - LISTA DE ESPÉCIES'!A:H,2,FALSE()),IF(AND(A516=0,B516&lt;&gt;0,C516=0),VLOOKUP(B516,'3 - LISTA DE ESPÉCIES'!B:H,6,FALSE()),IF(AND(A516=0,B516=0,C516&lt;&gt;0),VLOOKUP(C516,'3 - LISTA DE ESPÉCIES'!C:H,5,FALSE()))))</f>
        <v>0</v>
      </c>
      <c r="G516" s="21" t="b">
        <f>IF(AND(A516&lt;&gt;0,B516=0,C516=0),VLOOKUP(A516,'3 - LISTA DE ESPÉCIES'!A:H,3,FALSE()),IF(AND(A516=0,B516&lt;&gt;0,C516=0),VLOOKUP(B516,'3 - LISTA DE ESPÉCIES'!B:H,7,FALSE()),IF(AND(A516=0,B516=0,C516&lt;&gt;0),VLOOKUP(C516,'3 - LISTA DE ESPÉCIES'!C:H,6,FALSE()))))</f>
        <v>0</v>
      </c>
      <c r="H516" s="21" t="b">
        <f>IF(AND(A516&lt;&gt;0,B516=0,C516=0),VLOOKUP(A516,'3 - LISTA DE ESPÉCIES'!A:H,4,FALSE()),IF(AND(A516=0,B516&lt;&gt;0,C516=0),VLOOKUP(B516,'3 - LISTA DE ESPÉCIES'!B:H,3,FALSE()),IF(AND(A516=0,B516=0,C516&lt;&gt;0),VLOOKUP(C516,'3 - LISTA DE ESPÉCIES'!C:H,2,FALSE()))))</f>
        <v>0</v>
      </c>
      <c r="I516" s="21" t="b">
        <f>IF(AND(A516&lt;&gt;0,B516=0,C516=0),VLOOKUP(A516,'3 - LISTA DE ESPÉCIES'!A:H,5,FALSE()),IF(AND(A516=0,B516&lt;&gt;0,C516=0),VLOOKUP(B516,'3 - LISTA DE ESPÉCIES'!B:H,4,FALSE()),IF(AND(A516=0,B516=0,C516&lt;&gt;0),VLOOKUP(C516,'3 - LISTA DE ESPÉCIES'!C:H,3,FALSE()))))</f>
        <v>0</v>
      </c>
      <c r="J516" s="23"/>
      <c r="K516" s="23"/>
      <c r="L516" s="20"/>
      <c r="M516" s="20"/>
    </row>
    <row r="517" spans="1:13" x14ac:dyDescent="0.25">
      <c r="A517" s="20"/>
      <c r="B517" s="20"/>
      <c r="C517" s="20"/>
      <c r="E517" s="21" t="b">
        <f>IF(AND(A517&lt;&gt;0,B517=0,C517=0),VLOOKUP(A517,'3 - LISTA DE ESPÉCIES'!A:H,1,FALSE()),IF(AND(A517=0,B517&lt;&gt;0,C517=0),VLOOKUP(B517,'3 - LISTA DE ESPÉCIES'!B:H,5,FALSE()),IF(AND(A517=0,B517=0,C517&lt;&gt;0),VLOOKUP(C517,'3 - LISTA DE ESPÉCIES'!C:H,4,FALSE()))))</f>
        <v>0</v>
      </c>
      <c r="F517" s="21" t="b">
        <f>IF(AND(A517&lt;&gt;0,B517=0,C517=0),VLOOKUP(A517,'3 - LISTA DE ESPÉCIES'!A:H,2,FALSE()),IF(AND(A517=0,B517&lt;&gt;0,C517=0),VLOOKUP(B517,'3 - LISTA DE ESPÉCIES'!B:H,6,FALSE()),IF(AND(A517=0,B517=0,C517&lt;&gt;0),VLOOKUP(C517,'3 - LISTA DE ESPÉCIES'!C:H,5,FALSE()))))</f>
        <v>0</v>
      </c>
      <c r="G517" s="21" t="b">
        <f>IF(AND(A517&lt;&gt;0,B517=0,C517=0),VLOOKUP(A517,'3 - LISTA DE ESPÉCIES'!A:H,3,FALSE()),IF(AND(A517=0,B517&lt;&gt;0,C517=0),VLOOKUP(B517,'3 - LISTA DE ESPÉCIES'!B:H,7,FALSE()),IF(AND(A517=0,B517=0,C517&lt;&gt;0),VLOOKUP(C517,'3 - LISTA DE ESPÉCIES'!C:H,6,FALSE()))))</f>
        <v>0</v>
      </c>
      <c r="H517" s="21" t="b">
        <f>IF(AND(A517&lt;&gt;0,B517=0,C517=0),VLOOKUP(A517,'3 - LISTA DE ESPÉCIES'!A:H,4,FALSE()),IF(AND(A517=0,B517&lt;&gt;0,C517=0),VLOOKUP(B517,'3 - LISTA DE ESPÉCIES'!B:H,3,FALSE()),IF(AND(A517=0,B517=0,C517&lt;&gt;0),VLOOKUP(C517,'3 - LISTA DE ESPÉCIES'!C:H,2,FALSE()))))</f>
        <v>0</v>
      </c>
      <c r="I517" s="21" t="b">
        <f>IF(AND(A517&lt;&gt;0,B517=0,C517=0),VLOOKUP(A517,'3 - LISTA DE ESPÉCIES'!A:H,5,FALSE()),IF(AND(A517=0,B517&lt;&gt;0,C517=0),VLOOKUP(B517,'3 - LISTA DE ESPÉCIES'!B:H,4,FALSE()),IF(AND(A517=0,B517=0,C517&lt;&gt;0),VLOOKUP(C517,'3 - LISTA DE ESPÉCIES'!C:H,3,FALSE()))))</f>
        <v>0</v>
      </c>
      <c r="J517" s="23"/>
      <c r="K517" s="23"/>
      <c r="L517" s="20"/>
      <c r="M517" s="20"/>
    </row>
    <row r="518" spans="1:13" x14ac:dyDescent="0.25">
      <c r="A518" s="20"/>
      <c r="B518" s="20"/>
      <c r="C518" s="20"/>
      <c r="E518" s="21" t="b">
        <f>IF(AND(A518&lt;&gt;0,B518=0,C518=0),VLOOKUP(A518,'3 - LISTA DE ESPÉCIES'!A:H,1,FALSE()),IF(AND(A518=0,B518&lt;&gt;0,C518=0),VLOOKUP(B518,'3 - LISTA DE ESPÉCIES'!B:H,5,FALSE()),IF(AND(A518=0,B518=0,C518&lt;&gt;0),VLOOKUP(C518,'3 - LISTA DE ESPÉCIES'!C:H,4,FALSE()))))</f>
        <v>0</v>
      </c>
      <c r="F518" s="21" t="b">
        <f>IF(AND(A518&lt;&gt;0,B518=0,C518=0),VLOOKUP(A518,'3 - LISTA DE ESPÉCIES'!A:H,2,FALSE()),IF(AND(A518=0,B518&lt;&gt;0,C518=0),VLOOKUP(B518,'3 - LISTA DE ESPÉCIES'!B:H,6,FALSE()),IF(AND(A518=0,B518=0,C518&lt;&gt;0),VLOOKUP(C518,'3 - LISTA DE ESPÉCIES'!C:H,5,FALSE()))))</f>
        <v>0</v>
      </c>
      <c r="G518" s="21" t="b">
        <f>IF(AND(A518&lt;&gt;0,B518=0,C518=0),VLOOKUP(A518,'3 - LISTA DE ESPÉCIES'!A:H,3,FALSE()),IF(AND(A518=0,B518&lt;&gt;0,C518=0),VLOOKUP(B518,'3 - LISTA DE ESPÉCIES'!B:H,7,FALSE()),IF(AND(A518=0,B518=0,C518&lt;&gt;0),VLOOKUP(C518,'3 - LISTA DE ESPÉCIES'!C:H,6,FALSE()))))</f>
        <v>0</v>
      </c>
      <c r="H518" s="21" t="b">
        <f>IF(AND(A518&lt;&gt;0,B518=0,C518=0),VLOOKUP(A518,'3 - LISTA DE ESPÉCIES'!A:H,4,FALSE()),IF(AND(A518=0,B518&lt;&gt;0,C518=0),VLOOKUP(B518,'3 - LISTA DE ESPÉCIES'!B:H,3,FALSE()),IF(AND(A518=0,B518=0,C518&lt;&gt;0),VLOOKUP(C518,'3 - LISTA DE ESPÉCIES'!C:H,2,FALSE()))))</f>
        <v>0</v>
      </c>
      <c r="I518" s="21" t="b">
        <f>IF(AND(A518&lt;&gt;0,B518=0,C518=0),VLOOKUP(A518,'3 - LISTA DE ESPÉCIES'!A:H,5,FALSE()),IF(AND(A518=0,B518&lt;&gt;0,C518=0),VLOOKUP(B518,'3 - LISTA DE ESPÉCIES'!B:H,4,FALSE()),IF(AND(A518=0,B518=0,C518&lt;&gt;0),VLOOKUP(C518,'3 - LISTA DE ESPÉCIES'!C:H,3,FALSE()))))</f>
        <v>0</v>
      </c>
      <c r="J518" s="23"/>
      <c r="K518" s="23"/>
      <c r="L518" s="20"/>
      <c r="M518" s="20"/>
    </row>
    <row r="519" spans="1:13" x14ac:dyDescent="0.25">
      <c r="A519" s="20"/>
      <c r="B519" s="20"/>
      <c r="C519" s="20"/>
      <c r="E519" s="21" t="b">
        <f>IF(AND(A519&lt;&gt;0,B519=0,C519=0),VLOOKUP(A519,'3 - LISTA DE ESPÉCIES'!A:H,1,FALSE()),IF(AND(A519=0,B519&lt;&gt;0,C519=0),VLOOKUP(B519,'3 - LISTA DE ESPÉCIES'!B:H,5,FALSE()),IF(AND(A519=0,B519=0,C519&lt;&gt;0),VLOOKUP(C519,'3 - LISTA DE ESPÉCIES'!C:H,4,FALSE()))))</f>
        <v>0</v>
      </c>
      <c r="F519" s="21" t="b">
        <f>IF(AND(A519&lt;&gt;0,B519=0,C519=0),VLOOKUP(A519,'3 - LISTA DE ESPÉCIES'!A:H,2,FALSE()),IF(AND(A519=0,B519&lt;&gt;0,C519=0),VLOOKUP(B519,'3 - LISTA DE ESPÉCIES'!B:H,6,FALSE()),IF(AND(A519=0,B519=0,C519&lt;&gt;0),VLOOKUP(C519,'3 - LISTA DE ESPÉCIES'!C:H,5,FALSE()))))</f>
        <v>0</v>
      </c>
      <c r="G519" s="21" t="b">
        <f>IF(AND(A519&lt;&gt;0,B519=0,C519=0),VLOOKUP(A519,'3 - LISTA DE ESPÉCIES'!A:H,3,FALSE()),IF(AND(A519=0,B519&lt;&gt;0,C519=0),VLOOKUP(B519,'3 - LISTA DE ESPÉCIES'!B:H,7,FALSE()),IF(AND(A519=0,B519=0,C519&lt;&gt;0),VLOOKUP(C519,'3 - LISTA DE ESPÉCIES'!C:H,6,FALSE()))))</f>
        <v>0</v>
      </c>
      <c r="H519" s="21" t="b">
        <f>IF(AND(A519&lt;&gt;0,B519=0,C519=0),VLOOKUP(A519,'3 - LISTA DE ESPÉCIES'!A:H,4,FALSE()),IF(AND(A519=0,B519&lt;&gt;0,C519=0),VLOOKUP(B519,'3 - LISTA DE ESPÉCIES'!B:H,3,FALSE()),IF(AND(A519=0,B519=0,C519&lt;&gt;0),VLOOKUP(C519,'3 - LISTA DE ESPÉCIES'!C:H,2,FALSE()))))</f>
        <v>0</v>
      </c>
      <c r="I519" s="21" t="b">
        <f>IF(AND(A519&lt;&gt;0,B519=0,C519=0),VLOOKUP(A519,'3 - LISTA DE ESPÉCIES'!A:H,5,FALSE()),IF(AND(A519=0,B519&lt;&gt;0,C519=0),VLOOKUP(B519,'3 - LISTA DE ESPÉCIES'!B:H,4,FALSE()),IF(AND(A519=0,B519=0,C519&lt;&gt;0),VLOOKUP(C519,'3 - LISTA DE ESPÉCIES'!C:H,3,FALSE()))))</f>
        <v>0</v>
      </c>
      <c r="J519" s="23"/>
      <c r="K519" s="23"/>
      <c r="L519" s="20"/>
      <c r="M519" s="20"/>
    </row>
    <row r="520" spans="1:13" x14ac:dyDescent="0.25">
      <c r="A520" s="20"/>
      <c r="B520" s="20"/>
      <c r="C520" s="20"/>
      <c r="E520" s="21" t="b">
        <f>IF(AND(A520&lt;&gt;0,B520=0,C520=0),VLOOKUP(A520,'3 - LISTA DE ESPÉCIES'!A:H,1,FALSE()),IF(AND(A520=0,B520&lt;&gt;0,C520=0),VLOOKUP(B520,'3 - LISTA DE ESPÉCIES'!B:H,5,FALSE()),IF(AND(A520=0,B520=0,C520&lt;&gt;0),VLOOKUP(C520,'3 - LISTA DE ESPÉCIES'!C:H,4,FALSE()))))</f>
        <v>0</v>
      </c>
      <c r="F520" s="21" t="b">
        <f>IF(AND(A520&lt;&gt;0,B520=0,C520=0),VLOOKUP(A520,'3 - LISTA DE ESPÉCIES'!A:H,2,FALSE()),IF(AND(A520=0,B520&lt;&gt;0,C520=0),VLOOKUP(B520,'3 - LISTA DE ESPÉCIES'!B:H,6,FALSE()),IF(AND(A520=0,B520=0,C520&lt;&gt;0),VLOOKUP(C520,'3 - LISTA DE ESPÉCIES'!C:H,5,FALSE()))))</f>
        <v>0</v>
      </c>
      <c r="G520" s="21" t="b">
        <f>IF(AND(A520&lt;&gt;0,B520=0,C520=0),VLOOKUP(A520,'3 - LISTA DE ESPÉCIES'!A:H,3,FALSE()),IF(AND(A520=0,B520&lt;&gt;0,C520=0),VLOOKUP(B520,'3 - LISTA DE ESPÉCIES'!B:H,7,FALSE()),IF(AND(A520=0,B520=0,C520&lt;&gt;0),VLOOKUP(C520,'3 - LISTA DE ESPÉCIES'!C:H,6,FALSE()))))</f>
        <v>0</v>
      </c>
      <c r="H520" s="21" t="b">
        <f>IF(AND(A520&lt;&gt;0,B520=0,C520=0),VLOOKUP(A520,'3 - LISTA DE ESPÉCIES'!A:H,4,FALSE()),IF(AND(A520=0,B520&lt;&gt;0,C520=0),VLOOKUP(B520,'3 - LISTA DE ESPÉCIES'!B:H,3,FALSE()),IF(AND(A520=0,B520=0,C520&lt;&gt;0),VLOOKUP(C520,'3 - LISTA DE ESPÉCIES'!C:H,2,FALSE()))))</f>
        <v>0</v>
      </c>
      <c r="I520" s="21" t="b">
        <f>IF(AND(A520&lt;&gt;0,B520=0,C520=0),VLOOKUP(A520,'3 - LISTA DE ESPÉCIES'!A:H,5,FALSE()),IF(AND(A520=0,B520&lt;&gt;0,C520=0),VLOOKUP(B520,'3 - LISTA DE ESPÉCIES'!B:H,4,FALSE()),IF(AND(A520=0,B520=0,C520&lt;&gt;0),VLOOKUP(C520,'3 - LISTA DE ESPÉCIES'!C:H,3,FALSE()))))</f>
        <v>0</v>
      </c>
      <c r="J520" s="23"/>
      <c r="K520" s="23"/>
      <c r="L520" s="20"/>
      <c r="M520" s="20"/>
    </row>
    <row r="521" spans="1:13" x14ac:dyDescent="0.25">
      <c r="A521" s="20"/>
      <c r="B521" s="20"/>
      <c r="C521" s="20"/>
      <c r="E521" s="21" t="b">
        <f>IF(AND(A521&lt;&gt;0,B521=0,C521=0),VLOOKUP(A521,'3 - LISTA DE ESPÉCIES'!A:H,1,FALSE()),IF(AND(A521=0,B521&lt;&gt;0,C521=0),VLOOKUP(B521,'3 - LISTA DE ESPÉCIES'!B:H,5,FALSE()),IF(AND(A521=0,B521=0,C521&lt;&gt;0),VLOOKUP(C521,'3 - LISTA DE ESPÉCIES'!C:H,4,FALSE()))))</f>
        <v>0</v>
      </c>
      <c r="F521" s="21" t="b">
        <f>IF(AND(A521&lt;&gt;0,B521=0,C521=0),VLOOKUP(A521,'3 - LISTA DE ESPÉCIES'!A:H,2,FALSE()),IF(AND(A521=0,B521&lt;&gt;0,C521=0),VLOOKUP(B521,'3 - LISTA DE ESPÉCIES'!B:H,6,FALSE()),IF(AND(A521=0,B521=0,C521&lt;&gt;0),VLOOKUP(C521,'3 - LISTA DE ESPÉCIES'!C:H,5,FALSE()))))</f>
        <v>0</v>
      </c>
      <c r="G521" s="21" t="b">
        <f>IF(AND(A521&lt;&gt;0,B521=0,C521=0),VLOOKUP(A521,'3 - LISTA DE ESPÉCIES'!A:H,3,FALSE()),IF(AND(A521=0,B521&lt;&gt;0,C521=0),VLOOKUP(B521,'3 - LISTA DE ESPÉCIES'!B:H,7,FALSE()),IF(AND(A521=0,B521=0,C521&lt;&gt;0),VLOOKUP(C521,'3 - LISTA DE ESPÉCIES'!C:H,6,FALSE()))))</f>
        <v>0</v>
      </c>
      <c r="H521" s="21" t="b">
        <f>IF(AND(A521&lt;&gt;0,B521=0,C521=0),VLOOKUP(A521,'3 - LISTA DE ESPÉCIES'!A:H,4,FALSE()),IF(AND(A521=0,B521&lt;&gt;0,C521=0),VLOOKUP(B521,'3 - LISTA DE ESPÉCIES'!B:H,3,FALSE()),IF(AND(A521=0,B521=0,C521&lt;&gt;0),VLOOKUP(C521,'3 - LISTA DE ESPÉCIES'!C:H,2,FALSE()))))</f>
        <v>0</v>
      </c>
      <c r="I521" s="21" t="b">
        <f>IF(AND(A521&lt;&gt;0,B521=0,C521=0),VLOOKUP(A521,'3 - LISTA DE ESPÉCIES'!A:H,5,FALSE()),IF(AND(A521=0,B521&lt;&gt;0,C521=0),VLOOKUP(B521,'3 - LISTA DE ESPÉCIES'!B:H,4,FALSE()),IF(AND(A521=0,B521=0,C521&lt;&gt;0),VLOOKUP(C521,'3 - LISTA DE ESPÉCIES'!C:H,3,FALSE()))))</f>
        <v>0</v>
      </c>
      <c r="J521" s="23"/>
      <c r="K521" s="23"/>
      <c r="L521" s="20"/>
      <c r="M521" s="20"/>
    </row>
    <row r="522" spans="1:13" x14ac:dyDescent="0.25">
      <c r="A522" s="20"/>
      <c r="B522" s="20"/>
      <c r="C522" s="20"/>
      <c r="E522" s="21" t="b">
        <f>IF(AND(A522&lt;&gt;0,B522=0,C522=0),VLOOKUP(A522,'3 - LISTA DE ESPÉCIES'!A:H,1,FALSE()),IF(AND(A522=0,B522&lt;&gt;0,C522=0),VLOOKUP(B522,'3 - LISTA DE ESPÉCIES'!B:H,5,FALSE()),IF(AND(A522=0,B522=0,C522&lt;&gt;0),VLOOKUP(C522,'3 - LISTA DE ESPÉCIES'!C:H,4,FALSE()))))</f>
        <v>0</v>
      </c>
      <c r="F522" s="21" t="b">
        <f>IF(AND(A522&lt;&gt;0,B522=0,C522=0),VLOOKUP(A522,'3 - LISTA DE ESPÉCIES'!A:H,2,FALSE()),IF(AND(A522=0,B522&lt;&gt;0,C522=0),VLOOKUP(B522,'3 - LISTA DE ESPÉCIES'!B:H,6,FALSE()),IF(AND(A522=0,B522=0,C522&lt;&gt;0),VLOOKUP(C522,'3 - LISTA DE ESPÉCIES'!C:H,5,FALSE()))))</f>
        <v>0</v>
      </c>
      <c r="G522" s="21" t="b">
        <f>IF(AND(A522&lt;&gt;0,B522=0,C522=0),VLOOKUP(A522,'3 - LISTA DE ESPÉCIES'!A:H,3,FALSE()),IF(AND(A522=0,B522&lt;&gt;0,C522=0),VLOOKUP(B522,'3 - LISTA DE ESPÉCIES'!B:H,7,FALSE()),IF(AND(A522=0,B522=0,C522&lt;&gt;0),VLOOKUP(C522,'3 - LISTA DE ESPÉCIES'!C:H,6,FALSE()))))</f>
        <v>0</v>
      </c>
      <c r="H522" s="21" t="b">
        <f>IF(AND(A522&lt;&gt;0,B522=0,C522=0),VLOOKUP(A522,'3 - LISTA DE ESPÉCIES'!A:H,4,FALSE()),IF(AND(A522=0,B522&lt;&gt;0,C522=0),VLOOKUP(B522,'3 - LISTA DE ESPÉCIES'!B:H,3,FALSE()),IF(AND(A522=0,B522=0,C522&lt;&gt;0),VLOOKUP(C522,'3 - LISTA DE ESPÉCIES'!C:H,2,FALSE()))))</f>
        <v>0</v>
      </c>
      <c r="I522" s="21" t="b">
        <f>IF(AND(A522&lt;&gt;0,B522=0,C522=0),VLOOKUP(A522,'3 - LISTA DE ESPÉCIES'!A:H,5,FALSE()),IF(AND(A522=0,B522&lt;&gt;0,C522=0),VLOOKUP(B522,'3 - LISTA DE ESPÉCIES'!B:H,4,FALSE()),IF(AND(A522=0,B522=0,C522&lt;&gt;0),VLOOKUP(C522,'3 - LISTA DE ESPÉCIES'!C:H,3,FALSE()))))</f>
        <v>0</v>
      </c>
      <c r="J522" s="23"/>
      <c r="K522" s="23"/>
      <c r="L522" s="20"/>
      <c r="M522" s="20"/>
    </row>
    <row r="523" spans="1:13" x14ac:dyDescent="0.25">
      <c r="A523" s="20"/>
      <c r="B523" s="20"/>
      <c r="C523" s="20"/>
      <c r="E523" s="21" t="b">
        <f>IF(AND(A523&lt;&gt;0,B523=0,C523=0),VLOOKUP(A523,'3 - LISTA DE ESPÉCIES'!A:H,1,FALSE()),IF(AND(A523=0,B523&lt;&gt;0,C523=0),VLOOKUP(B523,'3 - LISTA DE ESPÉCIES'!B:H,5,FALSE()),IF(AND(A523=0,B523=0,C523&lt;&gt;0),VLOOKUP(C523,'3 - LISTA DE ESPÉCIES'!C:H,4,FALSE()))))</f>
        <v>0</v>
      </c>
      <c r="F523" s="21" t="b">
        <f>IF(AND(A523&lt;&gt;0,B523=0,C523=0),VLOOKUP(A523,'3 - LISTA DE ESPÉCIES'!A:H,2,FALSE()),IF(AND(A523=0,B523&lt;&gt;0,C523=0),VLOOKUP(B523,'3 - LISTA DE ESPÉCIES'!B:H,6,FALSE()),IF(AND(A523=0,B523=0,C523&lt;&gt;0),VLOOKUP(C523,'3 - LISTA DE ESPÉCIES'!C:H,5,FALSE()))))</f>
        <v>0</v>
      </c>
      <c r="G523" s="21" t="b">
        <f>IF(AND(A523&lt;&gt;0,B523=0,C523=0),VLOOKUP(A523,'3 - LISTA DE ESPÉCIES'!A:H,3,FALSE()),IF(AND(A523=0,B523&lt;&gt;0,C523=0),VLOOKUP(B523,'3 - LISTA DE ESPÉCIES'!B:H,7,FALSE()),IF(AND(A523=0,B523=0,C523&lt;&gt;0),VLOOKUP(C523,'3 - LISTA DE ESPÉCIES'!C:H,6,FALSE()))))</f>
        <v>0</v>
      </c>
      <c r="H523" s="21" t="b">
        <f>IF(AND(A523&lt;&gt;0,B523=0,C523=0),VLOOKUP(A523,'3 - LISTA DE ESPÉCIES'!A:H,4,FALSE()),IF(AND(A523=0,B523&lt;&gt;0,C523=0),VLOOKUP(B523,'3 - LISTA DE ESPÉCIES'!B:H,3,FALSE()),IF(AND(A523=0,B523=0,C523&lt;&gt;0),VLOOKUP(C523,'3 - LISTA DE ESPÉCIES'!C:H,2,FALSE()))))</f>
        <v>0</v>
      </c>
      <c r="I523" s="21" t="b">
        <f>IF(AND(A523&lt;&gt;0,B523=0,C523=0),VLOOKUP(A523,'3 - LISTA DE ESPÉCIES'!A:H,5,FALSE()),IF(AND(A523=0,B523&lt;&gt;0,C523=0),VLOOKUP(B523,'3 - LISTA DE ESPÉCIES'!B:H,4,FALSE()),IF(AND(A523=0,B523=0,C523&lt;&gt;0),VLOOKUP(C523,'3 - LISTA DE ESPÉCIES'!C:H,3,FALSE()))))</f>
        <v>0</v>
      </c>
      <c r="J523" s="23"/>
      <c r="K523" s="23"/>
      <c r="L523" s="20"/>
      <c r="M523" s="20"/>
    </row>
    <row r="524" spans="1:13" x14ac:dyDescent="0.25">
      <c r="A524" s="20"/>
      <c r="B524" s="20"/>
      <c r="C524" s="20"/>
      <c r="E524" s="21" t="b">
        <f>IF(AND(A524&lt;&gt;0,B524=0,C524=0),VLOOKUP(A524,'3 - LISTA DE ESPÉCIES'!A:H,1,FALSE()),IF(AND(A524=0,B524&lt;&gt;0,C524=0),VLOOKUP(B524,'3 - LISTA DE ESPÉCIES'!B:H,5,FALSE()),IF(AND(A524=0,B524=0,C524&lt;&gt;0),VLOOKUP(C524,'3 - LISTA DE ESPÉCIES'!C:H,4,FALSE()))))</f>
        <v>0</v>
      </c>
      <c r="F524" s="21" t="b">
        <f>IF(AND(A524&lt;&gt;0,B524=0,C524=0),VLOOKUP(A524,'3 - LISTA DE ESPÉCIES'!A:H,2,FALSE()),IF(AND(A524=0,B524&lt;&gt;0,C524=0),VLOOKUP(B524,'3 - LISTA DE ESPÉCIES'!B:H,6,FALSE()),IF(AND(A524=0,B524=0,C524&lt;&gt;0),VLOOKUP(C524,'3 - LISTA DE ESPÉCIES'!C:H,5,FALSE()))))</f>
        <v>0</v>
      </c>
      <c r="G524" s="21" t="b">
        <f>IF(AND(A524&lt;&gt;0,B524=0,C524=0),VLOOKUP(A524,'3 - LISTA DE ESPÉCIES'!A:H,3,FALSE()),IF(AND(A524=0,B524&lt;&gt;0,C524=0),VLOOKUP(B524,'3 - LISTA DE ESPÉCIES'!B:H,7,FALSE()),IF(AND(A524=0,B524=0,C524&lt;&gt;0),VLOOKUP(C524,'3 - LISTA DE ESPÉCIES'!C:H,6,FALSE()))))</f>
        <v>0</v>
      </c>
      <c r="H524" s="21" t="b">
        <f>IF(AND(A524&lt;&gt;0,B524=0,C524=0),VLOOKUP(A524,'3 - LISTA DE ESPÉCIES'!A:H,4,FALSE()),IF(AND(A524=0,B524&lt;&gt;0,C524=0),VLOOKUP(B524,'3 - LISTA DE ESPÉCIES'!B:H,3,FALSE()),IF(AND(A524=0,B524=0,C524&lt;&gt;0),VLOOKUP(C524,'3 - LISTA DE ESPÉCIES'!C:H,2,FALSE()))))</f>
        <v>0</v>
      </c>
      <c r="I524" s="21" t="b">
        <f>IF(AND(A524&lt;&gt;0,B524=0,C524=0),VLOOKUP(A524,'3 - LISTA DE ESPÉCIES'!A:H,5,FALSE()),IF(AND(A524=0,B524&lt;&gt;0,C524=0),VLOOKUP(B524,'3 - LISTA DE ESPÉCIES'!B:H,4,FALSE()),IF(AND(A524=0,B524=0,C524&lt;&gt;0),VLOOKUP(C524,'3 - LISTA DE ESPÉCIES'!C:H,3,FALSE()))))</f>
        <v>0</v>
      </c>
      <c r="J524" s="23"/>
      <c r="K524" s="23"/>
      <c r="L524" s="20"/>
      <c r="M524" s="20"/>
    </row>
    <row r="525" spans="1:13" x14ac:dyDescent="0.25">
      <c r="A525" s="20"/>
      <c r="B525" s="20"/>
      <c r="C525" s="20"/>
      <c r="E525" s="21" t="b">
        <f>IF(AND(A525&lt;&gt;0,B525=0,C525=0),VLOOKUP(A525,'3 - LISTA DE ESPÉCIES'!A:H,1,FALSE()),IF(AND(A525=0,B525&lt;&gt;0,C525=0),VLOOKUP(B525,'3 - LISTA DE ESPÉCIES'!B:H,5,FALSE()),IF(AND(A525=0,B525=0,C525&lt;&gt;0),VLOOKUP(C525,'3 - LISTA DE ESPÉCIES'!C:H,4,FALSE()))))</f>
        <v>0</v>
      </c>
      <c r="F525" s="21" t="b">
        <f>IF(AND(A525&lt;&gt;0,B525=0,C525=0),VLOOKUP(A525,'3 - LISTA DE ESPÉCIES'!A:H,2,FALSE()),IF(AND(A525=0,B525&lt;&gt;0,C525=0),VLOOKUP(B525,'3 - LISTA DE ESPÉCIES'!B:H,6,FALSE()),IF(AND(A525=0,B525=0,C525&lt;&gt;0),VLOOKUP(C525,'3 - LISTA DE ESPÉCIES'!C:H,5,FALSE()))))</f>
        <v>0</v>
      </c>
      <c r="G525" s="21" t="b">
        <f>IF(AND(A525&lt;&gt;0,B525=0,C525=0),VLOOKUP(A525,'3 - LISTA DE ESPÉCIES'!A:H,3,FALSE()),IF(AND(A525=0,B525&lt;&gt;0,C525=0),VLOOKUP(B525,'3 - LISTA DE ESPÉCIES'!B:H,7,FALSE()),IF(AND(A525=0,B525=0,C525&lt;&gt;0),VLOOKUP(C525,'3 - LISTA DE ESPÉCIES'!C:H,6,FALSE()))))</f>
        <v>0</v>
      </c>
      <c r="H525" s="21" t="b">
        <f>IF(AND(A525&lt;&gt;0,B525=0,C525=0),VLOOKUP(A525,'3 - LISTA DE ESPÉCIES'!A:H,4,FALSE()),IF(AND(A525=0,B525&lt;&gt;0,C525=0),VLOOKUP(B525,'3 - LISTA DE ESPÉCIES'!B:H,3,FALSE()),IF(AND(A525=0,B525=0,C525&lt;&gt;0),VLOOKUP(C525,'3 - LISTA DE ESPÉCIES'!C:H,2,FALSE()))))</f>
        <v>0</v>
      </c>
      <c r="I525" s="21" t="b">
        <f>IF(AND(A525&lt;&gt;0,B525=0,C525=0),VLOOKUP(A525,'3 - LISTA DE ESPÉCIES'!A:H,5,FALSE()),IF(AND(A525=0,B525&lt;&gt;0,C525=0),VLOOKUP(B525,'3 - LISTA DE ESPÉCIES'!B:H,4,FALSE()),IF(AND(A525=0,B525=0,C525&lt;&gt;0),VLOOKUP(C525,'3 - LISTA DE ESPÉCIES'!C:H,3,FALSE()))))</f>
        <v>0</v>
      </c>
      <c r="J525" s="23"/>
      <c r="K525" s="23"/>
      <c r="L525" s="20"/>
      <c r="M525" s="20"/>
    </row>
    <row r="526" spans="1:13" x14ac:dyDescent="0.25">
      <c r="A526" s="20"/>
      <c r="B526" s="20"/>
      <c r="C526" s="20"/>
      <c r="E526" s="21" t="b">
        <f>IF(AND(A526&lt;&gt;0,B526=0,C526=0),VLOOKUP(A526,'3 - LISTA DE ESPÉCIES'!A:H,1,FALSE()),IF(AND(A526=0,B526&lt;&gt;0,C526=0),VLOOKUP(B526,'3 - LISTA DE ESPÉCIES'!B:H,5,FALSE()),IF(AND(A526=0,B526=0,C526&lt;&gt;0),VLOOKUP(C526,'3 - LISTA DE ESPÉCIES'!C:H,4,FALSE()))))</f>
        <v>0</v>
      </c>
      <c r="F526" s="21" t="b">
        <f>IF(AND(A526&lt;&gt;0,B526=0,C526=0),VLOOKUP(A526,'3 - LISTA DE ESPÉCIES'!A:H,2,FALSE()),IF(AND(A526=0,B526&lt;&gt;0,C526=0),VLOOKUP(B526,'3 - LISTA DE ESPÉCIES'!B:H,6,FALSE()),IF(AND(A526=0,B526=0,C526&lt;&gt;0),VLOOKUP(C526,'3 - LISTA DE ESPÉCIES'!C:H,5,FALSE()))))</f>
        <v>0</v>
      </c>
      <c r="G526" s="21" t="b">
        <f>IF(AND(A526&lt;&gt;0,B526=0,C526=0),VLOOKUP(A526,'3 - LISTA DE ESPÉCIES'!A:H,3,FALSE()),IF(AND(A526=0,B526&lt;&gt;0,C526=0),VLOOKUP(B526,'3 - LISTA DE ESPÉCIES'!B:H,7,FALSE()),IF(AND(A526=0,B526=0,C526&lt;&gt;0),VLOOKUP(C526,'3 - LISTA DE ESPÉCIES'!C:H,6,FALSE()))))</f>
        <v>0</v>
      </c>
      <c r="H526" s="21" t="b">
        <f>IF(AND(A526&lt;&gt;0,B526=0,C526=0),VLOOKUP(A526,'3 - LISTA DE ESPÉCIES'!A:H,4,FALSE()),IF(AND(A526=0,B526&lt;&gt;0,C526=0),VLOOKUP(B526,'3 - LISTA DE ESPÉCIES'!B:H,3,FALSE()),IF(AND(A526=0,B526=0,C526&lt;&gt;0),VLOOKUP(C526,'3 - LISTA DE ESPÉCIES'!C:H,2,FALSE()))))</f>
        <v>0</v>
      </c>
      <c r="I526" s="21" t="b">
        <f>IF(AND(A526&lt;&gt;0,B526=0,C526=0),VLOOKUP(A526,'3 - LISTA DE ESPÉCIES'!A:H,5,FALSE()),IF(AND(A526=0,B526&lt;&gt;0,C526=0),VLOOKUP(B526,'3 - LISTA DE ESPÉCIES'!B:H,4,FALSE()),IF(AND(A526=0,B526=0,C526&lt;&gt;0),VLOOKUP(C526,'3 - LISTA DE ESPÉCIES'!C:H,3,FALSE()))))</f>
        <v>0</v>
      </c>
      <c r="J526" s="23"/>
      <c r="K526" s="23"/>
      <c r="L526" s="20"/>
      <c r="M526" s="20"/>
    </row>
    <row r="527" spans="1:13" x14ac:dyDescent="0.25">
      <c r="A527" s="20"/>
      <c r="B527" s="20"/>
      <c r="C527" s="20"/>
      <c r="E527" s="21" t="b">
        <f>IF(AND(A527&lt;&gt;0,B527=0,C527=0),VLOOKUP(A527,'3 - LISTA DE ESPÉCIES'!A:H,1,FALSE()),IF(AND(A527=0,B527&lt;&gt;0,C527=0),VLOOKUP(B527,'3 - LISTA DE ESPÉCIES'!B:H,5,FALSE()),IF(AND(A527=0,B527=0,C527&lt;&gt;0),VLOOKUP(C527,'3 - LISTA DE ESPÉCIES'!C:H,4,FALSE()))))</f>
        <v>0</v>
      </c>
      <c r="F527" s="21" t="b">
        <f>IF(AND(A527&lt;&gt;0,B527=0,C527=0),VLOOKUP(A527,'3 - LISTA DE ESPÉCIES'!A:H,2,FALSE()),IF(AND(A527=0,B527&lt;&gt;0,C527=0),VLOOKUP(B527,'3 - LISTA DE ESPÉCIES'!B:H,6,FALSE()),IF(AND(A527=0,B527=0,C527&lt;&gt;0),VLOOKUP(C527,'3 - LISTA DE ESPÉCIES'!C:H,5,FALSE()))))</f>
        <v>0</v>
      </c>
      <c r="G527" s="21" t="b">
        <f>IF(AND(A527&lt;&gt;0,B527=0,C527=0),VLOOKUP(A527,'3 - LISTA DE ESPÉCIES'!A:H,3,FALSE()),IF(AND(A527=0,B527&lt;&gt;0,C527=0),VLOOKUP(B527,'3 - LISTA DE ESPÉCIES'!B:H,7,FALSE()),IF(AND(A527=0,B527=0,C527&lt;&gt;0),VLOOKUP(C527,'3 - LISTA DE ESPÉCIES'!C:H,6,FALSE()))))</f>
        <v>0</v>
      </c>
      <c r="H527" s="21" t="b">
        <f>IF(AND(A527&lt;&gt;0,B527=0,C527=0),VLOOKUP(A527,'3 - LISTA DE ESPÉCIES'!A:H,4,FALSE()),IF(AND(A527=0,B527&lt;&gt;0,C527=0),VLOOKUP(B527,'3 - LISTA DE ESPÉCIES'!B:H,3,FALSE()),IF(AND(A527=0,B527=0,C527&lt;&gt;0),VLOOKUP(C527,'3 - LISTA DE ESPÉCIES'!C:H,2,FALSE()))))</f>
        <v>0</v>
      </c>
      <c r="I527" s="21" t="b">
        <f>IF(AND(A527&lt;&gt;0,B527=0,C527=0),VLOOKUP(A527,'3 - LISTA DE ESPÉCIES'!A:H,5,FALSE()),IF(AND(A527=0,B527&lt;&gt;0,C527=0),VLOOKUP(B527,'3 - LISTA DE ESPÉCIES'!B:H,4,FALSE()),IF(AND(A527=0,B527=0,C527&lt;&gt;0),VLOOKUP(C527,'3 - LISTA DE ESPÉCIES'!C:H,3,FALSE()))))</f>
        <v>0</v>
      </c>
      <c r="J527" s="23"/>
      <c r="K527" s="23"/>
      <c r="L527" s="20"/>
      <c r="M527" s="20"/>
    </row>
    <row r="528" spans="1:13" x14ac:dyDescent="0.25">
      <c r="A528" s="20"/>
      <c r="B528" s="20"/>
      <c r="C528" s="20"/>
      <c r="E528" s="21" t="b">
        <f>IF(AND(A528&lt;&gt;0,B528=0,C528=0),VLOOKUP(A528,'3 - LISTA DE ESPÉCIES'!A:H,1,FALSE()),IF(AND(A528=0,B528&lt;&gt;0,C528=0),VLOOKUP(B528,'3 - LISTA DE ESPÉCIES'!B:H,5,FALSE()),IF(AND(A528=0,B528=0,C528&lt;&gt;0),VLOOKUP(C528,'3 - LISTA DE ESPÉCIES'!C:H,4,FALSE()))))</f>
        <v>0</v>
      </c>
      <c r="F528" s="21" t="b">
        <f>IF(AND(A528&lt;&gt;0,B528=0,C528=0),VLOOKUP(A528,'3 - LISTA DE ESPÉCIES'!A:H,2,FALSE()),IF(AND(A528=0,B528&lt;&gt;0,C528=0),VLOOKUP(B528,'3 - LISTA DE ESPÉCIES'!B:H,6,FALSE()),IF(AND(A528=0,B528=0,C528&lt;&gt;0),VLOOKUP(C528,'3 - LISTA DE ESPÉCIES'!C:H,5,FALSE()))))</f>
        <v>0</v>
      </c>
      <c r="G528" s="21" t="b">
        <f>IF(AND(A528&lt;&gt;0,B528=0,C528=0),VLOOKUP(A528,'3 - LISTA DE ESPÉCIES'!A:H,3,FALSE()),IF(AND(A528=0,B528&lt;&gt;0,C528=0),VLOOKUP(B528,'3 - LISTA DE ESPÉCIES'!B:H,7,FALSE()),IF(AND(A528=0,B528=0,C528&lt;&gt;0),VLOOKUP(C528,'3 - LISTA DE ESPÉCIES'!C:H,6,FALSE()))))</f>
        <v>0</v>
      </c>
      <c r="H528" s="21" t="b">
        <f>IF(AND(A528&lt;&gt;0,B528=0,C528=0),VLOOKUP(A528,'3 - LISTA DE ESPÉCIES'!A:H,4,FALSE()),IF(AND(A528=0,B528&lt;&gt;0,C528=0),VLOOKUP(B528,'3 - LISTA DE ESPÉCIES'!B:H,3,FALSE()),IF(AND(A528=0,B528=0,C528&lt;&gt;0),VLOOKUP(C528,'3 - LISTA DE ESPÉCIES'!C:H,2,FALSE()))))</f>
        <v>0</v>
      </c>
      <c r="I528" s="21" t="b">
        <f>IF(AND(A528&lt;&gt;0,B528=0,C528=0),VLOOKUP(A528,'3 - LISTA DE ESPÉCIES'!A:H,5,FALSE()),IF(AND(A528=0,B528&lt;&gt;0,C528=0),VLOOKUP(B528,'3 - LISTA DE ESPÉCIES'!B:H,4,FALSE()),IF(AND(A528=0,B528=0,C528&lt;&gt;0),VLOOKUP(C528,'3 - LISTA DE ESPÉCIES'!C:H,3,FALSE()))))</f>
        <v>0</v>
      </c>
      <c r="J528" s="23"/>
      <c r="K528" s="23"/>
      <c r="L528" s="20"/>
      <c r="M528" s="20"/>
    </row>
    <row r="529" spans="1:13" x14ac:dyDescent="0.25">
      <c r="A529" s="20"/>
      <c r="B529" s="20"/>
      <c r="C529" s="20"/>
      <c r="E529" s="21" t="b">
        <f>IF(AND(A529&lt;&gt;0,B529=0,C529=0),VLOOKUP(A529,'3 - LISTA DE ESPÉCIES'!A:H,1,FALSE()),IF(AND(A529=0,B529&lt;&gt;0,C529=0),VLOOKUP(B529,'3 - LISTA DE ESPÉCIES'!B:H,5,FALSE()),IF(AND(A529=0,B529=0,C529&lt;&gt;0),VLOOKUP(C529,'3 - LISTA DE ESPÉCIES'!C:H,4,FALSE()))))</f>
        <v>0</v>
      </c>
      <c r="F529" s="21" t="b">
        <f>IF(AND(A529&lt;&gt;0,B529=0,C529=0),VLOOKUP(A529,'3 - LISTA DE ESPÉCIES'!A:H,2,FALSE()),IF(AND(A529=0,B529&lt;&gt;0,C529=0),VLOOKUP(B529,'3 - LISTA DE ESPÉCIES'!B:H,6,FALSE()),IF(AND(A529=0,B529=0,C529&lt;&gt;0),VLOOKUP(C529,'3 - LISTA DE ESPÉCIES'!C:H,5,FALSE()))))</f>
        <v>0</v>
      </c>
      <c r="G529" s="21" t="b">
        <f>IF(AND(A529&lt;&gt;0,B529=0,C529=0),VLOOKUP(A529,'3 - LISTA DE ESPÉCIES'!A:H,3,FALSE()),IF(AND(A529=0,B529&lt;&gt;0,C529=0),VLOOKUP(B529,'3 - LISTA DE ESPÉCIES'!B:H,7,FALSE()),IF(AND(A529=0,B529=0,C529&lt;&gt;0),VLOOKUP(C529,'3 - LISTA DE ESPÉCIES'!C:H,6,FALSE()))))</f>
        <v>0</v>
      </c>
      <c r="H529" s="21" t="b">
        <f>IF(AND(A529&lt;&gt;0,B529=0,C529=0),VLOOKUP(A529,'3 - LISTA DE ESPÉCIES'!A:H,4,FALSE()),IF(AND(A529=0,B529&lt;&gt;0,C529=0),VLOOKUP(B529,'3 - LISTA DE ESPÉCIES'!B:H,3,FALSE()),IF(AND(A529=0,B529=0,C529&lt;&gt;0),VLOOKUP(C529,'3 - LISTA DE ESPÉCIES'!C:H,2,FALSE()))))</f>
        <v>0</v>
      </c>
      <c r="I529" s="21" t="b">
        <f>IF(AND(A529&lt;&gt;0,B529=0,C529=0),VLOOKUP(A529,'3 - LISTA DE ESPÉCIES'!A:H,5,FALSE()),IF(AND(A529=0,B529&lt;&gt;0,C529=0),VLOOKUP(B529,'3 - LISTA DE ESPÉCIES'!B:H,4,FALSE()),IF(AND(A529=0,B529=0,C529&lt;&gt;0),VLOOKUP(C529,'3 - LISTA DE ESPÉCIES'!C:H,3,FALSE()))))</f>
        <v>0</v>
      </c>
      <c r="J529" s="23"/>
      <c r="K529" s="23"/>
      <c r="L529" s="20"/>
      <c r="M529" s="20"/>
    </row>
    <row r="530" spans="1:13" x14ac:dyDescent="0.25">
      <c r="A530" s="20"/>
      <c r="B530" s="20"/>
      <c r="C530" s="20"/>
      <c r="E530" s="21" t="b">
        <f>IF(AND(A530&lt;&gt;0,B530=0,C530=0),VLOOKUP(A530,'3 - LISTA DE ESPÉCIES'!A:H,1,FALSE()),IF(AND(A530=0,B530&lt;&gt;0,C530=0),VLOOKUP(B530,'3 - LISTA DE ESPÉCIES'!B:H,5,FALSE()),IF(AND(A530=0,B530=0,C530&lt;&gt;0),VLOOKUP(C530,'3 - LISTA DE ESPÉCIES'!C:H,4,FALSE()))))</f>
        <v>0</v>
      </c>
      <c r="F530" s="21" t="b">
        <f>IF(AND(A530&lt;&gt;0,B530=0,C530=0),VLOOKUP(A530,'3 - LISTA DE ESPÉCIES'!A:H,2,FALSE()),IF(AND(A530=0,B530&lt;&gt;0,C530=0),VLOOKUP(B530,'3 - LISTA DE ESPÉCIES'!B:H,6,FALSE()),IF(AND(A530=0,B530=0,C530&lt;&gt;0),VLOOKUP(C530,'3 - LISTA DE ESPÉCIES'!C:H,5,FALSE()))))</f>
        <v>0</v>
      </c>
      <c r="G530" s="21" t="b">
        <f>IF(AND(A530&lt;&gt;0,B530=0,C530=0),VLOOKUP(A530,'3 - LISTA DE ESPÉCIES'!A:H,3,FALSE()),IF(AND(A530=0,B530&lt;&gt;0,C530=0),VLOOKUP(B530,'3 - LISTA DE ESPÉCIES'!B:H,7,FALSE()),IF(AND(A530=0,B530=0,C530&lt;&gt;0),VLOOKUP(C530,'3 - LISTA DE ESPÉCIES'!C:H,6,FALSE()))))</f>
        <v>0</v>
      </c>
      <c r="H530" s="21" t="b">
        <f>IF(AND(A530&lt;&gt;0,B530=0,C530=0),VLOOKUP(A530,'3 - LISTA DE ESPÉCIES'!A:H,4,FALSE()),IF(AND(A530=0,B530&lt;&gt;0,C530=0),VLOOKUP(B530,'3 - LISTA DE ESPÉCIES'!B:H,3,FALSE()),IF(AND(A530=0,B530=0,C530&lt;&gt;0),VLOOKUP(C530,'3 - LISTA DE ESPÉCIES'!C:H,2,FALSE()))))</f>
        <v>0</v>
      </c>
      <c r="I530" s="21" t="b">
        <f>IF(AND(A530&lt;&gt;0,B530=0,C530=0),VLOOKUP(A530,'3 - LISTA DE ESPÉCIES'!A:H,5,FALSE()),IF(AND(A530=0,B530&lt;&gt;0,C530=0),VLOOKUP(B530,'3 - LISTA DE ESPÉCIES'!B:H,4,FALSE()),IF(AND(A530=0,B530=0,C530&lt;&gt;0),VLOOKUP(C530,'3 - LISTA DE ESPÉCIES'!C:H,3,FALSE()))))</f>
        <v>0</v>
      </c>
      <c r="J530" s="23"/>
      <c r="K530" s="23"/>
      <c r="L530" s="20"/>
      <c r="M530" s="20"/>
    </row>
    <row r="531" spans="1:13" x14ac:dyDescent="0.25">
      <c r="A531" s="20"/>
      <c r="B531" s="20"/>
      <c r="C531" s="20"/>
      <c r="E531" s="21" t="b">
        <f>IF(AND(A531&lt;&gt;0,B531=0,C531=0),VLOOKUP(A531,'3 - LISTA DE ESPÉCIES'!A:H,1,FALSE()),IF(AND(A531=0,B531&lt;&gt;0,C531=0),VLOOKUP(B531,'3 - LISTA DE ESPÉCIES'!B:H,5,FALSE()),IF(AND(A531=0,B531=0,C531&lt;&gt;0),VLOOKUP(C531,'3 - LISTA DE ESPÉCIES'!C:H,4,FALSE()))))</f>
        <v>0</v>
      </c>
      <c r="F531" s="21" t="b">
        <f>IF(AND(A531&lt;&gt;0,B531=0,C531=0),VLOOKUP(A531,'3 - LISTA DE ESPÉCIES'!A:H,2,FALSE()),IF(AND(A531=0,B531&lt;&gt;0,C531=0),VLOOKUP(B531,'3 - LISTA DE ESPÉCIES'!B:H,6,FALSE()),IF(AND(A531=0,B531=0,C531&lt;&gt;0),VLOOKUP(C531,'3 - LISTA DE ESPÉCIES'!C:H,5,FALSE()))))</f>
        <v>0</v>
      </c>
      <c r="G531" s="21" t="b">
        <f>IF(AND(A531&lt;&gt;0,B531=0,C531=0),VLOOKUP(A531,'3 - LISTA DE ESPÉCIES'!A:H,3,FALSE()),IF(AND(A531=0,B531&lt;&gt;0,C531=0),VLOOKUP(B531,'3 - LISTA DE ESPÉCIES'!B:H,7,FALSE()),IF(AND(A531=0,B531=0,C531&lt;&gt;0),VLOOKUP(C531,'3 - LISTA DE ESPÉCIES'!C:H,6,FALSE()))))</f>
        <v>0</v>
      </c>
      <c r="H531" s="21" t="b">
        <f>IF(AND(A531&lt;&gt;0,B531=0,C531=0),VLOOKUP(A531,'3 - LISTA DE ESPÉCIES'!A:H,4,FALSE()),IF(AND(A531=0,B531&lt;&gt;0,C531=0),VLOOKUP(B531,'3 - LISTA DE ESPÉCIES'!B:H,3,FALSE()),IF(AND(A531=0,B531=0,C531&lt;&gt;0),VLOOKUP(C531,'3 - LISTA DE ESPÉCIES'!C:H,2,FALSE()))))</f>
        <v>0</v>
      </c>
      <c r="I531" s="21" t="b">
        <f>IF(AND(A531&lt;&gt;0,B531=0,C531=0),VLOOKUP(A531,'3 - LISTA DE ESPÉCIES'!A:H,5,FALSE()),IF(AND(A531=0,B531&lt;&gt;0,C531=0),VLOOKUP(B531,'3 - LISTA DE ESPÉCIES'!B:H,4,FALSE()),IF(AND(A531=0,B531=0,C531&lt;&gt;0),VLOOKUP(C531,'3 - LISTA DE ESPÉCIES'!C:H,3,FALSE()))))</f>
        <v>0</v>
      </c>
      <c r="J531" s="23"/>
      <c r="K531" s="23"/>
      <c r="L531" s="20"/>
      <c r="M531" s="20"/>
    </row>
    <row r="532" spans="1:13" x14ac:dyDescent="0.25">
      <c r="A532" s="20"/>
      <c r="B532" s="20"/>
      <c r="C532" s="20"/>
      <c r="E532" s="21" t="b">
        <f>IF(AND(A532&lt;&gt;0,B532=0,C532=0),VLOOKUP(A532,'3 - LISTA DE ESPÉCIES'!A:H,1,FALSE()),IF(AND(A532=0,B532&lt;&gt;0,C532=0),VLOOKUP(B532,'3 - LISTA DE ESPÉCIES'!B:H,5,FALSE()),IF(AND(A532=0,B532=0,C532&lt;&gt;0),VLOOKUP(C532,'3 - LISTA DE ESPÉCIES'!C:H,4,FALSE()))))</f>
        <v>0</v>
      </c>
      <c r="F532" s="21" t="b">
        <f>IF(AND(A532&lt;&gt;0,B532=0,C532=0),VLOOKUP(A532,'3 - LISTA DE ESPÉCIES'!A:H,2,FALSE()),IF(AND(A532=0,B532&lt;&gt;0,C532=0),VLOOKUP(B532,'3 - LISTA DE ESPÉCIES'!B:H,6,FALSE()),IF(AND(A532=0,B532=0,C532&lt;&gt;0),VLOOKUP(C532,'3 - LISTA DE ESPÉCIES'!C:H,5,FALSE()))))</f>
        <v>0</v>
      </c>
      <c r="G532" s="21" t="b">
        <f>IF(AND(A532&lt;&gt;0,B532=0,C532=0),VLOOKUP(A532,'3 - LISTA DE ESPÉCIES'!A:H,3,FALSE()),IF(AND(A532=0,B532&lt;&gt;0,C532=0),VLOOKUP(B532,'3 - LISTA DE ESPÉCIES'!B:H,7,FALSE()),IF(AND(A532=0,B532=0,C532&lt;&gt;0),VLOOKUP(C532,'3 - LISTA DE ESPÉCIES'!C:H,6,FALSE()))))</f>
        <v>0</v>
      </c>
      <c r="H532" s="21" t="b">
        <f>IF(AND(A532&lt;&gt;0,B532=0,C532=0),VLOOKUP(A532,'3 - LISTA DE ESPÉCIES'!A:H,4,FALSE()),IF(AND(A532=0,B532&lt;&gt;0,C532=0),VLOOKUP(B532,'3 - LISTA DE ESPÉCIES'!B:H,3,FALSE()),IF(AND(A532=0,B532=0,C532&lt;&gt;0),VLOOKUP(C532,'3 - LISTA DE ESPÉCIES'!C:H,2,FALSE()))))</f>
        <v>0</v>
      </c>
      <c r="I532" s="21" t="b">
        <f>IF(AND(A532&lt;&gt;0,B532=0,C532=0),VLOOKUP(A532,'3 - LISTA DE ESPÉCIES'!A:H,5,FALSE()),IF(AND(A532=0,B532&lt;&gt;0,C532=0),VLOOKUP(B532,'3 - LISTA DE ESPÉCIES'!B:H,4,FALSE()),IF(AND(A532=0,B532=0,C532&lt;&gt;0),VLOOKUP(C532,'3 - LISTA DE ESPÉCIES'!C:H,3,FALSE()))))</f>
        <v>0</v>
      </c>
      <c r="J532" s="23"/>
      <c r="K532" s="23"/>
      <c r="L532" s="20"/>
      <c r="M532" s="20"/>
    </row>
    <row r="533" spans="1:13" x14ac:dyDescent="0.25">
      <c r="A533" s="20"/>
      <c r="B533" s="20"/>
      <c r="C533" s="20"/>
      <c r="E533" s="21" t="b">
        <f>IF(AND(A533&lt;&gt;0,B533=0,C533=0),VLOOKUP(A533,'3 - LISTA DE ESPÉCIES'!A:H,1,FALSE()),IF(AND(A533=0,B533&lt;&gt;0,C533=0),VLOOKUP(B533,'3 - LISTA DE ESPÉCIES'!B:H,5,FALSE()),IF(AND(A533=0,B533=0,C533&lt;&gt;0),VLOOKUP(C533,'3 - LISTA DE ESPÉCIES'!C:H,4,FALSE()))))</f>
        <v>0</v>
      </c>
      <c r="F533" s="21" t="b">
        <f>IF(AND(A533&lt;&gt;0,B533=0,C533=0),VLOOKUP(A533,'3 - LISTA DE ESPÉCIES'!A:H,2,FALSE()),IF(AND(A533=0,B533&lt;&gt;0,C533=0),VLOOKUP(B533,'3 - LISTA DE ESPÉCIES'!B:H,6,FALSE()),IF(AND(A533=0,B533=0,C533&lt;&gt;0),VLOOKUP(C533,'3 - LISTA DE ESPÉCIES'!C:H,5,FALSE()))))</f>
        <v>0</v>
      </c>
      <c r="G533" s="21" t="b">
        <f>IF(AND(A533&lt;&gt;0,B533=0,C533=0),VLOOKUP(A533,'3 - LISTA DE ESPÉCIES'!A:H,3,FALSE()),IF(AND(A533=0,B533&lt;&gt;0,C533=0),VLOOKUP(B533,'3 - LISTA DE ESPÉCIES'!B:H,7,FALSE()),IF(AND(A533=0,B533=0,C533&lt;&gt;0),VLOOKUP(C533,'3 - LISTA DE ESPÉCIES'!C:H,6,FALSE()))))</f>
        <v>0</v>
      </c>
      <c r="H533" s="21" t="b">
        <f>IF(AND(A533&lt;&gt;0,B533=0,C533=0),VLOOKUP(A533,'3 - LISTA DE ESPÉCIES'!A:H,4,FALSE()),IF(AND(A533=0,B533&lt;&gt;0,C533=0),VLOOKUP(B533,'3 - LISTA DE ESPÉCIES'!B:H,3,FALSE()),IF(AND(A533=0,B533=0,C533&lt;&gt;0),VLOOKUP(C533,'3 - LISTA DE ESPÉCIES'!C:H,2,FALSE()))))</f>
        <v>0</v>
      </c>
      <c r="I533" s="21" t="b">
        <f>IF(AND(A533&lt;&gt;0,B533=0,C533=0),VLOOKUP(A533,'3 - LISTA DE ESPÉCIES'!A:H,5,FALSE()),IF(AND(A533=0,B533&lt;&gt;0,C533=0),VLOOKUP(B533,'3 - LISTA DE ESPÉCIES'!B:H,4,FALSE()),IF(AND(A533=0,B533=0,C533&lt;&gt;0),VLOOKUP(C533,'3 - LISTA DE ESPÉCIES'!C:H,3,FALSE()))))</f>
        <v>0</v>
      </c>
      <c r="J533" s="23"/>
      <c r="K533" s="23"/>
      <c r="L533" s="20"/>
      <c r="M533" s="20"/>
    </row>
    <row r="534" spans="1:13" x14ac:dyDescent="0.25">
      <c r="A534" s="20"/>
      <c r="B534" s="20"/>
      <c r="C534" s="20"/>
      <c r="E534" s="21" t="b">
        <f>IF(AND(A534&lt;&gt;0,B534=0,C534=0),VLOOKUP(A534,'3 - LISTA DE ESPÉCIES'!A:H,1,FALSE()),IF(AND(A534=0,B534&lt;&gt;0,C534=0),VLOOKUP(B534,'3 - LISTA DE ESPÉCIES'!B:H,5,FALSE()),IF(AND(A534=0,B534=0,C534&lt;&gt;0),VLOOKUP(C534,'3 - LISTA DE ESPÉCIES'!C:H,4,FALSE()))))</f>
        <v>0</v>
      </c>
      <c r="F534" s="21" t="b">
        <f>IF(AND(A534&lt;&gt;0,B534=0,C534=0),VLOOKUP(A534,'3 - LISTA DE ESPÉCIES'!A:H,2,FALSE()),IF(AND(A534=0,B534&lt;&gt;0,C534=0),VLOOKUP(B534,'3 - LISTA DE ESPÉCIES'!B:H,6,FALSE()),IF(AND(A534=0,B534=0,C534&lt;&gt;0),VLOOKUP(C534,'3 - LISTA DE ESPÉCIES'!C:H,5,FALSE()))))</f>
        <v>0</v>
      </c>
      <c r="G534" s="21" t="b">
        <f>IF(AND(A534&lt;&gt;0,B534=0,C534=0),VLOOKUP(A534,'3 - LISTA DE ESPÉCIES'!A:H,3,FALSE()),IF(AND(A534=0,B534&lt;&gt;0,C534=0),VLOOKUP(B534,'3 - LISTA DE ESPÉCIES'!B:H,7,FALSE()),IF(AND(A534=0,B534=0,C534&lt;&gt;0),VLOOKUP(C534,'3 - LISTA DE ESPÉCIES'!C:H,6,FALSE()))))</f>
        <v>0</v>
      </c>
      <c r="H534" s="21" t="b">
        <f>IF(AND(A534&lt;&gt;0,B534=0,C534=0),VLOOKUP(A534,'3 - LISTA DE ESPÉCIES'!A:H,4,FALSE()),IF(AND(A534=0,B534&lt;&gt;0,C534=0),VLOOKUP(B534,'3 - LISTA DE ESPÉCIES'!B:H,3,FALSE()),IF(AND(A534=0,B534=0,C534&lt;&gt;0),VLOOKUP(C534,'3 - LISTA DE ESPÉCIES'!C:H,2,FALSE()))))</f>
        <v>0</v>
      </c>
      <c r="I534" s="21" t="b">
        <f>IF(AND(A534&lt;&gt;0,B534=0,C534=0),VLOOKUP(A534,'3 - LISTA DE ESPÉCIES'!A:H,5,FALSE()),IF(AND(A534=0,B534&lt;&gt;0,C534=0),VLOOKUP(B534,'3 - LISTA DE ESPÉCIES'!B:H,4,FALSE()),IF(AND(A534=0,B534=0,C534&lt;&gt;0),VLOOKUP(C534,'3 - LISTA DE ESPÉCIES'!C:H,3,FALSE()))))</f>
        <v>0</v>
      </c>
      <c r="J534" s="23"/>
      <c r="K534" s="23"/>
      <c r="L534" s="20"/>
      <c r="M534" s="20"/>
    </row>
    <row r="535" spans="1:13" x14ac:dyDescent="0.25">
      <c r="A535" s="20"/>
      <c r="B535" s="20"/>
      <c r="C535" s="20"/>
      <c r="E535" s="21" t="b">
        <f>IF(AND(A535&lt;&gt;0,B535=0,C535=0),VLOOKUP(A535,'3 - LISTA DE ESPÉCIES'!A:H,1,FALSE()),IF(AND(A535=0,B535&lt;&gt;0,C535=0),VLOOKUP(B535,'3 - LISTA DE ESPÉCIES'!B:H,5,FALSE()),IF(AND(A535=0,B535=0,C535&lt;&gt;0),VLOOKUP(C535,'3 - LISTA DE ESPÉCIES'!C:H,4,FALSE()))))</f>
        <v>0</v>
      </c>
      <c r="F535" s="21" t="b">
        <f>IF(AND(A535&lt;&gt;0,B535=0,C535=0),VLOOKUP(A535,'3 - LISTA DE ESPÉCIES'!A:H,2,FALSE()),IF(AND(A535=0,B535&lt;&gt;0,C535=0),VLOOKUP(B535,'3 - LISTA DE ESPÉCIES'!B:H,6,FALSE()),IF(AND(A535=0,B535=0,C535&lt;&gt;0),VLOOKUP(C535,'3 - LISTA DE ESPÉCIES'!C:H,5,FALSE()))))</f>
        <v>0</v>
      </c>
      <c r="G535" s="21" t="b">
        <f>IF(AND(A535&lt;&gt;0,B535=0,C535=0),VLOOKUP(A535,'3 - LISTA DE ESPÉCIES'!A:H,3,FALSE()),IF(AND(A535=0,B535&lt;&gt;0,C535=0),VLOOKUP(B535,'3 - LISTA DE ESPÉCIES'!B:H,7,FALSE()),IF(AND(A535=0,B535=0,C535&lt;&gt;0),VLOOKUP(C535,'3 - LISTA DE ESPÉCIES'!C:H,6,FALSE()))))</f>
        <v>0</v>
      </c>
      <c r="H535" s="21" t="b">
        <f>IF(AND(A535&lt;&gt;0,B535=0,C535=0),VLOOKUP(A535,'3 - LISTA DE ESPÉCIES'!A:H,4,FALSE()),IF(AND(A535=0,B535&lt;&gt;0,C535=0),VLOOKUP(B535,'3 - LISTA DE ESPÉCIES'!B:H,3,FALSE()),IF(AND(A535=0,B535=0,C535&lt;&gt;0),VLOOKUP(C535,'3 - LISTA DE ESPÉCIES'!C:H,2,FALSE()))))</f>
        <v>0</v>
      </c>
      <c r="I535" s="21" t="b">
        <f>IF(AND(A535&lt;&gt;0,B535=0,C535=0),VLOOKUP(A535,'3 - LISTA DE ESPÉCIES'!A:H,5,FALSE()),IF(AND(A535=0,B535&lt;&gt;0,C535=0),VLOOKUP(B535,'3 - LISTA DE ESPÉCIES'!B:H,4,FALSE()),IF(AND(A535=0,B535=0,C535&lt;&gt;0),VLOOKUP(C535,'3 - LISTA DE ESPÉCIES'!C:H,3,FALSE()))))</f>
        <v>0</v>
      </c>
      <c r="J535" s="23"/>
      <c r="K535" s="23"/>
      <c r="L535" s="20"/>
      <c r="M535" s="20"/>
    </row>
    <row r="536" spans="1:13" x14ac:dyDescent="0.25">
      <c r="A536" s="20"/>
      <c r="B536" s="20"/>
      <c r="C536" s="20"/>
      <c r="E536" s="21" t="b">
        <f>IF(AND(A536&lt;&gt;0,B536=0,C536=0),VLOOKUP(A536,'3 - LISTA DE ESPÉCIES'!A:H,1,FALSE()),IF(AND(A536=0,B536&lt;&gt;0,C536=0),VLOOKUP(B536,'3 - LISTA DE ESPÉCIES'!B:H,5,FALSE()),IF(AND(A536=0,B536=0,C536&lt;&gt;0),VLOOKUP(C536,'3 - LISTA DE ESPÉCIES'!C:H,4,FALSE()))))</f>
        <v>0</v>
      </c>
      <c r="F536" s="21" t="b">
        <f>IF(AND(A536&lt;&gt;0,B536=0,C536=0),VLOOKUP(A536,'3 - LISTA DE ESPÉCIES'!A:H,2,FALSE()),IF(AND(A536=0,B536&lt;&gt;0,C536=0),VLOOKUP(B536,'3 - LISTA DE ESPÉCIES'!B:H,6,FALSE()),IF(AND(A536=0,B536=0,C536&lt;&gt;0),VLOOKUP(C536,'3 - LISTA DE ESPÉCIES'!C:H,5,FALSE()))))</f>
        <v>0</v>
      </c>
      <c r="G536" s="21" t="b">
        <f>IF(AND(A536&lt;&gt;0,B536=0,C536=0),VLOOKUP(A536,'3 - LISTA DE ESPÉCIES'!A:H,3,FALSE()),IF(AND(A536=0,B536&lt;&gt;0,C536=0),VLOOKUP(B536,'3 - LISTA DE ESPÉCIES'!B:H,7,FALSE()),IF(AND(A536=0,B536=0,C536&lt;&gt;0),VLOOKUP(C536,'3 - LISTA DE ESPÉCIES'!C:H,6,FALSE()))))</f>
        <v>0</v>
      </c>
      <c r="H536" s="21" t="b">
        <f>IF(AND(A536&lt;&gt;0,B536=0,C536=0),VLOOKUP(A536,'3 - LISTA DE ESPÉCIES'!A:H,4,FALSE()),IF(AND(A536=0,B536&lt;&gt;0,C536=0),VLOOKUP(B536,'3 - LISTA DE ESPÉCIES'!B:H,3,FALSE()),IF(AND(A536=0,B536=0,C536&lt;&gt;0),VLOOKUP(C536,'3 - LISTA DE ESPÉCIES'!C:H,2,FALSE()))))</f>
        <v>0</v>
      </c>
      <c r="I536" s="21" t="b">
        <f>IF(AND(A536&lt;&gt;0,B536=0,C536=0),VLOOKUP(A536,'3 - LISTA DE ESPÉCIES'!A:H,5,FALSE()),IF(AND(A536=0,B536&lt;&gt;0,C536=0),VLOOKUP(B536,'3 - LISTA DE ESPÉCIES'!B:H,4,FALSE()),IF(AND(A536=0,B536=0,C536&lt;&gt;0),VLOOKUP(C536,'3 - LISTA DE ESPÉCIES'!C:H,3,FALSE()))))</f>
        <v>0</v>
      </c>
      <c r="J536" s="23"/>
      <c r="K536" s="23"/>
      <c r="L536" s="20"/>
      <c r="M536" s="20"/>
    </row>
    <row r="537" spans="1:13" x14ac:dyDescent="0.25">
      <c r="A537" s="20"/>
      <c r="B537" s="20"/>
      <c r="C537" s="20"/>
      <c r="E537" s="21" t="b">
        <f>IF(AND(A537&lt;&gt;0,B537=0,C537=0),VLOOKUP(A537,'3 - LISTA DE ESPÉCIES'!A:H,1,FALSE()),IF(AND(A537=0,B537&lt;&gt;0,C537=0),VLOOKUP(B537,'3 - LISTA DE ESPÉCIES'!B:H,5,FALSE()),IF(AND(A537=0,B537=0,C537&lt;&gt;0),VLOOKUP(C537,'3 - LISTA DE ESPÉCIES'!C:H,4,FALSE()))))</f>
        <v>0</v>
      </c>
      <c r="F537" s="21" t="b">
        <f>IF(AND(A537&lt;&gt;0,B537=0,C537=0),VLOOKUP(A537,'3 - LISTA DE ESPÉCIES'!A:H,2,FALSE()),IF(AND(A537=0,B537&lt;&gt;0,C537=0),VLOOKUP(B537,'3 - LISTA DE ESPÉCIES'!B:H,6,FALSE()),IF(AND(A537=0,B537=0,C537&lt;&gt;0),VLOOKUP(C537,'3 - LISTA DE ESPÉCIES'!C:H,5,FALSE()))))</f>
        <v>0</v>
      </c>
      <c r="G537" s="21" t="b">
        <f>IF(AND(A537&lt;&gt;0,B537=0,C537=0),VLOOKUP(A537,'3 - LISTA DE ESPÉCIES'!A:H,3,FALSE()),IF(AND(A537=0,B537&lt;&gt;0,C537=0),VLOOKUP(B537,'3 - LISTA DE ESPÉCIES'!B:H,7,FALSE()),IF(AND(A537=0,B537=0,C537&lt;&gt;0),VLOOKUP(C537,'3 - LISTA DE ESPÉCIES'!C:H,6,FALSE()))))</f>
        <v>0</v>
      </c>
      <c r="H537" s="21" t="b">
        <f>IF(AND(A537&lt;&gt;0,B537=0,C537=0),VLOOKUP(A537,'3 - LISTA DE ESPÉCIES'!A:H,4,FALSE()),IF(AND(A537=0,B537&lt;&gt;0,C537=0),VLOOKUP(B537,'3 - LISTA DE ESPÉCIES'!B:H,3,FALSE()),IF(AND(A537=0,B537=0,C537&lt;&gt;0),VLOOKUP(C537,'3 - LISTA DE ESPÉCIES'!C:H,2,FALSE()))))</f>
        <v>0</v>
      </c>
      <c r="I537" s="21" t="b">
        <f>IF(AND(A537&lt;&gt;0,B537=0,C537=0),VLOOKUP(A537,'3 - LISTA DE ESPÉCIES'!A:H,5,FALSE()),IF(AND(A537=0,B537&lt;&gt;0,C537=0),VLOOKUP(B537,'3 - LISTA DE ESPÉCIES'!B:H,4,FALSE()),IF(AND(A537=0,B537=0,C537&lt;&gt;0),VLOOKUP(C537,'3 - LISTA DE ESPÉCIES'!C:H,3,FALSE()))))</f>
        <v>0</v>
      </c>
      <c r="J537" s="23"/>
      <c r="K537" s="23"/>
      <c r="L537" s="20"/>
      <c r="M537" s="20"/>
    </row>
    <row r="538" spans="1:13" x14ac:dyDescent="0.25">
      <c r="A538" s="20"/>
      <c r="B538" s="20"/>
      <c r="C538" s="20"/>
      <c r="E538" s="21" t="b">
        <f>IF(AND(A538&lt;&gt;0,B538=0,C538=0),VLOOKUP(A538,'3 - LISTA DE ESPÉCIES'!A:H,1,FALSE()),IF(AND(A538=0,B538&lt;&gt;0,C538=0),VLOOKUP(B538,'3 - LISTA DE ESPÉCIES'!B:H,5,FALSE()),IF(AND(A538=0,B538=0,C538&lt;&gt;0),VLOOKUP(C538,'3 - LISTA DE ESPÉCIES'!C:H,4,FALSE()))))</f>
        <v>0</v>
      </c>
      <c r="F538" s="21" t="b">
        <f>IF(AND(A538&lt;&gt;0,B538=0,C538=0),VLOOKUP(A538,'3 - LISTA DE ESPÉCIES'!A:H,2,FALSE()),IF(AND(A538=0,B538&lt;&gt;0,C538=0),VLOOKUP(B538,'3 - LISTA DE ESPÉCIES'!B:H,6,FALSE()),IF(AND(A538=0,B538=0,C538&lt;&gt;0),VLOOKUP(C538,'3 - LISTA DE ESPÉCIES'!C:H,5,FALSE()))))</f>
        <v>0</v>
      </c>
      <c r="G538" s="21" t="b">
        <f>IF(AND(A538&lt;&gt;0,B538=0,C538=0),VLOOKUP(A538,'3 - LISTA DE ESPÉCIES'!A:H,3,FALSE()),IF(AND(A538=0,B538&lt;&gt;0,C538=0),VLOOKUP(B538,'3 - LISTA DE ESPÉCIES'!B:H,7,FALSE()),IF(AND(A538=0,B538=0,C538&lt;&gt;0),VLOOKUP(C538,'3 - LISTA DE ESPÉCIES'!C:H,6,FALSE()))))</f>
        <v>0</v>
      </c>
      <c r="H538" s="21" t="b">
        <f>IF(AND(A538&lt;&gt;0,B538=0,C538=0),VLOOKUP(A538,'3 - LISTA DE ESPÉCIES'!A:H,4,FALSE()),IF(AND(A538=0,B538&lt;&gt;0,C538=0),VLOOKUP(B538,'3 - LISTA DE ESPÉCIES'!B:H,3,FALSE()),IF(AND(A538=0,B538=0,C538&lt;&gt;0),VLOOKUP(C538,'3 - LISTA DE ESPÉCIES'!C:H,2,FALSE()))))</f>
        <v>0</v>
      </c>
      <c r="I538" s="21" t="b">
        <f>IF(AND(A538&lt;&gt;0,B538=0,C538=0),VLOOKUP(A538,'3 - LISTA DE ESPÉCIES'!A:H,5,FALSE()),IF(AND(A538=0,B538&lt;&gt;0,C538=0),VLOOKUP(B538,'3 - LISTA DE ESPÉCIES'!B:H,4,FALSE()),IF(AND(A538=0,B538=0,C538&lt;&gt;0),VLOOKUP(C538,'3 - LISTA DE ESPÉCIES'!C:H,3,FALSE()))))</f>
        <v>0</v>
      </c>
      <c r="J538" s="23"/>
      <c r="K538" s="23"/>
      <c r="L538" s="20"/>
      <c r="M538" s="20"/>
    </row>
    <row r="539" spans="1:13" x14ac:dyDescent="0.25">
      <c r="A539" s="20"/>
      <c r="B539" s="20"/>
      <c r="C539" s="20"/>
      <c r="E539" s="21" t="b">
        <f>IF(AND(A539&lt;&gt;0,B539=0,C539=0),VLOOKUP(A539,'3 - LISTA DE ESPÉCIES'!A:H,1,FALSE()),IF(AND(A539=0,B539&lt;&gt;0,C539=0),VLOOKUP(B539,'3 - LISTA DE ESPÉCIES'!B:H,5,FALSE()),IF(AND(A539=0,B539=0,C539&lt;&gt;0),VLOOKUP(C539,'3 - LISTA DE ESPÉCIES'!C:H,4,FALSE()))))</f>
        <v>0</v>
      </c>
      <c r="F539" s="21" t="b">
        <f>IF(AND(A539&lt;&gt;0,B539=0,C539=0),VLOOKUP(A539,'3 - LISTA DE ESPÉCIES'!A:H,2,FALSE()),IF(AND(A539=0,B539&lt;&gt;0,C539=0),VLOOKUP(B539,'3 - LISTA DE ESPÉCIES'!B:H,6,FALSE()),IF(AND(A539=0,B539=0,C539&lt;&gt;0),VLOOKUP(C539,'3 - LISTA DE ESPÉCIES'!C:H,5,FALSE()))))</f>
        <v>0</v>
      </c>
      <c r="G539" s="21" t="b">
        <f>IF(AND(A539&lt;&gt;0,B539=0,C539=0),VLOOKUP(A539,'3 - LISTA DE ESPÉCIES'!A:H,3,FALSE()),IF(AND(A539=0,B539&lt;&gt;0,C539=0),VLOOKUP(B539,'3 - LISTA DE ESPÉCIES'!B:H,7,FALSE()),IF(AND(A539=0,B539=0,C539&lt;&gt;0),VLOOKUP(C539,'3 - LISTA DE ESPÉCIES'!C:H,6,FALSE()))))</f>
        <v>0</v>
      </c>
      <c r="H539" s="21" t="b">
        <f>IF(AND(A539&lt;&gt;0,B539=0,C539=0),VLOOKUP(A539,'3 - LISTA DE ESPÉCIES'!A:H,4,FALSE()),IF(AND(A539=0,B539&lt;&gt;0,C539=0),VLOOKUP(B539,'3 - LISTA DE ESPÉCIES'!B:H,3,FALSE()),IF(AND(A539=0,B539=0,C539&lt;&gt;0),VLOOKUP(C539,'3 - LISTA DE ESPÉCIES'!C:H,2,FALSE()))))</f>
        <v>0</v>
      </c>
      <c r="I539" s="21" t="b">
        <f>IF(AND(A539&lt;&gt;0,B539=0,C539=0),VLOOKUP(A539,'3 - LISTA DE ESPÉCIES'!A:H,5,FALSE()),IF(AND(A539=0,B539&lt;&gt;0,C539=0),VLOOKUP(B539,'3 - LISTA DE ESPÉCIES'!B:H,4,FALSE()),IF(AND(A539=0,B539=0,C539&lt;&gt;0),VLOOKUP(C539,'3 - LISTA DE ESPÉCIES'!C:H,3,FALSE()))))</f>
        <v>0</v>
      </c>
      <c r="J539" s="23"/>
      <c r="K539" s="23"/>
      <c r="L539" s="20"/>
      <c r="M539" s="20"/>
    </row>
    <row r="540" spans="1:13" x14ac:dyDescent="0.25">
      <c r="A540" s="20"/>
      <c r="B540" s="20"/>
      <c r="C540" s="20"/>
      <c r="E540" s="21" t="b">
        <f>IF(AND(A540&lt;&gt;0,B540=0,C540=0),VLOOKUP(A540,'3 - LISTA DE ESPÉCIES'!A:H,1,FALSE()),IF(AND(A540=0,B540&lt;&gt;0,C540=0),VLOOKUP(B540,'3 - LISTA DE ESPÉCIES'!B:H,5,FALSE()),IF(AND(A540=0,B540=0,C540&lt;&gt;0),VLOOKUP(C540,'3 - LISTA DE ESPÉCIES'!C:H,4,FALSE()))))</f>
        <v>0</v>
      </c>
      <c r="F540" s="21" t="b">
        <f>IF(AND(A540&lt;&gt;0,B540=0,C540=0),VLOOKUP(A540,'3 - LISTA DE ESPÉCIES'!A:H,2,FALSE()),IF(AND(A540=0,B540&lt;&gt;0,C540=0),VLOOKUP(B540,'3 - LISTA DE ESPÉCIES'!B:H,6,FALSE()),IF(AND(A540=0,B540=0,C540&lt;&gt;0),VLOOKUP(C540,'3 - LISTA DE ESPÉCIES'!C:H,5,FALSE()))))</f>
        <v>0</v>
      </c>
      <c r="G540" s="21" t="b">
        <f>IF(AND(A540&lt;&gt;0,B540=0,C540=0),VLOOKUP(A540,'3 - LISTA DE ESPÉCIES'!A:H,3,FALSE()),IF(AND(A540=0,B540&lt;&gt;0,C540=0),VLOOKUP(B540,'3 - LISTA DE ESPÉCIES'!B:H,7,FALSE()),IF(AND(A540=0,B540=0,C540&lt;&gt;0),VLOOKUP(C540,'3 - LISTA DE ESPÉCIES'!C:H,6,FALSE()))))</f>
        <v>0</v>
      </c>
      <c r="H540" s="21" t="b">
        <f>IF(AND(A540&lt;&gt;0,B540=0,C540=0),VLOOKUP(A540,'3 - LISTA DE ESPÉCIES'!A:H,4,FALSE()),IF(AND(A540=0,B540&lt;&gt;0,C540=0),VLOOKUP(B540,'3 - LISTA DE ESPÉCIES'!B:H,3,FALSE()),IF(AND(A540=0,B540=0,C540&lt;&gt;0),VLOOKUP(C540,'3 - LISTA DE ESPÉCIES'!C:H,2,FALSE()))))</f>
        <v>0</v>
      </c>
      <c r="I540" s="21" t="b">
        <f>IF(AND(A540&lt;&gt;0,B540=0,C540=0),VLOOKUP(A540,'3 - LISTA DE ESPÉCIES'!A:H,5,FALSE()),IF(AND(A540=0,B540&lt;&gt;0,C540=0),VLOOKUP(B540,'3 - LISTA DE ESPÉCIES'!B:H,4,FALSE()),IF(AND(A540=0,B540=0,C540&lt;&gt;0),VLOOKUP(C540,'3 - LISTA DE ESPÉCIES'!C:H,3,FALSE()))))</f>
        <v>0</v>
      </c>
      <c r="J540" s="23"/>
      <c r="K540" s="23"/>
      <c r="L540" s="20"/>
      <c r="M540" s="20"/>
    </row>
    <row r="541" spans="1:13" x14ac:dyDescent="0.25">
      <c r="A541" s="20"/>
      <c r="B541" s="20"/>
      <c r="C541" s="20"/>
      <c r="E541" s="21" t="b">
        <f>IF(AND(A541&lt;&gt;0,B541=0,C541=0),VLOOKUP(A541,'3 - LISTA DE ESPÉCIES'!A:H,1,FALSE()),IF(AND(A541=0,B541&lt;&gt;0,C541=0),VLOOKUP(B541,'3 - LISTA DE ESPÉCIES'!B:H,5,FALSE()),IF(AND(A541=0,B541=0,C541&lt;&gt;0),VLOOKUP(C541,'3 - LISTA DE ESPÉCIES'!C:H,4,FALSE()))))</f>
        <v>0</v>
      </c>
      <c r="F541" s="21" t="b">
        <f>IF(AND(A541&lt;&gt;0,B541=0,C541=0),VLOOKUP(A541,'3 - LISTA DE ESPÉCIES'!A:H,2,FALSE()),IF(AND(A541=0,B541&lt;&gt;0,C541=0),VLOOKUP(B541,'3 - LISTA DE ESPÉCIES'!B:H,6,FALSE()),IF(AND(A541=0,B541=0,C541&lt;&gt;0),VLOOKUP(C541,'3 - LISTA DE ESPÉCIES'!C:H,5,FALSE()))))</f>
        <v>0</v>
      </c>
      <c r="G541" s="21" t="b">
        <f>IF(AND(A541&lt;&gt;0,B541=0,C541=0),VLOOKUP(A541,'3 - LISTA DE ESPÉCIES'!A:H,3,FALSE()),IF(AND(A541=0,B541&lt;&gt;0,C541=0),VLOOKUP(B541,'3 - LISTA DE ESPÉCIES'!B:H,7,FALSE()),IF(AND(A541=0,B541=0,C541&lt;&gt;0),VLOOKUP(C541,'3 - LISTA DE ESPÉCIES'!C:H,6,FALSE()))))</f>
        <v>0</v>
      </c>
      <c r="H541" s="21" t="b">
        <f>IF(AND(A541&lt;&gt;0,B541=0,C541=0),VLOOKUP(A541,'3 - LISTA DE ESPÉCIES'!A:H,4,FALSE()),IF(AND(A541=0,B541&lt;&gt;0,C541=0),VLOOKUP(B541,'3 - LISTA DE ESPÉCIES'!B:H,3,FALSE()),IF(AND(A541=0,B541=0,C541&lt;&gt;0),VLOOKUP(C541,'3 - LISTA DE ESPÉCIES'!C:H,2,FALSE()))))</f>
        <v>0</v>
      </c>
      <c r="I541" s="21" t="b">
        <f>IF(AND(A541&lt;&gt;0,B541=0,C541=0),VLOOKUP(A541,'3 - LISTA DE ESPÉCIES'!A:H,5,FALSE()),IF(AND(A541=0,B541&lt;&gt;0,C541=0),VLOOKUP(B541,'3 - LISTA DE ESPÉCIES'!B:H,4,FALSE()),IF(AND(A541=0,B541=0,C541&lt;&gt;0),VLOOKUP(C541,'3 - LISTA DE ESPÉCIES'!C:H,3,FALSE()))))</f>
        <v>0</v>
      </c>
      <c r="J541" s="23"/>
      <c r="K541" s="23"/>
      <c r="L541" s="20"/>
      <c r="M541" s="20"/>
    </row>
    <row r="542" spans="1:13" x14ac:dyDescent="0.25">
      <c r="A542" s="20"/>
      <c r="B542" s="20"/>
      <c r="C542" s="20"/>
      <c r="E542" s="21" t="b">
        <f>IF(AND(A542&lt;&gt;0,B542=0,C542=0),VLOOKUP(A542,'3 - LISTA DE ESPÉCIES'!A:H,1,FALSE()),IF(AND(A542=0,B542&lt;&gt;0,C542=0),VLOOKUP(B542,'3 - LISTA DE ESPÉCIES'!B:H,5,FALSE()),IF(AND(A542=0,B542=0,C542&lt;&gt;0),VLOOKUP(C542,'3 - LISTA DE ESPÉCIES'!C:H,4,FALSE()))))</f>
        <v>0</v>
      </c>
      <c r="F542" s="21" t="b">
        <f>IF(AND(A542&lt;&gt;0,B542=0,C542=0),VLOOKUP(A542,'3 - LISTA DE ESPÉCIES'!A:H,2,FALSE()),IF(AND(A542=0,B542&lt;&gt;0,C542=0),VLOOKUP(B542,'3 - LISTA DE ESPÉCIES'!B:H,6,FALSE()),IF(AND(A542=0,B542=0,C542&lt;&gt;0),VLOOKUP(C542,'3 - LISTA DE ESPÉCIES'!C:H,5,FALSE()))))</f>
        <v>0</v>
      </c>
      <c r="G542" s="21" t="b">
        <f>IF(AND(A542&lt;&gt;0,B542=0,C542=0),VLOOKUP(A542,'3 - LISTA DE ESPÉCIES'!A:H,3,FALSE()),IF(AND(A542=0,B542&lt;&gt;0,C542=0),VLOOKUP(B542,'3 - LISTA DE ESPÉCIES'!B:H,7,FALSE()),IF(AND(A542=0,B542=0,C542&lt;&gt;0),VLOOKUP(C542,'3 - LISTA DE ESPÉCIES'!C:H,6,FALSE()))))</f>
        <v>0</v>
      </c>
      <c r="H542" s="21" t="b">
        <f>IF(AND(A542&lt;&gt;0,B542=0,C542=0),VLOOKUP(A542,'3 - LISTA DE ESPÉCIES'!A:H,4,FALSE()),IF(AND(A542=0,B542&lt;&gt;0,C542=0),VLOOKUP(B542,'3 - LISTA DE ESPÉCIES'!B:H,3,FALSE()),IF(AND(A542=0,B542=0,C542&lt;&gt;0),VLOOKUP(C542,'3 - LISTA DE ESPÉCIES'!C:H,2,FALSE()))))</f>
        <v>0</v>
      </c>
      <c r="I542" s="21" t="b">
        <f>IF(AND(A542&lt;&gt;0,B542=0,C542=0),VLOOKUP(A542,'3 - LISTA DE ESPÉCIES'!A:H,5,FALSE()),IF(AND(A542=0,B542&lt;&gt;0,C542=0),VLOOKUP(B542,'3 - LISTA DE ESPÉCIES'!B:H,4,FALSE()),IF(AND(A542=0,B542=0,C542&lt;&gt;0),VLOOKUP(C542,'3 - LISTA DE ESPÉCIES'!C:H,3,FALSE()))))</f>
        <v>0</v>
      </c>
      <c r="J542" s="23"/>
      <c r="K542" s="23"/>
      <c r="L542" s="20"/>
      <c r="M542" s="20"/>
    </row>
    <row r="543" spans="1:13" x14ac:dyDescent="0.25">
      <c r="A543" s="20"/>
      <c r="B543" s="20"/>
      <c r="C543" s="20"/>
      <c r="E543" s="21" t="b">
        <f>IF(AND(A543&lt;&gt;0,B543=0,C543=0),VLOOKUP(A543,'3 - LISTA DE ESPÉCIES'!A:H,1,FALSE()),IF(AND(A543=0,B543&lt;&gt;0,C543=0),VLOOKUP(B543,'3 - LISTA DE ESPÉCIES'!B:H,5,FALSE()),IF(AND(A543=0,B543=0,C543&lt;&gt;0),VLOOKUP(C543,'3 - LISTA DE ESPÉCIES'!C:H,4,FALSE()))))</f>
        <v>0</v>
      </c>
      <c r="F543" s="21" t="b">
        <f>IF(AND(A543&lt;&gt;0,B543=0,C543=0),VLOOKUP(A543,'3 - LISTA DE ESPÉCIES'!A:H,2,FALSE()),IF(AND(A543=0,B543&lt;&gt;0,C543=0),VLOOKUP(B543,'3 - LISTA DE ESPÉCIES'!B:H,6,FALSE()),IF(AND(A543=0,B543=0,C543&lt;&gt;0),VLOOKUP(C543,'3 - LISTA DE ESPÉCIES'!C:H,5,FALSE()))))</f>
        <v>0</v>
      </c>
      <c r="G543" s="21" t="b">
        <f>IF(AND(A543&lt;&gt;0,B543=0,C543=0),VLOOKUP(A543,'3 - LISTA DE ESPÉCIES'!A:H,3,FALSE()),IF(AND(A543=0,B543&lt;&gt;0,C543=0),VLOOKUP(B543,'3 - LISTA DE ESPÉCIES'!B:H,7,FALSE()),IF(AND(A543=0,B543=0,C543&lt;&gt;0),VLOOKUP(C543,'3 - LISTA DE ESPÉCIES'!C:H,6,FALSE()))))</f>
        <v>0</v>
      </c>
      <c r="H543" s="21" t="b">
        <f>IF(AND(A543&lt;&gt;0,B543=0,C543=0),VLOOKUP(A543,'3 - LISTA DE ESPÉCIES'!A:H,4,FALSE()),IF(AND(A543=0,B543&lt;&gt;0,C543=0),VLOOKUP(B543,'3 - LISTA DE ESPÉCIES'!B:H,3,FALSE()),IF(AND(A543=0,B543=0,C543&lt;&gt;0),VLOOKUP(C543,'3 - LISTA DE ESPÉCIES'!C:H,2,FALSE()))))</f>
        <v>0</v>
      </c>
      <c r="I543" s="21" t="b">
        <f>IF(AND(A543&lt;&gt;0,B543=0,C543=0),VLOOKUP(A543,'3 - LISTA DE ESPÉCIES'!A:H,5,FALSE()),IF(AND(A543=0,B543&lt;&gt;0,C543=0),VLOOKUP(B543,'3 - LISTA DE ESPÉCIES'!B:H,4,FALSE()),IF(AND(A543=0,B543=0,C543&lt;&gt;0),VLOOKUP(C543,'3 - LISTA DE ESPÉCIES'!C:H,3,FALSE()))))</f>
        <v>0</v>
      </c>
      <c r="J543" s="23"/>
      <c r="K543" s="23"/>
      <c r="L543" s="20"/>
      <c r="M543" s="20"/>
    </row>
    <row r="544" spans="1:13" x14ac:dyDescent="0.25">
      <c r="A544" s="20"/>
      <c r="B544" s="20"/>
      <c r="C544" s="20"/>
      <c r="E544" s="21" t="b">
        <f>IF(AND(A544&lt;&gt;0,B544=0,C544=0),VLOOKUP(A544,'3 - LISTA DE ESPÉCIES'!A:H,1,FALSE()),IF(AND(A544=0,B544&lt;&gt;0,C544=0),VLOOKUP(B544,'3 - LISTA DE ESPÉCIES'!B:H,5,FALSE()),IF(AND(A544=0,B544=0,C544&lt;&gt;0),VLOOKUP(C544,'3 - LISTA DE ESPÉCIES'!C:H,4,FALSE()))))</f>
        <v>0</v>
      </c>
      <c r="F544" s="21" t="b">
        <f>IF(AND(A544&lt;&gt;0,B544=0,C544=0),VLOOKUP(A544,'3 - LISTA DE ESPÉCIES'!A:H,2,FALSE()),IF(AND(A544=0,B544&lt;&gt;0,C544=0),VLOOKUP(B544,'3 - LISTA DE ESPÉCIES'!B:H,6,FALSE()),IF(AND(A544=0,B544=0,C544&lt;&gt;0),VLOOKUP(C544,'3 - LISTA DE ESPÉCIES'!C:H,5,FALSE()))))</f>
        <v>0</v>
      </c>
      <c r="G544" s="21" t="b">
        <f>IF(AND(A544&lt;&gt;0,B544=0,C544=0),VLOOKUP(A544,'3 - LISTA DE ESPÉCIES'!A:H,3,FALSE()),IF(AND(A544=0,B544&lt;&gt;0,C544=0),VLOOKUP(B544,'3 - LISTA DE ESPÉCIES'!B:H,7,FALSE()),IF(AND(A544=0,B544=0,C544&lt;&gt;0),VLOOKUP(C544,'3 - LISTA DE ESPÉCIES'!C:H,6,FALSE()))))</f>
        <v>0</v>
      </c>
      <c r="H544" s="21" t="b">
        <f>IF(AND(A544&lt;&gt;0,B544=0,C544=0),VLOOKUP(A544,'3 - LISTA DE ESPÉCIES'!A:H,4,FALSE()),IF(AND(A544=0,B544&lt;&gt;0,C544=0),VLOOKUP(B544,'3 - LISTA DE ESPÉCIES'!B:H,3,FALSE()),IF(AND(A544=0,B544=0,C544&lt;&gt;0),VLOOKUP(C544,'3 - LISTA DE ESPÉCIES'!C:H,2,FALSE()))))</f>
        <v>0</v>
      </c>
      <c r="I544" s="21" t="b">
        <f>IF(AND(A544&lt;&gt;0,B544=0,C544=0),VLOOKUP(A544,'3 - LISTA DE ESPÉCIES'!A:H,5,FALSE()),IF(AND(A544=0,B544&lt;&gt;0,C544=0),VLOOKUP(B544,'3 - LISTA DE ESPÉCIES'!B:H,4,FALSE()),IF(AND(A544=0,B544=0,C544&lt;&gt;0),VLOOKUP(C544,'3 - LISTA DE ESPÉCIES'!C:H,3,FALSE()))))</f>
        <v>0</v>
      </c>
      <c r="J544" s="23"/>
      <c r="K544" s="23"/>
      <c r="L544" s="20"/>
      <c r="M544" s="20"/>
    </row>
    <row r="545" spans="1:13" x14ac:dyDescent="0.25">
      <c r="A545" s="20"/>
      <c r="B545" s="20"/>
      <c r="C545" s="20"/>
      <c r="E545" s="21" t="b">
        <f>IF(AND(A545&lt;&gt;0,B545=0,C545=0),VLOOKUP(A545,'3 - LISTA DE ESPÉCIES'!A:H,1,FALSE()),IF(AND(A545=0,B545&lt;&gt;0,C545=0),VLOOKUP(B545,'3 - LISTA DE ESPÉCIES'!B:H,5,FALSE()),IF(AND(A545=0,B545=0,C545&lt;&gt;0),VLOOKUP(C545,'3 - LISTA DE ESPÉCIES'!C:H,4,FALSE()))))</f>
        <v>0</v>
      </c>
      <c r="F545" s="21" t="b">
        <f>IF(AND(A545&lt;&gt;0,B545=0,C545=0),VLOOKUP(A545,'3 - LISTA DE ESPÉCIES'!A:H,2,FALSE()),IF(AND(A545=0,B545&lt;&gt;0,C545=0),VLOOKUP(B545,'3 - LISTA DE ESPÉCIES'!B:H,6,FALSE()),IF(AND(A545=0,B545=0,C545&lt;&gt;0),VLOOKUP(C545,'3 - LISTA DE ESPÉCIES'!C:H,5,FALSE()))))</f>
        <v>0</v>
      </c>
      <c r="G545" s="21" t="b">
        <f>IF(AND(A545&lt;&gt;0,B545=0,C545=0),VLOOKUP(A545,'3 - LISTA DE ESPÉCIES'!A:H,3,FALSE()),IF(AND(A545=0,B545&lt;&gt;0,C545=0),VLOOKUP(B545,'3 - LISTA DE ESPÉCIES'!B:H,7,FALSE()),IF(AND(A545=0,B545=0,C545&lt;&gt;0),VLOOKUP(C545,'3 - LISTA DE ESPÉCIES'!C:H,6,FALSE()))))</f>
        <v>0</v>
      </c>
      <c r="H545" s="21" t="b">
        <f>IF(AND(A545&lt;&gt;0,B545=0,C545=0),VLOOKUP(A545,'3 - LISTA DE ESPÉCIES'!A:H,4,FALSE()),IF(AND(A545=0,B545&lt;&gt;0,C545=0),VLOOKUP(B545,'3 - LISTA DE ESPÉCIES'!B:H,3,FALSE()),IF(AND(A545=0,B545=0,C545&lt;&gt;0),VLOOKUP(C545,'3 - LISTA DE ESPÉCIES'!C:H,2,FALSE()))))</f>
        <v>0</v>
      </c>
      <c r="I545" s="21" t="b">
        <f>IF(AND(A545&lt;&gt;0,B545=0,C545=0),VLOOKUP(A545,'3 - LISTA DE ESPÉCIES'!A:H,5,FALSE()),IF(AND(A545=0,B545&lt;&gt;0,C545=0),VLOOKUP(B545,'3 - LISTA DE ESPÉCIES'!B:H,4,FALSE()),IF(AND(A545=0,B545=0,C545&lt;&gt;0),VLOOKUP(C545,'3 - LISTA DE ESPÉCIES'!C:H,3,FALSE()))))</f>
        <v>0</v>
      </c>
      <c r="J545" s="23"/>
      <c r="K545" s="23"/>
      <c r="L545" s="20"/>
      <c r="M545" s="20"/>
    </row>
    <row r="546" spans="1:13" x14ac:dyDescent="0.25">
      <c r="A546" s="20"/>
      <c r="B546" s="20"/>
      <c r="C546" s="20"/>
      <c r="E546" s="21" t="b">
        <f>IF(AND(A546&lt;&gt;0,B546=0,C546=0),VLOOKUP(A546,'3 - LISTA DE ESPÉCIES'!A:H,1,FALSE()),IF(AND(A546=0,B546&lt;&gt;0,C546=0),VLOOKUP(B546,'3 - LISTA DE ESPÉCIES'!B:H,5,FALSE()),IF(AND(A546=0,B546=0,C546&lt;&gt;0),VLOOKUP(C546,'3 - LISTA DE ESPÉCIES'!C:H,4,FALSE()))))</f>
        <v>0</v>
      </c>
      <c r="F546" s="21" t="b">
        <f>IF(AND(A546&lt;&gt;0,B546=0,C546=0),VLOOKUP(A546,'3 - LISTA DE ESPÉCIES'!A:H,2,FALSE()),IF(AND(A546=0,B546&lt;&gt;0,C546=0),VLOOKUP(B546,'3 - LISTA DE ESPÉCIES'!B:H,6,FALSE()),IF(AND(A546=0,B546=0,C546&lt;&gt;0),VLOOKUP(C546,'3 - LISTA DE ESPÉCIES'!C:H,5,FALSE()))))</f>
        <v>0</v>
      </c>
      <c r="G546" s="21" t="b">
        <f>IF(AND(A546&lt;&gt;0,B546=0,C546=0),VLOOKUP(A546,'3 - LISTA DE ESPÉCIES'!A:H,3,FALSE()),IF(AND(A546=0,B546&lt;&gt;0,C546=0),VLOOKUP(B546,'3 - LISTA DE ESPÉCIES'!B:H,7,FALSE()),IF(AND(A546=0,B546=0,C546&lt;&gt;0),VLOOKUP(C546,'3 - LISTA DE ESPÉCIES'!C:H,6,FALSE()))))</f>
        <v>0</v>
      </c>
      <c r="H546" s="21" t="b">
        <f>IF(AND(A546&lt;&gt;0,B546=0,C546=0),VLOOKUP(A546,'3 - LISTA DE ESPÉCIES'!A:H,4,FALSE()),IF(AND(A546=0,B546&lt;&gt;0,C546=0),VLOOKUP(B546,'3 - LISTA DE ESPÉCIES'!B:H,3,FALSE()),IF(AND(A546=0,B546=0,C546&lt;&gt;0),VLOOKUP(C546,'3 - LISTA DE ESPÉCIES'!C:H,2,FALSE()))))</f>
        <v>0</v>
      </c>
      <c r="I546" s="21" t="b">
        <f>IF(AND(A546&lt;&gt;0,B546=0,C546=0),VLOOKUP(A546,'3 - LISTA DE ESPÉCIES'!A:H,5,FALSE()),IF(AND(A546=0,B546&lt;&gt;0,C546=0),VLOOKUP(B546,'3 - LISTA DE ESPÉCIES'!B:H,4,FALSE()),IF(AND(A546=0,B546=0,C546&lt;&gt;0),VLOOKUP(C546,'3 - LISTA DE ESPÉCIES'!C:H,3,FALSE()))))</f>
        <v>0</v>
      </c>
      <c r="J546" s="23"/>
      <c r="K546" s="23"/>
      <c r="L546" s="20"/>
      <c r="M546" s="20"/>
    </row>
    <row r="547" spans="1:13" x14ac:dyDescent="0.25">
      <c r="A547" s="20"/>
      <c r="B547" s="20"/>
      <c r="C547" s="20"/>
      <c r="E547" s="21" t="b">
        <f>IF(AND(A547&lt;&gt;0,B547=0,C547=0),VLOOKUP(A547,'3 - LISTA DE ESPÉCIES'!A:H,1,FALSE()),IF(AND(A547=0,B547&lt;&gt;0,C547=0),VLOOKUP(B547,'3 - LISTA DE ESPÉCIES'!B:H,5,FALSE()),IF(AND(A547=0,B547=0,C547&lt;&gt;0),VLOOKUP(C547,'3 - LISTA DE ESPÉCIES'!C:H,4,FALSE()))))</f>
        <v>0</v>
      </c>
      <c r="F547" s="21" t="b">
        <f>IF(AND(A547&lt;&gt;0,B547=0,C547=0),VLOOKUP(A547,'3 - LISTA DE ESPÉCIES'!A:H,2,FALSE()),IF(AND(A547=0,B547&lt;&gt;0,C547=0),VLOOKUP(B547,'3 - LISTA DE ESPÉCIES'!B:H,6,FALSE()),IF(AND(A547=0,B547=0,C547&lt;&gt;0),VLOOKUP(C547,'3 - LISTA DE ESPÉCIES'!C:H,5,FALSE()))))</f>
        <v>0</v>
      </c>
      <c r="G547" s="21" t="b">
        <f>IF(AND(A547&lt;&gt;0,B547=0,C547=0),VLOOKUP(A547,'3 - LISTA DE ESPÉCIES'!A:H,3,FALSE()),IF(AND(A547=0,B547&lt;&gt;0,C547=0),VLOOKUP(B547,'3 - LISTA DE ESPÉCIES'!B:H,7,FALSE()),IF(AND(A547=0,B547=0,C547&lt;&gt;0),VLOOKUP(C547,'3 - LISTA DE ESPÉCIES'!C:H,6,FALSE()))))</f>
        <v>0</v>
      </c>
      <c r="H547" s="21" t="b">
        <f>IF(AND(A547&lt;&gt;0,B547=0,C547=0),VLOOKUP(A547,'3 - LISTA DE ESPÉCIES'!A:H,4,FALSE()),IF(AND(A547=0,B547&lt;&gt;0,C547=0),VLOOKUP(B547,'3 - LISTA DE ESPÉCIES'!B:H,3,FALSE()),IF(AND(A547=0,B547=0,C547&lt;&gt;0),VLOOKUP(C547,'3 - LISTA DE ESPÉCIES'!C:H,2,FALSE()))))</f>
        <v>0</v>
      </c>
      <c r="I547" s="21" t="b">
        <f>IF(AND(A547&lt;&gt;0,B547=0,C547=0),VLOOKUP(A547,'3 - LISTA DE ESPÉCIES'!A:H,5,FALSE()),IF(AND(A547=0,B547&lt;&gt;0,C547=0),VLOOKUP(B547,'3 - LISTA DE ESPÉCIES'!B:H,4,FALSE()),IF(AND(A547=0,B547=0,C547&lt;&gt;0),VLOOKUP(C547,'3 - LISTA DE ESPÉCIES'!C:H,3,FALSE()))))</f>
        <v>0</v>
      </c>
      <c r="J547" s="23"/>
      <c r="K547" s="23"/>
      <c r="L547" s="20"/>
      <c r="M547" s="20"/>
    </row>
    <row r="548" spans="1:13" x14ac:dyDescent="0.25">
      <c r="A548" s="20"/>
      <c r="B548" s="20"/>
      <c r="C548" s="20"/>
      <c r="E548" s="21" t="b">
        <f>IF(AND(A548&lt;&gt;0,B548=0,C548=0),VLOOKUP(A548,'3 - LISTA DE ESPÉCIES'!A:H,1,FALSE()),IF(AND(A548=0,B548&lt;&gt;0,C548=0),VLOOKUP(B548,'3 - LISTA DE ESPÉCIES'!B:H,5,FALSE()),IF(AND(A548=0,B548=0,C548&lt;&gt;0),VLOOKUP(C548,'3 - LISTA DE ESPÉCIES'!C:H,4,FALSE()))))</f>
        <v>0</v>
      </c>
      <c r="F548" s="21" t="b">
        <f>IF(AND(A548&lt;&gt;0,B548=0,C548=0),VLOOKUP(A548,'3 - LISTA DE ESPÉCIES'!A:H,2,FALSE()),IF(AND(A548=0,B548&lt;&gt;0,C548=0),VLOOKUP(B548,'3 - LISTA DE ESPÉCIES'!B:H,6,FALSE()),IF(AND(A548=0,B548=0,C548&lt;&gt;0),VLOOKUP(C548,'3 - LISTA DE ESPÉCIES'!C:H,5,FALSE()))))</f>
        <v>0</v>
      </c>
      <c r="G548" s="21" t="b">
        <f>IF(AND(A548&lt;&gt;0,B548=0,C548=0),VLOOKUP(A548,'3 - LISTA DE ESPÉCIES'!A:H,3,FALSE()),IF(AND(A548=0,B548&lt;&gt;0,C548=0),VLOOKUP(B548,'3 - LISTA DE ESPÉCIES'!B:H,7,FALSE()),IF(AND(A548=0,B548=0,C548&lt;&gt;0),VLOOKUP(C548,'3 - LISTA DE ESPÉCIES'!C:H,6,FALSE()))))</f>
        <v>0</v>
      </c>
      <c r="H548" s="21" t="b">
        <f>IF(AND(A548&lt;&gt;0,B548=0,C548=0),VLOOKUP(A548,'3 - LISTA DE ESPÉCIES'!A:H,4,FALSE()),IF(AND(A548=0,B548&lt;&gt;0,C548=0),VLOOKUP(B548,'3 - LISTA DE ESPÉCIES'!B:H,3,FALSE()),IF(AND(A548=0,B548=0,C548&lt;&gt;0),VLOOKUP(C548,'3 - LISTA DE ESPÉCIES'!C:H,2,FALSE()))))</f>
        <v>0</v>
      </c>
      <c r="I548" s="21" t="b">
        <f>IF(AND(A548&lt;&gt;0,B548=0,C548=0),VLOOKUP(A548,'3 - LISTA DE ESPÉCIES'!A:H,5,FALSE()),IF(AND(A548=0,B548&lt;&gt;0,C548=0),VLOOKUP(B548,'3 - LISTA DE ESPÉCIES'!B:H,4,FALSE()),IF(AND(A548=0,B548=0,C548&lt;&gt;0),VLOOKUP(C548,'3 - LISTA DE ESPÉCIES'!C:H,3,FALSE()))))</f>
        <v>0</v>
      </c>
      <c r="J548" s="23"/>
      <c r="K548" s="23"/>
      <c r="L548" s="20"/>
      <c r="M548" s="20"/>
    </row>
    <row r="549" spans="1:13" x14ac:dyDescent="0.25">
      <c r="A549" s="20"/>
      <c r="B549" s="20"/>
      <c r="C549" s="20"/>
      <c r="E549" s="21" t="b">
        <f>IF(AND(A549&lt;&gt;0,B549=0,C549=0),VLOOKUP(A549,'3 - LISTA DE ESPÉCIES'!A:H,1,FALSE()),IF(AND(A549=0,B549&lt;&gt;0,C549=0),VLOOKUP(B549,'3 - LISTA DE ESPÉCIES'!B:H,5,FALSE()),IF(AND(A549=0,B549=0,C549&lt;&gt;0),VLOOKUP(C549,'3 - LISTA DE ESPÉCIES'!C:H,4,FALSE()))))</f>
        <v>0</v>
      </c>
      <c r="F549" s="21" t="b">
        <f>IF(AND(A549&lt;&gt;0,B549=0,C549=0),VLOOKUP(A549,'3 - LISTA DE ESPÉCIES'!A:H,2,FALSE()),IF(AND(A549=0,B549&lt;&gt;0,C549=0),VLOOKUP(B549,'3 - LISTA DE ESPÉCIES'!B:H,6,FALSE()),IF(AND(A549=0,B549=0,C549&lt;&gt;0),VLOOKUP(C549,'3 - LISTA DE ESPÉCIES'!C:H,5,FALSE()))))</f>
        <v>0</v>
      </c>
      <c r="G549" s="21" t="b">
        <f>IF(AND(A549&lt;&gt;0,B549=0,C549=0),VLOOKUP(A549,'3 - LISTA DE ESPÉCIES'!A:H,3,FALSE()),IF(AND(A549=0,B549&lt;&gt;0,C549=0),VLOOKUP(B549,'3 - LISTA DE ESPÉCIES'!B:H,7,FALSE()),IF(AND(A549=0,B549=0,C549&lt;&gt;0),VLOOKUP(C549,'3 - LISTA DE ESPÉCIES'!C:H,6,FALSE()))))</f>
        <v>0</v>
      </c>
      <c r="H549" s="21" t="b">
        <f>IF(AND(A549&lt;&gt;0,B549=0,C549=0),VLOOKUP(A549,'3 - LISTA DE ESPÉCIES'!A:H,4,FALSE()),IF(AND(A549=0,B549&lt;&gt;0,C549=0),VLOOKUP(B549,'3 - LISTA DE ESPÉCIES'!B:H,3,FALSE()),IF(AND(A549=0,B549=0,C549&lt;&gt;0),VLOOKUP(C549,'3 - LISTA DE ESPÉCIES'!C:H,2,FALSE()))))</f>
        <v>0</v>
      </c>
      <c r="I549" s="21" t="b">
        <f>IF(AND(A549&lt;&gt;0,B549=0,C549=0),VLOOKUP(A549,'3 - LISTA DE ESPÉCIES'!A:H,5,FALSE()),IF(AND(A549=0,B549&lt;&gt;0,C549=0),VLOOKUP(B549,'3 - LISTA DE ESPÉCIES'!B:H,4,FALSE()),IF(AND(A549=0,B549=0,C549&lt;&gt;0),VLOOKUP(C549,'3 - LISTA DE ESPÉCIES'!C:H,3,FALSE()))))</f>
        <v>0</v>
      </c>
      <c r="J549" s="23"/>
      <c r="K549" s="23"/>
      <c r="L549" s="20"/>
      <c r="M549" s="20"/>
    </row>
    <row r="550" spans="1:13" x14ac:dyDescent="0.25">
      <c r="A550" s="20"/>
      <c r="B550" s="20"/>
      <c r="C550" s="20"/>
      <c r="E550" s="21" t="b">
        <f>IF(AND(A550&lt;&gt;0,B550=0,C550=0),VLOOKUP(A550,'3 - LISTA DE ESPÉCIES'!A:H,1,FALSE()),IF(AND(A550=0,B550&lt;&gt;0,C550=0),VLOOKUP(B550,'3 - LISTA DE ESPÉCIES'!B:H,5,FALSE()),IF(AND(A550=0,B550=0,C550&lt;&gt;0),VLOOKUP(C550,'3 - LISTA DE ESPÉCIES'!C:H,4,FALSE()))))</f>
        <v>0</v>
      </c>
      <c r="F550" s="21" t="b">
        <f>IF(AND(A550&lt;&gt;0,B550=0,C550=0),VLOOKUP(A550,'3 - LISTA DE ESPÉCIES'!A:H,2,FALSE()),IF(AND(A550=0,B550&lt;&gt;0,C550=0),VLOOKUP(B550,'3 - LISTA DE ESPÉCIES'!B:H,6,FALSE()),IF(AND(A550=0,B550=0,C550&lt;&gt;0),VLOOKUP(C550,'3 - LISTA DE ESPÉCIES'!C:H,5,FALSE()))))</f>
        <v>0</v>
      </c>
      <c r="G550" s="21" t="b">
        <f>IF(AND(A550&lt;&gt;0,B550=0,C550=0),VLOOKUP(A550,'3 - LISTA DE ESPÉCIES'!A:H,3,FALSE()),IF(AND(A550=0,B550&lt;&gt;0,C550=0),VLOOKUP(B550,'3 - LISTA DE ESPÉCIES'!B:H,7,FALSE()),IF(AND(A550=0,B550=0,C550&lt;&gt;0),VLOOKUP(C550,'3 - LISTA DE ESPÉCIES'!C:H,6,FALSE()))))</f>
        <v>0</v>
      </c>
      <c r="H550" s="21" t="b">
        <f>IF(AND(A550&lt;&gt;0,B550=0,C550=0),VLOOKUP(A550,'3 - LISTA DE ESPÉCIES'!A:H,4,FALSE()),IF(AND(A550=0,B550&lt;&gt;0,C550=0),VLOOKUP(B550,'3 - LISTA DE ESPÉCIES'!B:H,3,FALSE()),IF(AND(A550=0,B550=0,C550&lt;&gt;0),VLOOKUP(C550,'3 - LISTA DE ESPÉCIES'!C:H,2,FALSE()))))</f>
        <v>0</v>
      </c>
      <c r="I550" s="21" t="b">
        <f>IF(AND(A550&lt;&gt;0,B550=0,C550=0),VLOOKUP(A550,'3 - LISTA DE ESPÉCIES'!A:H,5,FALSE()),IF(AND(A550=0,B550&lt;&gt;0,C550=0),VLOOKUP(B550,'3 - LISTA DE ESPÉCIES'!B:H,4,FALSE()),IF(AND(A550=0,B550=0,C550&lt;&gt;0),VLOOKUP(C550,'3 - LISTA DE ESPÉCIES'!C:H,3,FALSE()))))</f>
        <v>0</v>
      </c>
      <c r="J550" s="23"/>
      <c r="K550" s="23"/>
      <c r="L550" s="20"/>
      <c r="M550" s="20"/>
    </row>
    <row r="551" spans="1:13" x14ac:dyDescent="0.25">
      <c r="A551" s="20"/>
      <c r="B551" s="20"/>
      <c r="C551" s="20"/>
      <c r="E551" s="21" t="b">
        <f>IF(AND(A551&lt;&gt;0,B551=0,C551=0),VLOOKUP(A551,'3 - LISTA DE ESPÉCIES'!A:H,1,FALSE()),IF(AND(A551=0,B551&lt;&gt;0,C551=0),VLOOKUP(B551,'3 - LISTA DE ESPÉCIES'!B:H,5,FALSE()),IF(AND(A551=0,B551=0,C551&lt;&gt;0),VLOOKUP(C551,'3 - LISTA DE ESPÉCIES'!C:H,4,FALSE()))))</f>
        <v>0</v>
      </c>
      <c r="F551" s="21" t="b">
        <f>IF(AND(A551&lt;&gt;0,B551=0,C551=0),VLOOKUP(A551,'3 - LISTA DE ESPÉCIES'!A:H,2,FALSE()),IF(AND(A551=0,B551&lt;&gt;0,C551=0),VLOOKUP(B551,'3 - LISTA DE ESPÉCIES'!B:H,6,FALSE()),IF(AND(A551=0,B551=0,C551&lt;&gt;0),VLOOKUP(C551,'3 - LISTA DE ESPÉCIES'!C:H,5,FALSE()))))</f>
        <v>0</v>
      </c>
      <c r="G551" s="21" t="b">
        <f>IF(AND(A551&lt;&gt;0,B551=0,C551=0),VLOOKUP(A551,'3 - LISTA DE ESPÉCIES'!A:H,3,FALSE()),IF(AND(A551=0,B551&lt;&gt;0,C551=0),VLOOKUP(B551,'3 - LISTA DE ESPÉCIES'!B:H,7,FALSE()),IF(AND(A551=0,B551=0,C551&lt;&gt;0),VLOOKUP(C551,'3 - LISTA DE ESPÉCIES'!C:H,6,FALSE()))))</f>
        <v>0</v>
      </c>
      <c r="H551" s="21" t="b">
        <f>IF(AND(A551&lt;&gt;0,B551=0,C551=0),VLOOKUP(A551,'3 - LISTA DE ESPÉCIES'!A:H,4,FALSE()),IF(AND(A551=0,B551&lt;&gt;0,C551=0),VLOOKUP(B551,'3 - LISTA DE ESPÉCIES'!B:H,3,FALSE()),IF(AND(A551=0,B551=0,C551&lt;&gt;0),VLOOKUP(C551,'3 - LISTA DE ESPÉCIES'!C:H,2,FALSE()))))</f>
        <v>0</v>
      </c>
      <c r="I551" s="21" t="b">
        <f>IF(AND(A551&lt;&gt;0,B551=0,C551=0),VLOOKUP(A551,'3 - LISTA DE ESPÉCIES'!A:H,5,FALSE()),IF(AND(A551=0,B551&lt;&gt;0,C551=0),VLOOKUP(B551,'3 - LISTA DE ESPÉCIES'!B:H,4,FALSE()),IF(AND(A551=0,B551=0,C551&lt;&gt;0),VLOOKUP(C551,'3 - LISTA DE ESPÉCIES'!C:H,3,FALSE()))))</f>
        <v>0</v>
      </c>
      <c r="J551" s="23"/>
      <c r="K551" s="23"/>
      <c r="L551" s="20"/>
      <c r="M551" s="20"/>
    </row>
    <row r="552" spans="1:13" x14ac:dyDescent="0.25">
      <c r="A552" s="20"/>
      <c r="B552" s="20"/>
      <c r="C552" s="20"/>
      <c r="E552" s="21" t="b">
        <f>IF(AND(A552&lt;&gt;0,B552=0,C552=0),VLOOKUP(A552,'3 - LISTA DE ESPÉCIES'!A:H,1,FALSE()),IF(AND(A552=0,B552&lt;&gt;0,C552=0),VLOOKUP(B552,'3 - LISTA DE ESPÉCIES'!B:H,5,FALSE()),IF(AND(A552=0,B552=0,C552&lt;&gt;0),VLOOKUP(C552,'3 - LISTA DE ESPÉCIES'!C:H,4,FALSE()))))</f>
        <v>0</v>
      </c>
      <c r="F552" s="21" t="b">
        <f>IF(AND(A552&lt;&gt;0,B552=0,C552=0),VLOOKUP(A552,'3 - LISTA DE ESPÉCIES'!A:H,2,FALSE()),IF(AND(A552=0,B552&lt;&gt;0,C552=0),VLOOKUP(B552,'3 - LISTA DE ESPÉCIES'!B:H,6,FALSE()),IF(AND(A552=0,B552=0,C552&lt;&gt;0),VLOOKUP(C552,'3 - LISTA DE ESPÉCIES'!C:H,5,FALSE()))))</f>
        <v>0</v>
      </c>
      <c r="G552" s="21" t="b">
        <f>IF(AND(A552&lt;&gt;0,B552=0,C552=0),VLOOKUP(A552,'3 - LISTA DE ESPÉCIES'!A:H,3,FALSE()),IF(AND(A552=0,B552&lt;&gt;0,C552=0),VLOOKUP(B552,'3 - LISTA DE ESPÉCIES'!B:H,7,FALSE()),IF(AND(A552=0,B552=0,C552&lt;&gt;0),VLOOKUP(C552,'3 - LISTA DE ESPÉCIES'!C:H,6,FALSE()))))</f>
        <v>0</v>
      </c>
      <c r="H552" s="21" t="b">
        <f>IF(AND(A552&lt;&gt;0,B552=0,C552=0),VLOOKUP(A552,'3 - LISTA DE ESPÉCIES'!A:H,4,FALSE()),IF(AND(A552=0,B552&lt;&gt;0,C552=0),VLOOKUP(B552,'3 - LISTA DE ESPÉCIES'!B:H,3,FALSE()),IF(AND(A552=0,B552=0,C552&lt;&gt;0),VLOOKUP(C552,'3 - LISTA DE ESPÉCIES'!C:H,2,FALSE()))))</f>
        <v>0</v>
      </c>
      <c r="I552" s="21" t="b">
        <f>IF(AND(A552&lt;&gt;0,B552=0,C552=0),VLOOKUP(A552,'3 - LISTA DE ESPÉCIES'!A:H,5,FALSE()),IF(AND(A552=0,B552&lt;&gt;0,C552=0),VLOOKUP(B552,'3 - LISTA DE ESPÉCIES'!B:H,4,FALSE()),IF(AND(A552=0,B552=0,C552&lt;&gt;0),VLOOKUP(C552,'3 - LISTA DE ESPÉCIES'!C:H,3,FALSE()))))</f>
        <v>0</v>
      </c>
      <c r="J552" s="23"/>
      <c r="K552" s="23"/>
      <c r="L552" s="20"/>
      <c r="M552" s="20"/>
    </row>
    <row r="553" spans="1:13" x14ac:dyDescent="0.25">
      <c r="A553" s="20"/>
      <c r="B553" s="20"/>
      <c r="C553" s="20"/>
      <c r="E553" s="21" t="b">
        <f>IF(AND(A553&lt;&gt;0,B553=0,C553=0),VLOOKUP(A553,'3 - LISTA DE ESPÉCIES'!A:H,1,FALSE()),IF(AND(A553=0,B553&lt;&gt;0,C553=0),VLOOKUP(B553,'3 - LISTA DE ESPÉCIES'!B:H,5,FALSE()),IF(AND(A553=0,B553=0,C553&lt;&gt;0),VLOOKUP(C553,'3 - LISTA DE ESPÉCIES'!C:H,4,FALSE()))))</f>
        <v>0</v>
      </c>
      <c r="F553" s="21" t="b">
        <f>IF(AND(A553&lt;&gt;0,B553=0,C553=0),VLOOKUP(A553,'3 - LISTA DE ESPÉCIES'!A:H,2,FALSE()),IF(AND(A553=0,B553&lt;&gt;0,C553=0),VLOOKUP(B553,'3 - LISTA DE ESPÉCIES'!B:H,6,FALSE()),IF(AND(A553=0,B553=0,C553&lt;&gt;0),VLOOKUP(C553,'3 - LISTA DE ESPÉCIES'!C:H,5,FALSE()))))</f>
        <v>0</v>
      </c>
      <c r="G553" s="21" t="b">
        <f>IF(AND(A553&lt;&gt;0,B553=0,C553=0),VLOOKUP(A553,'3 - LISTA DE ESPÉCIES'!A:H,3,FALSE()),IF(AND(A553=0,B553&lt;&gt;0,C553=0),VLOOKUP(B553,'3 - LISTA DE ESPÉCIES'!B:H,7,FALSE()),IF(AND(A553=0,B553=0,C553&lt;&gt;0),VLOOKUP(C553,'3 - LISTA DE ESPÉCIES'!C:H,6,FALSE()))))</f>
        <v>0</v>
      </c>
      <c r="H553" s="21" t="b">
        <f>IF(AND(A553&lt;&gt;0,B553=0,C553=0),VLOOKUP(A553,'3 - LISTA DE ESPÉCIES'!A:H,4,FALSE()),IF(AND(A553=0,B553&lt;&gt;0,C553=0),VLOOKUP(B553,'3 - LISTA DE ESPÉCIES'!B:H,3,FALSE()),IF(AND(A553=0,B553=0,C553&lt;&gt;0),VLOOKUP(C553,'3 - LISTA DE ESPÉCIES'!C:H,2,FALSE()))))</f>
        <v>0</v>
      </c>
      <c r="I553" s="21" t="b">
        <f>IF(AND(A553&lt;&gt;0,B553=0,C553=0),VLOOKUP(A553,'3 - LISTA DE ESPÉCIES'!A:H,5,FALSE()),IF(AND(A553=0,B553&lt;&gt;0,C553=0),VLOOKUP(B553,'3 - LISTA DE ESPÉCIES'!B:H,4,FALSE()),IF(AND(A553=0,B553=0,C553&lt;&gt;0),VLOOKUP(C553,'3 - LISTA DE ESPÉCIES'!C:H,3,FALSE()))))</f>
        <v>0</v>
      </c>
      <c r="J553" s="23"/>
      <c r="K553" s="23"/>
      <c r="L553" s="20"/>
      <c r="M553" s="20"/>
    </row>
    <row r="554" spans="1:13" x14ac:dyDescent="0.25">
      <c r="A554" s="20"/>
      <c r="B554" s="20"/>
      <c r="C554" s="20"/>
      <c r="E554" s="21" t="b">
        <f>IF(AND(A554&lt;&gt;0,B554=0,C554=0),VLOOKUP(A554,'3 - LISTA DE ESPÉCIES'!A:H,1,FALSE()),IF(AND(A554=0,B554&lt;&gt;0,C554=0),VLOOKUP(B554,'3 - LISTA DE ESPÉCIES'!B:H,5,FALSE()),IF(AND(A554=0,B554=0,C554&lt;&gt;0),VLOOKUP(C554,'3 - LISTA DE ESPÉCIES'!C:H,4,FALSE()))))</f>
        <v>0</v>
      </c>
      <c r="F554" s="21" t="b">
        <f>IF(AND(A554&lt;&gt;0,B554=0,C554=0),VLOOKUP(A554,'3 - LISTA DE ESPÉCIES'!A:H,2,FALSE()),IF(AND(A554=0,B554&lt;&gt;0,C554=0),VLOOKUP(B554,'3 - LISTA DE ESPÉCIES'!B:H,6,FALSE()),IF(AND(A554=0,B554=0,C554&lt;&gt;0),VLOOKUP(C554,'3 - LISTA DE ESPÉCIES'!C:H,5,FALSE()))))</f>
        <v>0</v>
      </c>
      <c r="G554" s="21" t="b">
        <f>IF(AND(A554&lt;&gt;0,B554=0,C554=0),VLOOKUP(A554,'3 - LISTA DE ESPÉCIES'!A:H,3,FALSE()),IF(AND(A554=0,B554&lt;&gt;0,C554=0),VLOOKUP(B554,'3 - LISTA DE ESPÉCIES'!B:H,7,FALSE()),IF(AND(A554=0,B554=0,C554&lt;&gt;0),VLOOKUP(C554,'3 - LISTA DE ESPÉCIES'!C:H,6,FALSE()))))</f>
        <v>0</v>
      </c>
      <c r="H554" s="21" t="b">
        <f>IF(AND(A554&lt;&gt;0,B554=0,C554=0),VLOOKUP(A554,'3 - LISTA DE ESPÉCIES'!A:H,4,FALSE()),IF(AND(A554=0,B554&lt;&gt;0,C554=0),VLOOKUP(B554,'3 - LISTA DE ESPÉCIES'!B:H,3,FALSE()),IF(AND(A554=0,B554=0,C554&lt;&gt;0),VLOOKUP(C554,'3 - LISTA DE ESPÉCIES'!C:H,2,FALSE()))))</f>
        <v>0</v>
      </c>
      <c r="I554" s="21" t="b">
        <f>IF(AND(A554&lt;&gt;0,B554=0,C554=0),VLOOKUP(A554,'3 - LISTA DE ESPÉCIES'!A:H,5,FALSE()),IF(AND(A554=0,B554&lt;&gt;0,C554=0),VLOOKUP(B554,'3 - LISTA DE ESPÉCIES'!B:H,4,FALSE()),IF(AND(A554=0,B554=0,C554&lt;&gt;0),VLOOKUP(C554,'3 - LISTA DE ESPÉCIES'!C:H,3,FALSE()))))</f>
        <v>0</v>
      </c>
      <c r="J554" s="23"/>
      <c r="K554" s="23"/>
      <c r="L554" s="20"/>
      <c r="M554" s="20"/>
    </row>
    <row r="555" spans="1:13" x14ac:dyDescent="0.25">
      <c r="A555" s="20"/>
      <c r="B555" s="20"/>
      <c r="C555" s="20"/>
      <c r="E555" s="21" t="b">
        <f>IF(AND(A555&lt;&gt;0,B555=0,C555=0),VLOOKUP(A555,'3 - LISTA DE ESPÉCIES'!A:H,1,FALSE()),IF(AND(A555=0,B555&lt;&gt;0,C555=0),VLOOKUP(B555,'3 - LISTA DE ESPÉCIES'!B:H,5,FALSE()),IF(AND(A555=0,B555=0,C555&lt;&gt;0),VLOOKUP(C555,'3 - LISTA DE ESPÉCIES'!C:H,4,FALSE()))))</f>
        <v>0</v>
      </c>
      <c r="F555" s="21" t="b">
        <f>IF(AND(A555&lt;&gt;0,B555=0,C555=0),VLOOKUP(A555,'3 - LISTA DE ESPÉCIES'!A:H,2,FALSE()),IF(AND(A555=0,B555&lt;&gt;0,C555=0),VLOOKUP(B555,'3 - LISTA DE ESPÉCIES'!B:H,6,FALSE()),IF(AND(A555=0,B555=0,C555&lt;&gt;0),VLOOKUP(C555,'3 - LISTA DE ESPÉCIES'!C:H,5,FALSE()))))</f>
        <v>0</v>
      </c>
      <c r="G555" s="21" t="b">
        <f>IF(AND(A555&lt;&gt;0,B555=0,C555=0),VLOOKUP(A555,'3 - LISTA DE ESPÉCIES'!A:H,3,FALSE()),IF(AND(A555=0,B555&lt;&gt;0,C555=0),VLOOKUP(B555,'3 - LISTA DE ESPÉCIES'!B:H,7,FALSE()),IF(AND(A555=0,B555=0,C555&lt;&gt;0),VLOOKUP(C555,'3 - LISTA DE ESPÉCIES'!C:H,6,FALSE()))))</f>
        <v>0</v>
      </c>
      <c r="H555" s="21" t="b">
        <f>IF(AND(A555&lt;&gt;0,B555=0,C555=0),VLOOKUP(A555,'3 - LISTA DE ESPÉCIES'!A:H,4,FALSE()),IF(AND(A555=0,B555&lt;&gt;0,C555=0),VLOOKUP(B555,'3 - LISTA DE ESPÉCIES'!B:H,3,FALSE()),IF(AND(A555=0,B555=0,C555&lt;&gt;0),VLOOKUP(C555,'3 - LISTA DE ESPÉCIES'!C:H,2,FALSE()))))</f>
        <v>0</v>
      </c>
      <c r="I555" s="21" t="b">
        <f>IF(AND(A555&lt;&gt;0,B555=0,C555=0),VLOOKUP(A555,'3 - LISTA DE ESPÉCIES'!A:H,5,FALSE()),IF(AND(A555=0,B555&lt;&gt;0,C555=0),VLOOKUP(B555,'3 - LISTA DE ESPÉCIES'!B:H,4,FALSE()),IF(AND(A555=0,B555=0,C555&lt;&gt;0),VLOOKUP(C555,'3 - LISTA DE ESPÉCIES'!C:H,3,FALSE()))))</f>
        <v>0</v>
      </c>
      <c r="J555" s="23"/>
      <c r="K555" s="23"/>
      <c r="L555" s="20"/>
      <c r="M555" s="20"/>
    </row>
    <row r="556" spans="1:13" x14ac:dyDescent="0.25">
      <c r="A556" s="20"/>
      <c r="B556" s="20"/>
      <c r="C556" s="20"/>
      <c r="E556" s="21" t="b">
        <f>IF(AND(A556&lt;&gt;0,B556=0,C556=0),VLOOKUP(A556,'3 - LISTA DE ESPÉCIES'!A:H,1,FALSE()),IF(AND(A556=0,B556&lt;&gt;0,C556=0),VLOOKUP(B556,'3 - LISTA DE ESPÉCIES'!B:H,5,FALSE()),IF(AND(A556=0,B556=0,C556&lt;&gt;0),VLOOKUP(C556,'3 - LISTA DE ESPÉCIES'!C:H,4,FALSE()))))</f>
        <v>0</v>
      </c>
      <c r="F556" s="21" t="b">
        <f>IF(AND(A556&lt;&gt;0,B556=0,C556=0),VLOOKUP(A556,'3 - LISTA DE ESPÉCIES'!A:H,2,FALSE()),IF(AND(A556=0,B556&lt;&gt;0,C556=0),VLOOKUP(B556,'3 - LISTA DE ESPÉCIES'!B:H,6,FALSE()),IF(AND(A556=0,B556=0,C556&lt;&gt;0),VLOOKUP(C556,'3 - LISTA DE ESPÉCIES'!C:H,5,FALSE()))))</f>
        <v>0</v>
      </c>
      <c r="G556" s="21" t="b">
        <f>IF(AND(A556&lt;&gt;0,B556=0,C556=0),VLOOKUP(A556,'3 - LISTA DE ESPÉCIES'!A:H,3,FALSE()),IF(AND(A556=0,B556&lt;&gt;0,C556=0),VLOOKUP(B556,'3 - LISTA DE ESPÉCIES'!B:H,7,FALSE()),IF(AND(A556=0,B556=0,C556&lt;&gt;0),VLOOKUP(C556,'3 - LISTA DE ESPÉCIES'!C:H,6,FALSE()))))</f>
        <v>0</v>
      </c>
      <c r="H556" s="21" t="b">
        <f>IF(AND(A556&lt;&gt;0,B556=0,C556=0),VLOOKUP(A556,'3 - LISTA DE ESPÉCIES'!A:H,4,FALSE()),IF(AND(A556=0,B556&lt;&gt;0,C556=0),VLOOKUP(B556,'3 - LISTA DE ESPÉCIES'!B:H,3,FALSE()),IF(AND(A556=0,B556=0,C556&lt;&gt;0),VLOOKUP(C556,'3 - LISTA DE ESPÉCIES'!C:H,2,FALSE()))))</f>
        <v>0</v>
      </c>
      <c r="I556" s="21" t="b">
        <f>IF(AND(A556&lt;&gt;0,B556=0,C556=0),VLOOKUP(A556,'3 - LISTA DE ESPÉCIES'!A:H,5,FALSE()),IF(AND(A556=0,B556&lt;&gt;0,C556=0),VLOOKUP(B556,'3 - LISTA DE ESPÉCIES'!B:H,4,FALSE()),IF(AND(A556=0,B556=0,C556&lt;&gt;0),VLOOKUP(C556,'3 - LISTA DE ESPÉCIES'!C:H,3,FALSE()))))</f>
        <v>0</v>
      </c>
      <c r="J556" s="23"/>
      <c r="K556" s="23"/>
      <c r="L556" s="20"/>
      <c r="M556" s="20"/>
    </row>
    <row r="557" spans="1:13" x14ac:dyDescent="0.25">
      <c r="A557" s="20"/>
      <c r="B557" s="20"/>
      <c r="C557" s="20"/>
      <c r="E557" s="21" t="b">
        <f>IF(AND(A557&lt;&gt;0,B557=0,C557=0),VLOOKUP(A557,'3 - LISTA DE ESPÉCIES'!A:H,1,FALSE()),IF(AND(A557=0,B557&lt;&gt;0,C557=0),VLOOKUP(B557,'3 - LISTA DE ESPÉCIES'!B:H,5,FALSE()),IF(AND(A557=0,B557=0,C557&lt;&gt;0),VLOOKUP(C557,'3 - LISTA DE ESPÉCIES'!C:H,4,FALSE()))))</f>
        <v>0</v>
      </c>
      <c r="F557" s="21" t="b">
        <f>IF(AND(A557&lt;&gt;0,B557=0,C557=0),VLOOKUP(A557,'3 - LISTA DE ESPÉCIES'!A:H,2,FALSE()),IF(AND(A557=0,B557&lt;&gt;0,C557=0),VLOOKUP(B557,'3 - LISTA DE ESPÉCIES'!B:H,6,FALSE()),IF(AND(A557=0,B557=0,C557&lt;&gt;0),VLOOKUP(C557,'3 - LISTA DE ESPÉCIES'!C:H,5,FALSE()))))</f>
        <v>0</v>
      </c>
      <c r="G557" s="21" t="b">
        <f>IF(AND(A557&lt;&gt;0,B557=0,C557=0),VLOOKUP(A557,'3 - LISTA DE ESPÉCIES'!A:H,3,FALSE()),IF(AND(A557=0,B557&lt;&gt;0,C557=0),VLOOKUP(B557,'3 - LISTA DE ESPÉCIES'!B:H,7,FALSE()),IF(AND(A557=0,B557=0,C557&lt;&gt;0),VLOOKUP(C557,'3 - LISTA DE ESPÉCIES'!C:H,6,FALSE()))))</f>
        <v>0</v>
      </c>
      <c r="H557" s="21" t="b">
        <f>IF(AND(A557&lt;&gt;0,B557=0,C557=0),VLOOKUP(A557,'3 - LISTA DE ESPÉCIES'!A:H,4,FALSE()),IF(AND(A557=0,B557&lt;&gt;0,C557=0),VLOOKUP(B557,'3 - LISTA DE ESPÉCIES'!B:H,3,FALSE()),IF(AND(A557=0,B557=0,C557&lt;&gt;0),VLOOKUP(C557,'3 - LISTA DE ESPÉCIES'!C:H,2,FALSE()))))</f>
        <v>0</v>
      </c>
      <c r="I557" s="21" t="b">
        <f>IF(AND(A557&lt;&gt;0,B557=0,C557=0),VLOOKUP(A557,'3 - LISTA DE ESPÉCIES'!A:H,5,FALSE()),IF(AND(A557=0,B557&lt;&gt;0,C557=0),VLOOKUP(B557,'3 - LISTA DE ESPÉCIES'!B:H,4,FALSE()),IF(AND(A557=0,B557=0,C557&lt;&gt;0),VLOOKUP(C557,'3 - LISTA DE ESPÉCIES'!C:H,3,FALSE()))))</f>
        <v>0</v>
      </c>
      <c r="J557" s="23"/>
      <c r="K557" s="23"/>
      <c r="L557" s="20"/>
      <c r="M557" s="20"/>
    </row>
    <row r="558" spans="1:13" x14ac:dyDescent="0.25">
      <c r="A558" s="20"/>
      <c r="B558" s="20"/>
      <c r="C558" s="20"/>
      <c r="E558" s="21" t="b">
        <f>IF(AND(A558&lt;&gt;0,B558=0,C558=0),VLOOKUP(A558,'3 - LISTA DE ESPÉCIES'!A:H,1,FALSE()),IF(AND(A558=0,B558&lt;&gt;0,C558=0),VLOOKUP(B558,'3 - LISTA DE ESPÉCIES'!B:H,5,FALSE()),IF(AND(A558=0,B558=0,C558&lt;&gt;0),VLOOKUP(C558,'3 - LISTA DE ESPÉCIES'!C:H,4,FALSE()))))</f>
        <v>0</v>
      </c>
      <c r="F558" s="21" t="b">
        <f>IF(AND(A558&lt;&gt;0,B558=0,C558=0),VLOOKUP(A558,'3 - LISTA DE ESPÉCIES'!A:H,2,FALSE()),IF(AND(A558=0,B558&lt;&gt;0,C558=0),VLOOKUP(B558,'3 - LISTA DE ESPÉCIES'!B:H,6,FALSE()),IF(AND(A558=0,B558=0,C558&lt;&gt;0),VLOOKUP(C558,'3 - LISTA DE ESPÉCIES'!C:H,5,FALSE()))))</f>
        <v>0</v>
      </c>
      <c r="G558" s="21" t="b">
        <f>IF(AND(A558&lt;&gt;0,B558=0,C558=0),VLOOKUP(A558,'3 - LISTA DE ESPÉCIES'!A:H,3,FALSE()),IF(AND(A558=0,B558&lt;&gt;0,C558=0),VLOOKUP(B558,'3 - LISTA DE ESPÉCIES'!B:H,7,FALSE()),IF(AND(A558=0,B558=0,C558&lt;&gt;0),VLOOKUP(C558,'3 - LISTA DE ESPÉCIES'!C:H,6,FALSE()))))</f>
        <v>0</v>
      </c>
      <c r="H558" s="21" t="b">
        <f>IF(AND(A558&lt;&gt;0,B558=0,C558=0),VLOOKUP(A558,'3 - LISTA DE ESPÉCIES'!A:H,4,FALSE()),IF(AND(A558=0,B558&lt;&gt;0,C558=0),VLOOKUP(B558,'3 - LISTA DE ESPÉCIES'!B:H,3,FALSE()),IF(AND(A558=0,B558=0,C558&lt;&gt;0),VLOOKUP(C558,'3 - LISTA DE ESPÉCIES'!C:H,2,FALSE()))))</f>
        <v>0</v>
      </c>
      <c r="I558" s="21" t="b">
        <f>IF(AND(A558&lt;&gt;0,B558=0,C558=0),VLOOKUP(A558,'3 - LISTA DE ESPÉCIES'!A:H,5,FALSE()),IF(AND(A558=0,B558&lt;&gt;0,C558=0),VLOOKUP(B558,'3 - LISTA DE ESPÉCIES'!B:H,4,FALSE()),IF(AND(A558=0,B558=0,C558&lt;&gt;0),VLOOKUP(C558,'3 - LISTA DE ESPÉCIES'!C:H,3,FALSE()))))</f>
        <v>0</v>
      </c>
      <c r="J558" s="23"/>
      <c r="K558" s="23"/>
      <c r="L558" s="20"/>
      <c r="M558" s="20"/>
    </row>
    <row r="559" spans="1:13" x14ac:dyDescent="0.25">
      <c r="A559" s="20"/>
      <c r="B559" s="20"/>
      <c r="C559" s="20"/>
      <c r="E559" s="21" t="b">
        <f>IF(AND(A559&lt;&gt;0,B559=0,C559=0),VLOOKUP(A559,'3 - LISTA DE ESPÉCIES'!A:H,1,FALSE()),IF(AND(A559=0,B559&lt;&gt;0,C559=0),VLOOKUP(B559,'3 - LISTA DE ESPÉCIES'!B:H,5,FALSE()),IF(AND(A559=0,B559=0,C559&lt;&gt;0),VLOOKUP(C559,'3 - LISTA DE ESPÉCIES'!C:H,4,FALSE()))))</f>
        <v>0</v>
      </c>
      <c r="F559" s="21" t="b">
        <f>IF(AND(A559&lt;&gt;0,B559=0,C559=0),VLOOKUP(A559,'3 - LISTA DE ESPÉCIES'!A:H,2,FALSE()),IF(AND(A559=0,B559&lt;&gt;0,C559=0),VLOOKUP(B559,'3 - LISTA DE ESPÉCIES'!B:H,6,FALSE()),IF(AND(A559=0,B559=0,C559&lt;&gt;0),VLOOKUP(C559,'3 - LISTA DE ESPÉCIES'!C:H,5,FALSE()))))</f>
        <v>0</v>
      </c>
      <c r="G559" s="21" t="b">
        <f>IF(AND(A559&lt;&gt;0,B559=0,C559=0),VLOOKUP(A559,'3 - LISTA DE ESPÉCIES'!A:H,3,FALSE()),IF(AND(A559=0,B559&lt;&gt;0,C559=0),VLOOKUP(B559,'3 - LISTA DE ESPÉCIES'!B:H,7,FALSE()),IF(AND(A559=0,B559=0,C559&lt;&gt;0),VLOOKUP(C559,'3 - LISTA DE ESPÉCIES'!C:H,6,FALSE()))))</f>
        <v>0</v>
      </c>
      <c r="H559" s="21" t="b">
        <f>IF(AND(A559&lt;&gt;0,B559=0,C559=0),VLOOKUP(A559,'3 - LISTA DE ESPÉCIES'!A:H,4,FALSE()),IF(AND(A559=0,B559&lt;&gt;0,C559=0),VLOOKUP(B559,'3 - LISTA DE ESPÉCIES'!B:H,3,FALSE()),IF(AND(A559=0,B559=0,C559&lt;&gt;0),VLOOKUP(C559,'3 - LISTA DE ESPÉCIES'!C:H,2,FALSE()))))</f>
        <v>0</v>
      </c>
      <c r="I559" s="21" t="b">
        <f>IF(AND(A559&lt;&gt;0,B559=0,C559=0),VLOOKUP(A559,'3 - LISTA DE ESPÉCIES'!A:H,5,FALSE()),IF(AND(A559=0,B559&lt;&gt;0,C559=0),VLOOKUP(B559,'3 - LISTA DE ESPÉCIES'!B:H,4,FALSE()),IF(AND(A559=0,B559=0,C559&lt;&gt;0),VLOOKUP(C559,'3 - LISTA DE ESPÉCIES'!C:H,3,FALSE()))))</f>
        <v>0</v>
      </c>
      <c r="J559" s="23"/>
      <c r="K559" s="23"/>
      <c r="L559" s="20"/>
      <c r="M559" s="20"/>
    </row>
    <row r="560" spans="1:13" x14ac:dyDescent="0.25">
      <c r="A560" s="20"/>
      <c r="B560" s="20"/>
      <c r="C560" s="20"/>
      <c r="E560" s="21" t="b">
        <f>IF(AND(A560&lt;&gt;0,B560=0,C560=0),VLOOKUP(A560,'3 - LISTA DE ESPÉCIES'!A:H,1,FALSE()),IF(AND(A560=0,B560&lt;&gt;0,C560=0),VLOOKUP(B560,'3 - LISTA DE ESPÉCIES'!B:H,5,FALSE()),IF(AND(A560=0,B560=0,C560&lt;&gt;0),VLOOKUP(C560,'3 - LISTA DE ESPÉCIES'!C:H,4,FALSE()))))</f>
        <v>0</v>
      </c>
      <c r="F560" s="21" t="b">
        <f>IF(AND(A560&lt;&gt;0,B560=0,C560=0),VLOOKUP(A560,'3 - LISTA DE ESPÉCIES'!A:H,2,FALSE()),IF(AND(A560=0,B560&lt;&gt;0,C560=0),VLOOKUP(B560,'3 - LISTA DE ESPÉCIES'!B:H,6,FALSE()),IF(AND(A560=0,B560=0,C560&lt;&gt;0),VLOOKUP(C560,'3 - LISTA DE ESPÉCIES'!C:H,5,FALSE()))))</f>
        <v>0</v>
      </c>
      <c r="G560" s="21" t="b">
        <f>IF(AND(A560&lt;&gt;0,B560=0,C560=0),VLOOKUP(A560,'3 - LISTA DE ESPÉCIES'!A:H,3,FALSE()),IF(AND(A560=0,B560&lt;&gt;0,C560=0),VLOOKUP(B560,'3 - LISTA DE ESPÉCIES'!B:H,7,FALSE()),IF(AND(A560=0,B560=0,C560&lt;&gt;0),VLOOKUP(C560,'3 - LISTA DE ESPÉCIES'!C:H,6,FALSE()))))</f>
        <v>0</v>
      </c>
      <c r="H560" s="21" t="b">
        <f>IF(AND(A560&lt;&gt;0,B560=0,C560=0),VLOOKUP(A560,'3 - LISTA DE ESPÉCIES'!A:H,4,FALSE()),IF(AND(A560=0,B560&lt;&gt;0,C560=0),VLOOKUP(B560,'3 - LISTA DE ESPÉCIES'!B:H,3,FALSE()),IF(AND(A560=0,B560=0,C560&lt;&gt;0),VLOOKUP(C560,'3 - LISTA DE ESPÉCIES'!C:H,2,FALSE()))))</f>
        <v>0</v>
      </c>
      <c r="I560" s="21" t="b">
        <f>IF(AND(A560&lt;&gt;0,B560=0,C560=0),VLOOKUP(A560,'3 - LISTA DE ESPÉCIES'!A:H,5,FALSE()),IF(AND(A560=0,B560&lt;&gt;0,C560=0),VLOOKUP(B560,'3 - LISTA DE ESPÉCIES'!B:H,4,FALSE()),IF(AND(A560=0,B560=0,C560&lt;&gt;0),VLOOKUP(C560,'3 - LISTA DE ESPÉCIES'!C:H,3,FALSE()))))</f>
        <v>0</v>
      </c>
      <c r="J560" s="23"/>
      <c r="K560" s="23"/>
      <c r="L560" s="20"/>
      <c r="M560" s="20"/>
    </row>
    <row r="561" spans="1:13" x14ac:dyDescent="0.25">
      <c r="A561" s="20"/>
      <c r="B561" s="20"/>
      <c r="C561" s="20"/>
      <c r="E561" s="21" t="b">
        <f>IF(AND(A561&lt;&gt;0,B561=0,C561=0),VLOOKUP(A561,'3 - LISTA DE ESPÉCIES'!A:H,1,FALSE()),IF(AND(A561=0,B561&lt;&gt;0,C561=0),VLOOKUP(B561,'3 - LISTA DE ESPÉCIES'!B:H,5,FALSE()),IF(AND(A561=0,B561=0,C561&lt;&gt;0),VLOOKUP(C561,'3 - LISTA DE ESPÉCIES'!C:H,4,FALSE()))))</f>
        <v>0</v>
      </c>
      <c r="F561" s="21" t="b">
        <f>IF(AND(A561&lt;&gt;0,B561=0,C561=0),VLOOKUP(A561,'3 - LISTA DE ESPÉCIES'!A:H,2,FALSE()),IF(AND(A561=0,B561&lt;&gt;0,C561=0),VLOOKUP(B561,'3 - LISTA DE ESPÉCIES'!B:H,6,FALSE()),IF(AND(A561=0,B561=0,C561&lt;&gt;0),VLOOKUP(C561,'3 - LISTA DE ESPÉCIES'!C:H,5,FALSE()))))</f>
        <v>0</v>
      </c>
      <c r="G561" s="21" t="b">
        <f>IF(AND(A561&lt;&gt;0,B561=0,C561=0),VLOOKUP(A561,'3 - LISTA DE ESPÉCIES'!A:H,3,FALSE()),IF(AND(A561=0,B561&lt;&gt;0,C561=0),VLOOKUP(B561,'3 - LISTA DE ESPÉCIES'!B:H,7,FALSE()),IF(AND(A561=0,B561=0,C561&lt;&gt;0),VLOOKUP(C561,'3 - LISTA DE ESPÉCIES'!C:H,6,FALSE()))))</f>
        <v>0</v>
      </c>
      <c r="H561" s="21" t="b">
        <f>IF(AND(A561&lt;&gt;0,B561=0,C561=0),VLOOKUP(A561,'3 - LISTA DE ESPÉCIES'!A:H,4,FALSE()),IF(AND(A561=0,B561&lt;&gt;0,C561=0),VLOOKUP(B561,'3 - LISTA DE ESPÉCIES'!B:H,3,FALSE()),IF(AND(A561=0,B561=0,C561&lt;&gt;0),VLOOKUP(C561,'3 - LISTA DE ESPÉCIES'!C:H,2,FALSE()))))</f>
        <v>0</v>
      </c>
      <c r="I561" s="21" t="b">
        <f>IF(AND(A561&lt;&gt;0,B561=0,C561=0),VLOOKUP(A561,'3 - LISTA DE ESPÉCIES'!A:H,5,FALSE()),IF(AND(A561=0,B561&lt;&gt;0,C561=0),VLOOKUP(B561,'3 - LISTA DE ESPÉCIES'!B:H,4,FALSE()),IF(AND(A561=0,B561=0,C561&lt;&gt;0),VLOOKUP(C561,'3 - LISTA DE ESPÉCIES'!C:H,3,FALSE()))))</f>
        <v>0</v>
      </c>
      <c r="J561" s="23"/>
      <c r="K561" s="23"/>
      <c r="L561" s="20"/>
      <c r="M561" s="20"/>
    </row>
    <row r="562" spans="1:13" x14ac:dyDescent="0.25">
      <c r="A562" s="20"/>
      <c r="B562" s="20"/>
      <c r="C562" s="20"/>
      <c r="E562" s="21" t="b">
        <f>IF(AND(A562&lt;&gt;0,B562=0,C562=0),VLOOKUP(A562,'3 - LISTA DE ESPÉCIES'!A:H,1,FALSE()),IF(AND(A562=0,B562&lt;&gt;0,C562=0),VLOOKUP(B562,'3 - LISTA DE ESPÉCIES'!B:H,5,FALSE()),IF(AND(A562=0,B562=0,C562&lt;&gt;0),VLOOKUP(C562,'3 - LISTA DE ESPÉCIES'!C:H,4,FALSE()))))</f>
        <v>0</v>
      </c>
      <c r="F562" s="21" t="b">
        <f>IF(AND(A562&lt;&gt;0,B562=0,C562=0),VLOOKUP(A562,'3 - LISTA DE ESPÉCIES'!A:H,2,FALSE()),IF(AND(A562=0,B562&lt;&gt;0,C562=0),VLOOKUP(B562,'3 - LISTA DE ESPÉCIES'!B:H,6,FALSE()),IF(AND(A562=0,B562=0,C562&lt;&gt;0),VLOOKUP(C562,'3 - LISTA DE ESPÉCIES'!C:H,5,FALSE()))))</f>
        <v>0</v>
      </c>
      <c r="G562" s="21" t="b">
        <f>IF(AND(A562&lt;&gt;0,B562=0,C562=0),VLOOKUP(A562,'3 - LISTA DE ESPÉCIES'!A:H,3,FALSE()),IF(AND(A562=0,B562&lt;&gt;0,C562=0),VLOOKUP(B562,'3 - LISTA DE ESPÉCIES'!B:H,7,FALSE()),IF(AND(A562=0,B562=0,C562&lt;&gt;0),VLOOKUP(C562,'3 - LISTA DE ESPÉCIES'!C:H,6,FALSE()))))</f>
        <v>0</v>
      </c>
      <c r="H562" s="21" t="b">
        <f>IF(AND(A562&lt;&gt;0,B562=0,C562=0),VLOOKUP(A562,'3 - LISTA DE ESPÉCIES'!A:H,4,FALSE()),IF(AND(A562=0,B562&lt;&gt;0,C562=0),VLOOKUP(B562,'3 - LISTA DE ESPÉCIES'!B:H,3,FALSE()),IF(AND(A562=0,B562=0,C562&lt;&gt;0),VLOOKUP(C562,'3 - LISTA DE ESPÉCIES'!C:H,2,FALSE()))))</f>
        <v>0</v>
      </c>
      <c r="I562" s="21" t="b">
        <f>IF(AND(A562&lt;&gt;0,B562=0,C562=0),VLOOKUP(A562,'3 - LISTA DE ESPÉCIES'!A:H,5,FALSE()),IF(AND(A562=0,B562&lt;&gt;0,C562=0),VLOOKUP(B562,'3 - LISTA DE ESPÉCIES'!B:H,4,FALSE()),IF(AND(A562=0,B562=0,C562&lt;&gt;0),VLOOKUP(C562,'3 - LISTA DE ESPÉCIES'!C:H,3,FALSE()))))</f>
        <v>0</v>
      </c>
      <c r="J562" s="23"/>
      <c r="K562" s="23"/>
      <c r="L562" s="20"/>
      <c r="M562" s="20"/>
    </row>
    <row r="563" spans="1:13" x14ac:dyDescent="0.25">
      <c r="A563" s="20"/>
      <c r="B563" s="20"/>
      <c r="C563" s="20"/>
      <c r="E563" s="21" t="b">
        <f>IF(AND(A563&lt;&gt;0,B563=0,C563=0),VLOOKUP(A563,'3 - LISTA DE ESPÉCIES'!A:H,1,FALSE()),IF(AND(A563=0,B563&lt;&gt;0,C563=0),VLOOKUP(B563,'3 - LISTA DE ESPÉCIES'!B:H,5,FALSE()),IF(AND(A563=0,B563=0,C563&lt;&gt;0),VLOOKUP(C563,'3 - LISTA DE ESPÉCIES'!C:H,4,FALSE()))))</f>
        <v>0</v>
      </c>
      <c r="F563" s="21" t="b">
        <f>IF(AND(A563&lt;&gt;0,B563=0,C563=0),VLOOKUP(A563,'3 - LISTA DE ESPÉCIES'!A:H,2,FALSE()),IF(AND(A563=0,B563&lt;&gt;0,C563=0),VLOOKUP(B563,'3 - LISTA DE ESPÉCIES'!B:H,6,FALSE()),IF(AND(A563=0,B563=0,C563&lt;&gt;0),VLOOKUP(C563,'3 - LISTA DE ESPÉCIES'!C:H,5,FALSE()))))</f>
        <v>0</v>
      </c>
      <c r="G563" s="21" t="b">
        <f>IF(AND(A563&lt;&gt;0,B563=0,C563=0),VLOOKUP(A563,'3 - LISTA DE ESPÉCIES'!A:H,3,FALSE()),IF(AND(A563=0,B563&lt;&gt;0,C563=0),VLOOKUP(B563,'3 - LISTA DE ESPÉCIES'!B:H,7,FALSE()),IF(AND(A563=0,B563=0,C563&lt;&gt;0),VLOOKUP(C563,'3 - LISTA DE ESPÉCIES'!C:H,6,FALSE()))))</f>
        <v>0</v>
      </c>
      <c r="H563" s="21" t="b">
        <f>IF(AND(A563&lt;&gt;0,B563=0,C563=0),VLOOKUP(A563,'3 - LISTA DE ESPÉCIES'!A:H,4,FALSE()),IF(AND(A563=0,B563&lt;&gt;0,C563=0),VLOOKUP(B563,'3 - LISTA DE ESPÉCIES'!B:H,3,FALSE()),IF(AND(A563=0,B563=0,C563&lt;&gt;0),VLOOKUP(C563,'3 - LISTA DE ESPÉCIES'!C:H,2,FALSE()))))</f>
        <v>0</v>
      </c>
      <c r="I563" s="21" t="b">
        <f>IF(AND(A563&lt;&gt;0,B563=0,C563=0),VLOOKUP(A563,'3 - LISTA DE ESPÉCIES'!A:H,5,FALSE()),IF(AND(A563=0,B563&lt;&gt;0,C563=0),VLOOKUP(B563,'3 - LISTA DE ESPÉCIES'!B:H,4,FALSE()),IF(AND(A563=0,B563=0,C563&lt;&gt;0),VLOOKUP(C563,'3 - LISTA DE ESPÉCIES'!C:H,3,FALSE()))))</f>
        <v>0</v>
      </c>
      <c r="J563" s="23"/>
      <c r="K563" s="23"/>
      <c r="L563" s="20"/>
      <c r="M563" s="20"/>
    </row>
    <row r="564" spans="1:13" x14ac:dyDescent="0.25">
      <c r="A564" s="20"/>
      <c r="B564" s="20"/>
      <c r="C564" s="20"/>
      <c r="E564" s="21" t="b">
        <f>IF(AND(A564&lt;&gt;0,B564=0,C564=0),VLOOKUP(A564,'3 - LISTA DE ESPÉCIES'!A:H,1,FALSE()),IF(AND(A564=0,B564&lt;&gt;0,C564=0),VLOOKUP(B564,'3 - LISTA DE ESPÉCIES'!B:H,5,FALSE()),IF(AND(A564=0,B564=0,C564&lt;&gt;0),VLOOKUP(C564,'3 - LISTA DE ESPÉCIES'!C:H,4,FALSE()))))</f>
        <v>0</v>
      </c>
      <c r="F564" s="21" t="b">
        <f>IF(AND(A564&lt;&gt;0,B564=0,C564=0),VLOOKUP(A564,'3 - LISTA DE ESPÉCIES'!A:H,2,FALSE()),IF(AND(A564=0,B564&lt;&gt;0,C564=0),VLOOKUP(B564,'3 - LISTA DE ESPÉCIES'!B:H,6,FALSE()),IF(AND(A564=0,B564=0,C564&lt;&gt;0),VLOOKUP(C564,'3 - LISTA DE ESPÉCIES'!C:H,5,FALSE()))))</f>
        <v>0</v>
      </c>
      <c r="G564" s="21" t="b">
        <f>IF(AND(A564&lt;&gt;0,B564=0,C564=0),VLOOKUP(A564,'3 - LISTA DE ESPÉCIES'!A:H,3,FALSE()),IF(AND(A564=0,B564&lt;&gt;0,C564=0),VLOOKUP(B564,'3 - LISTA DE ESPÉCIES'!B:H,7,FALSE()),IF(AND(A564=0,B564=0,C564&lt;&gt;0),VLOOKUP(C564,'3 - LISTA DE ESPÉCIES'!C:H,6,FALSE()))))</f>
        <v>0</v>
      </c>
      <c r="H564" s="21" t="b">
        <f>IF(AND(A564&lt;&gt;0,B564=0,C564=0),VLOOKUP(A564,'3 - LISTA DE ESPÉCIES'!A:H,4,FALSE()),IF(AND(A564=0,B564&lt;&gt;0,C564=0),VLOOKUP(B564,'3 - LISTA DE ESPÉCIES'!B:H,3,FALSE()),IF(AND(A564=0,B564=0,C564&lt;&gt;0),VLOOKUP(C564,'3 - LISTA DE ESPÉCIES'!C:H,2,FALSE()))))</f>
        <v>0</v>
      </c>
      <c r="I564" s="21" t="b">
        <f>IF(AND(A564&lt;&gt;0,B564=0,C564=0),VLOOKUP(A564,'3 - LISTA DE ESPÉCIES'!A:H,5,FALSE()),IF(AND(A564=0,B564&lt;&gt;0,C564=0),VLOOKUP(B564,'3 - LISTA DE ESPÉCIES'!B:H,4,FALSE()),IF(AND(A564=0,B564=0,C564&lt;&gt;0),VLOOKUP(C564,'3 - LISTA DE ESPÉCIES'!C:H,3,FALSE()))))</f>
        <v>0</v>
      </c>
      <c r="J564" s="23"/>
      <c r="K564" s="23"/>
      <c r="L564" s="20"/>
      <c r="M564" s="20"/>
    </row>
    <row r="565" spans="1:13" x14ac:dyDescent="0.25">
      <c r="A565" s="20"/>
      <c r="B565" s="20"/>
      <c r="C565" s="20"/>
      <c r="E565" s="21" t="b">
        <f>IF(AND(A565&lt;&gt;0,B565=0,C565=0),VLOOKUP(A565,'3 - LISTA DE ESPÉCIES'!A:H,1,FALSE()),IF(AND(A565=0,B565&lt;&gt;0,C565=0),VLOOKUP(B565,'3 - LISTA DE ESPÉCIES'!B:H,5,FALSE()),IF(AND(A565=0,B565=0,C565&lt;&gt;0),VLOOKUP(C565,'3 - LISTA DE ESPÉCIES'!C:H,4,FALSE()))))</f>
        <v>0</v>
      </c>
      <c r="F565" s="21" t="b">
        <f>IF(AND(A565&lt;&gt;0,B565=0,C565=0),VLOOKUP(A565,'3 - LISTA DE ESPÉCIES'!A:H,2,FALSE()),IF(AND(A565=0,B565&lt;&gt;0,C565=0),VLOOKUP(B565,'3 - LISTA DE ESPÉCIES'!B:H,6,FALSE()),IF(AND(A565=0,B565=0,C565&lt;&gt;0),VLOOKUP(C565,'3 - LISTA DE ESPÉCIES'!C:H,5,FALSE()))))</f>
        <v>0</v>
      </c>
      <c r="G565" s="21" t="b">
        <f>IF(AND(A565&lt;&gt;0,B565=0,C565=0),VLOOKUP(A565,'3 - LISTA DE ESPÉCIES'!A:H,3,FALSE()),IF(AND(A565=0,B565&lt;&gt;0,C565=0),VLOOKUP(B565,'3 - LISTA DE ESPÉCIES'!B:H,7,FALSE()),IF(AND(A565=0,B565=0,C565&lt;&gt;0),VLOOKUP(C565,'3 - LISTA DE ESPÉCIES'!C:H,6,FALSE()))))</f>
        <v>0</v>
      </c>
      <c r="H565" s="21" t="b">
        <f>IF(AND(A565&lt;&gt;0,B565=0,C565=0),VLOOKUP(A565,'3 - LISTA DE ESPÉCIES'!A:H,4,FALSE()),IF(AND(A565=0,B565&lt;&gt;0,C565=0),VLOOKUP(B565,'3 - LISTA DE ESPÉCIES'!B:H,3,FALSE()),IF(AND(A565=0,B565=0,C565&lt;&gt;0),VLOOKUP(C565,'3 - LISTA DE ESPÉCIES'!C:H,2,FALSE()))))</f>
        <v>0</v>
      </c>
      <c r="I565" s="21" t="b">
        <f>IF(AND(A565&lt;&gt;0,B565=0,C565=0),VLOOKUP(A565,'3 - LISTA DE ESPÉCIES'!A:H,5,FALSE()),IF(AND(A565=0,B565&lt;&gt;0,C565=0),VLOOKUP(B565,'3 - LISTA DE ESPÉCIES'!B:H,4,FALSE()),IF(AND(A565=0,B565=0,C565&lt;&gt;0),VLOOKUP(C565,'3 - LISTA DE ESPÉCIES'!C:H,3,FALSE()))))</f>
        <v>0</v>
      </c>
      <c r="J565" s="23"/>
      <c r="K565" s="23"/>
      <c r="L565" s="20"/>
      <c r="M565" s="20"/>
    </row>
    <row r="566" spans="1:13" x14ac:dyDescent="0.25">
      <c r="A566" s="20"/>
      <c r="B566" s="20"/>
      <c r="C566" s="20"/>
      <c r="E566" s="21" t="b">
        <f>IF(AND(A566&lt;&gt;0,B566=0,C566=0),VLOOKUP(A566,'3 - LISTA DE ESPÉCIES'!A:H,1,FALSE()),IF(AND(A566=0,B566&lt;&gt;0,C566=0),VLOOKUP(B566,'3 - LISTA DE ESPÉCIES'!B:H,5,FALSE()),IF(AND(A566=0,B566=0,C566&lt;&gt;0),VLOOKUP(C566,'3 - LISTA DE ESPÉCIES'!C:H,4,FALSE()))))</f>
        <v>0</v>
      </c>
      <c r="F566" s="21" t="b">
        <f>IF(AND(A566&lt;&gt;0,B566=0,C566=0),VLOOKUP(A566,'3 - LISTA DE ESPÉCIES'!A:H,2,FALSE()),IF(AND(A566=0,B566&lt;&gt;0,C566=0),VLOOKUP(B566,'3 - LISTA DE ESPÉCIES'!B:H,6,FALSE()),IF(AND(A566=0,B566=0,C566&lt;&gt;0),VLOOKUP(C566,'3 - LISTA DE ESPÉCIES'!C:H,5,FALSE()))))</f>
        <v>0</v>
      </c>
      <c r="G566" s="21" t="b">
        <f>IF(AND(A566&lt;&gt;0,B566=0,C566=0),VLOOKUP(A566,'3 - LISTA DE ESPÉCIES'!A:H,3,FALSE()),IF(AND(A566=0,B566&lt;&gt;0,C566=0),VLOOKUP(B566,'3 - LISTA DE ESPÉCIES'!B:H,7,FALSE()),IF(AND(A566=0,B566=0,C566&lt;&gt;0),VLOOKUP(C566,'3 - LISTA DE ESPÉCIES'!C:H,6,FALSE()))))</f>
        <v>0</v>
      </c>
      <c r="H566" s="21" t="b">
        <f>IF(AND(A566&lt;&gt;0,B566=0,C566=0),VLOOKUP(A566,'3 - LISTA DE ESPÉCIES'!A:H,4,FALSE()),IF(AND(A566=0,B566&lt;&gt;0,C566=0),VLOOKUP(B566,'3 - LISTA DE ESPÉCIES'!B:H,3,FALSE()),IF(AND(A566=0,B566=0,C566&lt;&gt;0),VLOOKUP(C566,'3 - LISTA DE ESPÉCIES'!C:H,2,FALSE()))))</f>
        <v>0</v>
      </c>
      <c r="I566" s="21" t="b">
        <f>IF(AND(A566&lt;&gt;0,B566=0,C566=0),VLOOKUP(A566,'3 - LISTA DE ESPÉCIES'!A:H,5,FALSE()),IF(AND(A566=0,B566&lt;&gt;0,C566=0),VLOOKUP(B566,'3 - LISTA DE ESPÉCIES'!B:H,4,FALSE()),IF(AND(A566=0,B566=0,C566&lt;&gt;0),VLOOKUP(C566,'3 - LISTA DE ESPÉCIES'!C:H,3,FALSE()))))</f>
        <v>0</v>
      </c>
      <c r="J566" s="23"/>
      <c r="K566" s="23"/>
      <c r="L566" s="20"/>
      <c r="M566" s="20"/>
    </row>
    <row r="567" spans="1:13" x14ac:dyDescent="0.25">
      <c r="A567" s="20"/>
      <c r="B567" s="20"/>
      <c r="C567" s="20"/>
      <c r="E567" s="21" t="b">
        <f>IF(AND(A567&lt;&gt;0,B567=0,C567=0),VLOOKUP(A567,'3 - LISTA DE ESPÉCIES'!A:H,1,FALSE()),IF(AND(A567=0,B567&lt;&gt;0,C567=0),VLOOKUP(B567,'3 - LISTA DE ESPÉCIES'!B:H,5,FALSE()),IF(AND(A567=0,B567=0,C567&lt;&gt;0),VLOOKUP(C567,'3 - LISTA DE ESPÉCIES'!C:H,4,FALSE()))))</f>
        <v>0</v>
      </c>
      <c r="F567" s="21" t="b">
        <f>IF(AND(A567&lt;&gt;0,B567=0,C567=0),VLOOKUP(A567,'3 - LISTA DE ESPÉCIES'!A:H,2,FALSE()),IF(AND(A567=0,B567&lt;&gt;0,C567=0),VLOOKUP(B567,'3 - LISTA DE ESPÉCIES'!B:H,6,FALSE()),IF(AND(A567=0,B567=0,C567&lt;&gt;0),VLOOKUP(C567,'3 - LISTA DE ESPÉCIES'!C:H,5,FALSE()))))</f>
        <v>0</v>
      </c>
      <c r="G567" s="21" t="b">
        <f>IF(AND(A567&lt;&gt;0,B567=0,C567=0),VLOOKUP(A567,'3 - LISTA DE ESPÉCIES'!A:H,3,FALSE()),IF(AND(A567=0,B567&lt;&gt;0,C567=0),VLOOKUP(B567,'3 - LISTA DE ESPÉCIES'!B:H,7,FALSE()),IF(AND(A567=0,B567=0,C567&lt;&gt;0),VLOOKUP(C567,'3 - LISTA DE ESPÉCIES'!C:H,6,FALSE()))))</f>
        <v>0</v>
      </c>
      <c r="H567" s="21" t="b">
        <f>IF(AND(A567&lt;&gt;0,B567=0,C567=0),VLOOKUP(A567,'3 - LISTA DE ESPÉCIES'!A:H,4,FALSE()),IF(AND(A567=0,B567&lt;&gt;0,C567=0),VLOOKUP(B567,'3 - LISTA DE ESPÉCIES'!B:H,3,FALSE()),IF(AND(A567=0,B567=0,C567&lt;&gt;0),VLOOKUP(C567,'3 - LISTA DE ESPÉCIES'!C:H,2,FALSE()))))</f>
        <v>0</v>
      </c>
      <c r="I567" s="21" t="b">
        <f>IF(AND(A567&lt;&gt;0,B567=0,C567=0),VLOOKUP(A567,'3 - LISTA DE ESPÉCIES'!A:H,5,FALSE()),IF(AND(A567=0,B567&lt;&gt;0,C567=0),VLOOKUP(B567,'3 - LISTA DE ESPÉCIES'!B:H,4,FALSE()),IF(AND(A567=0,B567=0,C567&lt;&gt;0),VLOOKUP(C567,'3 - LISTA DE ESPÉCIES'!C:H,3,FALSE()))))</f>
        <v>0</v>
      </c>
      <c r="J567" s="23"/>
      <c r="K567" s="23"/>
      <c r="L567" s="20"/>
      <c r="M567" s="20"/>
    </row>
    <row r="568" spans="1:13" x14ac:dyDescent="0.25">
      <c r="A568" s="20"/>
      <c r="B568" s="20"/>
      <c r="C568" s="20"/>
      <c r="E568" s="21" t="b">
        <f>IF(AND(A568&lt;&gt;0,B568=0,C568=0),VLOOKUP(A568,'3 - LISTA DE ESPÉCIES'!A:H,1,FALSE()),IF(AND(A568=0,B568&lt;&gt;0,C568=0),VLOOKUP(B568,'3 - LISTA DE ESPÉCIES'!B:H,5,FALSE()),IF(AND(A568=0,B568=0,C568&lt;&gt;0),VLOOKUP(C568,'3 - LISTA DE ESPÉCIES'!C:H,4,FALSE()))))</f>
        <v>0</v>
      </c>
      <c r="F568" s="21" t="b">
        <f>IF(AND(A568&lt;&gt;0,B568=0,C568=0),VLOOKUP(A568,'3 - LISTA DE ESPÉCIES'!A:H,2,FALSE()),IF(AND(A568=0,B568&lt;&gt;0,C568=0),VLOOKUP(B568,'3 - LISTA DE ESPÉCIES'!B:H,6,FALSE()),IF(AND(A568=0,B568=0,C568&lt;&gt;0),VLOOKUP(C568,'3 - LISTA DE ESPÉCIES'!C:H,5,FALSE()))))</f>
        <v>0</v>
      </c>
      <c r="G568" s="21" t="b">
        <f>IF(AND(A568&lt;&gt;0,B568=0,C568=0),VLOOKUP(A568,'3 - LISTA DE ESPÉCIES'!A:H,3,FALSE()),IF(AND(A568=0,B568&lt;&gt;0,C568=0),VLOOKUP(B568,'3 - LISTA DE ESPÉCIES'!B:H,7,FALSE()),IF(AND(A568=0,B568=0,C568&lt;&gt;0),VLOOKUP(C568,'3 - LISTA DE ESPÉCIES'!C:H,6,FALSE()))))</f>
        <v>0</v>
      </c>
      <c r="H568" s="21" t="b">
        <f>IF(AND(A568&lt;&gt;0,B568=0,C568=0),VLOOKUP(A568,'3 - LISTA DE ESPÉCIES'!A:H,4,FALSE()),IF(AND(A568=0,B568&lt;&gt;0,C568=0),VLOOKUP(B568,'3 - LISTA DE ESPÉCIES'!B:H,3,FALSE()),IF(AND(A568=0,B568=0,C568&lt;&gt;0),VLOOKUP(C568,'3 - LISTA DE ESPÉCIES'!C:H,2,FALSE()))))</f>
        <v>0</v>
      </c>
      <c r="I568" s="21" t="b">
        <f>IF(AND(A568&lt;&gt;0,B568=0,C568=0),VLOOKUP(A568,'3 - LISTA DE ESPÉCIES'!A:H,5,FALSE()),IF(AND(A568=0,B568&lt;&gt;0,C568=0),VLOOKUP(B568,'3 - LISTA DE ESPÉCIES'!B:H,4,FALSE()),IF(AND(A568=0,B568=0,C568&lt;&gt;0),VLOOKUP(C568,'3 - LISTA DE ESPÉCIES'!C:H,3,FALSE()))))</f>
        <v>0</v>
      </c>
      <c r="J568" s="23"/>
      <c r="K568" s="23"/>
      <c r="L568" s="20"/>
      <c r="M568" s="20"/>
    </row>
    <row r="569" spans="1:13" x14ac:dyDescent="0.25">
      <c r="A569" s="20"/>
      <c r="B569" s="20"/>
      <c r="C569" s="20"/>
      <c r="E569" s="21" t="b">
        <f>IF(AND(A569&lt;&gt;0,B569=0,C569=0),VLOOKUP(A569,'3 - LISTA DE ESPÉCIES'!A:H,1,FALSE()),IF(AND(A569=0,B569&lt;&gt;0,C569=0),VLOOKUP(B569,'3 - LISTA DE ESPÉCIES'!B:H,5,FALSE()),IF(AND(A569=0,B569=0,C569&lt;&gt;0),VLOOKUP(C569,'3 - LISTA DE ESPÉCIES'!C:H,4,FALSE()))))</f>
        <v>0</v>
      </c>
      <c r="F569" s="21" t="b">
        <f>IF(AND(A569&lt;&gt;0,B569=0,C569=0),VLOOKUP(A569,'3 - LISTA DE ESPÉCIES'!A:H,2,FALSE()),IF(AND(A569=0,B569&lt;&gt;0,C569=0),VLOOKUP(B569,'3 - LISTA DE ESPÉCIES'!B:H,6,FALSE()),IF(AND(A569=0,B569=0,C569&lt;&gt;0),VLOOKUP(C569,'3 - LISTA DE ESPÉCIES'!C:H,5,FALSE()))))</f>
        <v>0</v>
      </c>
      <c r="G569" s="21" t="b">
        <f>IF(AND(A569&lt;&gt;0,B569=0,C569=0),VLOOKUP(A569,'3 - LISTA DE ESPÉCIES'!A:H,3,FALSE()),IF(AND(A569=0,B569&lt;&gt;0,C569=0),VLOOKUP(B569,'3 - LISTA DE ESPÉCIES'!B:H,7,FALSE()),IF(AND(A569=0,B569=0,C569&lt;&gt;0),VLOOKUP(C569,'3 - LISTA DE ESPÉCIES'!C:H,6,FALSE()))))</f>
        <v>0</v>
      </c>
      <c r="H569" s="21" t="b">
        <f>IF(AND(A569&lt;&gt;0,B569=0,C569=0),VLOOKUP(A569,'3 - LISTA DE ESPÉCIES'!A:H,4,FALSE()),IF(AND(A569=0,B569&lt;&gt;0,C569=0),VLOOKUP(B569,'3 - LISTA DE ESPÉCIES'!B:H,3,FALSE()),IF(AND(A569=0,B569=0,C569&lt;&gt;0),VLOOKUP(C569,'3 - LISTA DE ESPÉCIES'!C:H,2,FALSE()))))</f>
        <v>0</v>
      </c>
      <c r="I569" s="21" t="b">
        <f>IF(AND(A569&lt;&gt;0,B569=0,C569=0),VLOOKUP(A569,'3 - LISTA DE ESPÉCIES'!A:H,5,FALSE()),IF(AND(A569=0,B569&lt;&gt;0,C569=0),VLOOKUP(B569,'3 - LISTA DE ESPÉCIES'!B:H,4,FALSE()),IF(AND(A569=0,B569=0,C569&lt;&gt;0),VLOOKUP(C569,'3 - LISTA DE ESPÉCIES'!C:H,3,FALSE()))))</f>
        <v>0</v>
      </c>
      <c r="J569" s="23"/>
      <c r="K569" s="23"/>
      <c r="L569" s="20"/>
      <c r="M569" s="20"/>
    </row>
    <row r="570" spans="1:13" x14ac:dyDescent="0.25">
      <c r="A570" s="20"/>
      <c r="B570" s="20"/>
      <c r="C570" s="20"/>
      <c r="E570" s="21" t="b">
        <f>IF(AND(A570&lt;&gt;0,B570=0,C570=0),VLOOKUP(A570,'3 - LISTA DE ESPÉCIES'!A:H,1,FALSE()),IF(AND(A570=0,B570&lt;&gt;0,C570=0),VLOOKUP(B570,'3 - LISTA DE ESPÉCIES'!B:H,5,FALSE()),IF(AND(A570=0,B570=0,C570&lt;&gt;0),VLOOKUP(C570,'3 - LISTA DE ESPÉCIES'!C:H,4,FALSE()))))</f>
        <v>0</v>
      </c>
      <c r="F570" s="21" t="b">
        <f>IF(AND(A570&lt;&gt;0,B570=0,C570=0),VLOOKUP(A570,'3 - LISTA DE ESPÉCIES'!A:H,2,FALSE()),IF(AND(A570=0,B570&lt;&gt;0,C570=0),VLOOKUP(B570,'3 - LISTA DE ESPÉCIES'!B:H,6,FALSE()),IF(AND(A570=0,B570=0,C570&lt;&gt;0),VLOOKUP(C570,'3 - LISTA DE ESPÉCIES'!C:H,5,FALSE()))))</f>
        <v>0</v>
      </c>
      <c r="G570" s="21" t="b">
        <f>IF(AND(A570&lt;&gt;0,B570=0,C570=0),VLOOKUP(A570,'3 - LISTA DE ESPÉCIES'!A:H,3,FALSE()),IF(AND(A570=0,B570&lt;&gt;0,C570=0),VLOOKUP(B570,'3 - LISTA DE ESPÉCIES'!B:H,7,FALSE()),IF(AND(A570=0,B570=0,C570&lt;&gt;0),VLOOKUP(C570,'3 - LISTA DE ESPÉCIES'!C:H,6,FALSE()))))</f>
        <v>0</v>
      </c>
      <c r="H570" s="21" t="b">
        <f>IF(AND(A570&lt;&gt;0,B570=0,C570=0),VLOOKUP(A570,'3 - LISTA DE ESPÉCIES'!A:H,4,FALSE()),IF(AND(A570=0,B570&lt;&gt;0,C570=0),VLOOKUP(B570,'3 - LISTA DE ESPÉCIES'!B:H,3,FALSE()),IF(AND(A570=0,B570=0,C570&lt;&gt;0),VLOOKUP(C570,'3 - LISTA DE ESPÉCIES'!C:H,2,FALSE()))))</f>
        <v>0</v>
      </c>
      <c r="I570" s="21" t="b">
        <f>IF(AND(A570&lt;&gt;0,B570=0,C570=0),VLOOKUP(A570,'3 - LISTA DE ESPÉCIES'!A:H,5,FALSE()),IF(AND(A570=0,B570&lt;&gt;0,C570=0),VLOOKUP(B570,'3 - LISTA DE ESPÉCIES'!B:H,4,FALSE()),IF(AND(A570=0,B570=0,C570&lt;&gt;0),VLOOKUP(C570,'3 - LISTA DE ESPÉCIES'!C:H,3,FALSE()))))</f>
        <v>0</v>
      </c>
      <c r="J570" s="23"/>
      <c r="K570" s="23"/>
      <c r="L570" s="20"/>
      <c r="M570" s="20"/>
    </row>
    <row r="571" spans="1:13" x14ac:dyDescent="0.25">
      <c r="A571" s="20"/>
      <c r="B571" s="20"/>
      <c r="C571" s="20"/>
      <c r="E571" s="21" t="b">
        <f>IF(AND(A571&lt;&gt;0,B571=0,C571=0),VLOOKUP(A571,'3 - LISTA DE ESPÉCIES'!A:H,1,FALSE()),IF(AND(A571=0,B571&lt;&gt;0,C571=0),VLOOKUP(B571,'3 - LISTA DE ESPÉCIES'!B:H,5,FALSE()),IF(AND(A571=0,B571=0,C571&lt;&gt;0),VLOOKUP(C571,'3 - LISTA DE ESPÉCIES'!C:H,4,FALSE()))))</f>
        <v>0</v>
      </c>
      <c r="F571" s="21" t="b">
        <f>IF(AND(A571&lt;&gt;0,B571=0,C571=0),VLOOKUP(A571,'3 - LISTA DE ESPÉCIES'!A:H,2,FALSE()),IF(AND(A571=0,B571&lt;&gt;0,C571=0),VLOOKUP(B571,'3 - LISTA DE ESPÉCIES'!B:H,6,FALSE()),IF(AND(A571=0,B571=0,C571&lt;&gt;0),VLOOKUP(C571,'3 - LISTA DE ESPÉCIES'!C:H,5,FALSE()))))</f>
        <v>0</v>
      </c>
      <c r="G571" s="21" t="b">
        <f>IF(AND(A571&lt;&gt;0,B571=0,C571=0),VLOOKUP(A571,'3 - LISTA DE ESPÉCIES'!A:H,3,FALSE()),IF(AND(A571=0,B571&lt;&gt;0,C571=0),VLOOKUP(B571,'3 - LISTA DE ESPÉCIES'!B:H,7,FALSE()),IF(AND(A571=0,B571=0,C571&lt;&gt;0),VLOOKUP(C571,'3 - LISTA DE ESPÉCIES'!C:H,6,FALSE()))))</f>
        <v>0</v>
      </c>
      <c r="H571" s="21" t="b">
        <f>IF(AND(A571&lt;&gt;0,B571=0,C571=0),VLOOKUP(A571,'3 - LISTA DE ESPÉCIES'!A:H,4,FALSE()),IF(AND(A571=0,B571&lt;&gt;0,C571=0),VLOOKUP(B571,'3 - LISTA DE ESPÉCIES'!B:H,3,FALSE()),IF(AND(A571=0,B571=0,C571&lt;&gt;0),VLOOKUP(C571,'3 - LISTA DE ESPÉCIES'!C:H,2,FALSE()))))</f>
        <v>0</v>
      </c>
      <c r="I571" s="21" t="b">
        <f>IF(AND(A571&lt;&gt;0,B571=0,C571=0),VLOOKUP(A571,'3 - LISTA DE ESPÉCIES'!A:H,5,FALSE()),IF(AND(A571=0,B571&lt;&gt;0,C571=0),VLOOKUP(B571,'3 - LISTA DE ESPÉCIES'!B:H,4,FALSE()),IF(AND(A571=0,B571=0,C571&lt;&gt;0),VLOOKUP(C571,'3 - LISTA DE ESPÉCIES'!C:H,3,FALSE()))))</f>
        <v>0</v>
      </c>
      <c r="J571" s="23"/>
      <c r="K571" s="23"/>
      <c r="L571" s="20"/>
      <c r="M571" s="20"/>
    </row>
    <row r="572" spans="1:13" x14ac:dyDescent="0.25">
      <c r="A572" s="20"/>
      <c r="B572" s="20"/>
      <c r="C572" s="20"/>
      <c r="E572" s="21" t="b">
        <f>IF(AND(A572&lt;&gt;0,B572=0,C572=0),VLOOKUP(A572,'3 - LISTA DE ESPÉCIES'!A:H,1,FALSE()),IF(AND(A572=0,B572&lt;&gt;0,C572=0),VLOOKUP(B572,'3 - LISTA DE ESPÉCIES'!B:H,5,FALSE()),IF(AND(A572=0,B572=0,C572&lt;&gt;0),VLOOKUP(C572,'3 - LISTA DE ESPÉCIES'!C:H,4,FALSE()))))</f>
        <v>0</v>
      </c>
      <c r="F572" s="21" t="b">
        <f>IF(AND(A572&lt;&gt;0,B572=0,C572=0),VLOOKUP(A572,'3 - LISTA DE ESPÉCIES'!A:H,2,FALSE()),IF(AND(A572=0,B572&lt;&gt;0,C572=0),VLOOKUP(B572,'3 - LISTA DE ESPÉCIES'!B:H,6,FALSE()),IF(AND(A572=0,B572=0,C572&lt;&gt;0),VLOOKUP(C572,'3 - LISTA DE ESPÉCIES'!C:H,5,FALSE()))))</f>
        <v>0</v>
      </c>
      <c r="G572" s="21" t="b">
        <f>IF(AND(A572&lt;&gt;0,B572=0,C572=0),VLOOKUP(A572,'3 - LISTA DE ESPÉCIES'!A:H,3,FALSE()),IF(AND(A572=0,B572&lt;&gt;0,C572=0),VLOOKUP(B572,'3 - LISTA DE ESPÉCIES'!B:H,7,FALSE()),IF(AND(A572=0,B572=0,C572&lt;&gt;0),VLOOKUP(C572,'3 - LISTA DE ESPÉCIES'!C:H,6,FALSE()))))</f>
        <v>0</v>
      </c>
      <c r="H572" s="21" t="b">
        <f>IF(AND(A572&lt;&gt;0,B572=0,C572=0),VLOOKUP(A572,'3 - LISTA DE ESPÉCIES'!A:H,4,FALSE()),IF(AND(A572=0,B572&lt;&gt;0,C572=0),VLOOKUP(B572,'3 - LISTA DE ESPÉCIES'!B:H,3,FALSE()),IF(AND(A572=0,B572=0,C572&lt;&gt;0),VLOOKUP(C572,'3 - LISTA DE ESPÉCIES'!C:H,2,FALSE()))))</f>
        <v>0</v>
      </c>
      <c r="I572" s="21" t="b">
        <f>IF(AND(A572&lt;&gt;0,B572=0,C572=0),VLOOKUP(A572,'3 - LISTA DE ESPÉCIES'!A:H,5,FALSE()),IF(AND(A572=0,B572&lt;&gt;0,C572=0),VLOOKUP(B572,'3 - LISTA DE ESPÉCIES'!B:H,4,FALSE()),IF(AND(A572=0,B572=0,C572&lt;&gt;0),VLOOKUP(C572,'3 - LISTA DE ESPÉCIES'!C:H,3,FALSE()))))</f>
        <v>0</v>
      </c>
      <c r="J572" s="23"/>
      <c r="K572" s="23"/>
      <c r="L572" s="20"/>
      <c r="M572" s="20"/>
    </row>
    <row r="573" spans="1:13" x14ac:dyDescent="0.25">
      <c r="A573" s="20"/>
      <c r="B573" s="20"/>
      <c r="C573" s="20"/>
      <c r="E573" s="21" t="b">
        <f>IF(AND(A573&lt;&gt;0,B573=0,C573=0),VLOOKUP(A573,'3 - LISTA DE ESPÉCIES'!A:H,1,FALSE()),IF(AND(A573=0,B573&lt;&gt;0,C573=0),VLOOKUP(B573,'3 - LISTA DE ESPÉCIES'!B:H,5,FALSE()),IF(AND(A573=0,B573=0,C573&lt;&gt;0),VLOOKUP(C573,'3 - LISTA DE ESPÉCIES'!C:H,4,FALSE()))))</f>
        <v>0</v>
      </c>
      <c r="F573" s="21" t="b">
        <f>IF(AND(A573&lt;&gt;0,B573=0,C573=0),VLOOKUP(A573,'3 - LISTA DE ESPÉCIES'!A:H,2,FALSE()),IF(AND(A573=0,B573&lt;&gt;0,C573=0),VLOOKUP(B573,'3 - LISTA DE ESPÉCIES'!B:H,6,FALSE()),IF(AND(A573=0,B573=0,C573&lt;&gt;0),VLOOKUP(C573,'3 - LISTA DE ESPÉCIES'!C:H,5,FALSE()))))</f>
        <v>0</v>
      </c>
      <c r="G573" s="21" t="b">
        <f>IF(AND(A573&lt;&gt;0,B573=0,C573=0),VLOOKUP(A573,'3 - LISTA DE ESPÉCIES'!A:H,3,FALSE()),IF(AND(A573=0,B573&lt;&gt;0,C573=0),VLOOKUP(B573,'3 - LISTA DE ESPÉCIES'!B:H,7,FALSE()),IF(AND(A573=0,B573=0,C573&lt;&gt;0),VLOOKUP(C573,'3 - LISTA DE ESPÉCIES'!C:H,6,FALSE()))))</f>
        <v>0</v>
      </c>
      <c r="H573" s="21" t="b">
        <f>IF(AND(A573&lt;&gt;0,B573=0,C573=0),VLOOKUP(A573,'3 - LISTA DE ESPÉCIES'!A:H,4,FALSE()),IF(AND(A573=0,B573&lt;&gt;0,C573=0),VLOOKUP(B573,'3 - LISTA DE ESPÉCIES'!B:H,3,FALSE()),IF(AND(A573=0,B573=0,C573&lt;&gt;0),VLOOKUP(C573,'3 - LISTA DE ESPÉCIES'!C:H,2,FALSE()))))</f>
        <v>0</v>
      </c>
      <c r="I573" s="21" t="b">
        <f>IF(AND(A573&lt;&gt;0,B573=0,C573=0),VLOOKUP(A573,'3 - LISTA DE ESPÉCIES'!A:H,5,FALSE()),IF(AND(A573=0,B573&lt;&gt;0,C573=0),VLOOKUP(B573,'3 - LISTA DE ESPÉCIES'!B:H,4,FALSE()),IF(AND(A573=0,B573=0,C573&lt;&gt;0),VLOOKUP(C573,'3 - LISTA DE ESPÉCIES'!C:H,3,FALSE()))))</f>
        <v>0</v>
      </c>
      <c r="J573" s="23"/>
      <c r="K573" s="23"/>
      <c r="L573" s="20"/>
      <c r="M573" s="20"/>
    </row>
    <row r="574" spans="1:13" x14ac:dyDescent="0.25">
      <c r="A574" s="20"/>
      <c r="B574" s="20"/>
      <c r="C574" s="20"/>
      <c r="E574" s="21" t="b">
        <f>IF(AND(A574&lt;&gt;0,B574=0,C574=0),VLOOKUP(A574,'3 - LISTA DE ESPÉCIES'!A:H,1,FALSE()),IF(AND(A574=0,B574&lt;&gt;0,C574=0),VLOOKUP(B574,'3 - LISTA DE ESPÉCIES'!B:H,5,FALSE()),IF(AND(A574=0,B574=0,C574&lt;&gt;0),VLOOKUP(C574,'3 - LISTA DE ESPÉCIES'!C:H,4,FALSE()))))</f>
        <v>0</v>
      </c>
      <c r="F574" s="21" t="b">
        <f>IF(AND(A574&lt;&gt;0,B574=0,C574=0),VLOOKUP(A574,'3 - LISTA DE ESPÉCIES'!A:H,2,FALSE()),IF(AND(A574=0,B574&lt;&gt;0,C574=0),VLOOKUP(B574,'3 - LISTA DE ESPÉCIES'!B:H,6,FALSE()),IF(AND(A574=0,B574=0,C574&lt;&gt;0),VLOOKUP(C574,'3 - LISTA DE ESPÉCIES'!C:H,5,FALSE()))))</f>
        <v>0</v>
      </c>
      <c r="G574" s="21" t="b">
        <f>IF(AND(A574&lt;&gt;0,B574=0,C574=0),VLOOKUP(A574,'3 - LISTA DE ESPÉCIES'!A:H,3,FALSE()),IF(AND(A574=0,B574&lt;&gt;0,C574=0),VLOOKUP(B574,'3 - LISTA DE ESPÉCIES'!B:H,7,FALSE()),IF(AND(A574=0,B574=0,C574&lt;&gt;0),VLOOKUP(C574,'3 - LISTA DE ESPÉCIES'!C:H,6,FALSE()))))</f>
        <v>0</v>
      </c>
      <c r="H574" s="21" t="b">
        <f>IF(AND(A574&lt;&gt;0,B574=0,C574=0),VLOOKUP(A574,'3 - LISTA DE ESPÉCIES'!A:H,4,FALSE()),IF(AND(A574=0,B574&lt;&gt;0,C574=0),VLOOKUP(B574,'3 - LISTA DE ESPÉCIES'!B:H,3,FALSE()),IF(AND(A574=0,B574=0,C574&lt;&gt;0),VLOOKUP(C574,'3 - LISTA DE ESPÉCIES'!C:H,2,FALSE()))))</f>
        <v>0</v>
      </c>
      <c r="I574" s="21" t="b">
        <f>IF(AND(A574&lt;&gt;0,B574=0,C574=0),VLOOKUP(A574,'3 - LISTA DE ESPÉCIES'!A:H,5,FALSE()),IF(AND(A574=0,B574&lt;&gt;0,C574=0),VLOOKUP(B574,'3 - LISTA DE ESPÉCIES'!B:H,4,FALSE()),IF(AND(A574=0,B574=0,C574&lt;&gt;0),VLOOKUP(C574,'3 - LISTA DE ESPÉCIES'!C:H,3,FALSE()))))</f>
        <v>0</v>
      </c>
      <c r="J574" s="23"/>
      <c r="K574" s="23"/>
      <c r="L574" s="20"/>
      <c r="M574" s="20"/>
    </row>
    <row r="575" spans="1:13" x14ac:dyDescent="0.25">
      <c r="A575" s="20"/>
      <c r="B575" s="20"/>
      <c r="C575" s="20"/>
      <c r="E575" s="21" t="b">
        <f>IF(AND(A575&lt;&gt;0,B575=0,C575=0),VLOOKUP(A575,'3 - LISTA DE ESPÉCIES'!A:H,1,FALSE()),IF(AND(A575=0,B575&lt;&gt;0,C575=0),VLOOKUP(B575,'3 - LISTA DE ESPÉCIES'!B:H,5,FALSE()),IF(AND(A575=0,B575=0,C575&lt;&gt;0),VLOOKUP(C575,'3 - LISTA DE ESPÉCIES'!C:H,4,FALSE()))))</f>
        <v>0</v>
      </c>
      <c r="F575" s="21" t="b">
        <f>IF(AND(A575&lt;&gt;0,B575=0,C575=0),VLOOKUP(A575,'3 - LISTA DE ESPÉCIES'!A:H,2,FALSE()),IF(AND(A575=0,B575&lt;&gt;0,C575=0),VLOOKUP(B575,'3 - LISTA DE ESPÉCIES'!B:H,6,FALSE()),IF(AND(A575=0,B575=0,C575&lt;&gt;0),VLOOKUP(C575,'3 - LISTA DE ESPÉCIES'!C:H,5,FALSE()))))</f>
        <v>0</v>
      </c>
      <c r="G575" s="21" t="b">
        <f>IF(AND(A575&lt;&gt;0,B575=0,C575=0),VLOOKUP(A575,'3 - LISTA DE ESPÉCIES'!A:H,3,FALSE()),IF(AND(A575=0,B575&lt;&gt;0,C575=0),VLOOKUP(B575,'3 - LISTA DE ESPÉCIES'!B:H,7,FALSE()),IF(AND(A575=0,B575=0,C575&lt;&gt;0),VLOOKUP(C575,'3 - LISTA DE ESPÉCIES'!C:H,6,FALSE()))))</f>
        <v>0</v>
      </c>
      <c r="H575" s="21" t="b">
        <f>IF(AND(A575&lt;&gt;0,B575=0,C575=0),VLOOKUP(A575,'3 - LISTA DE ESPÉCIES'!A:H,4,FALSE()),IF(AND(A575=0,B575&lt;&gt;0,C575=0),VLOOKUP(B575,'3 - LISTA DE ESPÉCIES'!B:H,3,FALSE()),IF(AND(A575=0,B575=0,C575&lt;&gt;0),VLOOKUP(C575,'3 - LISTA DE ESPÉCIES'!C:H,2,FALSE()))))</f>
        <v>0</v>
      </c>
      <c r="I575" s="21" t="b">
        <f>IF(AND(A575&lt;&gt;0,B575=0,C575=0),VLOOKUP(A575,'3 - LISTA DE ESPÉCIES'!A:H,5,FALSE()),IF(AND(A575=0,B575&lt;&gt;0,C575=0),VLOOKUP(B575,'3 - LISTA DE ESPÉCIES'!B:H,4,FALSE()),IF(AND(A575=0,B575=0,C575&lt;&gt;0),VLOOKUP(C575,'3 - LISTA DE ESPÉCIES'!C:H,3,FALSE()))))</f>
        <v>0</v>
      </c>
      <c r="J575" s="23"/>
      <c r="K575" s="23"/>
      <c r="L575" s="20"/>
      <c r="M575" s="20"/>
    </row>
    <row r="576" spans="1:13" x14ac:dyDescent="0.25">
      <c r="A576" s="20"/>
      <c r="B576" s="20"/>
      <c r="C576" s="20"/>
      <c r="E576" s="21" t="b">
        <f>IF(AND(A576&lt;&gt;0,B576=0,C576=0),VLOOKUP(A576,'3 - LISTA DE ESPÉCIES'!A:H,1,FALSE()),IF(AND(A576=0,B576&lt;&gt;0,C576=0),VLOOKUP(B576,'3 - LISTA DE ESPÉCIES'!B:H,5,FALSE()),IF(AND(A576=0,B576=0,C576&lt;&gt;0),VLOOKUP(C576,'3 - LISTA DE ESPÉCIES'!C:H,4,FALSE()))))</f>
        <v>0</v>
      </c>
      <c r="F576" s="21" t="b">
        <f>IF(AND(A576&lt;&gt;0,B576=0,C576=0),VLOOKUP(A576,'3 - LISTA DE ESPÉCIES'!A:H,2,FALSE()),IF(AND(A576=0,B576&lt;&gt;0,C576=0),VLOOKUP(B576,'3 - LISTA DE ESPÉCIES'!B:H,6,FALSE()),IF(AND(A576=0,B576=0,C576&lt;&gt;0),VLOOKUP(C576,'3 - LISTA DE ESPÉCIES'!C:H,5,FALSE()))))</f>
        <v>0</v>
      </c>
      <c r="G576" s="21" t="b">
        <f>IF(AND(A576&lt;&gt;0,B576=0,C576=0),VLOOKUP(A576,'3 - LISTA DE ESPÉCIES'!A:H,3,FALSE()),IF(AND(A576=0,B576&lt;&gt;0,C576=0),VLOOKUP(B576,'3 - LISTA DE ESPÉCIES'!B:H,7,FALSE()),IF(AND(A576=0,B576=0,C576&lt;&gt;0),VLOOKUP(C576,'3 - LISTA DE ESPÉCIES'!C:H,6,FALSE()))))</f>
        <v>0</v>
      </c>
      <c r="H576" s="21" t="b">
        <f>IF(AND(A576&lt;&gt;0,B576=0,C576=0),VLOOKUP(A576,'3 - LISTA DE ESPÉCIES'!A:H,4,FALSE()),IF(AND(A576=0,B576&lt;&gt;0,C576=0),VLOOKUP(B576,'3 - LISTA DE ESPÉCIES'!B:H,3,FALSE()),IF(AND(A576=0,B576=0,C576&lt;&gt;0),VLOOKUP(C576,'3 - LISTA DE ESPÉCIES'!C:H,2,FALSE()))))</f>
        <v>0</v>
      </c>
      <c r="I576" s="21" t="b">
        <f>IF(AND(A576&lt;&gt;0,B576=0,C576=0),VLOOKUP(A576,'3 - LISTA DE ESPÉCIES'!A:H,5,FALSE()),IF(AND(A576=0,B576&lt;&gt;0,C576=0),VLOOKUP(B576,'3 - LISTA DE ESPÉCIES'!B:H,4,FALSE()),IF(AND(A576=0,B576=0,C576&lt;&gt;0),VLOOKUP(C576,'3 - LISTA DE ESPÉCIES'!C:H,3,FALSE()))))</f>
        <v>0</v>
      </c>
      <c r="J576" s="23"/>
      <c r="K576" s="23"/>
      <c r="L576" s="20"/>
      <c r="M576" s="20"/>
    </row>
    <row r="577" spans="1:13" x14ac:dyDescent="0.25">
      <c r="A577" s="20"/>
      <c r="B577" s="20"/>
      <c r="C577" s="20"/>
      <c r="E577" s="21" t="b">
        <f>IF(AND(A577&lt;&gt;0,B577=0,C577=0),VLOOKUP(A577,'3 - LISTA DE ESPÉCIES'!A:H,1,FALSE()),IF(AND(A577=0,B577&lt;&gt;0,C577=0),VLOOKUP(B577,'3 - LISTA DE ESPÉCIES'!B:H,5,FALSE()),IF(AND(A577=0,B577=0,C577&lt;&gt;0),VLOOKUP(C577,'3 - LISTA DE ESPÉCIES'!C:H,4,FALSE()))))</f>
        <v>0</v>
      </c>
      <c r="F577" s="21" t="b">
        <f>IF(AND(A577&lt;&gt;0,B577=0,C577=0),VLOOKUP(A577,'3 - LISTA DE ESPÉCIES'!A:H,2,FALSE()),IF(AND(A577=0,B577&lt;&gt;0,C577=0),VLOOKUP(B577,'3 - LISTA DE ESPÉCIES'!B:H,6,FALSE()),IF(AND(A577=0,B577=0,C577&lt;&gt;0),VLOOKUP(C577,'3 - LISTA DE ESPÉCIES'!C:H,5,FALSE()))))</f>
        <v>0</v>
      </c>
      <c r="G577" s="21" t="b">
        <f>IF(AND(A577&lt;&gt;0,B577=0,C577=0),VLOOKUP(A577,'3 - LISTA DE ESPÉCIES'!A:H,3,FALSE()),IF(AND(A577=0,B577&lt;&gt;0,C577=0),VLOOKUP(B577,'3 - LISTA DE ESPÉCIES'!B:H,7,FALSE()),IF(AND(A577=0,B577=0,C577&lt;&gt;0),VLOOKUP(C577,'3 - LISTA DE ESPÉCIES'!C:H,6,FALSE()))))</f>
        <v>0</v>
      </c>
      <c r="H577" s="21" t="b">
        <f>IF(AND(A577&lt;&gt;0,B577=0,C577=0),VLOOKUP(A577,'3 - LISTA DE ESPÉCIES'!A:H,4,FALSE()),IF(AND(A577=0,B577&lt;&gt;0,C577=0),VLOOKUP(B577,'3 - LISTA DE ESPÉCIES'!B:H,3,FALSE()),IF(AND(A577=0,B577=0,C577&lt;&gt;0),VLOOKUP(C577,'3 - LISTA DE ESPÉCIES'!C:H,2,FALSE()))))</f>
        <v>0</v>
      </c>
      <c r="I577" s="21" t="b">
        <f>IF(AND(A577&lt;&gt;0,B577=0,C577=0),VLOOKUP(A577,'3 - LISTA DE ESPÉCIES'!A:H,5,FALSE()),IF(AND(A577=0,B577&lt;&gt;0,C577=0),VLOOKUP(B577,'3 - LISTA DE ESPÉCIES'!B:H,4,FALSE()),IF(AND(A577=0,B577=0,C577&lt;&gt;0),VLOOKUP(C577,'3 - LISTA DE ESPÉCIES'!C:H,3,FALSE()))))</f>
        <v>0</v>
      </c>
      <c r="J577" s="23"/>
      <c r="K577" s="23"/>
      <c r="L577" s="20"/>
      <c r="M577" s="20"/>
    </row>
    <row r="578" spans="1:13" x14ac:dyDescent="0.25">
      <c r="A578" s="20"/>
      <c r="B578" s="20"/>
      <c r="C578" s="20"/>
      <c r="E578" s="21" t="b">
        <f>IF(AND(A578&lt;&gt;0,B578=0,C578=0),VLOOKUP(A578,'3 - LISTA DE ESPÉCIES'!A:H,1,FALSE()),IF(AND(A578=0,B578&lt;&gt;0,C578=0),VLOOKUP(B578,'3 - LISTA DE ESPÉCIES'!B:H,5,FALSE()),IF(AND(A578=0,B578=0,C578&lt;&gt;0),VLOOKUP(C578,'3 - LISTA DE ESPÉCIES'!C:H,4,FALSE()))))</f>
        <v>0</v>
      </c>
      <c r="F578" s="21" t="b">
        <f>IF(AND(A578&lt;&gt;0,B578=0,C578=0),VLOOKUP(A578,'3 - LISTA DE ESPÉCIES'!A:H,2,FALSE()),IF(AND(A578=0,B578&lt;&gt;0,C578=0),VLOOKUP(B578,'3 - LISTA DE ESPÉCIES'!B:H,6,FALSE()),IF(AND(A578=0,B578=0,C578&lt;&gt;0),VLOOKUP(C578,'3 - LISTA DE ESPÉCIES'!C:H,5,FALSE()))))</f>
        <v>0</v>
      </c>
      <c r="G578" s="21" t="b">
        <f>IF(AND(A578&lt;&gt;0,B578=0,C578=0),VLOOKUP(A578,'3 - LISTA DE ESPÉCIES'!A:H,3,FALSE()),IF(AND(A578=0,B578&lt;&gt;0,C578=0),VLOOKUP(B578,'3 - LISTA DE ESPÉCIES'!B:H,7,FALSE()),IF(AND(A578=0,B578=0,C578&lt;&gt;0),VLOOKUP(C578,'3 - LISTA DE ESPÉCIES'!C:H,6,FALSE()))))</f>
        <v>0</v>
      </c>
      <c r="H578" s="21" t="b">
        <f>IF(AND(A578&lt;&gt;0,B578=0,C578=0),VLOOKUP(A578,'3 - LISTA DE ESPÉCIES'!A:H,4,FALSE()),IF(AND(A578=0,B578&lt;&gt;0,C578=0),VLOOKUP(B578,'3 - LISTA DE ESPÉCIES'!B:H,3,FALSE()),IF(AND(A578=0,B578=0,C578&lt;&gt;0),VLOOKUP(C578,'3 - LISTA DE ESPÉCIES'!C:H,2,FALSE()))))</f>
        <v>0</v>
      </c>
      <c r="I578" s="21" t="b">
        <f>IF(AND(A578&lt;&gt;0,B578=0,C578=0),VLOOKUP(A578,'3 - LISTA DE ESPÉCIES'!A:H,5,FALSE()),IF(AND(A578=0,B578&lt;&gt;0,C578=0),VLOOKUP(B578,'3 - LISTA DE ESPÉCIES'!B:H,4,FALSE()),IF(AND(A578=0,B578=0,C578&lt;&gt;0),VLOOKUP(C578,'3 - LISTA DE ESPÉCIES'!C:H,3,FALSE()))))</f>
        <v>0</v>
      </c>
      <c r="J578" s="23"/>
      <c r="K578" s="23"/>
      <c r="L578" s="20"/>
      <c r="M578" s="20"/>
    </row>
    <row r="579" spans="1:13" x14ac:dyDescent="0.25">
      <c r="A579" s="20"/>
      <c r="B579" s="20"/>
      <c r="C579" s="20"/>
      <c r="E579" s="21" t="b">
        <f>IF(AND(A579&lt;&gt;0,B579=0,C579=0),VLOOKUP(A579,'3 - LISTA DE ESPÉCIES'!A:H,1,FALSE()),IF(AND(A579=0,B579&lt;&gt;0,C579=0),VLOOKUP(B579,'3 - LISTA DE ESPÉCIES'!B:H,5,FALSE()),IF(AND(A579=0,B579=0,C579&lt;&gt;0),VLOOKUP(C579,'3 - LISTA DE ESPÉCIES'!C:H,4,FALSE()))))</f>
        <v>0</v>
      </c>
      <c r="F579" s="21" t="b">
        <f>IF(AND(A579&lt;&gt;0,B579=0,C579=0),VLOOKUP(A579,'3 - LISTA DE ESPÉCIES'!A:H,2,FALSE()),IF(AND(A579=0,B579&lt;&gt;0,C579=0),VLOOKUP(B579,'3 - LISTA DE ESPÉCIES'!B:H,6,FALSE()),IF(AND(A579=0,B579=0,C579&lt;&gt;0),VLOOKUP(C579,'3 - LISTA DE ESPÉCIES'!C:H,5,FALSE()))))</f>
        <v>0</v>
      </c>
      <c r="G579" s="21" t="b">
        <f>IF(AND(A579&lt;&gt;0,B579=0,C579=0),VLOOKUP(A579,'3 - LISTA DE ESPÉCIES'!A:H,3,FALSE()),IF(AND(A579=0,B579&lt;&gt;0,C579=0),VLOOKUP(B579,'3 - LISTA DE ESPÉCIES'!B:H,7,FALSE()),IF(AND(A579=0,B579=0,C579&lt;&gt;0),VLOOKUP(C579,'3 - LISTA DE ESPÉCIES'!C:H,6,FALSE()))))</f>
        <v>0</v>
      </c>
      <c r="H579" s="21" t="b">
        <f>IF(AND(A579&lt;&gt;0,B579=0,C579=0),VLOOKUP(A579,'3 - LISTA DE ESPÉCIES'!A:H,4,FALSE()),IF(AND(A579=0,B579&lt;&gt;0,C579=0),VLOOKUP(B579,'3 - LISTA DE ESPÉCIES'!B:H,3,FALSE()),IF(AND(A579=0,B579=0,C579&lt;&gt;0),VLOOKUP(C579,'3 - LISTA DE ESPÉCIES'!C:H,2,FALSE()))))</f>
        <v>0</v>
      </c>
      <c r="I579" s="21" t="b">
        <f>IF(AND(A579&lt;&gt;0,B579=0,C579=0),VLOOKUP(A579,'3 - LISTA DE ESPÉCIES'!A:H,5,FALSE()),IF(AND(A579=0,B579&lt;&gt;0,C579=0),VLOOKUP(B579,'3 - LISTA DE ESPÉCIES'!B:H,4,FALSE()),IF(AND(A579=0,B579=0,C579&lt;&gt;0),VLOOKUP(C579,'3 - LISTA DE ESPÉCIES'!C:H,3,FALSE()))))</f>
        <v>0</v>
      </c>
      <c r="J579" s="23"/>
      <c r="K579" s="23"/>
      <c r="L579" s="20"/>
      <c r="M579" s="20"/>
    </row>
    <row r="580" spans="1:13" x14ac:dyDescent="0.25">
      <c r="A580" s="20"/>
      <c r="B580" s="20"/>
      <c r="C580" s="20"/>
      <c r="E580" s="21" t="b">
        <f>IF(AND(A580&lt;&gt;0,B580=0,C580=0),VLOOKUP(A580,'3 - LISTA DE ESPÉCIES'!A:H,1,FALSE()),IF(AND(A580=0,B580&lt;&gt;0,C580=0),VLOOKUP(B580,'3 - LISTA DE ESPÉCIES'!B:H,5,FALSE()),IF(AND(A580=0,B580=0,C580&lt;&gt;0),VLOOKUP(C580,'3 - LISTA DE ESPÉCIES'!C:H,4,FALSE()))))</f>
        <v>0</v>
      </c>
      <c r="F580" s="21" t="b">
        <f>IF(AND(A580&lt;&gt;0,B580=0,C580=0),VLOOKUP(A580,'3 - LISTA DE ESPÉCIES'!A:H,2,FALSE()),IF(AND(A580=0,B580&lt;&gt;0,C580=0),VLOOKUP(B580,'3 - LISTA DE ESPÉCIES'!B:H,6,FALSE()),IF(AND(A580=0,B580=0,C580&lt;&gt;0),VLOOKUP(C580,'3 - LISTA DE ESPÉCIES'!C:H,5,FALSE()))))</f>
        <v>0</v>
      </c>
      <c r="G580" s="21" t="b">
        <f>IF(AND(A580&lt;&gt;0,B580=0,C580=0),VLOOKUP(A580,'3 - LISTA DE ESPÉCIES'!A:H,3,FALSE()),IF(AND(A580=0,B580&lt;&gt;0,C580=0),VLOOKUP(B580,'3 - LISTA DE ESPÉCIES'!B:H,7,FALSE()),IF(AND(A580=0,B580=0,C580&lt;&gt;0),VLOOKUP(C580,'3 - LISTA DE ESPÉCIES'!C:H,6,FALSE()))))</f>
        <v>0</v>
      </c>
      <c r="H580" s="21" t="b">
        <f>IF(AND(A580&lt;&gt;0,B580=0,C580=0),VLOOKUP(A580,'3 - LISTA DE ESPÉCIES'!A:H,4,FALSE()),IF(AND(A580=0,B580&lt;&gt;0,C580=0),VLOOKUP(B580,'3 - LISTA DE ESPÉCIES'!B:H,3,FALSE()),IF(AND(A580=0,B580=0,C580&lt;&gt;0),VLOOKUP(C580,'3 - LISTA DE ESPÉCIES'!C:H,2,FALSE()))))</f>
        <v>0</v>
      </c>
      <c r="I580" s="21" t="b">
        <f>IF(AND(A580&lt;&gt;0,B580=0,C580=0),VLOOKUP(A580,'3 - LISTA DE ESPÉCIES'!A:H,5,FALSE()),IF(AND(A580=0,B580&lt;&gt;0,C580=0),VLOOKUP(B580,'3 - LISTA DE ESPÉCIES'!B:H,4,FALSE()),IF(AND(A580=0,B580=0,C580&lt;&gt;0),VLOOKUP(C580,'3 - LISTA DE ESPÉCIES'!C:H,3,FALSE()))))</f>
        <v>0</v>
      </c>
      <c r="J580" s="23"/>
      <c r="K580" s="23"/>
      <c r="L580" s="20"/>
      <c r="M580" s="20"/>
    </row>
    <row r="581" spans="1:13" x14ac:dyDescent="0.25">
      <c r="A581" s="20"/>
      <c r="B581" s="20"/>
      <c r="C581" s="20"/>
      <c r="E581" s="21" t="b">
        <f>IF(AND(A581&lt;&gt;0,B581=0,C581=0),VLOOKUP(A581,'3 - LISTA DE ESPÉCIES'!A:H,1,FALSE()),IF(AND(A581=0,B581&lt;&gt;0,C581=0),VLOOKUP(B581,'3 - LISTA DE ESPÉCIES'!B:H,5,FALSE()),IF(AND(A581=0,B581=0,C581&lt;&gt;0),VLOOKUP(C581,'3 - LISTA DE ESPÉCIES'!C:H,4,FALSE()))))</f>
        <v>0</v>
      </c>
      <c r="F581" s="21" t="b">
        <f>IF(AND(A581&lt;&gt;0,B581=0,C581=0),VLOOKUP(A581,'3 - LISTA DE ESPÉCIES'!A:H,2,FALSE()),IF(AND(A581=0,B581&lt;&gt;0,C581=0),VLOOKUP(B581,'3 - LISTA DE ESPÉCIES'!B:H,6,FALSE()),IF(AND(A581=0,B581=0,C581&lt;&gt;0),VLOOKUP(C581,'3 - LISTA DE ESPÉCIES'!C:H,5,FALSE()))))</f>
        <v>0</v>
      </c>
      <c r="G581" s="21" t="b">
        <f>IF(AND(A581&lt;&gt;0,B581=0,C581=0),VLOOKUP(A581,'3 - LISTA DE ESPÉCIES'!A:H,3,FALSE()),IF(AND(A581=0,B581&lt;&gt;0,C581=0),VLOOKUP(B581,'3 - LISTA DE ESPÉCIES'!B:H,7,FALSE()),IF(AND(A581=0,B581=0,C581&lt;&gt;0),VLOOKUP(C581,'3 - LISTA DE ESPÉCIES'!C:H,6,FALSE()))))</f>
        <v>0</v>
      </c>
      <c r="H581" s="21" t="b">
        <f>IF(AND(A581&lt;&gt;0,B581=0,C581=0),VLOOKUP(A581,'3 - LISTA DE ESPÉCIES'!A:H,4,FALSE()),IF(AND(A581=0,B581&lt;&gt;0,C581=0),VLOOKUP(B581,'3 - LISTA DE ESPÉCIES'!B:H,3,FALSE()),IF(AND(A581=0,B581=0,C581&lt;&gt;0),VLOOKUP(C581,'3 - LISTA DE ESPÉCIES'!C:H,2,FALSE()))))</f>
        <v>0</v>
      </c>
      <c r="I581" s="21" t="b">
        <f>IF(AND(A581&lt;&gt;0,B581=0,C581=0),VLOOKUP(A581,'3 - LISTA DE ESPÉCIES'!A:H,5,FALSE()),IF(AND(A581=0,B581&lt;&gt;0,C581=0),VLOOKUP(B581,'3 - LISTA DE ESPÉCIES'!B:H,4,FALSE()),IF(AND(A581=0,B581=0,C581&lt;&gt;0),VLOOKUP(C581,'3 - LISTA DE ESPÉCIES'!C:H,3,FALSE()))))</f>
        <v>0</v>
      </c>
      <c r="J581" s="23"/>
      <c r="K581" s="23"/>
      <c r="L581" s="20"/>
      <c r="M581" s="20"/>
    </row>
    <row r="582" spans="1:13" x14ac:dyDescent="0.25">
      <c r="A582" s="20"/>
      <c r="B582" s="20"/>
      <c r="C582" s="20"/>
      <c r="E582" s="21" t="b">
        <f>IF(AND(A582&lt;&gt;0,B582=0,C582=0),VLOOKUP(A582,'3 - LISTA DE ESPÉCIES'!A:H,1,FALSE()),IF(AND(A582=0,B582&lt;&gt;0,C582=0),VLOOKUP(B582,'3 - LISTA DE ESPÉCIES'!B:H,5,FALSE()),IF(AND(A582=0,B582=0,C582&lt;&gt;0),VLOOKUP(C582,'3 - LISTA DE ESPÉCIES'!C:H,4,FALSE()))))</f>
        <v>0</v>
      </c>
      <c r="F582" s="21" t="b">
        <f>IF(AND(A582&lt;&gt;0,B582=0,C582=0),VLOOKUP(A582,'3 - LISTA DE ESPÉCIES'!A:H,2,FALSE()),IF(AND(A582=0,B582&lt;&gt;0,C582=0),VLOOKUP(B582,'3 - LISTA DE ESPÉCIES'!B:H,6,FALSE()),IF(AND(A582=0,B582=0,C582&lt;&gt;0),VLOOKUP(C582,'3 - LISTA DE ESPÉCIES'!C:H,5,FALSE()))))</f>
        <v>0</v>
      </c>
      <c r="G582" s="21" t="b">
        <f>IF(AND(A582&lt;&gt;0,B582=0,C582=0),VLOOKUP(A582,'3 - LISTA DE ESPÉCIES'!A:H,3,FALSE()),IF(AND(A582=0,B582&lt;&gt;0,C582=0),VLOOKUP(B582,'3 - LISTA DE ESPÉCIES'!B:H,7,FALSE()),IF(AND(A582=0,B582=0,C582&lt;&gt;0),VLOOKUP(C582,'3 - LISTA DE ESPÉCIES'!C:H,6,FALSE()))))</f>
        <v>0</v>
      </c>
      <c r="H582" s="21" t="b">
        <f>IF(AND(A582&lt;&gt;0,B582=0,C582=0),VLOOKUP(A582,'3 - LISTA DE ESPÉCIES'!A:H,4,FALSE()),IF(AND(A582=0,B582&lt;&gt;0,C582=0),VLOOKUP(B582,'3 - LISTA DE ESPÉCIES'!B:H,3,FALSE()),IF(AND(A582=0,B582=0,C582&lt;&gt;0),VLOOKUP(C582,'3 - LISTA DE ESPÉCIES'!C:H,2,FALSE()))))</f>
        <v>0</v>
      </c>
      <c r="I582" s="21" t="b">
        <f>IF(AND(A582&lt;&gt;0,B582=0,C582=0),VLOOKUP(A582,'3 - LISTA DE ESPÉCIES'!A:H,5,FALSE()),IF(AND(A582=0,B582&lt;&gt;0,C582=0),VLOOKUP(B582,'3 - LISTA DE ESPÉCIES'!B:H,4,FALSE()),IF(AND(A582=0,B582=0,C582&lt;&gt;0),VLOOKUP(C582,'3 - LISTA DE ESPÉCIES'!C:H,3,FALSE()))))</f>
        <v>0</v>
      </c>
      <c r="J582" s="23"/>
      <c r="K582" s="23"/>
      <c r="L582" s="20"/>
      <c r="M582" s="20"/>
    </row>
    <row r="583" spans="1:13" x14ac:dyDescent="0.25">
      <c r="A583" s="20"/>
      <c r="B583" s="20"/>
      <c r="C583" s="20"/>
      <c r="E583" s="21" t="b">
        <f>IF(AND(A583&lt;&gt;0,B583=0,C583=0),VLOOKUP(A583,'3 - LISTA DE ESPÉCIES'!A:H,1,FALSE()),IF(AND(A583=0,B583&lt;&gt;0,C583=0),VLOOKUP(B583,'3 - LISTA DE ESPÉCIES'!B:H,5,FALSE()),IF(AND(A583=0,B583=0,C583&lt;&gt;0),VLOOKUP(C583,'3 - LISTA DE ESPÉCIES'!C:H,4,FALSE()))))</f>
        <v>0</v>
      </c>
      <c r="F583" s="21" t="b">
        <f>IF(AND(A583&lt;&gt;0,B583=0,C583=0),VLOOKUP(A583,'3 - LISTA DE ESPÉCIES'!A:H,2,FALSE()),IF(AND(A583=0,B583&lt;&gt;0,C583=0),VLOOKUP(B583,'3 - LISTA DE ESPÉCIES'!B:H,6,FALSE()),IF(AND(A583=0,B583=0,C583&lt;&gt;0),VLOOKUP(C583,'3 - LISTA DE ESPÉCIES'!C:H,5,FALSE()))))</f>
        <v>0</v>
      </c>
      <c r="G583" s="21" t="b">
        <f>IF(AND(A583&lt;&gt;0,B583=0,C583=0),VLOOKUP(A583,'3 - LISTA DE ESPÉCIES'!A:H,3,FALSE()),IF(AND(A583=0,B583&lt;&gt;0,C583=0),VLOOKUP(B583,'3 - LISTA DE ESPÉCIES'!B:H,7,FALSE()),IF(AND(A583=0,B583=0,C583&lt;&gt;0),VLOOKUP(C583,'3 - LISTA DE ESPÉCIES'!C:H,6,FALSE()))))</f>
        <v>0</v>
      </c>
      <c r="H583" s="21" t="b">
        <f>IF(AND(A583&lt;&gt;0,B583=0,C583=0),VLOOKUP(A583,'3 - LISTA DE ESPÉCIES'!A:H,4,FALSE()),IF(AND(A583=0,B583&lt;&gt;0,C583=0),VLOOKUP(B583,'3 - LISTA DE ESPÉCIES'!B:H,3,FALSE()),IF(AND(A583=0,B583=0,C583&lt;&gt;0),VLOOKUP(C583,'3 - LISTA DE ESPÉCIES'!C:H,2,FALSE()))))</f>
        <v>0</v>
      </c>
      <c r="I583" s="21" t="b">
        <f>IF(AND(A583&lt;&gt;0,B583=0,C583=0),VLOOKUP(A583,'3 - LISTA DE ESPÉCIES'!A:H,5,FALSE()),IF(AND(A583=0,B583&lt;&gt;0,C583=0),VLOOKUP(B583,'3 - LISTA DE ESPÉCIES'!B:H,4,FALSE()),IF(AND(A583=0,B583=0,C583&lt;&gt;0),VLOOKUP(C583,'3 - LISTA DE ESPÉCIES'!C:H,3,FALSE()))))</f>
        <v>0</v>
      </c>
      <c r="J583" s="23"/>
      <c r="K583" s="23"/>
      <c r="L583" s="20"/>
      <c r="M583" s="20"/>
    </row>
    <row r="584" spans="1:13" x14ac:dyDescent="0.25">
      <c r="A584" s="20"/>
      <c r="B584" s="20"/>
      <c r="C584" s="20"/>
      <c r="E584" s="21" t="b">
        <f>IF(AND(A584&lt;&gt;0,B584=0,C584=0),VLOOKUP(A584,'3 - LISTA DE ESPÉCIES'!A:H,1,FALSE()),IF(AND(A584=0,B584&lt;&gt;0,C584=0),VLOOKUP(B584,'3 - LISTA DE ESPÉCIES'!B:H,5,FALSE()),IF(AND(A584=0,B584=0,C584&lt;&gt;0),VLOOKUP(C584,'3 - LISTA DE ESPÉCIES'!C:H,4,FALSE()))))</f>
        <v>0</v>
      </c>
      <c r="F584" s="21" t="b">
        <f>IF(AND(A584&lt;&gt;0,B584=0,C584=0),VLOOKUP(A584,'3 - LISTA DE ESPÉCIES'!A:H,2,FALSE()),IF(AND(A584=0,B584&lt;&gt;0,C584=0),VLOOKUP(B584,'3 - LISTA DE ESPÉCIES'!B:H,6,FALSE()),IF(AND(A584=0,B584=0,C584&lt;&gt;0),VLOOKUP(C584,'3 - LISTA DE ESPÉCIES'!C:H,5,FALSE()))))</f>
        <v>0</v>
      </c>
      <c r="G584" s="21" t="b">
        <f>IF(AND(A584&lt;&gt;0,B584=0,C584=0),VLOOKUP(A584,'3 - LISTA DE ESPÉCIES'!A:H,3,FALSE()),IF(AND(A584=0,B584&lt;&gt;0,C584=0),VLOOKUP(B584,'3 - LISTA DE ESPÉCIES'!B:H,7,FALSE()),IF(AND(A584=0,B584=0,C584&lt;&gt;0),VLOOKUP(C584,'3 - LISTA DE ESPÉCIES'!C:H,6,FALSE()))))</f>
        <v>0</v>
      </c>
      <c r="H584" s="21" t="b">
        <f>IF(AND(A584&lt;&gt;0,B584=0,C584=0),VLOOKUP(A584,'3 - LISTA DE ESPÉCIES'!A:H,4,FALSE()),IF(AND(A584=0,B584&lt;&gt;0,C584=0),VLOOKUP(B584,'3 - LISTA DE ESPÉCIES'!B:H,3,FALSE()),IF(AND(A584=0,B584=0,C584&lt;&gt;0),VLOOKUP(C584,'3 - LISTA DE ESPÉCIES'!C:H,2,FALSE()))))</f>
        <v>0</v>
      </c>
      <c r="I584" s="21" t="b">
        <f>IF(AND(A584&lt;&gt;0,B584=0,C584=0),VLOOKUP(A584,'3 - LISTA DE ESPÉCIES'!A:H,5,FALSE()),IF(AND(A584=0,B584&lt;&gt;0,C584=0),VLOOKUP(B584,'3 - LISTA DE ESPÉCIES'!B:H,4,FALSE()),IF(AND(A584=0,B584=0,C584&lt;&gt;0),VLOOKUP(C584,'3 - LISTA DE ESPÉCIES'!C:H,3,FALSE()))))</f>
        <v>0</v>
      </c>
      <c r="J584" s="23"/>
      <c r="K584" s="23"/>
      <c r="L584" s="20"/>
      <c r="M584" s="20"/>
    </row>
    <row r="585" spans="1:13" x14ac:dyDescent="0.25">
      <c r="A585" s="20"/>
      <c r="B585" s="20"/>
      <c r="C585" s="20"/>
      <c r="E585" s="21" t="b">
        <f>IF(AND(A585&lt;&gt;0,B585=0,C585=0),VLOOKUP(A585,'3 - LISTA DE ESPÉCIES'!A:H,1,FALSE()),IF(AND(A585=0,B585&lt;&gt;0,C585=0),VLOOKUP(B585,'3 - LISTA DE ESPÉCIES'!B:H,5,FALSE()),IF(AND(A585=0,B585=0,C585&lt;&gt;0),VLOOKUP(C585,'3 - LISTA DE ESPÉCIES'!C:H,4,FALSE()))))</f>
        <v>0</v>
      </c>
      <c r="F585" s="21" t="b">
        <f>IF(AND(A585&lt;&gt;0,B585=0,C585=0),VLOOKUP(A585,'3 - LISTA DE ESPÉCIES'!A:H,2,FALSE()),IF(AND(A585=0,B585&lt;&gt;0,C585=0),VLOOKUP(B585,'3 - LISTA DE ESPÉCIES'!B:H,6,FALSE()),IF(AND(A585=0,B585=0,C585&lt;&gt;0),VLOOKUP(C585,'3 - LISTA DE ESPÉCIES'!C:H,5,FALSE()))))</f>
        <v>0</v>
      </c>
      <c r="G585" s="21" t="b">
        <f>IF(AND(A585&lt;&gt;0,B585=0,C585=0),VLOOKUP(A585,'3 - LISTA DE ESPÉCIES'!A:H,3,FALSE()),IF(AND(A585=0,B585&lt;&gt;0,C585=0),VLOOKUP(B585,'3 - LISTA DE ESPÉCIES'!B:H,7,FALSE()),IF(AND(A585=0,B585=0,C585&lt;&gt;0),VLOOKUP(C585,'3 - LISTA DE ESPÉCIES'!C:H,6,FALSE()))))</f>
        <v>0</v>
      </c>
      <c r="H585" s="21" t="b">
        <f>IF(AND(A585&lt;&gt;0,B585=0,C585=0),VLOOKUP(A585,'3 - LISTA DE ESPÉCIES'!A:H,4,FALSE()),IF(AND(A585=0,B585&lt;&gt;0,C585=0),VLOOKUP(B585,'3 - LISTA DE ESPÉCIES'!B:H,3,FALSE()),IF(AND(A585=0,B585=0,C585&lt;&gt;0),VLOOKUP(C585,'3 - LISTA DE ESPÉCIES'!C:H,2,FALSE()))))</f>
        <v>0</v>
      </c>
      <c r="I585" s="21" t="b">
        <f>IF(AND(A585&lt;&gt;0,B585=0,C585=0),VLOOKUP(A585,'3 - LISTA DE ESPÉCIES'!A:H,5,FALSE()),IF(AND(A585=0,B585&lt;&gt;0,C585=0),VLOOKUP(B585,'3 - LISTA DE ESPÉCIES'!B:H,4,FALSE()),IF(AND(A585=0,B585=0,C585&lt;&gt;0),VLOOKUP(C585,'3 - LISTA DE ESPÉCIES'!C:H,3,FALSE()))))</f>
        <v>0</v>
      </c>
      <c r="J585" s="23"/>
      <c r="K585" s="23"/>
      <c r="L585" s="20"/>
      <c r="M585" s="20"/>
    </row>
    <row r="586" spans="1:13" x14ac:dyDescent="0.25">
      <c r="A586" s="20"/>
      <c r="B586" s="20"/>
      <c r="C586" s="20"/>
      <c r="E586" s="21" t="b">
        <f>IF(AND(A586&lt;&gt;0,B586=0,C586=0),VLOOKUP(A586,'3 - LISTA DE ESPÉCIES'!A:H,1,FALSE()),IF(AND(A586=0,B586&lt;&gt;0,C586=0),VLOOKUP(B586,'3 - LISTA DE ESPÉCIES'!B:H,5,FALSE()),IF(AND(A586=0,B586=0,C586&lt;&gt;0),VLOOKUP(C586,'3 - LISTA DE ESPÉCIES'!C:H,4,FALSE()))))</f>
        <v>0</v>
      </c>
      <c r="F586" s="21" t="b">
        <f>IF(AND(A586&lt;&gt;0,B586=0,C586=0),VLOOKUP(A586,'3 - LISTA DE ESPÉCIES'!A:H,2,FALSE()),IF(AND(A586=0,B586&lt;&gt;0,C586=0),VLOOKUP(B586,'3 - LISTA DE ESPÉCIES'!B:H,6,FALSE()),IF(AND(A586=0,B586=0,C586&lt;&gt;0),VLOOKUP(C586,'3 - LISTA DE ESPÉCIES'!C:H,5,FALSE()))))</f>
        <v>0</v>
      </c>
      <c r="G586" s="21" t="b">
        <f>IF(AND(A586&lt;&gt;0,B586=0,C586=0),VLOOKUP(A586,'3 - LISTA DE ESPÉCIES'!A:H,3,FALSE()),IF(AND(A586=0,B586&lt;&gt;0,C586=0),VLOOKUP(B586,'3 - LISTA DE ESPÉCIES'!B:H,7,FALSE()),IF(AND(A586=0,B586=0,C586&lt;&gt;0),VLOOKUP(C586,'3 - LISTA DE ESPÉCIES'!C:H,6,FALSE()))))</f>
        <v>0</v>
      </c>
      <c r="H586" s="21" t="b">
        <f>IF(AND(A586&lt;&gt;0,B586=0,C586=0),VLOOKUP(A586,'3 - LISTA DE ESPÉCIES'!A:H,4,FALSE()),IF(AND(A586=0,B586&lt;&gt;0,C586=0),VLOOKUP(B586,'3 - LISTA DE ESPÉCIES'!B:H,3,FALSE()),IF(AND(A586=0,B586=0,C586&lt;&gt;0),VLOOKUP(C586,'3 - LISTA DE ESPÉCIES'!C:H,2,FALSE()))))</f>
        <v>0</v>
      </c>
      <c r="I586" s="21" t="b">
        <f>IF(AND(A586&lt;&gt;0,B586=0,C586=0),VLOOKUP(A586,'3 - LISTA DE ESPÉCIES'!A:H,5,FALSE()),IF(AND(A586=0,B586&lt;&gt;0,C586=0),VLOOKUP(B586,'3 - LISTA DE ESPÉCIES'!B:H,4,FALSE()),IF(AND(A586=0,B586=0,C586&lt;&gt;0),VLOOKUP(C586,'3 - LISTA DE ESPÉCIES'!C:H,3,FALSE()))))</f>
        <v>0</v>
      </c>
      <c r="J586" s="23"/>
      <c r="K586" s="23"/>
      <c r="L586" s="20"/>
      <c r="M586" s="20"/>
    </row>
    <row r="587" spans="1:13" x14ac:dyDescent="0.25">
      <c r="A587" s="20"/>
      <c r="B587" s="20"/>
      <c r="C587" s="20"/>
      <c r="E587" s="21" t="b">
        <f>IF(AND(A587&lt;&gt;0,B587=0,C587=0),VLOOKUP(A587,'3 - LISTA DE ESPÉCIES'!A:H,1,FALSE()),IF(AND(A587=0,B587&lt;&gt;0,C587=0),VLOOKUP(B587,'3 - LISTA DE ESPÉCIES'!B:H,5,FALSE()),IF(AND(A587=0,B587=0,C587&lt;&gt;0),VLOOKUP(C587,'3 - LISTA DE ESPÉCIES'!C:H,4,FALSE()))))</f>
        <v>0</v>
      </c>
      <c r="F587" s="21" t="b">
        <f>IF(AND(A587&lt;&gt;0,B587=0,C587=0),VLOOKUP(A587,'3 - LISTA DE ESPÉCIES'!A:H,2,FALSE()),IF(AND(A587=0,B587&lt;&gt;0,C587=0),VLOOKUP(B587,'3 - LISTA DE ESPÉCIES'!B:H,6,FALSE()),IF(AND(A587=0,B587=0,C587&lt;&gt;0),VLOOKUP(C587,'3 - LISTA DE ESPÉCIES'!C:H,5,FALSE()))))</f>
        <v>0</v>
      </c>
      <c r="G587" s="21" t="b">
        <f>IF(AND(A587&lt;&gt;0,B587=0,C587=0),VLOOKUP(A587,'3 - LISTA DE ESPÉCIES'!A:H,3,FALSE()),IF(AND(A587=0,B587&lt;&gt;0,C587=0),VLOOKUP(B587,'3 - LISTA DE ESPÉCIES'!B:H,7,FALSE()),IF(AND(A587=0,B587=0,C587&lt;&gt;0),VLOOKUP(C587,'3 - LISTA DE ESPÉCIES'!C:H,6,FALSE()))))</f>
        <v>0</v>
      </c>
      <c r="H587" s="21" t="b">
        <f>IF(AND(A587&lt;&gt;0,B587=0,C587=0),VLOOKUP(A587,'3 - LISTA DE ESPÉCIES'!A:H,4,FALSE()),IF(AND(A587=0,B587&lt;&gt;0,C587=0),VLOOKUP(B587,'3 - LISTA DE ESPÉCIES'!B:H,3,FALSE()),IF(AND(A587=0,B587=0,C587&lt;&gt;0),VLOOKUP(C587,'3 - LISTA DE ESPÉCIES'!C:H,2,FALSE()))))</f>
        <v>0</v>
      </c>
      <c r="I587" s="21" t="b">
        <f>IF(AND(A587&lt;&gt;0,B587=0,C587=0),VLOOKUP(A587,'3 - LISTA DE ESPÉCIES'!A:H,5,FALSE()),IF(AND(A587=0,B587&lt;&gt;0,C587=0),VLOOKUP(B587,'3 - LISTA DE ESPÉCIES'!B:H,4,FALSE()),IF(AND(A587=0,B587=0,C587&lt;&gt;0),VLOOKUP(C587,'3 - LISTA DE ESPÉCIES'!C:H,3,FALSE()))))</f>
        <v>0</v>
      </c>
      <c r="J587" s="23"/>
      <c r="K587" s="23"/>
      <c r="L587" s="20"/>
      <c r="M587" s="20"/>
    </row>
    <row r="588" spans="1:13" x14ac:dyDescent="0.25">
      <c r="A588" s="20"/>
      <c r="B588" s="20"/>
      <c r="C588" s="20"/>
      <c r="E588" s="21" t="b">
        <f>IF(AND(A588&lt;&gt;0,B588=0,C588=0),VLOOKUP(A588,'3 - LISTA DE ESPÉCIES'!A:H,1,FALSE()),IF(AND(A588=0,B588&lt;&gt;0,C588=0),VLOOKUP(B588,'3 - LISTA DE ESPÉCIES'!B:H,5,FALSE()),IF(AND(A588=0,B588=0,C588&lt;&gt;0),VLOOKUP(C588,'3 - LISTA DE ESPÉCIES'!C:H,4,FALSE()))))</f>
        <v>0</v>
      </c>
      <c r="F588" s="21" t="b">
        <f>IF(AND(A588&lt;&gt;0,B588=0,C588=0),VLOOKUP(A588,'3 - LISTA DE ESPÉCIES'!A:H,2,FALSE()),IF(AND(A588=0,B588&lt;&gt;0,C588=0),VLOOKUP(B588,'3 - LISTA DE ESPÉCIES'!B:H,6,FALSE()),IF(AND(A588=0,B588=0,C588&lt;&gt;0),VLOOKUP(C588,'3 - LISTA DE ESPÉCIES'!C:H,5,FALSE()))))</f>
        <v>0</v>
      </c>
      <c r="G588" s="21" t="b">
        <f>IF(AND(A588&lt;&gt;0,B588=0,C588=0),VLOOKUP(A588,'3 - LISTA DE ESPÉCIES'!A:H,3,FALSE()),IF(AND(A588=0,B588&lt;&gt;0,C588=0),VLOOKUP(B588,'3 - LISTA DE ESPÉCIES'!B:H,7,FALSE()),IF(AND(A588=0,B588=0,C588&lt;&gt;0),VLOOKUP(C588,'3 - LISTA DE ESPÉCIES'!C:H,6,FALSE()))))</f>
        <v>0</v>
      </c>
      <c r="H588" s="21" t="b">
        <f>IF(AND(A588&lt;&gt;0,B588=0,C588=0),VLOOKUP(A588,'3 - LISTA DE ESPÉCIES'!A:H,4,FALSE()),IF(AND(A588=0,B588&lt;&gt;0,C588=0),VLOOKUP(B588,'3 - LISTA DE ESPÉCIES'!B:H,3,FALSE()),IF(AND(A588=0,B588=0,C588&lt;&gt;0),VLOOKUP(C588,'3 - LISTA DE ESPÉCIES'!C:H,2,FALSE()))))</f>
        <v>0</v>
      </c>
      <c r="I588" s="21" t="b">
        <f>IF(AND(A588&lt;&gt;0,B588=0,C588=0),VLOOKUP(A588,'3 - LISTA DE ESPÉCIES'!A:H,5,FALSE()),IF(AND(A588=0,B588&lt;&gt;0,C588=0),VLOOKUP(B588,'3 - LISTA DE ESPÉCIES'!B:H,4,FALSE()),IF(AND(A588=0,B588=0,C588&lt;&gt;0),VLOOKUP(C588,'3 - LISTA DE ESPÉCIES'!C:H,3,FALSE()))))</f>
        <v>0</v>
      </c>
      <c r="J588" s="23"/>
      <c r="K588" s="23"/>
      <c r="L588" s="20"/>
      <c r="M588" s="20"/>
    </row>
    <row r="589" spans="1:13" x14ac:dyDescent="0.25">
      <c r="A589" s="20"/>
      <c r="B589" s="20"/>
      <c r="C589" s="20"/>
      <c r="E589" s="21" t="b">
        <f>IF(AND(A589&lt;&gt;0,B589=0,C589=0),VLOOKUP(A589,'3 - LISTA DE ESPÉCIES'!A:H,1,FALSE()),IF(AND(A589=0,B589&lt;&gt;0,C589=0),VLOOKUP(B589,'3 - LISTA DE ESPÉCIES'!B:H,5,FALSE()),IF(AND(A589=0,B589=0,C589&lt;&gt;0),VLOOKUP(C589,'3 - LISTA DE ESPÉCIES'!C:H,4,FALSE()))))</f>
        <v>0</v>
      </c>
      <c r="F589" s="21" t="b">
        <f>IF(AND(A589&lt;&gt;0,B589=0,C589=0),VLOOKUP(A589,'3 - LISTA DE ESPÉCIES'!A:H,2,FALSE()),IF(AND(A589=0,B589&lt;&gt;0,C589=0),VLOOKUP(B589,'3 - LISTA DE ESPÉCIES'!B:H,6,FALSE()),IF(AND(A589=0,B589=0,C589&lt;&gt;0),VLOOKUP(C589,'3 - LISTA DE ESPÉCIES'!C:H,5,FALSE()))))</f>
        <v>0</v>
      </c>
      <c r="G589" s="21" t="b">
        <f>IF(AND(A589&lt;&gt;0,B589=0,C589=0),VLOOKUP(A589,'3 - LISTA DE ESPÉCIES'!A:H,3,FALSE()),IF(AND(A589=0,B589&lt;&gt;0,C589=0),VLOOKUP(B589,'3 - LISTA DE ESPÉCIES'!B:H,7,FALSE()),IF(AND(A589=0,B589=0,C589&lt;&gt;0),VLOOKUP(C589,'3 - LISTA DE ESPÉCIES'!C:H,6,FALSE()))))</f>
        <v>0</v>
      </c>
      <c r="H589" s="21" t="b">
        <f>IF(AND(A589&lt;&gt;0,B589=0,C589=0),VLOOKUP(A589,'3 - LISTA DE ESPÉCIES'!A:H,4,FALSE()),IF(AND(A589=0,B589&lt;&gt;0,C589=0),VLOOKUP(B589,'3 - LISTA DE ESPÉCIES'!B:H,3,FALSE()),IF(AND(A589=0,B589=0,C589&lt;&gt;0),VLOOKUP(C589,'3 - LISTA DE ESPÉCIES'!C:H,2,FALSE()))))</f>
        <v>0</v>
      </c>
      <c r="I589" s="21" t="b">
        <f>IF(AND(A589&lt;&gt;0,B589=0,C589=0),VLOOKUP(A589,'3 - LISTA DE ESPÉCIES'!A:H,5,FALSE()),IF(AND(A589=0,B589&lt;&gt;0,C589=0),VLOOKUP(B589,'3 - LISTA DE ESPÉCIES'!B:H,4,FALSE()),IF(AND(A589=0,B589=0,C589&lt;&gt;0),VLOOKUP(C589,'3 - LISTA DE ESPÉCIES'!C:H,3,FALSE()))))</f>
        <v>0</v>
      </c>
      <c r="J589" s="23"/>
      <c r="K589" s="23"/>
      <c r="L589" s="20"/>
      <c r="M589" s="20"/>
    </row>
    <row r="590" spans="1:13" x14ac:dyDescent="0.25">
      <c r="A590" s="20"/>
      <c r="B590" s="20"/>
      <c r="C590" s="20"/>
      <c r="E590" s="21" t="b">
        <f>IF(AND(A590&lt;&gt;0,B590=0,C590=0),VLOOKUP(A590,'3 - LISTA DE ESPÉCIES'!A:H,1,FALSE()),IF(AND(A590=0,B590&lt;&gt;0,C590=0),VLOOKUP(B590,'3 - LISTA DE ESPÉCIES'!B:H,5,FALSE()),IF(AND(A590=0,B590=0,C590&lt;&gt;0),VLOOKUP(C590,'3 - LISTA DE ESPÉCIES'!C:H,4,FALSE()))))</f>
        <v>0</v>
      </c>
      <c r="F590" s="21" t="b">
        <f>IF(AND(A590&lt;&gt;0,B590=0,C590=0),VLOOKUP(A590,'3 - LISTA DE ESPÉCIES'!A:H,2,FALSE()),IF(AND(A590=0,B590&lt;&gt;0,C590=0),VLOOKUP(B590,'3 - LISTA DE ESPÉCIES'!B:H,6,FALSE()),IF(AND(A590=0,B590=0,C590&lt;&gt;0),VLOOKUP(C590,'3 - LISTA DE ESPÉCIES'!C:H,5,FALSE()))))</f>
        <v>0</v>
      </c>
      <c r="G590" s="21" t="b">
        <f>IF(AND(A590&lt;&gt;0,B590=0,C590=0),VLOOKUP(A590,'3 - LISTA DE ESPÉCIES'!A:H,3,FALSE()),IF(AND(A590=0,B590&lt;&gt;0,C590=0),VLOOKUP(B590,'3 - LISTA DE ESPÉCIES'!B:H,7,FALSE()),IF(AND(A590=0,B590=0,C590&lt;&gt;0),VLOOKUP(C590,'3 - LISTA DE ESPÉCIES'!C:H,6,FALSE()))))</f>
        <v>0</v>
      </c>
      <c r="H590" s="21" t="b">
        <f>IF(AND(A590&lt;&gt;0,B590=0,C590=0),VLOOKUP(A590,'3 - LISTA DE ESPÉCIES'!A:H,4,FALSE()),IF(AND(A590=0,B590&lt;&gt;0,C590=0),VLOOKUP(B590,'3 - LISTA DE ESPÉCIES'!B:H,3,FALSE()),IF(AND(A590=0,B590=0,C590&lt;&gt;0),VLOOKUP(C590,'3 - LISTA DE ESPÉCIES'!C:H,2,FALSE()))))</f>
        <v>0</v>
      </c>
      <c r="I590" s="21" t="b">
        <f>IF(AND(A590&lt;&gt;0,B590=0,C590=0),VLOOKUP(A590,'3 - LISTA DE ESPÉCIES'!A:H,5,FALSE()),IF(AND(A590=0,B590&lt;&gt;0,C590=0),VLOOKUP(B590,'3 - LISTA DE ESPÉCIES'!B:H,4,FALSE()),IF(AND(A590=0,B590=0,C590&lt;&gt;0),VLOOKUP(C590,'3 - LISTA DE ESPÉCIES'!C:H,3,FALSE()))))</f>
        <v>0</v>
      </c>
      <c r="J590" s="23"/>
      <c r="K590" s="23"/>
      <c r="L590" s="20"/>
      <c r="M590" s="20"/>
    </row>
    <row r="591" spans="1:13" x14ac:dyDescent="0.25">
      <c r="A591" s="20"/>
      <c r="B591" s="20"/>
      <c r="C591" s="20"/>
      <c r="E591" s="21" t="b">
        <f>IF(AND(A591&lt;&gt;0,B591=0,C591=0),VLOOKUP(A591,'3 - LISTA DE ESPÉCIES'!A:H,1,FALSE()),IF(AND(A591=0,B591&lt;&gt;0,C591=0),VLOOKUP(B591,'3 - LISTA DE ESPÉCIES'!B:H,5,FALSE()),IF(AND(A591=0,B591=0,C591&lt;&gt;0),VLOOKUP(C591,'3 - LISTA DE ESPÉCIES'!C:H,4,FALSE()))))</f>
        <v>0</v>
      </c>
      <c r="F591" s="21" t="b">
        <f>IF(AND(A591&lt;&gt;0,B591=0,C591=0),VLOOKUP(A591,'3 - LISTA DE ESPÉCIES'!A:H,2,FALSE()),IF(AND(A591=0,B591&lt;&gt;0,C591=0),VLOOKUP(B591,'3 - LISTA DE ESPÉCIES'!B:H,6,FALSE()),IF(AND(A591=0,B591=0,C591&lt;&gt;0),VLOOKUP(C591,'3 - LISTA DE ESPÉCIES'!C:H,5,FALSE()))))</f>
        <v>0</v>
      </c>
      <c r="G591" s="21" t="b">
        <f>IF(AND(A591&lt;&gt;0,B591=0,C591=0),VLOOKUP(A591,'3 - LISTA DE ESPÉCIES'!A:H,3,FALSE()),IF(AND(A591=0,B591&lt;&gt;0,C591=0),VLOOKUP(B591,'3 - LISTA DE ESPÉCIES'!B:H,7,FALSE()),IF(AND(A591=0,B591=0,C591&lt;&gt;0),VLOOKUP(C591,'3 - LISTA DE ESPÉCIES'!C:H,6,FALSE()))))</f>
        <v>0</v>
      </c>
      <c r="H591" s="21" t="b">
        <f>IF(AND(A591&lt;&gt;0,B591=0,C591=0),VLOOKUP(A591,'3 - LISTA DE ESPÉCIES'!A:H,4,FALSE()),IF(AND(A591=0,B591&lt;&gt;0,C591=0),VLOOKUP(B591,'3 - LISTA DE ESPÉCIES'!B:H,3,FALSE()),IF(AND(A591=0,B591=0,C591&lt;&gt;0),VLOOKUP(C591,'3 - LISTA DE ESPÉCIES'!C:H,2,FALSE()))))</f>
        <v>0</v>
      </c>
      <c r="I591" s="21" t="b">
        <f>IF(AND(A591&lt;&gt;0,B591=0,C591=0),VLOOKUP(A591,'3 - LISTA DE ESPÉCIES'!A:H,5,FALSE()),IF(AND(A591=0,B591&lt;&gt;0,C591=0),VLOOKUP(B591,'3 - LISTA DE ESPÉCIES'!B:H,4,FALSE()),IF(AND(A591=0,B591=0,C591&lt;&gt;0),VLOOKUP(C591,'3 - LISTA DE ESPÉCIES'!C:H,3,FALSE()))))</f>
        <v>0</v>
      </c>
      <c r="J591" s="23"/>
      <c r="K591" s="23"/>
      <c r="L591" s="20"/>
      <c r="M591" s="20"/>
    </row>
    <row r="592" spans="1:13" x14ac:dyDescent="0.25">
      <c r="A592" s="20"/>
      <c r="B592" s="20"/>
      <c r="C592" s="20"/>
      <c r="E592" s="21" t="b">
        <f>IF(AND(A592&lt;&gt;0,B592=0,C592=0),VLOOKUP(A592,'3 - LISTA DE ESPÉCIES'!A:H,1,FALSE()),IF(AND(A592=0,B592&lt;&gt;0,C592=0),VLOOKUP(B592,'3 - LISTA DE ESPÉCIES'!B:H,5,FALSE()),IF(AND(A592=0,B592=0,C592&lt;&gt;0),VLOOKUP(C592,'3 - LISTA DE ESPÉCIES'!C:H,4,FALSE()))))</f>
        <v>0</v>
      </c>
      <c r="F592" s="21" t="b">
        <f>IF(AND(A592&lt;&gt;0,B592=0,C592=0),VLOOKUP(A592,'3 - LISTA DE ESPÉCIES'!A:H,2,FALSE()),IF(AND(A592=0,B592&lt;&gt;0,C592=0),VLOOKUP(B592,'3 - LISTA DE ESPÉCIES'!B:H,6,FALSE()),IF(AND(A592=0,B592=0,C592&lt;&gt;0),VLOOKUP(C592,'3 - LISTA DE ESPÉCIES'!C:H,5,FALSE()))))</f>
        <v>0</v>
      </c>
      <c r="G592" s="21" t="b">
        <f>IF(AND(A592&lt;&gt;0,B592=0,C592=0),VLOOKUP(A592,'3 - LISTA DE ESPÉCIES'!A:H,3,FALSE()),IF(AND(A592=0,B592&lt;&gt;0,C592=0),VLOOKUP(B592,'3 - LISTA DE ESPÉCIES'!B:H,7,FALSE()),IF(AND(A592=0,B592=0,C592&lt;&gt;0),VLOOKUP(C592,'3 - LISTA DE ESPÉCIES'!C:H,6,FALSE()))))</f>
        <v>0</v>
      </c>
      <c r="H592" s="21" t="b">
        <f>IF(AND(A592&lt;&gt;0,B592=0,C592=0),VLOOKUP(A592,'3 - LISTA DE ESPÉCIES'!A:H,4,FALSE()),IF(AND(A592=0,B592&lt;&gt;0,C592=0),VLOOKUP(B592,'3 - LISTA DE ESPÉCIES'!B:H,3,FALSE()),IF(AND(A592=0,B592=0,C592&lt;&gt;0),VLOOKUP(C592,'3 - LISTA DE ESPÉCIES'!C:H,2,FALSE()))))</f>
        <v>0</v>
      </c>
      <c r="I592" s="21" t="b">
        <f>IF(AND(A592&lt;&gt;0,B592=0,C592=0),VLOOKUP(A592,'3 - LISTA DE ESPÉCIES'!A:H,5,FALSE()),IF(AND(A592=0,B592&lt;&gt;0,C592=0),VLOOKUP(B592,'3 - LISTA DE ESPÉCIES'!B:H,4,FALSE()),IF(AND(A592=0,B592=0,C592&lt;&gt;0),VLOOKUP(C592,'3 - LISTA DE ESPÉCIES'!C:H,3,FALSE()))))</f>
        <v>0</v>
      </c>
      <c r="J592" s="23"/>
      <c r="K592" s="23"/>
      <c r="L592" s="20"/>
      <c r="M592" s="20"/>
    </row>
    <row r="593" spans="1:13" x14ac:dyDescent="0.25">
      <c r="A593" s="20"/>
      <c r="B593" s="20"/>
      <c r="C593" s="20"/>
      <c r="E593" s="21" t="b">
        <f>IF(AND(A593&lt;&gt;0,B593=0,C593=0),VLOOKUP(A593,'3 - LISTA DE ESPÉCIES'!A:H,1,FALSE()),IF(AND(A593=0,B593&lt;&gt;0,C593=0),VLOOKUP(B593,'3 - LISTA DE ESPÉCIES'!B:H,5,FALSE()),IF(AND(A593=0,B593=0,C593&lt;&gt;0),VLOOKUP(C593,'3 - LISTA DE ESPÉCIES'!C:H,4,FALSE()))))</f>
        <v>0</v>
      </c>
      <c r="F593" s="21" t="b">
        <f>IF(AND(A593&lt;&gt;0,B593=0,C593=0),VLOOKUP(A593,'3 - LISTA DE ESPÉCIES'!A:H,2,FALSE()),IF(AND(A593=0,B593&lt;&gt;0,C593=0),VLOOKUP(B593,'3 - LISTA DE ESPÉCIES'!B:H,6,FALSE()),IF(AND(A593=0,B593=0,C593&lt;&gt;0),VLOOKUP(C593,'3 - LISTA DE ESPÉCIES'!C:H,5,FALSE()))))</f>
        <v>0</v>
      </c>
      <c r="G593" s="21" t="b">
        <f>IF(AND(A593&lt;&gt;0,B593=0,C593=0),VLOOKUP(A593,'3 - LISTA DE ESPÉCIES'!A:H,3,FALSE()),IF(AND(A593=0,B593&lt;&gt;0,C593=0),VLOOKUP(B593,'3 - LISTA DE ESPÉCIES'!B:H,7,FALSE()),IF(AND(A593=0,B593=0,C593&lt;&gt;0),VLOOKUP(C593,'3 - LISTA DE ESPÉCIES'!C:H,6,FALSE()))))</f>
        <v>0</v>
      </c>
      <c r="H593" s="21" t="b">
        <f>IF(AND(A593&lt;&gt;0,B593=0,C593=0),VLOOKUP(A593,'3 - LISTA DE ESPÉCIES'!A:H,4,FALSE()),IF(AND(A593=0,B593&lt;&gt;0,C593=0),VLOOKUP(B593,'3 - LISTA DE ESPÉCIES'!B:H,3,FALSE()),IF(AND(A593=0,B593=0,C593&lt;&gt;0),VLOOKUP(C593,'3 - LISTA DE ESPÉCIES'!C:H,2,FALSE()))))</f>
        <v>0</v>
      </c>
      <c r="I593" s="21" t="b">
        <f>IF(AND(A593&lt;&gt;0,B593=0,C593=0),VLOOKUP(A593,'3 - LISTA DE ESPÉCIES'!A:H,5,FALSE()),IF(AND(A593=0,B593&lt;&gt;0,C593=0),VLOOKUP(B593,'3 - LISTA DE ESPÉCIES'!B:H,4,FALSE()),IF(AND(A593=0,B593=0,C593&lt;&gt;0),VLOOKUP(C593,'3 - LISTA DE ESPÉCIES'!C:H,3,FALSE()))))</f>
        <v>0</v>
      </c>
      <c r="J593" s="23"/>
      <c r="K593" s="23"/>
      <c r="L593" s="20"/>
      <c r="M593" s="20"/>
    </row>
    <row r="594" spans="1:13" x14ac:dyDescent="0.25">
      <c r="A594" s="20"/>
      <c r="B594" s="20"/>
      <c r="C594" s="20"/>
      <c r="E594" s="21" t="b">
        <f>IF(AND(A594&lt;&gt;0,B594=0,C594=0),VLOOKUP(A594,'3 - LISTA DE ESPÉCIES'!A:H,1,FALSE()),IF(AND(A594=0,B594&lt;&gt;0,C594=0),VLOOKUP(B594,'3 - LISTA DE ESPÉCIES'!B:H,5,FALSE()),IF(AND(A594=0,B594=0,C594&lt;&gt;0),VLOOKUP(C594,'3 - LISTA DE ESPÉCIES'!C:H,4,FALSE()))))</f>
        <v>0</v>
      </c>
      <c r="F594" s="21" t="b">
        <f>IF(AND(A594&lt;&gt;0,B594=0,C594=0),VLOOKUP(A594,'3 - LISTA DE ESPÉCIES'!A:H,2,FALSE()),IF(AND(A594=0,B594&lt;&gt;0,C594=0),VLOOKUP(B594,'3 - LISTA DE ESPÉCIES'!B:H,6,FALSE()),IF(AND(A594=0,B594=0,C594&lt;&gt;0),VLOOKUP(C594,'3 - LISTA DE ESPÉCIES'!C:H,5,FALSE()))))</f>
        <v>0</v>
      </c>
      <c r="G594" s="21" t="b">
        <f>IF(AND(A594&lt;&gt;0,B594=0,C594=0),VLOOKUP(A594,'3 - LISTA DE ESPÉCIES'!A:H,3,FALSE()),IF(AND(A594=0,B594&lt;&gt;0,C594=0),VLOOKUP(B594,'3 - LISTA DE ESPÉCIES'!B:H,7,FALSE()),IF(AND(A594=0,B594=0,C594&lt;&gt;0),VLOOKUP(C594,'3 - LISTA DE ESPÉCIES'!C:H,6,FALSE()))))</f>
        <v>0</v>
      </c>
      <c r="H594" s="21" t="b">
        <f>IF(AND(A594&lt;&gt;0,B594=0,C594=0),VLOOKUP(A594,'3 - LISTA DE ESPÉCIES'!A:H,4,FALSE()),IF(AND(A594=0,B594&lt;&gt;0,C594=0),VLOOKUP(B594,'3 - LISTA DE ESPÉCIES'!B:H,3,FALSE()),IF(AND(A594=0,B594=0,C594&lt;&gt;0),VLOOKUP(C594,'3 - LISTA DE ESPÉCIES'!C:H,2,FALSE()))))</f>
        <v>0</v>
      </c>
      <c r="I594" s="21" t="b">
        <f>IF(AND(A594&lt;&gt;0,B594=0,C594=0),VLOOKUP(A594,'3 - LISTA DE ESPÉCIES'!A:H,5,FALSE()),IF(AND(A594=0,B594&lt;&gt;0,C594=0),VLOOKUP(B594,'3 - LISTA DE ESPÉCIES'!B:H,4,FALSE()),IF(AND(A594=0,B594=0,C594&lt;&gt;0),VLOOKUP(C594,'3 - LISTA DE ESPÉCIES'!C:H,3,FALSE()))))</f>
        <v>0</v>
      </c>
      <c r="J594" s="23"/>
      <c r="K594" s="23"/>
      <c r="L594" s="20"/>
      <c r="M594" s="20"/>
    </row>
    <row r="595" spans="1:13" x14ac:dyDescent="0.25">
      <c r="A595" s="20"/>
      <c r="B595" s="20"/>
      <c r="C595" s="20"/>
      <c r="E595" s="21" t="b">
        <f>IF(AND(A595&lt;&gt;0,B595=0,C595=0),VLOOKUP(A595,'3 - LISTA DE ESPÉCIES'!A:H,1,FALSE()),IF(AND(A595=0,B595&lt;&gt;0,C595=0),VLOOKUP(B595,'3 - LISTA DE ESPÉCIES'!B:H,5,FALSE()),IF(AND(A595=0,B595=0,C595&lt;&gt;0),VLOOKUP(C595,'3 - LISTA DE ESPÉCIES'!C:H,4,FALSE()))))</f>
        <v>0</v>
      </c>
      <c r="F595" s="21" t="b">
        <f>IF(AND(A595&lt;&gt;0,B595=0,C595=0),VLOOKUP(A595,'3 - LISTA DE ESPÉCIES'!A:H,2,FALSE()),IF(AND(A595=0,B595&lt;&gt;0,C595=0),VLOOKUP(B595,'3 - LISTA DE ESPÉCIES'!B:H,6,FALSE()),IF(AND(A595=0,B595=0,C595&lt;&gt;0),VLOOKUP(C595,'3 - LISTA DE ESPÉCIES'!C:H,5,FALSE()))))</f>
        <v>0</v>
      </c>
      <c r="G595" s="21" t="b">
        <f>IF(AND(A595&lt;&gt;0,B595=0,C595=0),VLOOKUP(A595,'3 - LISTA DE ESPÉCIES'!A:H,3,FALSE()),IF(AND(A595=0,B595&lt;&gt;0,C595=0),VLOOKUP(B595,'3 - LISTA DE ESPÉCIES'!B:H,7,FALSE()),IF(AND(A595=0,B595=0,C595&lt;&gt;0),VLOOKUP(C595,'3 - LISTA DE ESPÉCIES'!C:H,6,FALSE()))))</f>
        <v>0</v>
      </c>
      <c r="H595" s="21" t="b">
        <f>IF(AND(A595&lt;&gt;0,B595=0,C595=0),VLOOKUP(A595,'3 - LISTA DE ESPÉCIES'!A:H,4,FALSE()),IF(AND(A595=0,B595&lt;&gt;0,C595=0),VLOOKUP(B595,'3 - LISTA DE ESPÉCIES'!B:H,3,FALSE()),IF(AND(A595=0,B595=0,C595&lt;&gt;0),VLOOKUP(C595,'3 - LISTA DE ESPÉCIES'!C:H,2,FALSE()))))</f>
        <v>0</v>
      </c>
      <c r="I595" s="21" t="b">
        <f>IF(AND(A595&lt;&gt;0,B595=0,C595=0),VLOOKUP(A595,'3 - LISTA DE ESPÉCIES'!A:H,5,FALSE()),IF(AND(A595=0,B595&lt;&gt;0,C595=0),VLOOKUP(B595,'3 - LISTA DE ESPÉCIES'!B:H,4,FALSE()),IF(AND(A595=0,B595=0,C595&lt;&gt;0),VLOOKUP(C595,'3 - LISTA DE ESPÉCIES'!C:H,3,FALSE()))))</f>
        <v>0</v>
      </c>
      <c r="J595" s="23"/>
      <c r="K595" s="23"/>
      <c r="L595" s="20"/>
      <c r="M595" s="20"/>
    </row>
    <row r="596" spans="1:13" x14ac:dyDescent="0.25">
      <c r="A596" s="20"/>
      <c r="B596" s="20"/>
      <c r="C596" s="20"/>
      <c r="E596" s="21" t="b">
        <f>IF(AND(A596&lt;&gt;0,B596=0,C596=0),VLOOKUP(A596,'3 - LISTA DE ESPÉCIES'!A:H,1,FALSE()),IF(AND(A596=0,B596&lt;&gt;0,C596=0),VLOOKUP(B596,'3 - LISTA DE ESPÉCIES'!B:H,5,FALSE()),IF(AND(A596=0,B596=0,C596&lt;&gt;0),VLOOKUP(C596,'3 - LISTA DE ESPÉCIES'!C:H,4,FALSE()))))</f>
        <v>0</v>
      </c>
      <c r="F596" s="21" t="b">
        <f>IF(AND(A596&lt;&gt;0,B596=0,C596=0),VLOOKUP(A596,'3 - LISTA DE ESPÉCIES'!A:H,2,FALSE()),IF(AND(A596=0,B596&lt;&gt;0,C596=0),VLOOKUP(B596,'3 - LISTA DE ESPÉCIES'!B:H,6,FALSE()),IF(AND(A596=0,B596=0,C596&lt;&gt;0),VLOOKUP(C596,'3 - LISTA DE ESPÉCIES'!C:H,5,FALSE()))))</f>
        <v>0</v>
      </c>
      <c r="G596" s="21" t="b">
        <f>IF(AND(A596&lt;&gt;0,B596=0,C596=0),VLOOKUP(A596,'3 - LISTA DE ESPÉCIES'!A:H,3,FALSE()),IF(AND(A596=0,B596&lt;&gt;0,C596=0),VLOOKUP(B596,'3 - LISTA DE ESPÉCIES'!B:H,7,FALSE()),IF(AND(A596=0,B596=0,C596&lt;&gt;0),VLOOKUP(C596,'3 - LISTA DE ESPÉCIES'!C:H,6,FALSE()))))</f>
        <v>0</v>
      </c>
      <c r="H596" s="21" t="b">
        <f>IF(AND(A596&lt;&gt;0,B596=0,C596=0),VLOOKUP(A596,'3 - LISTA DE ESPÉCIES'!A:H,4,FALSE()),IF(AND(A596=0,B596&lt;&gt;0,C596=0),VLOOKUP(B596,'3 - LISTA DE ESPÉCIES'!B:H,3,FALSE()),IF(AND(A596=0,B596=0,C596&lt;&gt;0),VLOOKUP(C596,'3 - LISTA DE ESPÉCIES'!C:H,2,FALSE()))))</f>
        <v>0</v>
      </c>
      <c r="I596" s="21" t="b">
        <f>IF(AND(A596&lt;&gt;0,B596=0,C596=0),VLOOKUP(A596,'3 - LISTA DE ESPÉCIES'!A:H,5,FALSE()),IF(AND(A596=0,B596&lt;&gt;0,C596=0),VLOOKUP(B596,'3 - LISTA DE ESPÉCIES'!B:H,4,FALSE()),IF(AND(A596=0,B596=0,C596&lt;&gt;0),VLOOKUP(C596,'3 - LISTA DE ESPÉCIES'!C:H,3,FALSE()))))</f>
        <v>0</v>
      </c>
      <c r="J596" s="23"/>
      <c r="K596" s="23"/>
      <c r="L596" s="20"/>
      <c r="M596" s="20"/>
    </row>
    <row r="597" spans="1:13" x14ac:dyDescent="0.25">
      <c r="A597" s="20"/>
      <c r="B597" s="20"/>
      <c r="C597" s="20"/>
      <c r="E597" s="21" t="b">
        <f>IF(AND(A597&lt;&gt;0,B597=0,C597=0),VLOOKUP(A597,'3 - LISTA DE ESPÉCIES'!A:H,1,FALSE()),IF(AND(A597=0,B597&lt;&gt;0,C597=0),VLOOKUP(B597,'3 - LISTA DE ESPÉCIES'!B:H,5,FALSE()),IF(AND(A597=0,B597=0,C597&lt;&gt;0),VLOOKUP(C597,'3 - LISTA DE ESPÉCIES'!C:H,4,FALSE()))))</f>
        <v>0</v>
      </c>
      <c r="F597" s="21" t="b">
        <f>IF(AND(A597&lt;&gt;0,B597=0,C597=0),VLOOKUP(A597,'3 - LISTA DE ESPÉCIES'!A:H,2,FALSE()),IF(AND(A597=0,B597&lt;&gt;0,C597=0),VLOOKUP(B597,'3 - LISTA DE ESPÉCIES'!B:H,6,FALSE()),IF(AND(A597=0,B597=0,C597&lt;&gt;0),VLOOKUP(C597,'3 - LISTA DE ESPÉCIES'!C:H,5,FALSE()))))</f>
        <v>0</v>
      </c>
      <c r="G597" s="21" t="b">
        <f>IF(AND(A597&lt;&gt;0,B597=0,C597=0),VLOOKUP(A597,'3 - LISTA DE ESPÉCIES'!A:H,3,FALSE()),IF(AND(A597=0,B597&lt;&gt;0,C597=0),VLOOKUP(B597,'3 - LISTA DE ESPÉCIES'!B:H,7,FALSE()),IF(AND(A597=0,B597=0,C597&lt;&gt;0),VLOOKUP(C597,'3 - LISTA DE ESPÉCIES'!C:H,6,FALSE()))))</f>
        <v>0</v>
      </c>
      <c r="H597" s="21" t="b">
        <f>IF(AND(A597&lt;&gt;0,B597=0,C597=0),VLOOKUP(A597,'3 - LISTA DE ESPÉCIES'!A:H,4,FALSE()),IF(AND(A597=0,B597&lt;&gt;0,C597=0),VLOOKUP(B597,'3 - LISTA DE ESPÉCIES'!B:H,3,FALSE()),IF(AND(A597=0,B597=0,C597&lt;&gt;0),VLOOKUP(C597,'3 - LISTA DE ESPÉCIES'!C:H,2,FALSE()))))</f>
        <v>0</v>
      </c>
      <c r="I597" s="21" t="b">
        <f>IF(AND(A597&lt;&gt;0,B597=0,C597=0),VLOOKUP(A597,'3 - LISTA DE ESPÉCIES'!A:H,5,FALSE()),IF(AND(A597=0,B597&lt;&gt;0,C597=0),VLOOKUP(B597,'3 - LISTA DE ESPÉCIES'!B:H,4,FALSE()),IF(AND(A597=0,B597=0,C597&lt;&gt;0),VLOOKUP(C597,'3 - LISTA DE ESPÉCIES'!C:H,3,FALSE()))))</f>
        <v>0</v>
      </c>
      <c r="J597" s="23"/>
      <c r="K597" s="23"/>
      <c r="L597" s="20"/>
      <c r="M597" s="20"/>
    </row>
    <row r="598" spans="1:13" x14ac:dyDescent="0.25">
      <c r="A598" s="20"/>
      <c r="B598" s="20"/>
      <c r="C598" s="20"/>
      <c r="E598" s="21" t="b">
        <f>IF(AND(A598&lt;&gt;0,B598=0,C598=0),VLOOKUP(A598,'3 - LISTA DE ESPÉCIES'!A:H,1,FALSE()),IF(AND(A598=0,B598&lt;&gt;0,C598=0),VLOOKUP(B598,'3 - LISTA DE ESPÉCIES'!B:H,5,FALSE()),IF(AND(A598=0,B598=0,C598&lt;&gt;0),VLOOKUP(C598,'3 - LISTA DE ESPÉCIES'!C:H,4,FALSE()))))</f>
        <v>0</v>
      </c>
      <c r="F598" s="21" t="b">
        <f>IF(AND(A598&lt;&gt;0,B598=0,C598=0),VLOOKUP(A598,'3 - LISTA DE ESPÉCIES'!A:H,2,FALSE()),IF(AND(A598=0,B598&lt;&gt;0,C598=0),VLOOKUP(B598,'3 - LISTA DE ESPÉCIES'!B:H,6,FALSE()),IF(AND(A598=0,B598=0,C598&lt;&gt;0),VLOOKUP(C598,'3 - LISTA DE ESPÉCIES'!C:H,5,FALSE()))))</f>
        <v>0</v>
      </c>
      <c r="G598" s="21" t="b">
        <f>IF(AND(A598&lt;&gt;0,B598=0,C598=0),VLOOKUP(A598,'3 - LISTA DE ESPÉCIES'!A:H,3,FALSE()),IF(AND(A598=0,B598&lt;&gt;0,C598=0),VLOOKUP(B598,'3 - LISTA DE ESPÉCIES'!B:H,7,FALSE()),IF(AND(A598=0,B598=0,C598&lt;&gt;0),VLOOKUP(C598,'3 - LISTA DE ESPÉCIES'!C:H,6,FALSE()))))</f>
        <v>0</v>
      </c>
      <c r="H598" s="21" t="b">
        <f>IF(AND(A598&lt;&gt;0,B598=0,C598=0),VLOOKUP(A598,'3 - LISTA DE ESPÉCIES'!A:H,4,FALSE()),IF(AND(A598=0,B598&lt;&gt;0,C598=0),VLOOKUP(B598,'3 - LISTA DE ESPÉCIES'!B:H,3,FALSE()),IF(AND(A598=0,B598=0,C598&lt;&gt;0),VLOOKUP(C598,'3 - LISTA DE ESPÉCIES'!C:H,2,FALSE()))))</f>
        <v>0</v>
      </c>
      <c r="I598" s="21" t="b">
        <f>IF(AND(A598&lt;&gt;0,B598=0,C598=0),VLOOKUP(A598,'3 - LISTA DE ESPÉCIES'!A:H,5,FALSE()),IF(AND(A598=0,B598&lt;&gt;0,C598=0),VLOOKUP(B598,'3 - LISTA DE ESPÉCIES'!B:H,4,FALSE()),IF(AND(A598=0,B598=0,C598&lt;&gt;0),VLOOKUP(C598,'3 - LISTA DE ESPÉCIES'!C:H,3,FALSE()))))</f>
        <v>0</v>
      </c>
      <c r="J598" s="23"/>
      <c r="K598" s="23"/>
      <c r="L598" s="20"/>
      <c r="M598" s="20"/>
    </row>
    <row r="599" spans="1:13" x14ac:dyDescent="0.25">
      <c r="A599" s="20"/>
      <c r="B599" s="20"/>
      <c r="C599" s="20"/>
      <c r="E599" s="21" t="b">
        <f>IF(AND(A599&lt;&gt;0,B599=0,C599=0),VLOOKUP(A599,'3 - LISTA DE ESPÉCIES'!A:H,1,FALSE()),IF(AND(A599=0,B599&lt;&gt;0,C599=0),VLOOKUP(B599,'3 - LISTA DE ESPÉCIES'!B:H,5,FALSE()),IF(AND(A599=0,B599=0,C599&lt;&gt;0),VLOOKUP(C599,'3 - LISTA DE ESPÉCIES'!C:H,4,FALSE()))))</f>
        <v>0</v>
      </c>
      <c r="F599" s="21" t="b">
        <f>IF(AND(A599&lt;&gt;0,B599=0,C599=0),VLOOKUP(A599,'3 - LISTA DE ESPÉCIES'!A:H,2,FALSE()),IF(AND(A599=0,B599&lt;&gt;0,C599=0),VLOOKUP(B599,'3 - LISTA DE ESPÉCIES'!B:H,6,FALSE()),IF(AND(A599=0,B599=0,C599&lt;&gt;0),VLOOKUP(C599,'3 - LISTA DE ESPÉCIES'!C:H,5,FALSE()))))</f>
        <v>0</v>
      </c>
      <c r="G599" s="21" t="b">
        <f>IF(AND(A599&lt;&gt;0,B599=0,C599=0),VLOOKUP(A599,'3 - LISTA DE ESPÉCIES'!A:H,3,FALSE()),IF(AND(A599=0,B599&lt;&gt;0,C599=0),VLOOKUP(B599,'3 - LISTA DE ESPÉCIES'!B:H,7,FALSE()),IF(AND(A599=0,B599=0,C599&lt;&gt;0),VLOOKUP(C599,'3 - LISTA DE ESPÉCIES'!C:H,6,FALSE()))))</f>
        <v>0</v>
      </c>
      <c r="H599" s="21" t="b">
        <f>IF(AND(A599&lt;&gt;0,B599=0,C599=0),VLOOKUP(A599,'3 - LISTA DE ESPÉCIES'!A:H,4,FALSE()),IF(AND(A599=0,B599&lt;&gt;0,C599=0),VLOOKUP(B599,'3 - LISTA DE ESPÉCIES'!B:H,3,FALSE()),IF(AND(A599=0,B599=0,C599&lt;&gt;0),VLOOKUP(C599,'3 - LISTA DE ESPÉCIES'!C:H,2,FALSE()))))</f>
        <v>0</v>
      </c>
      <c r="I599" s="21" t="b">
        <f>IF(AND(A599&lt;&gt;0,B599=0,C599=0),VLOOKUP(A599,'3 - LISTA DE ESPÉCIES'!A:H,5,FALSE()),IF(AND(A599=0,B599&lt;&gt;0,C599=0),VLOOKUP(B599,'3 - LISTA DE ESPÉCIES'!B:H,4,FALSE()),IF(AND(A599=0,B599=0,C599&lt;&gt;0),VLOOKUP(C599,'3 - LISTA DE ESPÉCIES'!C:H,3,FALSE()))))</f>
        <v>0</v>
      </c>
      <c r="J599" s="23"/>
      <c r="K599" s="23"/>
      <c r="L599" s="20"/>
      <c r="M599" s="20"/>
    </row>
    <row r="600" spans="1:13" x14ac:dyDescent="0.25">
      <c r="A600" s="20"/>
      <c r="B600" s="20"/>
      <c r="C600" s="20"/>
      <c r="E600" s="21" t="b">
        <f>IF(AND(A600&lt;&gt;0,B600=0,C600=0),VLOOKUP(A600,'3 - LISTA DE ESPÉCIES'!A:H,1,FALSE()),IF(AND(A600=0,B600&lt;&gt;0,C600=0),VLOOKUP(B600,'3 - LISTA DE ESPÉCIES'!B:H,5,FALSE()),IF(AND(A600=0,B600=0,C600&lt;&gt;0),VLOOKUP(C600,'3 - LISTA DE ESPÉCIES'!C:H,4,FALSE()))))</f>
        <v>0</v>
      </c>
      <c r="F600" s="21" t="b">
        <f>IF(AND(A600&lt;&gt;0,B600=0,C600=0),VLOOKUP(A600,'3 - LISTA DE ESPÉCIES'!A:H,2,FALSE()),IF(AND(A600=0,B600&lt;&gt;0,C600=0),VLOOKUP(B600,'3 - LISTA DE ESPÉCIES'!B:H,6,FALSE()),IF(AND(A600=0,B600=0,C600&lt;&gt;0),VLOOKUP(C600,'3 - LISTA DE ESPÉCIES'!C:H,5,FALSE()))))</f>
        <v>0</v>
      </c>
      <c r="G600" s="21" t="b">
        <f>IF(AND(A600&lt;&gt;0,B600=0,C600=0),VLOOKUP(A600,'3 - LISTA DE ESPÉCIES'!A:H,3,FALSE()),IF(AND(A600=0,B600&lt;&gt;0,C600=0),VLOOKUP(B600,'3 - LISTA DE ESPÉCIES'!B:H,7,FALSE()),IF(AND(A600=0,B600=0,C600&lt;&gt;0),VLOOKUP(C600,'3 - LISTA DE ESPÉCIES'!C:H,6,FALSE()))))</f>
        <v>0</v>
      </c>
      <c r="H600" s="21" t="b">
        <f>IF(AND(A600&lt;&gt;0,B600=0,C600=0),VLOOKUP(A600,'3 - LISTA DE ESPÉCIES'!A:H,4,FALSE()),IF(AND(A600=0,B600&lt;&gt;0,C600=0),VLOOKUP(B600,'3 - LISTA DE ESPÉCIES'!B:H,3,FALSE()),IF(AND(A600=0,B600=0,C600&lt;&gt;0),VLOOKUP(C600,'3 - LISTA DE ESPÉCIES'!C:H,2,FALSE()))))</f>
        <v>0</v>
      </c>
      <c r="I600" s="21" t="b">
        <f>IF(AND(A600&lt;&gt;0,B600=0,C600=0),VLOOKUP(A600,'3 - LISTA DE ESPÉCIES'!A:H,5,FALSE()),IF(AND(A600=0,B600&lt;&gt;0,C600=0),VLOOKUP(B600,'3 - LISTA DE ESPÉCIES'!B:H,4,FALSE()),IF(AND(A600=0,B600=0,C600&lt;&gt;0),VLOOKUP(C600,'3 - LISTA DE ESPÉCIES'!C:H,3,FALSE()))))</f>
        <v>0</v>
      </c>
      <c r="J600" s="23"/>
      <c r="K600" s="23"/>
      <c r="L600" s="20"/>
      <c r="M600" s="20"/>
    </row>
    <row r="601" spans="1:13" x14ac:dyDescent="0.25">
      <c r="A601" s="20"/>
      <c r="B601" s="20"/>
      <c r="C601" s="20"/>
      <c r="E601" s="21" t="b">
        <f>IF(AND(A601&lt;&gt;0,B601=0,C601=0),VLOOKUP(A601,'3 - LISTA DE ESPÉCIES'!A:H,1,FALSE()),IF(AND(A601=0,B601&lt;&gt;0,C601=0),VLOOKUP(B601,'3 - LISTA DE ESPÉCIES'!B:H,5,FALSE()),IF(AND(A601=0,B601=0,C601&lt;&gt;0),VLOOKUP(C601,'3 - LISTA DE ESPÉCIES'!C:H,4,FALSE()))))</f>
        <v>0</v>
      </c>
      <c r="F601" s="21" t="b">
        <f>IF(AND(A601&lt;&gt;0,B601=0,C601=0),VLOOKUP(A601,'3 - LISTA DE ESPÉCIES'!A:H,2,FALSE()),IF(AND(A601=0,B601&lt;&gt;0,C601=0),VLOOKUP(B601,'3 - LISTA DE ESPÉCIES'!B:H,6,FALSE()),IF(AND(A601=0,B601=0,C601&lt;&gt;0),VLOOKUP(C601,'3 - LISTA DE ESPÉCIES'!C:H,5,FALSE()))))</f>
        <v>0</v>
      </c>
      <c r="G601" s="21" t="b">
        <f>IF(AND(A601&lt;&gt;0,B601=0,C601=0),VLOOKUP(A601,'3 - LISTA DE ESPÉCIES'!A:H,3,FALSE()),IF(AND(A601=0,B601&lt;&gt;0,C601=0),VLOOKUP(B601,'3 - LISTA DE ESPÉCIES'!B:H,7,FALSE()),IF(AND(A601=0,B601=0,C601&lt;&gt;0),VLOOKUP(C601,'3 - LISTA DE ESPÉCIES'!C:H,6,FALSE()))))</f>
        <v>0</v>
      </c>
      <c r="H601" s="21" t="b">
        <f>IF(AND(A601&lt;&gt;0,B601=0,C601=0),VLOOKUP(A601,'3 - LISTA DE ESPÉCIES'!A:H,4,FALSE()),IF(AND(A601=0,B601&lt;&gt;0,C601=0),VLOOKUP(B601,'3 - LISTA DE ESPÉCIES'!B:H,3,FALSE()),IF(AND(A601=0,B601=0,C601&lt;&gt;0),VLOOKUP(C601,'3 - LISTA DE ESPÉCIES'!C:H,2,FALSE()))))</f>
        <v>0</v>
      </c>
      <c r="I601" s="21" t="b">
        <f>IF(AND(A601&lt;&gt;0,B601=0,C601=0),VLOOKUP(A601,'3 - LISTA DE ESPÉCIES'!A:H,5,FALSE()),IF(AND(A601=0,B601&lt;&gt;0,C601=0),VLOOKUP(B601,'3 - LISTA DE ESPÉCIES'!B:H,4,FALSE()),IF(AND(A601=0,B601=0,C601&lt;&gt;0),VLOOKUP(C601,'3 - LISTA DE ESPÉCIES'!C:H,3,FALSE()))))</f>
        <v>0</v>
      </c>
      <c r="J601" s="23"/>
      <c r="K601" s="23"/>
      <c r="L601" s="20"/>
      <c r="M601" s="20"/>
    </row>
    <row r="602" spans="1:13" x14ac:dyDescent="0.25">
      <c r="A602" s="20"/>
      <c r="B602" s="20"/>
      <c r="C602" s="20"/>
      <c r="E602" s="21" t="b">
        <f>IF(AND(A602&lt;&gt;0,B602=0,C602=0),VLOOKUP(A602,'3 - LISTA DE ESPÉCIES'!A:H,1,FALSE()),IF(AND(A602=0,B602&lt;&gt;0,C602=0),VLOOKUP(B602,'3 - LISTA DE ESPÉCIES'!B:H,5,FALSE()),IF(AND(A602=0,B602=0,C602&lt;&gt;0),VLOOKUP(C602,'3 - LISTA DE ESPÉCIES'!C:H,4,FALSE()))))</f>
        <v>0</v>
      </c>
      <c r="F602" s="21" t="b">
        <f>IF(AND(A602&lt;&gt;0,B602=0,C602=0),VLOOKUP(A602,'3 - LISTA DE ESPÉCIES'!A:H,2,FALSE()),IF(AND(A602=0,B602&lt;&gt;0,C602=0),VLOOKUP(B602,'3 - LISTA DE ESPÉCIES'!B:H,6,FALSE()),IF(AND(A602=0,B602=0,C602&lt;&gt;0),VLOOKUP(C602,'3 - LISTA DE ESPÉCIES'!C:H,5,FALSE()))))</f>
        <v>0</v>
      </c>
      <c r="G602" s="21" t="b">
        <f>IF(AND(A602&lt;&gt;0,B602=0,C602=0),VLOOKUP(A602,'3 - LISTA DE ESPÉCIES'!A:H,3,FALSE()),IF(AND(A602=0,B602&lt;&gt;0,C602=0),VLOOKUP(B602,'3 - LISTA DE ESPÉCIES'!B:H,7,FALSE()),IF(AND(A602=0,B602=0,C602&lt;&gt;0),VLOOKUP(C602,'3 - LISTA DE ESPÉCIES'!C:H,6,FALSE()))))</f>
        <v>0</v>
      </c>
      <c r="H602" s="21" t="b">
        <f>IF(AND(A602&lt;&gt;0,B602=0,C602=0),VLOOKUP(A602,'3 - LISTA DE ESPÉCIES'!A:H,4,FALSE()),IF(AND(A602=0,B602&lt;&gt;0,C602=0),VLOOKUP(B602,'3 - LISTA DE ESPÉCIES'!B:H,3,FALSE()),IF(AND(A602=0,B602=0,C602&lt;&gt;0),VLOOKUP(C602,'3 - LISTA DE ESPÉCIES'!C:H,2,FALSE()))))</f>
        <v>0</v>
      </c>
      <c r="I602" s="21" t="b">
        <f>IF(AND(A602&lt;&gt;0,B602=0,C602=0),VLOOKUP(A602,'3 - LISTA DE ESPÉCIES'!A:H,5,FALSE()),IF(AND(A602=0,B602&lt;&gt;0,C602=0),VLOOKUP(B602,'3 - LISTA DE ESPÉCIES'!B:H,4,FALSE()),IF(AND(A602=0,B602=0,C602&lt;&gt;0),VLOOKUP(C602,'3 - LISTA DE ESPÉCIES'!C:H,3,FALSE()))))</f>
        <v>0</v>
      </c>
      <c r="J602" s="23"/>
      <c r="K602" s="23"/>
      <c r="L602" s="20"/>
      <c r="M602" s="20"/>
    </row>
    <row r="603" spans="1:13" x14ac:dyDescent="0.25">
      <c r="A603" s="20"/>
      <c r="B603" s="20"/>
      <c r="C603" s="20"/>
      <c r="E603" s="21" t="b">
        <f>IF(AND(A603&lt;&gt;0,B603=0,C603=0),VLOOKUP(A603,'3 - LISTA DE ESPÉCIES'!A:H,1,FALSE()),IF(AND(A603=0,B603&lt;&gt;0,C603=0),VLOOKUP(B603,'3 - LISTA DE ESPÉCIES'!B:H,5,FALSE()),IF(AND(A603=0,B603=0,C603&lt;&gt;0),VLOOKUP(C603,'3 - LISTA DE ESPÉCIES'!C:H,4,FALSE()))))</f>
        <v>0</v>
      </c>
      <c r="F603" s="21" t="b">
        <f>IF(AND(A603&lt;&gt;0,B603=0,C603=0),VLOOKUP(A603,'3 - LISTA DE ESPÉCIES'!A:H,2,FALSE()),IF(AND(A603=0,B603&lt;&gt;0,C603=0),VLOOKUP(B603,'3 - LISTA DE ESPÉCIES'!B:H,6,FALSE()),IF(AND(A603=0,B603=0,C603&lt;&gt;0),VLOOKUP(C603,'3 - LISTA DE ESPÉCIES'!C:H,5,FALSE()))))</f>
        <v>0</v>
      </c>
      <c r="G603" s="21" t="b">
        <f>IF(AND(A603&lt;&gt;0,B603=0,C603=0),VLOOKUP(A603,'3 - LISTA DE ESPÉCIES'!A:H,3,FALSE()),IF(AND(A603=0,B603&lt;&gt;0,C603=0),VLOOKUP(B603,'3 - LISTA DE ESPÉCIES'!B:H,7,FALSE()),IF(AND(A603=0,B603=0,C603&lt;&gt;0),VLOOKUP(C603,'3 - LISTA DE ESPÉCIES'!C:H,6,FALSE()))))</f>
        <v>0</v>
      </c>
      <c r="H603" s="21" t="b">
        <f>IF(AND(A603&lt;&gt;0,B603=0,C603=0),VLOOKUP(A603,'3 - LISTA DE ESPÉCIES'!A:H,4,FALSE()),IF(AND(A603=0,B603&lt;&gt;0,C603=0),VLOOKUP(B603,'3 - LISTA DE ESPÉCIES'!B:H,3,FALSE()),IF(AND(A603=0,B603=0,C603&lt;&gt;0),VLOOKUP(C603,'3 - LISTA DE ESPÉCIES'!C:H,2,FALSE()))))</f>
        <v>0</v>
      </c>
      <c r="I603" s="21" t="b">
        <f>IF(AND(A603&lt;&gt;0,B603=0,C603=0),VLOOKUP(A603,'3 - LISTA DE ESPÉCIES'!A:H,5,FALSE()),IF(AND(A603=0,B603&lt;&gt;0,C603=0),VLOOKUP(B603,'3 - LISTA DE ESPÉCIES'!B:H,4,FALSE()),IF(AND(A603=0,B603=0,C603&lt;&gt;0),VLOOKUP(C603,'3 - LISTA DE ESPÉCIES'!C:H,3,FALSE()))))</f>
        <v>0</v>
      </c>
      <c r="J603" s="23"/>
      <c r="K603" s="23"/>
      <c r="L603" s="20"/>
      <c r="M603" s="20"/>
    </row>
    <row r="604" spans="1:13" x14ac:dyDescent="0.25">
      <c r="A604" s="20"/>
      <c r="B604" s="20"/>
      <c r="C604" s="20"/>
      <c r="E604" s="21" t="b">
        <f>IF(AND(A604&lt;&gt;0,B604=0,C604=0),VLOOKUP(A604,'3 - LISTA DE ESPÉCIES'!A:H,1,FALSE()),IF(AND(A604=0,B604&lt;&gt;0,C604=0),VLOOKUP(B604,'3 - LISTA DE ESPÉCIES'!B:H,5,FALSE()),IF(AND(A604=0,B604=0,C604&lt;&gt;0),VLOOKUP(C604,'3 - LISTA DE ESPÉCIES'!C:H,4,FALSE()))))</f>
        <v>0</v>
      </c>
      <c r="F604" s="21" t="b">
        <f>IF(AND(A604&lt;&gt;0,B604=0,C604=0),VLOOKUP(A604,'3 - LISTA DE ESPÉCIES'!A:H,2,FALSE()),IF(AND(A604=0,B604&lt;&gt;0,C604=0),VLOOKUP(B604,'3 - LISTA DE ESPÉCIES'!B:H,6,FALSE()),IF(AND(A604=0,B604=0,C604&lt;&gt;0),VLOOKUP(C604,'3 - LISTA DE ESPÉCIES'!C:H,5,FALSE()))))</f>
        <v>0</v>
      </c>
      <c r="G604" s="21" t="b">
        <f>IF(AND(A604&lt;&gt;0,B604=0,C604=0),VLOOKUP(A604,'3 - LISTA DE ESPÉCIES'!A:H,3,FALSE()),IF(AND(A604=0,B604&lt;&gt;0,C604=0),VLOOKUP(B604,'3 - LISTA DE ESPÉCIES'!B:H,7,FALSE()),IF(AND(A604=0,B604=0,C604&lt;&gt;0),VLOOKUP(C604,'3 - LISTA DE ESPÉCIES'!C:H,6,FALSE()))))</f>
        <v>0</v>
      </c>
      <c r="H604" s="21" t="b">
        <f>IF(AND(A604&lt;&gt;0,B604=0,C604=0),VLOOKUP(A604,'3 - LISTA DE ESPÉCIES'!A:H,4,FALSE()),IF(AND(A604=0,B604&lt;&gt;0,C604=0),VLOOKUP(B604,'3 - LISTA DE ESPÉCIES'!B:H,3,FALSE()),IF(AND(A604=0,B604=0,C604&lt;&gt;0),VLOOKUP(C604,'3 - LISTA DE ESPÉCIES'!C:H,2,FALSE()))))</f>
        <v>0</v>
      </c>
      <c r="I604" s="21" t="b">
        <f>IF(AND(A604&lt;&gt;0,B604=0,C604=0),VLOOKUP(A604,'3 - LISTA DE ESPÉCIES'!A:H,5,FALSE()),IF(AND(A604=0,B604&lt;&gt;0,C604=0),VLOOKUP(B604,'3 - LISTA DE ESPÉCIES'!B:H,4,FALSE()),IF(AND(A604=0,B604=0,C604&lt;&gt;0),VLOOKUP(C604,'3 - LISTA DE ESPÉCIES'!C:H,3,FALSE()))))</f>
        <v>0</v>
      </c>
      <c r="J604" s="23"/>
      <c r="K604" s="23"/>
      <c r="L604" s="20"/>
      <c r="M604" s="20"/>
    </row>
    <row r="605" spans="1:13" x14ac:dyDescent="0.25">
      <c r="A605" s="20"/>
      <c r="B605" s="20"/>
      <c r="C605" s="20"/>
      <c r="E605" s="21" t="b">
        <f>IF(AND(A605&lt;&gt;0,B605=0,C605=0),VLOOKUP(A605,'3 - LISTA DE ESPÉCIES'!A:H,1,FALSE()),IF(AND(A605=0,B605&lt;&gt;0,C605=0),VLOOKUP(B605,'3 - LISTA DE ESPÉCIES'!B:H,5,FALSE()),IF(AND(A605=0,B605=0,C605&lt;&gt;0),VLOOKUP(C605,'3 - LISTA DE ESPÉCIES'!C:H,4,FALSE()))))</f>
        <v>0</v>
      </c>
      <c r="F605" s="21" t="b">
        <f>IF(AND(A605&lt;&gt;0,B605=0,C605=0),VLOOKUP(A605,'3 - LISTA DE ESPÉCIES'!A:H,2,FALSE()),IF(AND(A605=0,B605&lt;&gt;0,C605=0),VLOOKUP(B605,'3 - LISTA DE ESPÉCIES'!B:H,6,FALSE()),IF(AND(A605=0,B605=0,C605&lt;&gt;0),VLOOKUP(C605,'3 - LISTA DE ESPÉCIES'!C:H,5,FALSE()))))</f>
        <v>0</v>
      </c>
      <c r="G605" s="21" t="b">
        <f>IF(AND(A605&lt;&gt;0,B605=0,C605=0),VLOOKUP(A605,'3 - LISTA DE ESPÉCIES'!A:H,3,FALSE()),IF(AND(A605=0,B605&lt;&gt;0,C605=0),VLOOKUP(B605,'3 - LISTA DE ESPÉCIES'!B:H,7,FALSE()),IF(AND(A605=0,B605=0,C605&lt;&gt;0),VLOOKUP(C605,'3 - LISTA DE ESPÉCIES'!C:H,6,FALSE()))))</f>
        <v>0</v>
      </c>
      <c r="H605" s="21" t="b">
        <f>IF(AND(A605&lt;&gt;0,B605=0,C605=0),VLOOKUP(A605,'3 - LISTA DE ESPÉCIES'!A:H,4,FALSE()),IF(AND(A605=0,B605&lt;&gt;0,C605=0),VLOOKUP(B605,'3 - LISTA DE ESPÉCIES'!B:H,3,FALSE()),IF(AND(A605=0,B605=0,C605&lt;&gt;0),VLOOKUP(C605,'3 - LISTA DE ESPÉCIES'!C:H,2,FALSE()))))</f>
        <v>0</v>
      </c>
      <c r="I605" s="21" t="b">
        <f>IF(AND(A605&lt;&gt;0,B605=0,C605=0),VLOOKUP(A605,'3 - LISTA DE ESPÉCIES'!A:H,5,FALSE()),IF(AND(A605=0,B605&lt;&gt;0,C605=0),VLOOKUP(B605,'3 - LISTA DE ESPÉCIES'!B:H,4,FALSE()),IF(AND(A605=0,B605=0,C605&lt;&gt;0),VLOOKUP(C605,'3 - LISTA DE ESPÉCIES'!C:H,3,FALSE()))))</f>
        <v>0</v>
      </c>
      <c r="J605" s="23"/>
      <c r="K605" s="23"/>
      <c r="L605" s="20"/>
      <c r="M605" s="20"/>
    </row>
    <row r="606" spans="1:13" x14ac:dyDescent="0.25">
      <c r="A606" s="20"/>
      <c r="B606" s="20"/>
      <c r="C606" s="20"/>
      <c r="E606" s="21" t="b">
        <f>IF(AND(A606&lt;&gt;0,B606=0,C606=0),VLOOKUP(A606,'3 - LISTA DE ESPÉCIES'!A:H,1,FALSE()),IF(AND(A606=0,B606&lt;&gt;0,C606=0),VLOOKUP(B606,'3 - LISTA DE ESPÉCIES'!B:H,5,FALSE()),IF(AND(A606=0,B606=0,C606&lt;&gt;0),VLOOKUP(C606,'3 - LISTA DE ESPÉCIES'!C:H,4,FALSE()))))</f>
        <v>0</v>
      </c>
      <c r="F606" s="21" t="b">
        <f>IF(AND(A606&lt;&gt;0,B606=0,C606=0),VLOOKUP(A606,'3 - LISTA DE ESPÉCIES'!A:H,2,FALSE()),IF(AND(A606=0,B606&lt;&gt;0,C606=0),VLOOKUP(B606,'3 - LISTA DE ESPÉCIES'!B:H,6,FALSE()),IF(AND(A606=0,B606=0,C606&lt;&gt;0),VLOOKUP(C606,'3 - LISTA DE ESPÉCIES'!C:H,5,FALSE()))))</f>
        <v>0</v>
      </c>
      <c r="G606" s="21" t="b">
        <f>IF(AND(A606&lt;&gt;0,B606=0,C606=0),VLOOKUP(A606,'3 - LISTA DE ESPÉCIES'!A:H,3,FALSE()),IF(AND(A606=0,B606&lt;&gt;0,C606=0),VLOOKUP(B606,'3 - LISTA DE ESPÉCIES'!B:H,7,FALSE()),IF(AND(A606=0,B606=0,C606&lt;&gt;0),VLOOKUP(C606,'3 - LISTA DE ESPÉCIES'!C:H,6,FALSE()))))</f>
        <v>0</v>
      </c>
      <c r="H606" s="21" t="b">
        <f>IF(AND(A606&lt;&gt;0,B606=0,C606=0),VLOOKUP(A606,'3 - LISTA DE ESPÉCIES'!A:H,4,FALSE()),IF(AND(A606=0,B606&lt;&gt;0,C606=0),VLOOKUP(B606,'3 - LISTA DE ESPÉCIES'!B:H,3,FALSE()),IF(AND(A606=0,B606=0,C606&lt;&gt;0),VLOOKUP(C606,'3 - LISTA DE ESPÉCIES'!C:H,2,FALSE()))))</f>
        <v>0</v>
      </c>
      <c r="I606" s="21" t="b">
        <f>IF(AND(A606&lt;&gt;0,B606=0,C606=0),VLOOKUP(A606,'3 - LISTA DE ESPÉCIES'!A:H,5,FALSE()),IF(AND(A606=0,B606&lt;&gt;0,C606=0),VLOOKUP(B606,'3 - LISTA DE ESPÉCIES'!B:H,4,FALSE()),IF(AND(A606=0,B606=0,C606&lt;&gt;0),VLOOKUP(C606,'3 - LISTA DE ESPÉCIES'!C:H,3,FALSE()))))</f>
        <v>0</v>
      </c>
      <c r="J606" s="23"/>
      <c r="K606" s="23"/>
      <c r="L606" s="20"/>
      <c r="M606" s="20"/>
    </row>
    <row r="607" spans="1:13" x14ac:dyDescent="0.25">
      <c r="A607" s="20"/>
      <c r="B607" s="20"/>
      <c r="C607" s="20"/>
      <c r="E607" s="21" t="b">
        <f>IF(AND(A607&lt;&gt;0,B607=0,C607=0),VLOOKUP(A607,'3 - LISTA DE ESPÉCIES'!A:H,1,FALSE()),IF(AND(A607=0,B607&lt;&gt;0,C607=0),VLOOKUP(B607,'3 - LISTA DE ESPÉCIES'!B:H,5,FALSE()),IF(AND(A607=0,B607=0,C607&lt;&gt;0),VLOOKUP(C607,'3 - LISTA DE ESPÉCIES'!C:H,4,FALSE()))))</f>
        <v>0</v>
      </c>
      <c r="F607" s="21" t="b">
        <f>IF(AND(A607&lt;&gt;0,B607=0,C607=0),VLOOKUP(A607,'3 - LISTA DE ESPÉCIES'!A:H,2,FALSE()),IF(AND(A607=0,B607&lt;&gt;0,C607=0),VLOOKUP(B607,'3 - LISTA DE ESPÉCIES'!B:H,6,FALSE()),IF(AND(A607=0,B607=0,C607&lt;&gt;0),VLOOKUP(C607,'3 - LISTA DE ESPÉCIES'!C:H,5,FALSE()))))</f>
        <v>0</v>
      </c>
      <c r="G607" s="21" t="b">
        <f>IF(AND(A607&lt;&gt;0,B607=0,C607=0),VLOOKUP(A607,'3 - LISTA DE ESPÉCIES'!A:H,3,FALSE()),IF(AND(A607=0,B607&lt;&gt;0,C607=0),VLOOKUP(B607,'3 - LISTA DE ESPÉCIES'!B:H,7,FALSE()),IF(AND(A607=0,B607=0,C607&lt;&gt;0),VLOOKUP(C607,'3 - LISTA DE ESPÉCIES'!C:H,6,FALSE()))))</f>
        <v>0</v>
      </c>
      <c r="H607" s="21" t="b">
        <f>IF(AND(A607&lt;&gt;0,B607=0,C607=0),VLOOKUP(A607,'3 - LISTA DE ESPÉCIES'!A:H,4,FALSE()),IF(AND(A607=0,B607&lt;&gt;0,C607=0),VLOOKUP(B607,'3 - LISTA DE ESPÉCIES'!B:H,3,FALSE()),IF(AND(A607=0,B607=0,C607&lt;&gt;0),VLOOKUP(C607,'3 - LISTA DE ESPÉCIES'!C:H,2,FALSE()))))</f>
        <v>0</v>
      </c>
      <c r="I607" s="21" t="b">
        <f>IF(AND(A607&lt;&gt;0,B607=0,C607=0),VLOOKUP(A607,'3 - LISTA DE ESPÉCIES'!A:H,5,FALSE()),IF(AND(A607=0,B607&lt;&gt;0,C607=0),VLOOKUP(B607,'3 - LISTA DE ESPÉCIES'!B:H,4,FALSE()),IF(AND(A607=0,B607=0,C607&lt;&gt;0),VLOOKUP(C607,'3 - LISTA DE ESPÉCIES'!C:H,3,FALSE()))))</f>
        <v>0</v>
      </c>
      <c r="J607" s="23"/>
      <c r="K607" s="23"/>
      <c r="L607" s="20"/>
      <c r="M607" s="20"/>
    </row>
    <row r="608" spans="1:13" x14ac:dyDescent="0.25">
      <c r="A608" s="20"/>
      <c r="B608" s="20"/>
      <c r="C608" s="20"/>
      <c r="E608" s="21" t="b">
        <f>IF(AND(A608&lt;&gt;0,B608=0,C608=0),VLOOKUP(A608,'3 - LISTA DE ESPÉCIES'!A:H,1,FALSE()),IF(AND(A608=0,B608&lt;&gt;0,C608=0),VLOOKUP(B608,'3 - LISTA DE ESPÉCIES'!B:H,5,FALSE()),IF(AND(A608=0,B608=0,C608&lt;&gt;0),VLOOKUP(C608,'3 - LISTA DE ESPÉCIES'!C:H,4,FALSE()))))</f>
        <v>0</v>
      </c>
      <c r="F608" s="21" t="b">
        <f>IF(AND(A608&lt;&gt;0,B608=0,C608=0),VLOOKUP(A608,'3 - LISTA DE ESPÉCIES'!A:H,2,FALSE()),IF(AND(A608=0,B608&lt;&gt;0,C608=0),VLOOKUP(B608,'3 - LISTA DE ESPÉCIES'!B:H,6,FALSE()),IF(AND(A608=0,B608=0,C608&lt;&gt;0),VLOOKUP(C608,'3 - LISTA DE ESPÉCIES'!C:H,5,FALSE()))))</f>
        <v>0</v>
      </c>
      <c r="G608" s="21" t="b">
        <f>IF(AND(A608&lt;&gt;0,B608=0,C608=0),VLOOKUP(A608,'3 - LISTA DE ESPÉCIES'!A:H,3,FALSE()),IF(AND(A608=0,B608&lt;&gt;0,C608=0),VLOOKUP(B608,'3 - LISTA DE ESPÉCIES'!B:H,7,FALSE()),IF(AND(A608=0,B608=0,C608&lt;&gt;0),VLOOKUP(C608,'3 - LISTA DE ESPÉCIES'!C:H,6,FALSE()))))</f>
        <v>0</v>
      </c>
      <c r="H608" s="21" t="b">
        <f>IF(AND(A608&lt;&gt;0,B608=0,C608=0),VLOOKUP(A608,'3 - LISTA DE ESPÉCIES'!A:H,4,FALSE()),IF(AND(A608=0,B608&lt;&gt;0,C608=0),VLOOKUP(B608,'3 - LISTA DE ESPÉCIES'!B:H,3,FALSE()),IF(AND(A608=0,B608=0,C608&lt;&gt;0),VLOOKUP(C608,'3 - LISTA DE ESPÉCIES'!C:H,2,FALSE()))))</f>
        <v>0</v>
      </c>
      <c r="I608" s="21" t="b">
        <f>IF(AND(A608&lt;&gt;0,B608=0,C608=0),VLOOKUP(A608,'3 - LISTA DE ESPÉCIES'!A:H,5,FALSE()),IF(AND(A608=0,B608&lt;&gt;0,C608=0),VLOOKUP(B608,'3 - LISTA DE ESPÉCIES'!B:H,4,FALSE()),IF(AND(A608=0,B608=0,C608&lt;&gt;0),VLOOKUP(C608,'3 - LISTA DE ESPÉCIES'!C:H,3,FALSE()))))</f>
        <v>0</v>
      </c>
      <c r="J608" s="23"/>
      <c r="K608" s="23"/>
      <c r="L608" s="20"/>
      <c r="M608" s="20"/>
    </row>
    <row r="609" spans="1:13" x14ac:dyDescent="0.25">
      <c r="A609" s="20"/>
      <c r="B609" s="20"/>
      <c r="C609" s="20"/>
      <c r="E609" s="21" t="b">
        <f>IF(AND(A609&lt;&gt;0,B609=0,C609=0),VLOOKUP(A609,'3 - LISTA DE ESPÉCIES'!A:H,1,FALSE()),IF(AND(A609=0,B609&lt;&gt;0,C609=0),VLOOKUP(B609,'3 - LISTA DE ESPÉCIES'!B:H,5,FALSE()),IF(AND(A609=0,B609=0,C609&lt;&gt;0),VLOOKUP(C609,'3 - LISTA DE ESPÉCIES'!C:H,4,FALSE()))))</f>
        <v>0</v>
      </c>
      <c r="F609" s="21" t="b">
        <f>IF(AND(A609&lt;&gt;0,B609=0,C609=0),VLOOKUP(A609,'3 - LISTA DE ESPÉCIES'!A:H,2,FALSE()),IF(AND(A609=0,B609&lt;&gt;0,C609=0),VLOOKUP(B609,'3 - LISTA DE ESPÉCIES'!B:H,6,FALSE()),IF(AND(A609=0,B609=0,C609&lt;&gt;0),VLOOKUP(C609,'3 - LISTA DE ESPÉCIES'!C:H,5,FALSE()))))</f>
        <v>0</v>
      </c>
      <c r="G609" s="21" t="b">
        <f>IF(AND(A609&lt;&gt;0,B609=0,C609=0),VLOOKUP(A609,'3 - LISTA DE ESPÉCIES'!A:H,3,FALSE()),IF(AND(A609=0,B609&lt;&gt;0,C609=0),VLOOKUP(B609,'3 - LISTA DE ESPÉCIES'!B:H,7,FALSE()),IF(AND(A609=0,B609=0,C609&lt;&gt;0),VLOOKUP(C609,'3 - LISTA DE ESPÉCIES'!C:H,6,FALSE()))))</f>
        <v>0</v>
      </c>
      <c r="H609" s="21" t="b">
        <f>IF(AND(A609&lt;&gt;0,B609=0,C609=0),VLOOKUP(A609,'3 - LISTA DE ESPÉCIES'!A:H,4,FALSE()),IF(AND(A609=0,B609&lt;&gt;0,C609=0),VLOOKUP(B609,'3 - LISTA DE ESPÉCIES'!B:H,3,FALSE()),IF(AND(A609=0,B609=0,C609&lt;&gt;0),VLOOKUP(C609,'3 - LISTA DE ESPÉCIES'!C:H,2,FALSE()))))</f>
        <v>0</v>
      </c>
      <c r="I609" s="21" t="b">
        <f>IF(AND(A609&lt;&gt;0,B609=0,C609=0),VLOOKUP(A609,'3 - LISTA DE ESPÉCIES'!A:H,5,FALSE()),IF(AND(A609=0,B609&lt;&gt;0,C609=0),VLOOKUP(B609,'3 - LISTA DE ESPÉCIES'!B:H,4,FALSE()),IF(AND(A609=0,B609=0,C609&lt;&gt;0),VLOOKUP(C609,'3 - LISTA DE ESPÉCIES'!C:H,3,FALSE()))))</f>
        <v>0</v>
      </c>
      <c r="J609" s="23"/>
      <c r="K609" s="23"/>
      <c r="L609" s="20"/>
      <c r="M609" s="20"/>
    </row>
    <row r="610" spans="1:13" x14ac:dyDescent="0.25">
      <c r="A610" s="20"/>
      <c r="B610" s="20"/>
      <c r="C610" s="20"/>
      <c r="E610" s="21" t="b">
        <f>IF(AND(A610&lt;&gt;0,B610=0,C610=0),VLOOKUP(A610,'3 - LISTA DE ESPÉCIES'!A:H,1,FALSE()),IF(AND(A610=0,B610&lt;&gt;0,C610=0),VLOOKUP(B610,'3 - LISTA DE ESPÉCIES'!B:H,5,FALSE()),IF(AND(A610=0,B610=0,C610&lt;&gt;0),VLOOKUP(C610,'3 - LISTA DE ESPÉCIES'!C:H,4,FALSE()))))</f>
        <v>0</v>
      </c>
      <c r="F610" s="21" t="b">
        <f>IF(AND(A610&lt;&gt;0,B610=0,C610=0),VLOOKUP(A610,'3 - LISTA DE ESPÉCIES'!A:H,2,FALSE()),IF(AND(A610=0,B610&lt;&gt;0,C610=0),VLOOKUP(B610,'3 - LISTA DE ESPÉCIES'!B:H,6,FALSE()),IF(AND(A610=0,B610=0,C610&lt;&gt;0),VLOOKUP(C610,'3 - LISTA DE ESPÉCIES'!C:H,5,FALSE()))))</f>
        <v>0</v>
      </c>
      <c r="G610" s="21" t="b">
        <f>IF(AND(A610&lt;&gt;0,B610=0,C610=0),VLOOKUP(A610,'3 - LISTA DE ESPÉCIES'!A:H,3,FALSE()),IF(AND(A610=0,B610&lt;&gt;0,C610=0),VLOOKUP(B610,'3 - LISTA DE ESPÉCIES'!B:H,7,FALSE()),IF(AND(A610=0,B610=0,C610&lt;&gt;0),VLOOKUP(C610,'3 - LISTA DE ESPÉCIES'!C:H,6,FALSE()))))</f>
        <v>0</v>
      </c>
      <c r="H610" s="21" t="b">
        <f>IF(AND(A610&lt;&gt;0,B610=0,C610=0),VLOOKUP(A610,'3 - LISTA DE ESPÉCIES'!A:H,4,FALSE()),IF(AND(A610=0,B610&lt;&gt;0,C610=0),VLOOKUP(B610,'3 - LISTA DE ESPÉCIES'!B:H,3,FALSE()),IF(AND(A610=0,B610=0,C610&lt;&gt;0),VLOOKUP(C610,'3 - LISTA DE ESPÉCIES'!C:H,2,FALSE()))))</f>
        <v>0</v>
      </c>
      <c r="I610" s="21" t="b">
        <f>IF(AND(A610&lt;&gt;0,B610=0,C610=0),VLOOKUP(A610,'3 - LISTA DE ESPÉCIES'!A:H,5,FALSE()),IF(AND(A610=0,B610&lt;&gt;0,C610=0),VLOOKUP(B610,'3 - LISTA DE ESPÉCIES'!B:H,4,FALSE()),IF(AND(A610=0,B610=0,C610&lt;&gt;0),VLOOKUP(C610,'3 - LISTA DE ESPÉCIES'!C:H,3,FALSE()))))</f>
        <v>0</v>
      </c>
      <c r="J610" s="23"/>
      <c r="K610" s="23"/>
      <c r="L610" s="20"/>
      <c r="M610" s="20"/>
    </row>
    <row r="611" spans="1:13" x14ac:dyDescent="0.25">
      <c r="A611" s="20"/>
      <c r="B611" s="20"/>
      <c r="C611" s="20"/>
      <c r="E611" s="21" t="b">
        <f>IF(AND(A611&lt;&gt;0,B611=0,C611=0),VLOOKUP(A611,'3 - LISTA DE ESPÉCIES'!A:H,1,FALSE()),IF(AND(A611=0,B611&lt;&gt;0,C611=0),VLOOKUP(B611,'3 - LISTA DE ESPÉCIES'!B:H,5,FALSE()),IF(AND(A611=0,B611=0,C611&lt;&gt;0),VLOOKUP(C611,'3 - LISTA DE ESPÉCIES'!C:H,4,FALSE()))))</f>
        <v>0</v>
      </c>
      <c r="F611" s="21" t="b">
        <f>IF(AND(A611&lt;&gt;0,B611=0,C611=0),VLOOKUP(A611,'3 - LISTA DE ESPÉCIES'!A:H,2,FALSE()),IF(AND(A611=0,B611&lt;&gt;0,C611=0),VLOOKUP(B611,'3 - LISTA DE ESPÉCIES'!B:H,6,FALSE()),IF(AND(A611=0,B611=0,C611&lt;&gt;0),VLOOKUP(C611,'3 - LISTA DE ESPÉCIES'!C:H,5,FALSE()))))</f>
        <v>0</v>
      </c>
      <c r="G611" s="21" t="b">
        <f>IF(AND(A611&lt;&gt;0,B611=0,C611=0),VLOOKUP(A611,'3 - LISTA DE ESPÉCIES'!A:H,3,FALSE()),IF(AND(A611=0,B611&lt;&gt;0,C611=0),VLOOKUP(B611,'3 - LISTA DE ESPÉCIES'!B:H,7,FALSE()),IF(AND(A611=0,B611=0,C611&lt;&gt;0),VLOOKUP(C611,'3 - LISTA DE ESPÉCIES'!C:H,6,FALSE()))))</f>
        <v>0</v>
      </c>
      <c r="H611" s="21" t="b">
        <f>IF(AND(A611&lt;&gt;0,B611=0,C611=0),VLOOKUP(A611,'3 - LISTA DE ESPÉCIES'!A:H,4,FALSE()),IF(AND(A611=0,B611&lt;&gt;0,C611=0),VLOOKUP(B611,'3 - LISTA DE ESPÉCIES'!B:H,3,FALSE()),IF(AND(A611=0,B611=0,C611&lt;&gt;0),VLOOKUP(C611,'3 - LISTA DE ESPÉCIES'!C:H,2,FALSE()))))</f>
        <v>0</v>
      </c>
      <c r="I611" s="21" t="b">
        <f>IF(AND(A611&lt;&gt;0,B611=0,C611=0),VLOOKUP(A611,'3 - LISTA DE ESPÉCIES'!A:H,5,FALSE()),IF(AND(A611=0,B611&lt;&gt;0,C611=0),VLOOKUP(B611,'3 - LISTA DE ESPÉCIES'!B:H,4,FALSE()),IF(AND(A611=0,B611=0,C611&lt;&gt;0),VLOOKUP(C611,'3 - LISTA DE ESPÉCIES'!C:H,3,FALSE()))))</f>
        <v>0</v>
      </c>
      <c r="J611" s="23"/>
      <c r="K611" s="23"/>
      <c r="L611" s="20"/>
      <c r="M611" s="20"/>
    </row>
    <row r="612" spans="1:13" x14ac:dyDescent="0.25">
      <c r="A612" s="20"/>
      <c r="B612" s="20"/>
      <c r="C612" s="20"/>
      <c r="E612" s="21" t="b">
        <f>IF(AND(A612&lt;&gt;0,B612=0,C612=0),VLOOKUP(A612,'3 - LISTA DE ESPÉCIES'!A:H,1,FALSE()),IF(AND(A612=0,B612&lt;&gt;0,C612=0),VLOOKUP(B612,'3 - LISTA DE ESPÉCIES'!B:H,5,FALSE()),IF(AND(A612=0,B612=0,C612&lt;&gt;0),VLOOKUP(C612,'3 - LISTA DE ESPÉCIES'!C:H,4,FALSE()))))</f>
        <v>0</v>
      </c>
      <c r="F612" s="21" t="b">
        <f>IF(AND(A612&lt;&gt;0,B612=0,C612=0),VLOOKUP(A612,'3 - LISTA DE ESPÉCIES'!A:H,2,FALSE()),IF(AND(A612=0,B612&lt;&gt;0,C612=0),VLOOKUP(B612,'3 - LISTA DE ESPÉCIES'!B:H,6,FALSE()),IF(AND(A612=0,B612=0,C612&lt;&gt;0),VLOOKUP(C612,'3 - LISTA DE ESPÉCIES'!C:H,5,FALSE()))))</f>
        <v>0</v>
      </c>
      <c r="G612" s="21" t="b">
        <f>IF(AND(A612&lt;&gt;0,B612=0,C612=0),VLOOKUP(A612,'3 - LISTA DE ESPÉCIES'!A:H,3,FALSE()),IF(AND(A612=0,B612&lt;&gt;0,C612=0),VLOOKUP(B612,'3 - LISTA DE ESPÉCIES'!B:H,7,FALSE()),IF(AND(A612=0,B612=0,C612&lt;&gt;0),VLOOKUP(C612,'3 - LISTA DE ESPÉCIES'!C:H,6,FALSE()))))</f>
        <v>0</v>
      </c>
      <c r="H612" s="21" t="b">
        <f>IF(AND(A612&lt;&gt;0,B612=0,C612=0),VLOOKUP(A612,'3 - LISTA DE ESPÉCIES'!A:H,4,FALSE()),IF(AND(A612=0,B612&lt;&gt;0,C612=0),VLOOKUP(B612,'3 - LISTA DE ESPÉCIES'!B:H,3,FALSE()),IF(AND(A612=0,B612=0,C612&lt;&gt;0),VLOOKUP(C612,'3 - LISTA DE ESPÉCIES'!C:H,2,FALSE()))))</f>
        <v>0</v>
      </c>
      <c r="I612" s="21" t="b">
        <f>IF(AND(A612&lt;&gt;0,B612=0,C612=0),VLOOKUP(A612,'3 - LISTA DE ESPÉCIES'!A:H,5,FALSE()),IF(AND(A612=0,B612&lt;&gt;0,C612=0),VLOOKUP(B612,'3 - LISTA DE ESPÉCIES'!B:H,4,FALSE()),IF(AND(A612=0,B612=0,C612&lt;&gt;0),VLOOKUP(C612,'3 - LISTA DE ESPÉCIES'!C:H,3,FALSE()))))</f>
        <v>0</v>
      </c>
      <c r="J612" s="23"/>
      <c r="K612" s="23"/>
      <c r="L612" s="20"/>
      <c r="M612" s="20"/>
    </row>
    <row r="613" spans="1:13" x14ac:dyDescent="0.25">
      <c r="A613" s="20"/>
      <c r="B613" s="20"/>
      <c r="C613" s="20"/>
      <c r="E613" s="21" t="b">
        <f>IF(AND(A613&lt;&gt;0,B613=0,C613=0),VLOOKUP(A613,'3 - LISTA DE ESPÉCIES'!A:H,1,FALSE()),IF(AND(A613=0,B613&lt;&gt;0,C613=0),VLOOKUP(B613,'3 - LISTA DE ESPÉCIES'!B:H,5,FALSE()),IF(AND(A613=0,B613=0,C613&lt;&gt;0),VLOOKUP(C613,'3 - LISTA DE ESPÉCIES'!C:H,4,FALSE()))))</f>
        <v>0</v>
      </c>
      <c r="F613" s="21" t="b">
        <f>IF(AND(A613&lt;&gt;0,B613=0,C613=0),VLOOKUP(A613,'3 - LISTA DE ESPÉCIES'!A:H,2,FALSE()),IF(AND(A613=0,B613&lt;&gt;0,C613=0),VLOOKUP(B613,'3 - LISTA DE ESPÉCIES'!B:H,6,FALSE()),IF(AND(A613=0,B613=0,C613&lt;&gt;0),VLOOKUP(C613,'3 - LISTA DE ESPÉCIES'!C:H,5,FALSE()))))</f>
        <v>0</v>
      </c>
      <c r="G613" s="21" t="b">
        <f>IF(AND(A613&lt;&gt;0,B613=0,C613=0),VLOOKUP(A613,'3 - LISTA DE ESPÉCIES'!A:H,3,FALSE()),IF(AND(A613=0,B613&lt;&gt;0,C613=0),VLOOKUP(B613,'3 - LISTA DE ESPÉCIES'!B:H,7,FALSE()),IF(AND(A613=0,B613=0,C613&lt;&gt;0),VLOOKUP(C613,'3 - LISTA DE ESPÉCIES'!C:H,6,FALSE()))))</f>
        <v>0</v>
      </c>
      <c r="H613" s="21" t="b">
        <f>IF(AND(A613&lt;&gt;0,B613=0,C613=0),VLOOKUP(A613,'3 - LISTA DE ESPÉCIES'!A:H,4,FALSE()),IF(AND(A613=0,B613&lt;&gt;0,C613=0),VLOOKUP(B613,'3 - LISTA DE ESPÉCIES'!B:H,3,FALSE()),IF(AND(A613=0,B613=0,C613&lt;&gt;0),VLOOKUP(C613,'3 - LISTA DE ESPÉCIES'!C:H,2,FALSE()))))</f>
        <v>0</v>
      </c>
      <c r="I613" s="21" t="b">
        <f>IF(AND(A613&lt;&gt;0,B613=0,C613=0),VLOOKUP(A613,'3 - LISTA DE ESPÉCIES'!A:H,5,FALSE()),IF(AND(A613=0,B613&lt;&gt;0,C613=0),VLOOKUP(B613,'3 - LISTA DE ESPÉCIES'!B:H,4,FALSE()),IF(AND(A613=0,B613=0,C613&lt;&gt;0),VLOOKUP(C613,'3 - LISTA DE ESPÉCIES'!C:H,3,FALSE()))))</f>
        <v>0</v>
      </c>
      <c r="J613" s="23"/>
      <c r="K613" s="23"/>
      <c r="L613" s="20"/>
      <c r="M613" s="20"/>
    </row>
    <row r="614" spans="1:13" x14ac:dyDescent="0.25">
      <c r="A614" s="20"/>
      <c r="B614" s="20"/>
      <c r="C614" s="20"/>
      <c r="E614" s="21" t="b">
        <f>IF(AND(A614&lt;&gt;0,B614=0,C614=0),VLOOKUP(A614,'3 - LISTA DE ESPÉCIES'!A:H,1,FALSE()),IF(AND(A614=0,B614&lt;&gt;0,C614=0),VLOOKUP(B614,'3 - LISTA DE ESPÉCIES'!B:H,5,FALSE()),IF(AND(A614=0,B614=0,C614&lt;&gt;0),VLOOKUP(C614,'3 - LISTA DE ESPÉCIES'!C:H,4,FALSE()))))</f>
        <v>0</v>
      </c>
      <c r="F614" s="21" t="b">
        <f>IF(AND(A614&lt;&gt;0,B614=0,C614=0),VLOOKUP(A614,'3 - LISTA DE ESPÉCIES'!A:H,2,FALSE()),IF(AND(A614=0,B614&lt;&gt;0,C614=0),VLOOKUP(B614,'3 - LISTA DE ESPÉCIES'!B:H,6,FALSE()),IF(AND(A614=0,B614=0,C614&lt;&gt;0),VLOOKUP(C614,'3 - LISTA DE ESPÉCIES'!C:H,5,FALSE()))))</f>
        <v>0</v>
      </c>
      <c r="G614" s="21" t="b">
        <f>IF(AND(A614&lt;&gt;0,B614=0,C614=0),VLOOKUP(A614,'3 - LISTA DE ESPÉCIES'!A:H,3,FALSE()),IF(AND(A614=0,B614&lt;&gt;0,C614=0),VLOOKUP(B614,'3 - LISTA DE ESPÉCIES'!B:H,7,FALSE()),IF(AND(A614=0,B614=0,C614&lt;&gt;0),VLOOKUP(C614,'3 - LISTA DE ESPÉCIES'!C:H,6,FALSE()))))</f>
        <v>0</v>
      </c>
      <c r="H614" s="21" t="b">
        <f>IF(AND(A614&lt;&gt;0,B614=0,C614=0),VLOOKUP(A614,'3 - LISTA DE ESPÉCIES'!A:H,4,FALSE()),IF(AND(A614=0,B614&lt;&gt;0,C614=0),VLOOKUP(B614,'3 - LISTA DE ESPÉCIES'!B:H,3,FALSE()),IF(AND(A614=0,B614=0,C614&lt;&gt;0),VLOOKUP(C614,'3 - LISTA DE ESPÉCIES'!C:H,2,FALSE()))))</f>
        <v>0</v>
      </c>
      <c r="I614" s="21" t="b">
        <f>IF(AND(A614&lt;&gt;0,B614=0,C614=0),VLOOKUP(A614,'3 - LISTA DE ESPÉCIES'!A:H,5,FALSE()),IF(AND(A614=0,B614&lt;&gt;0,C614=0),VLOOKUP(B614,'3 - LISTA DE ESPÉCIES'!B:H,4,FALSE()),IF(AND(A614=0,B614=0,C614&lt;&gt;0),VLOOKUP(C614,'3 - LISTA DE ESPÉCIES'!C:H,3,FALSE()))))</f>
        <v>0</v>
      </c>
      <c r="J614" s="23"/>
      <c r="K614" s="23"/>
      <c r="L614" s="20"/>
      <c r="M614" s="20"/>
    </row>
    <row r="615" spans="1:13" x14ac:dyDescent="0.25">
      <c r="A615" s="20"/>
      <c r="B615" s="20"/>
      <c r="C615" s="20"/>
      <c r="E615" s="21" t="b">
        <f>IF(AND(A615&lt;&gt;0,B615=0,C615=0),VLOOKUP(A615,'3 - LISTA DE ESPÉCIES'!A:H,1,FALSE()),IF(AND(A615=0,B615&lt;&gt;0,C615=0),VLOOKUP(B615,'3 - LISTA DE ESPÉCIES'!B:H,5,FALSE()),IF(AND(A615=0,B615=0,C615&lt;&gt;0),VLOOKUP(C615,'3 - LISTA DE ESPÉCIES'!C:H,4,FALSE()))))</f>
        <v>0</v>
      </c>
      <c r="F615" s="21" t="b">
        <f>IF(AND(A615&lt;&gt;0,B615=0,C615=0),VLOOKUP(A615,'3 - LISTA DE ESPÉCIES'!A:H,2,FALSE()),IF(AND(A615=0,B615&lt;&gt;0,C615=0),VLOOKUP(B615,'3 - LISTA DE ESPÉCIES'!B:H,6,FALSE()),IF(AND(A615=0,B615=0,C615&lt;&gt;0),VLOOKUP(C615,'3 - LISTA DE ESPÉCIES'!C:H,5,FALSE()))))</f>
        <v>0</v>
      </c>
      <c r="G615" s="21" t="b">
        <f>IF(AND(A615&lt;&gt;0,B615=0,C615=0),VLOOKUP(A615,'3 - LISTA DE ESPÉCIES'!A:H,3,FALSE()),IF(AND(A615=0,B615&lt;&gt;0,C615=0),VLOOKUP(B615,'3 - LISTA DE ESPÉCIES'!B:H,7,FALSE()),IF(AND(A615=0,B615=0,C615&lt;&gt;0),VLOOKUP(C615,'3 - LISTA DE ESPÉCIES'!C:H,6,FALSE()))))</f>
        <v>0</v>
      </c>
      <c r="H615" s="21" t="b">
        <f>IF(AND(A615&lt;&gt;0,B615=0,C615=0),VLOOKUP(A615,'3 - LISTA DE ESPÉCIES'!A:H,4,FALSE()),IF(AND(A615=0,B615&lt;&gt;0,C615=0),VLOOKUP(B615,'3 - LISTA DE ESPÉCIES'!B:H,3,FALSE()),IF(AND(A615=0,B615=0,C615&lt;&gt;0),VLOOKUP(C615,'3 - LISTA DE ESPÉCIES'!C:H,2,FALSE()))))</f>
        <v>0</v>
      </c>
      <c r="I615" s="21" t="b">
        <f>IF(AND(A615&lt;&gt;0,B615=0,C615=0),VLOOKUP(A615,'3 - LISTA DE ESPÉCIES'!A:H,5,FALSE()),IF(AND(A615=0,B615&lt;&gt;0,C615=0),VLOOKUP(B615,'3 - LISTA DE ESPÉCIES'!B:H,4,FALSE()),IF(AND(A615=0,B615=0,C615&lt;&gt;0),VLOOKUP(C615,'3 - LISTA DE ESPÉCIES'!C:H,3,FALSE()))))</f>
        <v>0</v>
      </c>
      <c r="J615" s="23"/>
      <c r="K615" s="23"/>
      <c r="L615" s="20"/>
      <c r="M615" s="20"/>
    </row>
    <row r="616" spans="1:13" x14ac:dyDescent="0.25">
      <c r="A616" s="20"/>
      <c r="B616" s="20"/>
      <c r="C616" s="20"/>
      <c r="E616" s="21" t="b">
        <f>IF(AND(A616&lt;&gt;0,B616=0,C616=0),VLOOKUP(A616,'3 - LISTA DE ESPÉCIES'!A:H,1,FALSE()),IF(AND(A616=0,B616&lt;&gt;0,C616=0),VLOOKUP(B616,'3 - LISTA DE ESPÉCIES'!B:H,5,FALSE()),IF(AND(A616=0,B616=0,C616&lt;&gt;0),VLOOKUP(C616,'3 - LISTA DE ESPÉCIES'!C:H,4,FALSE()))))</f>
        <v>0</v>
      </c>
      <c r="F616" s="21" t="b">
        <f>IF(AND(A616&lt;&gt;0,B616=0,C616=0),VLOOKUP(A616,'3 - LISTA DE ESPÉCIES'!A:H,2,FALSE()),IF(AND(A616=0,B616&lt;&gt;0,C616=0),VLOOKUP(B616,'3 - LISTA DE ESPÉCIES'!B:H,6,FALSE()),IF(AND(A616=0,B616=0,C616&lt;&gt;0),VLOOKUP(C616,'3 - LISTA DE ESPÉCIES'!C:H,5,FALSE()))))</f>
        <v>0</v>
      </c>
      <c r="G616" s="21" t="b">
        <f>IF(AND(A616&lt;&gt;0,B616=0,C616=0),VLOOKUP(A616,'3 - LISTA DE ESPÉCIES'!A:H,3,FALSE()),IF(AND(A616=0,B616&lt;&gt;0,C616=0),VLOOKUP(B616,'3 - LISTA DE ESPÉCIES'!B:H,7,FALSE()),IF(AND(A616=0,B616=0,C616&lt;&gt;0),VLOOKUP(C616,'3 - LISTA DE ESPÉCIES'!C:H,6,FALSE()))))</f>
        <v>0</v>
      </c>
      <c r="H616" s="21" t="b">
        <f>IF(AND(A616&lt;&gt;0,B616=0,C616=0),VLOOKUP(A616,'3 - LISTA DE ESPÉCIES'!A:H,4,FALSE()),IF(AND(A616=0,B616&lt;&gt;0,C616=0),VLOOKUP(B616,'3 - LISTA DE ESPÉCIES'!B:H,3,FALSE()),IF(AND(A616=0,B616=0,C616&lt;&gt;0),VLOOKUP(C616,'3 - LISTA DE ESPÉCIES'!C:H,2,FALSE()))))</f>
        <v>0</v>
      </c>
      <c r="I616" s="21" t="b">
        <f>IF(AND(A616&lt;&gt;0,B616=0,C616=0),VLOOKUP(A616,'3 - LISTA DE ESPÉCIES'!A:H,5,FALSE()),IF(AND(A616=0,B616&lt;&gt;0,C616=0),VLOOKUP(B616,'3 - LISTA DE ESPÉCIES'!B:H,4,FALSE()),IF(AND(A616=0,B616=0,C616&lt;&gt;0),VLOOKUP(C616,'3 - LISTA DE ESPÉCIES'!C:H,3,FALSE()))))</f>
        <v>0</v>
      </c>
      <c r="J616" s="23"/>
      <c r="K616" s="23"/>
      <c r="L616" s="20"/>
      <c r="M616" s="20"/>
    </row>
    <row r="617" spans="1:13" x14ac:dyDescent="0.25">
      <c r="A617" s="20"/>
      <c r="B617" s="20"/>
      <c r="C617" s="20"/>
      <c r="E617" s="21" t="b">
        <f>IF(AND(A617&lt;&gt;0,B617=0,C617=0),VLOOKUP(A617,'3 - LISTA DE ESPÉCIES'!A:H,1,FALSE()),IF(AND(A617=0,B617&lt;&gt;0,C617=0),VLOOKUP(B617,'3 - LISTA DE ESPÉCIES'!B:H,5,FALSE()),IF(AND(A617=0,B617=0,C617&lt;&gt;0),VLOOKUP(C617,'3 - LISTA DE ESPÉCIES'!C:H,4,FALSE()))))</f>
        <v>0</v>
      </c>
      <c r="F617" s="21" t="b">
        <f>IF(AND(A617&lt;&gt;0,B617=0,C617=0),VLOOKUP(A617,'3 - LISTA DE ESPÉCIES'!A:H,2,FALSE()),IF(AND(A617=0,B617&lt;&gt;0,C617=0),VLOOKUP(B617,'3 - LISTA DE ESPÉCIES'!B:H,6,FALSE()),IF(AND(A617=0,B617=0,C617&lt;&gt;0),VLOOKUP(C617,'3 - LISTA DE ESPÉCIES'!C:H,5,FALSE()))))</f>
        <v>0</v>
      </c>
      <c r="G617" s="21" t="b">
        <f>IF(AND(A617&lt;&gt;0,B617=0,C617=0),VLOOKUP(A617,'3 - LISTA DE ESPÉCIES'!A:H,3,FALSE()),IF(AND(A617=0,B617&lt;&gt;0,C617=0),VLOOKUP(B617,'3 - LISTA DE ESPÉCIES'!B:H,7,FALSE()),IF(AND(A617=0,B617=0,C617&lt;&gt;0),VLOOKUP(C617,'3 - LISTA DE ESPÉCIES'!C:H,6,FALSE()))))</f>
        <v>0</v>
      </c>
      <c r="H617" s="21" t="b">
        <f>IF(AND(A617&lt;&gt;0,B617=0,C617=0),VLOOKUP(A617,'3 - LISTA DE ESPÉCIES'!A:H,4,FALSE()),IF(AND(A617=0,B617&lt;&gt;0,C617=0),VLOOKUP(B617,'3 - LISTA DE ESPÉCIES'!B:H,3,FALSE()),IF(AND(A617=0,B617=0,C617&lt;&gt;0),VLOOKUP(C617,'3 - LISTA DE ESPÉCIES'!C:H,2,FALSE()))))</f>
        <v>0</v>
      </c>
      <c r="I617" s="21" t="b">
        <f>IF(AND(A617&lt;&gt;0,B617=0,C617=0),VLOOKUP(A617,'3 - LISTA DE ESPÉCIES'!A:H,5,FALSE()),IF(AND(A617=0,B617&lt;&gt;0,C617=0),VLOOKUP(B617,'3 - LISTA DE ESPÉCIES'!B:H,4,FALSE()),IF(AND(A617=0,B617=0,C617&lt;&gt;0),VLOOKUP(C617,'3 - LISTA DE ESPÉCIES'!C:H,3,FALSE()))))</f>
        <v>0</v>
      </c>
      <c r="J617" s="23"/>
      <c r="K617" s="23"/>
      <c r="L617" s="20"/>
      <c r="M617" s="20"/>
    </row>
    <row r="618" spans="1:13" x14ac:dyDescent="0.25">
      <c r="A618" s="20"/>
      <c r="B618" s="20"/>
      <c r="C618" s="20"/>
      <c r="E618" s="21" t="b">
        <f>IF(AND(A618&lt;&gt;0,B618=0,C618=0),VLOOKUP(A618,'3 - LISTA DE ESPÉCIES'!A:H,1,FALSE()),IF(AND(A618=0,B618&lt;&gt;0,C618=0),VLOOKUP(B618,'3 - LISTA DE ESPÉCIES'!B:H,5,FALSE()),IF(AND(A618=0,B618=0,C618&lt;&gt;0),VLOOKUP(C618,'3 - LISTA DE ESPÉCIES'!C:H,4,FALSE()))))</f>
        <v>0</v>
      </c>
      <c r="F618" s="21" t="b">
        <f>IF(AND(A618&lt;&gt;0,B618=0,C618=0),VLOOKUP(A618,'3 - LISTA DE ESPÉCIES'!A:H,2,FALSE()),IF(AND(A618=0,B618&lt;&gt;0,C618=0),VLOOKUP(B618,'3 - LISTA DE ESPÉCIES'!B:H,6,FALSE()),IF(AND(A618=0,B618=0,C618&lt;&gt;0),VLOOKUP(C618,'3 - LISTA DE ESPÉCIES'!C:H,5,FALSE()))))</f>
        <v>0</v>
      </c>
      <c r="G618" s="21" t="b">
        <f>IF(AND(A618&lt;&gt;0,B618=0,C618=0),VLOOKUP(A618,'3 - LISTA DE ESPÉCIES'!A:H,3,FALSE()),IF(AND(A618=0,B618&lt;&gt;0,C618=0),VLOOKUP(B618,'3 - LISTA DE ESPÉCIES'!B:H,7,FALSE()),IF(AND(A618=0,B618=0,C618&lt;&gt;0),VLOOKUP(C618,'3 - LISTA DE ESPÉCIES'!C:H,6,FALSE()))))</f>
        <v>0</v>
      </c>
      <c r="H618" s="21" t="b">
        <f>IF(AND(A618&lt;&gt;0,B618=0,C618=0),VLOOKUP(A618,'3 - LISTA DE ESPÉCIES'!A:H,4,FALSE()),IF(AND(A618=0,B618&lt;&gt;0,C618=0),VLOOKUP(B618,'3 - LISTA DE ESPÉCIES'!B:H,3,FALSE()),IF(AND(A618=0,B618=0,C618&lt;&gt;0),VLOOKUP(C618,'3 - LISTA DE ESPÉCIES'!C:H,2,FALSE()))))</f>
        <v>0</v>
      </c>
      <c r="I618" s="21" t="b">
        <f>IF(AND(A618&lt;&gt;0,B618=0,C618=0),VLOOKUP(A618,'3 - LISTA DE ESPÉCIES'!A:H,5,FALSE()),IF(AND(A618=0,B618&lt;&gt;0,C618=0),VLOOKUP(B618,'3 - LISTA DE ESPÉCIES'!B:H,4,FALSE()),IF(AND(A618=0,B618=0,C618&lt;&gt;0),VLOOKUP(C618,'3 - LISTA DE ESPÉCIES'!C:H,3,FALSE()))))</f>
        <v>0</v>
      </c>
      <c r="J618" s="23"/>
      <c r="K618" s="23"/>
      <c r="L618" s="20"/>
      <c r="M618" s="20"/>
    </row>
    <row r="619" spans="1:13" x14ac:dyDescent="0.25">
      <c r="A619" s="20"/>
      <c r="B619" s="20"/>
      <c r="C619" s="20"/>
      <c r="E619" s="21" t="b">
        <f>IF(AND(A619&lt;&gt;0,B619=0,C619=0),VLOOKUP(A619,'3 - LISTA DE ESPÉCIES'!A:H,1,FALSE()),IF(AND(A619=0,B619&lt;&gt;0,C619=0),VLOOKUP(B619,'3 - LISTA DE ESPÉCIES'!B:H,5,FALSE()),IF(AND(A619=0,B619=0,C619&lt;&gt;0),VLOOKUP(C619,'3 - LISTA DE ESPÉCIES'!C:H,4,FALSE()))))</f>
        <v>0</v>
      </c>
      <c r="F619" s="21" t="b">
        <f>IF(AND(A619&lt;&gt;0,B619=0,C619=0),VLOOKUP(A619,'3 - LISTA DE ESPÉCIES'!A:H,2,FALSE()),IF(AND(A619=0,B619&lt;&gt;0,C619=0),VLOOKUP(B619,'3 - LISTA DE ESPÉCIES'!B:H,6,FALSE()),IF(AND(A619=0,B619=0,C619&lt;&gt;0),VLOOKUP(C619,'3 - LISTA DE ESPÉCIES'!C:H,5,FALSE()))))</f>
        <v>0</v>
      </c>
      <c r="G619" s="21" t="b">
        <f>IF(AND(A619&lt;&gt;0,B619=0,C619=0),VLOOKUP(A619,'3 - LISTA DE ESPÉCIES'!A:H,3,FALSE()),IF(AND(A619=0,B619&lt;&gt;0,C619=0),VLOOKUP(B619,'3 - LISTA DE ESPÉCIES'!B:H,7,FALSE()),IF(AND(A619=0,B619=0,C619&lt;&gt;0),VLOOKUP(C619,'3 - LISTA DE ESPÉCIES'!C:H,6,FALSE()))))</f>
        <v>0</v>
      </c>
      <c r="H619" s="21" t="b">
        <f>IF(AND(A619&lt;&gt;0,B619=0,C619=0),VLOOKUP(A619,'3 - LISTA DE ESPÉCIES'!A:H,4,FALSE()),IF(AND(A619=0,B619&lt;&gt;0,C619=0),VLOOKUP(B619,'3 - LISTA DE ESPÉCIES'!B:H,3,FALSE()),IF(AND(A619=0,B619=0,C619&lt;&gt;0),VLOOKUP(C619,'3 - LISTA DE ESPÉCIES'!C:H,2,FALSE()))))</f>
        <v>0</v>
      </c>
      <c r="I619" s="21" t="b">
        <f>IF(AND(A619&lt;&gt;0,B619=0,C619=0),VLOOKUP(A619,'3 - LISTA DE ESPÉCIES'!A:H,5,FALSE()),IF(AND(A619=0,B619&lt;&gt;0,C619=0),VLOOKUP(B619,'3 - LISTA DE ESPÉCIES'!B:H,4,FALSE()),IF(AND(A619=0,B619=0,C619&lt;&gt;0),VLOOKUP(C619,'3 - LISTA DE ESPÉCIES'!C:H,3,FALSE()))))</f>
        <v>0</v>
      </c>
      <c r="J619" s="23"/>
      <c r="K619" s="23"/>
      <c r="L619" s="20"/>
      <c r="M619" s="20"/>
    </row>
    <row r="620" spans="1:13" x14ac:dyDescent="0.25">
      <c r="A620" s="20"/>
      <c r="B620" s="20"/>
      <c r="C620" s="20"/>
      <c r="E620" s="21" t="b">
        <f>IF(AND(A620&lt;&gt;0,B620=0,C620=0),VLOOKUP(A620,'3 - LISTA DE ESPÉCIES'!A:H,1,FALSE()),IF(AND(A620=0,B620&lt;&gt;0,C620=0),VLOOKUP(B620,'3 - LISTA DE ESPÉCIES'!B:H,5,FALSE()),IF(AND(A620=0,B620=0,C620&lt;&gt;0),VLOOKUP(C620,'3 - LISTA DE ESPÉCIES'!C:H,4,FALSE()))))</f>
        <v>0</v>
      </c>
      <c r="F620" s="21" t="b">
        <f>IF(AND(A620&lt;&gt;0,B620=0,C620=0),VLOOKUP(A620,'3 - LISTA DE ESPÉCIES'!A:H,2,FALSE()),IF(AND(A620=0,B620&lt;&gt;0,C620=0),VLOOKUP(B620,'3 - LISTA DE ESPÉCIES'!B:H,6,FALSE()),IF(AND(A620=0,B620=0,C620&lt;&gt;0),VLOOKUP(C620,'3 - LISTA DE ESPÉCIES'!C:H,5,FALSE()))))</f>
        <v>0</v>
      </c>
      <c r="G620" s="21" t="b">
        <f>IF(AND(A620&lt;&gt;0,B620=0,C620=0),VLOOKUP(A620,'3 - LISTA DE ESPÉCIES'!A:H,3,FALSE()),IF(AND(A620=0,B620&lt;&gt;0,C620=0),VLOOKUP(B620,'3 - LISTA DE ESPÉCIES'!B:H,7,FALSE()),IF(AND(A620=0,B620=0,C620&lt;&gt;0),VLOOKUP(C620,'3 - LISTA DE ESPÉCIES'!C:H,6,FALSE()))))</f>
        <v>0</v>
      </c>
      <c r="H620" s="21" t="b">
        <f>IF(AND(A620&lt;&gt;0,B620=0,C620=0),VLOOKUP(A620,'3 - LISTA DE ESPÉCIES'!A:H,4,FALSE()),IF(AND(A620=0,B620&lt;&gt;0,C620=0),VLOOKUP(B620,'3 - LISTA DE ESPÉCIES'!B:H,3,FALSE()),IF(AND(A620=0,B620=0,C620&lt;&gt;0),VLOOKUP(C620,'3 - LISTA DE ESPÉCIES'!C:H,2,FALSE()))))</f>
        <v>0</v>
      </c>
      <c r="I620" s="21" t="b">
        <f>IF(AND(A620&lt;&gt;0,B620=0,C620=0),VLOOKUP(A620,'3 - LISTA DE ESPÉCIES'!A:H,5,FALSE()),IF(AND(A620=0,B620&lt;&gt;0,C620=0),VLOOKUP(B620,'3 - LISTA DE ESPÉCIES'!B:H,4,FALSE()),IF(AND(A620=0,B620=0,C620&lt;&gt;0),VLOOKUP(C620,'3 - LISTA DE ESPÉCIES'!C:H,3,FALSE()))))</f>
        <v>0</v>
      </c>
      <c r="J620" s="23"/>
      <c r="K620" s="23"/>
      <c r="L620" s="20"/>
      <c r="M620" s="20"/>
    </row>
    <row r="621" spans="1:13" x14ac:dyDescent="0.25">
      <c r="A621" s="20"/>
      <c r="B621" s="20"/>
      <c r="C621" s="20"/>
      <c r="E621" s="21" t="b">
        <f>IF(AND(A621&lt;&gt;0,B621=0,C621=0),VLOOKUP(A621,'3 - LISTA DE ESPÉCIES'!A:H,1,FALSE()),IF(AND(A621=0,B621&lt;&gt;0,C621=0),VLOOKUP(B621,'3 - LISTA DE ESPÉCIES'!B:H,5,FALSE()),IF(AND(A621=0,B621=0,C621&lt;&gt;0),VLOOKUP(C621,'3 - LISTA DE ESPÉCIES'!C:H,4,FALSE()))))</f>
        <v>0</v>
      </c>
      <c r="F621" s="21" t="b">
        <f>IF(AND(A621&lt;&gt;0,B621=0,C621=0),VLOOKUP(A621,'3 - LISTA DE ESPÉCIES'!A:H,2,FALSE()),IF(AND(A621=0,B621&lt;&gt;0,C621=0),VLOOKUP(B621,'3 - LISTA DE ESPÉCIES'!B:H,6,FALSE()),IF(AND(A621=0,B621=0,C621&lt;&gt;0),VLOOKUP(C621,'3 - LISTA DE ESPÉCIES'!C:H,5,FALSE()))))</f>
        <v>0</v>
      </c>
      <c r="G621" s="21" t="b">
        <f>IF(AND(A621&lt;&gt;0,B621=0,C621=0),VLOOKUP(A621,'3 - LISTA DE ESPÉCIES'!A:H,3,FALSE()),IF(AND(A621=0,B621&lt;&gt;0,C621=0),VLOOKUP(B621,'3 - LISTA DE ESPÉCIES'!B:H,7,FALSE()),IF(AND(A621=0,B621=0,C621&lt;&gt;0),VLOOKUP(C621,'3 - LISTA DE ESPÉCIES'!C:H,6,FALSE()))))</f>
        <v>0</v>
      </c>
      <c r="H621" s="21" t="b">
        <f>IF(AND(A621&lt;&gt;0,B621=0,C621=0),VLOOKUP(A621,'3 - LISTA DE ESPÉCIES'!A:H,4,FALSE()),IF(AND(A621=0,B621&lt;&gt;0,C621=0),VLOOKUP(B621,'3 - LISTA DE ESPÉCIES'!B:H,3,FALSE()),IF(AND(A621=0,B621=0,C621&lt;&gt;0),VLOOKUP(C621,'3 - LISTA DE ESPÉCIES'!C:H,2,FALSE()))))</f>
        <v>0</v>
      </c>
      <c r="I621" s="21" t="b">
        <f>IF(AND(A621&lt;&gt;0,B621=0,C621=0),VLOOKUP(A621,'3 - LISTA DE ESPÉCIES'!A:H,5,FALSE()),IF(AND(A621=0,B621&lt;&gt;0,C621=0),VLOOKUP(B621,'3 - LISTA DE ESPÉCIES'!B:H,4,FALSE()),IF(AND(A621=0,B621=0,C621&lt;&gt;0),VLOOKUP(C621,'3 - LISTA DE ESPÉCIES'!C:H,3,FALSE()))))</f>
        <v>0</v>
      </c>
      <c r="J621" s="23"/>
      <c r="K621" s="23"/>
      <c r="L621" s="20"/>
      <c r="M621" s="20"/>
    </row>
    <row r="622" spans="1:13" x14ac:dyDescent="0.25">
      <c r="A622" s="20"/>
      <c r="B622" s="20"/>
      <c r="C622" s="20"/>
      <c r="E622" s="21" t="b">
        <f>IF(AND(A622&lt;&gt;0,B622=0,C622=0),VLOOKUP(A622,'3 - LISTA DE ESPÉCIES'!A:H,1,FALSE()),IF(AND(A622=0,B622&lt;&gt;0,C622=0),VLOOKUP(B622,'3 - LISTA DE ESPÉCIES'!B:H,5,FALSE()),IF(AND(A622=0,B622=0,C622&lt;&gt;0),VLOOKUP(C622,'3 - LISTA DE ESPÉCIES'!C:H,4,FALSE()))))</f>
        <v>0</v>
      </c>
      <c r="F622" s="21" t="b">
        <f>IF(AND(A622&lt;&gt;0,B622=0,C622=0),VLOOKUP(A622,'3 - LISTA DE ESPÉCIES'!A:H,2,FALSE()),IF(AND(A622=0,B622&lt;&gt;0,C622=0),VLOOKUP(B622,'3 - LISTA DE ESPÉCIES'!B:H,6,FALSE()),IF(AND(A622=0,B622=0,C622&lt;&gt;0),VLOOKUP(C622,'3 - LISTA DE ESPÉCIES'!C:H,5,FALSE()))))</f>
        <v>0</v>
      </c>
      <c r="G622" s="21" t="b">
        <f>IF(AND(A622&lt;&gt;0,B622=0,C622=0),VLOOKUP(A622,'3 - LISTA DE ESPÉCIES'!A:H,3,FALSE()),IF(AND(A622=0,B622&lt;&gt;0,C622=0),VLOOKUP(B622,'3 - LISTA DE ESPÉCIES'!B:H,7,FALSE()),IF(AND(A622=0,B622=0,C622&lt;&gt;0),VLOOKUP(C622,'3 - LISTA DE ESPÉCIES'!C:H,6,FALSE()))))</f>
        <v>0</v>
      </c>
      <c r="H622" s="21" t="b">
        <f>IF(AND(A622&lt;&gt;0,B622=0,C622=0),VLOOKUP(A622,'3 - LISTA DE ESPÉCIES'!A:H,4,FALSE()),IF(AND(A622=0,B622&lt;&gt;0,C622=0),VLOOKUP(B622,'3 - LISTA DE ESPÉCIES'!B:H,3,FALSE()),IF(AND(A622=0,B622=0,C622&lt;&gt;0),VLOOKUP(C622,'3 - LISTA DE ESPÉCIES'!C:H,2,FALSE()))))</f>
        <v>0</v>
      </c>
      <c r="I622" s="21" t="b">
        <f>IF(AND(A622&lt;&gt;0,B622=0,C622=0),VLOOKUP(A622,'3 - LISTA DE ESPÉCIES'!A:H,5,FALSE()),IF(AND(A622=0,B622&lt;&gt;0,C622=0),VLOOKUP(B622,'3 - LISTA DE ESPÉCIES'!B:H,4,FALSE()),IF(AND(A622=0,B622=0,C622&lt;&gt;0),VLOOKUP(C622,'3 - LISTA DE ESPÉCIES'!C:H,3,FALSE()))))</f>
        <v>0</v>
      </c>
      <c r="J622" s="23"/>
      <c r="K622" s="23"/>
      <c r="L622" s="20"/>
      <c r="M622" s="20"/>
    </row>
    <row r="623" spans="1:13" x14ac:dyDescent="0.25">
      <c r="A623" s="20"/>
      <c r="B623" s="20"/>
      <c r="C623" s="20"/>
      <c r="E623" s="21" t="b">
        <f>IF(AND(A623&lt;&gt;0,B623=0,C623=0),VLOOKUP(A623,'3 - LISTA DE ESPÉCIES'!A:H,1,FALSE()),IF(AND(A623=0,B623&lt;&gt;0,C623=0),VLOOKUP(B623,'3 - LISTA DE ESPÉCIES'!B:H,5,FALSE()),IF(AND(A623=0,B623=0,C623&lt;&gt;0),VLOOKUP(C623,'3 - LISTA DE ESPÉCIES'!C:H,4,FALSE()))))</f>
        <v>0</v>
      </c>
      <c r="F623" s="21" t="b">
        <f>IF(AND(A623&lt;&gt;0,B623=0,C623=0),VLOOKUP(A623,'3 - LISTA DE ESPÉCIES'!A:H,2,FALSE()),IF(AND(A623=0,B623&lt;&gt;0,C623=0),VLOOKUP(B623,'3 - LISTA DE ESPÉCIES'!B:H,6,FALSE()),IF(AND(A623=0,B623=0,C623&lt;&gt;0),VLOOKUP(C623,'3 - LISTA DE ESPÉCIES'!C:H,5,FALSE()))))</f>
        <v>0</v>
      </c>
      <c r="G623" s="21" t="b">
        <f>IF(AND(A623&lt;&gt;0,B623=0,C623=0),VLOOKUP(A623,'3 - LISTA DE ESPÉCIES'!A:H,3,FALSE()),IF(AND(A623=0,B623&lt;&gt;0,C623=0),VLOOKUP(B623,'3 - LISTA DE ESPÉCIES'!B:H,7,FALSE()),IF(AND(A623=0,B623=0,C623&lt;&gt;0),VLOOKUP(C623,'3 - LISTA DE ESPÉCIES'!C:H,6,FALSE()))))</f>
        <v>0</v>
      </c>
      <c r="H623" s="21" t="b">
        <f>IF(AND(A623&lt;&gt;0,B623=0,C623=0),VLOOKUP(A623,'3 - LISTA DE ESPÉCIES'!A:H,4,FALSE()),IF(AND(A623=0,B623&lt;&gt;0,C623=0),VLOOKUP(B623,'3 - LISTA DE ESPÉCIES'!B:H,3,FALSE()),IF(AND(A623=0,B623=0,C623&lt;&gt;0),VLOOKUP(C623,'3 - LISTA DE ESPÉCIES'!C:H,2,FALSE()))))</f>
        <v>0</v>
      </c>
      <c r="I623" s="21" t="b">
        <f>IF(AND(A623&lt;&gt;0,B623=0,C623=0),VLOOKUP(A623,'3 - LISTA DE ESPÉCIES'!A:H,5,FALSE()),IF(AND(A623=0,B623&lt;&gt;0,C623=0),VLOOKUP(B623,'3 - LISTA DE ESPÉCIES'!B:H,4,FALSE()),IF(AND(A623=0,B623=0,C623&lt;&gt;0),VLOOKUP(C623,'3 - LISTA DE ESPÉCIES'!C:H,3,FALSE()))))</f>
        <v>0</v>
      </c>
      <c r="J623" s="23"/>
      <c r="K623" s="23"/>
      <c r="L623" s="20"/>
      <c r="M623" s="20"/>
    </row>
    <row r="624" spans="1:13" x14ac:dyDescent="0.25">
      <c r="A624" s="20"/>
      <c r="B624" s="20"/>
      <c r="C624" s="20"/>
      <c r="E624" s="21" t="b">
        <f>IF(AND(A624&lt;&gt;0,B624=0,C624=0),VLOOKUP(A624,'3 - LISTA DE ESPÉCIES'!A:H,1,FALSE()),IF(AND(A624=0,B624&lt;&gt;0,C624=0),VLOOKUP(B624,'3 - LISTA DE ESPÉCIES'!B:H,5,FALSE()),IF(AND(A624=0,B624=0,C624&lt;&gt;0),VLOOKUP(C624,'3 - LISTA DE ESPÉCIES'!C:H,4,FALSE()))))</f>
        <v>0</v>
      </c>
      <c r="F624" s="21" t="b">
        <f>IF(AND(A624&lt;&gt;0,B624=0,C624=0),VLOOKUP(A624,'3 - LISTA DE ESPÉCIES'!A:H,2,FALSE()),IF(AND(A624=0,B624&lt;&gt;0,C624=0),VLOOKUP(B624,'3 - LISTA DE ESPÉCIES'!B:H,6,FALSE()),IF(AND(A624=0,B624=0,C624&lt;&gt;0),VLOOKUP(C624,'3 - LISTA DE ESPÉCIES'!C:H,5,FALSE()))))</f>
        <v>0</v>
      </c>
      <c r="G624" s="21" t="b">
        <f>IF(AND(A624&lt;&gt;0,B624=0,C624=0),VLOOKUP(A624,'3 - LISTA DE ESPÉCIES'!A:H,3,FALSE()),IF(AND(A624=0,B624&lt;&gt;0,C624=0),VLOOKUP(B624,'3 - LISTA DE ESPÉCIES'!B:H,7,FALSE()),IF(AND(A624=0,B624=0,C624&lt;&gt;0),VLOOKUP(C624,'3 - LISTA DE ESPÉCIES'!C:H,6,FALSE()))))</f>
        <v>0</v>
      </c>
      <c r="H624" s="21" t="b">
        <f>IF(AND(A624&lt;&gt;0,B624=0,C624=0),VLOOKUP(A624,'3 - LISTA DE ESPÉCIES'!A:H,4,FALSE()),IF(AND(A624=0,B624&lt;&gt;0,C624=0),VLOOKUP(B624,'3 - LISTA DE ESPÉCIES'!B:H,3,FALSE()),IF(AND(A624=0,B624=0,C624&lt;&gt;0),VLOOKUP(C624,'3 - LISTA DE ESPÉCIES'!C:H,2,FALSE()))))</f>
        <v>0</v>
      </c>
      <c r="I624" s="21" t="b">
        <f>IF(AND(A624&lt;&gt;0,B624=0,C624=0),VLOOKUP(A624,'3 - LISTA DE ESPÉCIES'!A:H,5,FALSE()),IF(AND(A624=0,B624&lt;&gt;0,C624=0),VLOOKUP(B624,'3 - LISTA DE ESPÉCIES'!B:H,4,FALSE()),IF(AND(A624=0,B624=0,C624&lt;&gt;0),VLOOKUP(C624,'3 - LISTA DE ESPÉCIES'!C:H,3,FALSE()))))</f>
        <v>0</v>
      </c>
      <c r="J624" s="23"/>
      <c r="K624" s="23"/>
      <c r="L624" s="20"/>
      <c r="M624" s="20"/>
    </row>
    <row r="625" spans="1:13" x14ac:dyDescent="0.25">
      <c r="A625" s="20"/>
      <c r="B625" s="20"/>
      <c r="C625" s="20"/>
      <c r="E625" s="21" t="b">
        <f>IF(AND(A625&lt;&gt;0,B625=0,C625=0),VLOOKUP(A625,'3 - LISTA DE ESPÉCIES'!A:H,1,FALSE()),IF(AND(A625=0,B625&lt;&gt;0,C625=0),VLOOKUP(B625,'3 - LISTA DE ESPÉCIES'!B:H,5,FALSE()),IF(AND(A625=0,B625=0,C625&lt;&gt;0),VLOOKUP(C625,'3 - LISTA DE ESPÉCIES'!C:H,4,FALSE()))))</f>
        <v>0</v>
      </c>
      <c r="F625" s="21" t="b">
        <f>IF(AND(A625&lt;&gt;0,B625=0,C625=0),VLOOKUP(A625,'3 - LISTA DE ESPÉCIES'!A:H,2,FALSE()),IF(AND(A625=0,B625&lt;&gt;0,C625=0),VLOOKUP(B625,'3 - LISTA DE ESPÉCIES'!B:H,6,FALSE()),IF(AND(A625=0,B625=0,C625&lt;&gt;0),VLOOKUP(C625,'3 - LISTA DE ESPÉCIES'!C:H,5,FALSE()))))</f>
        <v>0</v>
      </c>
      <c r="G625" s="21" t="b">
        <f>IF(AND(A625&lt;&gt;0,B625=0,C625=0),VLOOKUP(A625,'3 - LISTA DE ESPÉCIES'!A:H,3,FALSE()),IF(AND(A625=0,B625&lt;&gt;0,C625=0),VLOOKUP(B625,'3 - LISTA DE ESPÉCIES'!B:H,7,FALSE()),IF(AND(A625=0,B625=0,C625&lt;&gt;0),VLOOKUP(C625,'3 - LISTA DE ESPÉCIES'!C:H,6,FALSE()))))</f>
        <v>0</v>
      </c>
      <c r="H625" s="21" t="b">
        <f>IF(AND(A625&lt;&gt;0,B625=0,C625=0),VLOOKUP(A625,'3 - LISTA DE ESPÉCIES'!A:H,4,FALSE()),IF(AND(A625=0,B625&lt;&gt;0,C625=0),VLOOKUP(B625,'3 - LISTA DE ESPÉCIES'!B:H,3,FALSE()),IF(AND(A625=0,B625=0,C625&lt;&gt;0),VLOOKUP(C625,'3 - LISTA DE ESPÉCIES'!C:H,2,FALSE()))))</f>
        <v>0</v>
      </c>
      <c r="I625" s="21" t="b">
        <f>IF(AND(A625&lt;&gt;0,B625=0,C625=0),VLOOKUP(A625,'3 - LISTA DE ESPÉCIES'!A:H,5,FALSE()),IF(AND(A625=0,B625&lt;&gt;0,C625=0),VLOOKUP(B625,'3 - LISTA DE ESPÉCIES'!B:H,4,FALSE()),IF(AND(A625=0,B625=0,C625&lt;&gt;0),VLOOKUP(C625,'3 - LISTA DE ESPÉCIES'!C:H,3,FALSE()))))</f>
        <v>0</v>
      </c>
      <c r="J625" s="23"/>
      <c r="K625" s="23"/>
      <c r="L625" s="20"/>
      <c r="M625" s="20"/>
    </row>
    <row r="626" spans="1:13" x14ac:dyDescent="0.25">
      <c r="A626" s="20"/>
      <c r="B626" s="20"/>
      <c r="C626" s="20"/>
      <c r="E626" s="21" t="b">
        <f>IF(AND(A626&lt;&gt;0,B626=0,C626=0),VLOOKUP(A626,'3 - LISTA DE ESPÉCIES'!A:H,1,FALSE()),IF(AND(A626=0,B626&lt;&gt;0,C626=0),VLOOKUP(B626,'3 - LISTA DE ESPÉCIES'!B:H,5,FALSE()),IF(AND(A626=0,B626=0,C626&lt;&gt;0),VLOOKUP(C626,'3 - LISTA DE ESPÉCIES'!C:H,4,FALSE()))))</f>
        <v>0</v>
      </c>
      <c r="F626" s="21" t="b">
        <f>IF(AND(A626&lt;&gt;0,B626=0,C626=0),VLOOKUP(A626,'3 - LISTA DE ESPÉCIES'!A:H,2,FALSE()),IF(AND(A626=0,B626&lt;&gt;0,C626=0),VLOOKUP(B626,'3 - LISTA DE ESPÉCIES'!B:H,6,FALSE()),IF(AND(A626=0,B626=0,C626&lt;&gt;0),VLOOKUP(C626,'3 - LISTA DE ESPÉCIES'!C:H,5,FALSE()))))</f>
        <v>0</v>
      </c>
      <c r="G626" s="21" t="b">
        <f>IF(AND(A626&lt;&gt;0,B626=0,C626=0),VLOOKUP(A626,'3 - LISTA DE ESPÉCIES'!A:H,3,FALSE()),IF(AND(A626=0,B626&lt;&gt;0,C626=0),VLOOKUP(B626,'3 - LISTA DE ESPÉCIES'!B:H,7,FALSE()),IF(AND(A626=0,B626=0,C626&lt;&gt;0),VLOOKUP(C626,'3 - LISTA DE ESPÉCIES'!C:H,6,FALSE()))))</f>
        <v>0</v>
      </c>
      <c r="H626" s="21" t="b">
        <f>IF(AND(A626&lt;&gt;0,B626=0,C626=0),VLOOKUP(A626,'3 - LISTA DE ESPÉCIES'!A:H,4,FALSE()),IF(AND(A626=0,B626&lt;&gt;0,C626=0),VLOOKUP(B626,'3 - LISTA DE ESPÉCIES'!B:H,3,FALSE()),IF(AND(A626=0,B626=0,C626&lt;&gt;0),VLOOKUP(C626,'3 - LISTA DE ESPÉCIES'!C:H,2,FALSE()))))</f>
        <v>0</v>
      </c>
      <c r="I626" s="21" t="b">
        <f>IF(AND(A626&lt;&gt;0,B626=0,C626=0),VLOOKUP(A626,'3 - LISTA DE ESPÉCIES'!A:H,5,FALSE()),IF(AND(A626=0,B626&lt;&gt;0,C626=0),VLOOKUP(B626,'3 - LISTA DE ESPÉCIES'!B:H,4,FALSE()),IF(AND(A626=0,B626=0,C626&lt;&gt;0),VLOOKUP(C626,'3 - LISTA DE ESPÉCIES'!C:H,3,FALSE()))))</f>
        <v>0</v>
      </c>
      <c r="J626" s="23"/>
      <c r="K626" s="23"/>
      <c r="L626" s="20"/>
      <c r="M626" s="20"/>
    </row>
    <row r="627" spans="1:13" x14ac:dyDescent="0.25">
      <c r="A627" s="20"/>
      <c r="B627" s="20"/>
      <c r="C627" s="20"/>
      <c r="E627" s="21" t="b">
        <f>IF(AND(A627&lt;&gt;0,B627=0,C627=0),VLOOKUP(A627,'3 - LISTA DE ESPÉCIES'!A:H,1,FALSE()),IF(AND(A627=0,B627&lt;&gt;0,C627=0),VLOOKUP(B627,'3 - LISTA DE ESPÉCIES'!B:H,5,FALSE()),IF(AND(A627=0,B627=0,C627&lt;&gt;0),VLOOKUP(C627,'3 - LISTA DE ESPÉCIES'!C:H,4,FALSE()))))</f>
        <v>0</v>
      </c>
      <c r="F627" s="21" t="b">
        <f>IF(AND(A627&lt;&gt;0,B627=0,C627=0),VLOOKUP(A627,'3 - LISTA DE ESPÉCIES'!A:H,2,FALSE()),IF(AND(A627=0,B627&lt;&gt;0,C627=0),VLOOKUP(B627,'3 - LISTA DE ESPÉCIES'!B:H,6,FALSE()),IF(AND(A627=0,B627=0,C627&lt;&gt;0),VLOOKUP(C627,'3 - LISTA DE ESPÉCIES'!C:H,5,FALSE()))))</f>
        <v>0</v>
      </c>
      <c r="G627" s="21" t="b">
        <f>IF(AND(A627&lt;&gt;0,B627=0,C627=0),VLOOKUP(A627,'3 - LISTA DE ESPÉCIES'!A:H,3,FALSE()),IF(AND(A627=0,B627&lt;&gt;0,C627=0),VLOOKUP(B627,'3 - LISTA DE ESPÉCIES'!B:H,7,FALSE()),IF(AND(A627=0,B627=0,C627&lt;&gt;0),VLOOKUP(C627,'3 - LISTA DE ESPÉCIES'!C:H,6,FALSE()))))</f>
        <v>0</v>
      </c>
      <c r="H627" s="21" t="b">
        <f>IF(AND(A627&lt;&gt;0,B627=0,C627=0),VLOOKUP(A627,'3 - LISTA DE ESPÉCIES'!A:H,4,FALSE()),IF(AND(A627=0,B627&lt;&gt;0,C627=0),VLOOKUP(B627,'3 - LISTA DE ESPÉCIES'!B:H,3,FALSE()),IF(AND(A627=0,B627=0,C627&lt;&gt;0),VLOOKUP(C627,'3 - LISTA DE ESPÉCIES'!C:H,2,FALSE()))))</f>
        <v>0</v>
      </c>
      <c r="I627" s="21" t="b">
        <f>IF(AND(A627&lt;&gt;0,B627=0,C627=0),VLOOKUP(A627,'3 - LISTA DE ESPÉCIES'!A:H,5,FALSE()),IF(AND(A627=0,B627&lt;&gt;0,C627=0),VLOOKUP(B627,'3 - LISTA DE ESPÉCIES'!B:H,4,FALSE()),IF(AND(A627=0,B627=0,C627&lt;&gt;0),VLOOKUP(C627,'3 - LISTA DE ESPÉCIES'!C:H,3,FALSE()))))</f>
        <v>0</v>
      </c>
      <c r="J627" s="23"/>
      <c r="K627" s="23"/>
      <c r="L627" s="20"/>
      <c r="M627" s="20"/>
    </row>
    <row r="628" spans="1:13" x14ac:dyDescent="0.25">
      <c r="A628" s="20"/>
      <c r="B628" s="20"/>
      <c r="C628" s="20"/>
      <c r="E628" s="21" t="b">
        <f>IF(AND(A628&lt;&gt;0,B628=0,C628=0),VLOOKUP(A628,'3 - LISTA DE ESPÉCIES'!A:H,1,FALSE()),IF(AND(A628=0,B628&lt;&gt;0,C628=0),VLOOKUP(B628,'3 - LISTA DE ESPÉCIES'!B:H,5,FALSE()),IF(AND(A628=0,B628=0,C628&lt;&gt;0),VLOOKUP(C628,'3 - LISTA DE ESPÉCIES'!C:H,4,FALSE()))))</f>
        <v>0</v>
      </c>
      <c r="F628" s="21" t="b">
        <f>IF(AND(A628&lt;&gt;0,B628=0,C628=0),VLOOKUP(A628,'3 - LISTA DE ESPÉCIES'!A:H,2,FALSE()),IF(AND(A628=0,B628&lt;&gt;0,C628=0),VLOOKUP(B628,'3 - LISTA DE ESPÉCIES'!B:H,6,FALSE()),IF(AND(A628=0,B628=0,C628&lt;&gt;0),VLOOKUP(C628,'3 - LISTA DE ESPÉCIES'!C:H,5,FALSE()))))</f>
        <v>0</v>
      </c>
      <c r="G628" s="21" t="b">
        <f>IF(AND(A628&lt;&gt;0,B628=0,C628=0),VLOOKUP(A628,'3 - LISTA DE ESPÉCIES'!A:H,3,FALSE()),IF(AND(A628=0,B628&lt;&gt;0,C628=0),VLOOKUP(B628,'3 - LISTA DE ESPÉCIES'!B:H,7,FALSE()),IF(AND(A628=0,B628=0,C628&lt;&gt;0),VLOOKUP(C628,'3 - LISTA DE ESPÉCIES'!C:H,6,FALSE()))))</f>
        <v>0</v>
      </c>
      <c r="H628" s="21" t="b">
        <f>IF(AND(A628&lt;&gt;0,B628=0,C628=0),VLOOKUP(A628,'3 - LISTA DE ESPÉCIES'!A:H,4,FALSE()),IF(AND(A628=0,B628&lt;&gt;0,C628=0),VLOOKUP(B628,'3 - LISTA DE ESPÉCIES'!B:H,3,FALSE()),IF(AND(A628=0,B628=0,C628&lt;&gt;0),VLOOKUP(C628,'3 - LISTA DE ESPÉCIES'!C:H,2,FALSE()))))</f>
        <v>0</v>
      </c>
      <c r="I628" s="21" t="b">
        <f>IF(AND(A628&lt;&gt;0,B628=0,C628=0),VLOOKUP(A628,'3 - LISTA DE ESPÉCIES'!A:H,5,FALSE()),IF(AND(A628=0,B628&lt;&gt;0,C628=0),VLOOKUP(B628,'3 - LISTA DE ESPÉCIES'!B:H,4,FALSE()),IF(AND(A628=0,B628=0,C628&lt;&gt;0),VLOOKUP(C628,'3 - LISTA DE ESPÉCIES'!C:H,3,FALSE()))))</f>
        <v>0</v>
      </c>
      <c r="J628" s="23"/>
      <c r="K628" s="23"/>
      <c r="L628" s="20"/>
      <c r="M628" s="20"/>
    </row>
    <row r="629" spans="1:13" x14ac:dyDescent="0.25">
      <c r="A629" s="20"/>
      <c r="B629" s="20"/>
      <c r="C629" s="20"/>
      <c r="E629" s="21" t="b">
        <f>IF(AND(A629&lt;&gt;0,B629=0,C629=0),VLOOKUP(A629,'3 - LISTA DE ESPÉCIES'!A:H,1,FALSE()),IF(AND(A629=0,B629&lt;&gt;0,C629=0),VLOOKUP(B629,'3 - LISTA DE ESPÉCIES'!B:H,5,FALSE()),IF(AND(A629=0,B629=0,C629&lt;&gt;0),VLOOKUP(C629,'3 - LISTA DE ESPÉCIES'!C:H,4,FALSE()))))</f>
        <v>0</v>
      </c>
      <c r="F629" s="21" t="b">
        <f>IF(AND(A629&lt;&gt;0,B629=0,C629=0),VLOOKUP(A629,'3 - LISTA DE ESPÉCIES'!A:H,2,FALSE()),IF(AND(A629=0,B629&lt;&gt;0,C629=0),VLOOKUP(B629,'3 - LISTA DE ESPÉCIES'!B:H,6,FALSE()),IF(AND(A629=0,B629=0,C629&lt;&gt;0),VLOOKUP(C629,'3 - LISTA DE ESPÉCIES'!C:H,5,FALSE()))))</f>
        <v>0</v>
      </c>
      <c r="G629" s="21" t="b">
        <f>IF(AND(A629&lt;&gt;0,B629=0,C629=0),VLOOKUP(A629,'3 - LISTA DE ESPÉCIES'!A:H,3,FALSE()),IF(AND(A629=0,B629&lt;&gt;0,C629=0),VLOOKUP(B629,'3 - LISTA DE ESPÉCIES'!B:H,7,FALSE()),IF(AND(A629=0,B629=0,C629&lt;&gt;0),VLOOKUP(C629,'3 - LISTA DE ESPÉCIES'!C:H,6,FALSE()))))</f>
        <v>0</v>
      </c>
      <c r="H629" s="21" t="b">
        <f>IF(AND(A629&lt;&gt;0,B629=0,C629=0),VLOOKUP(A629,'3 - LISTA DE ESPÉCIES'!A:H,4,FALSE()),IF(AND(A629=0,B629&lt;&gt;0,C629=0),VLOOKUP(B629,'3 - LISTA DE ESPÉCIES'!B:H,3,FALSE()),IF(AND(A629=0,B629=0,C629&lt;&gt;0),VLOOKUP(C629,'3 - LISTA DE ESPÉCIES'!C:H,2,FALSE()))))</f>
        <v>0</v>
      </c>
      <c r="I629" s="21" t="b">
        <f>IF(AND(A629&lt;&gt;0,B629=0,C629=0),VLOOKUP(A629,'3 - LISTA DE ESPÉCIES'!A:H,5,FALSE()),IF(AND(A629=0,B629&lt;&gt;0,C629=0),VLOOKUP(B629,'3 - LISTA DE ESPÉCIES'!B:H,4,FALSE()),IF(AND(A629=0,B629=0,C629&lt;&gt;0),VLOOKUP(C629,'3 - LISTA DE ESPÉCIES'!C:H,3,FALSE()))))</f>
        <v>0</v>
      </c>
      <c r="J629" s="23"/>
      <c r="K629" s="23"/>
      <c r="L629" s="20"/>
      <c r="M629" s="20"/>
    </row>
    <row r="630" spans="1:13" x14ac:dyDescent="0.25">
      <c r="A630" s="20"/>
      <c r="B630" s="20"/>
      <c r="C630" s="20"/>
      <c r="E630" s="21" t="b">
        <f>IF(AND(A630&lt;&gt;0,B630=0,C630=0),VLOOKUP(A630,'3 - LISTA DE ESPÉCIES'!A:H,1,FALSE()),IF(AND(A630=0,B630&lt;&gt;0,C630=0),VLOOKUP(B630,'3 - LISTA DE ESPÉCIES'!B:H,5,FALSE()),IF(AND(A630=0,B630=0,C630&lt;&gt;0),VLOOKUP(C630,'3 - LISTA DE ESPÉCIES'!C:H,4,FALSE()))))</f>
        <v>0</v>
      </c>
      <c r="F630" s="21" t="b">
        <f>IF(AND(A630&lt;&gt;0,B630=0,C630=0),VLOOKUP(A630,'3 - LISTA DE ESPÉCIES'!A:H,2,FALSE()),IF(AND(A630=0,B630&lt;&gt;0,C630=0),VLOOKUP(B630,'3 - LISTA DE ESPÉCIES'!B:H,6,FALSE()),IF(AND(A630=0,B630=0,C630&lt;&gt;0),VLOOKUP(C630,'3 - LISTA DE ESPÉCIES'!C:H,5,FALSE()))))</f>
        <v>0</v>
      </c>
      <c r="G630" s="21" t="b">
        <f>IF(AND(A630&lt;&gt;0,B630=0,C630=0),VLOOKUP(A630,'3 - LISTA DE ESPÉCIES'!A:H,3,FALSE()),IF(AND(A630=0,B630&lt;&gt;0,C630=0),VLOOKUP(B630,'3 - LISTA DE ESPÉCIES'!B:H,7,FALSE()),IF(AND(A630=0,B630=0,C630&lt;&gt;0),VLOOKUP(C630,'3 - LISTA DE ESPÉCIES'!C:H,6,FALSE()))))</f>
        <v>0</v>
      </c>
      <c r="H630" s="21" t="b">
        <f>IF(AND(A630&lt;&gt;0,B630=0,C630=0),VLOOKUP(A630,'3 - LISTA DE ESPÉCIES'!A:H,4,FALSE()),IF(AND(A630=0,B630&lt;&gt;0,C630=0),VLOOKUP(B630,'3 - LISTA DE ESPÉCIES'!B:H,3,FALSE()),IF(AND(A630=0,B630=0,C630&lt;&gt;0),VLOOKUP(C630,'3 - LISTA DE ESPÉCIES'!C:H,2,FALSE()))))</f>
        <v>0</v>
      </c>
      <c r="I630" s="21" t="b">
        <f>IF(AND(A630&lt;&gt;0,B630=0,C630=0),VLOOKUP(A630,'3 - LISTA DE ESPÉCIES'!A:H,5,FALSE()),IF(AND(A630=0,B630&lt;&gt;0,C630=0),VLOOKUP(B630,'3 - LISTA DE ESPÉCIES'!B:H,4,FALSE()),IF(AND(A630=0,B630=0,C630&lt;&gt;0),VLOOKUP(C630,'3 - LISTA DE ESPÉCIES'!C:H,3,FALSE()))))</f>
        <v>0</v>
      </c>
      <c r="J630" s="23"/>
      <c r="K630" s="23"/>
      <c r="L630" s="20"/>
      <c r="M630" s="20"/>
    </row>
    <row r="631" spans="1:13" x14ac:dyDescent="0.25">
      <c r="A631" s="20"/>
      <c r="B631" s="20"/>
      <c r="C631" s="20"/>
      <c r="E631" s="21" t="b">
        <f>IF(AND(A631&lt;&gt;0,B631=0,C631=0),VLOOKUP(A631,'3 - LISTA DE ESPÉCIES'!A:H,1,FALSE()),IF(AND(A631=0,B631&lt;&gt;0,C631=0),VLOOKUP(B631,'3 - LISTA DE ESPÉCIES'!B:H,5,FALSE()),IF(AND(A631=0,B631=0,C631&lt;&gt;0),VLOOKUP(C631,'3 - LISTA DE ESPÉCIES'!C:H,4,FALSE()))))</f>
        <v>0</v>
      </c>
      <c r="F631" s="21" t="b">
        <f>IF(AND(A631&lt;&gt;0,B631=0,C631=0),VLOOKUP(A631,'3 - LISTA DE ESPÉCIES'!A:H,2,FALSE()),IF(AND(A631=0,B631&lt;&gt;0,C631=0),VLOOKUP(B631,'3 - LISTA DE ESPÉCIES'!B:H,6,FALSE()),IF(AND(A631=0,B631=0,C631&lt;&gt;0),VLOOKUP(C631,'3 - LISTA DE ESPÉCIES'!C:H,5,FALSE()))))</f>
        <v>0</v>
      </c>
      <c r="G631" s="21" t="b">
        <f>IF(AND(A631&lt;&gt;0,B631=0,C631=0),VLOOKUP(A631,'3 - LISTA DE ESPÉCIES'!A:H,3,FALSE()),IF(AND(A631=0,B631&lt;&gt;0,C631=0),VLOOKUP(B631,'3 - LISTA DE ESPÉCIES'!B:H,7,FALSE()),IF(AND(A631=0,B631=0,C631&lt;&gt;0),VLOOKUP(C631,'3 - LISTA DE ESPÉCIES'!C:H,6,FALSE()))))</f>
        <v>0</v>
      </c>
      <c r="H631" s="21" t="b">
        <f>IF(AND(A631&lt;&gt;0,B631=0,C631=0),VLOOKUP(A631,'3 - LISTA DE ESPÉCIES'!A:H,4,FALSE()),IF(AND(A631=0,B631&lt;&gt;0,C631=0),VLOOKUP(B631,'3 - LISTA DE ESPÉCIES'!B:H,3,FALSE()),IF(AND(A631=0,B631=0,C631&lt;&gt;0),VLOOKUP(C631,'3 - LISTA DE ESPÉCIES'!C:H,2,FALSE()))))</f>
        <v>0</v>
      </c>
      <c r="I631" s="21" t="b">
        <f>IF(AND(A631&lt;&gt;0,B631=0,C631=0),VLOOKUP(A631,'3 - LISTA DE ESPÉCIES'!A:H,5,FALSE()),IF(AND(A631=0,B631&lt;&gt;0,C631=0),VLOOKUP(B631,'3 - LISTA DE ESPÉCIES'!B:H,4,FALSE()),IF(AND(A631=0,B631=0,C631&lt;&gt;0),VLOOKUP(C631,'3 - LISTA DE ESPÉCIES'!C:H,3,FALSE()))))</f>
        <v>0</v>
      </c>
      <c r="J631" s="23"/>
      <c r="K631" s="23"/>
      <c r="L631" s="20"/>
      <c r="M631" s="20"/>
    </row>
    <row r="632" spans="1:13" x14ac:dyDescent="0.25">
      <c r="A632" s="20"/>
      <c r="B632" s="20"/>
      <c r="C632" s="20"/>
      <c r="E632" s="21" t="b">
        <f>IF(AND(A632&lt;&gt;0,B632=0,C632=0),VLOOKUP(A632,'3 - LISTA DE ESPÉCIES'!A:H,1,FALSE()),IF(AND(A632=0,B632&lt;&gt;0,C632=0),VLOOKUP(B632,'3 - LISTA DE ESPÉCIES'!B:H,5,FALSE()),IF(AND(A632=0,B632=0,C632&lt;&gt;0),VLOOKUP(C632,'3 - LISTA DE ESPÉCIES'!C:H,4,FALSE()))))</f>
        <v>0</v>
      </c>
      <c r="F632" s="21" t="b">
        <f>IF(AND(A632&lt;&gt;0,B632=0,C632=0),VLOOKUP(A632,'3 - LISTA DE ESPÉCIES'!A:H,2,FALSE()),IF(AND(A632=0,B632&lt;&gt;0,C632=0),VLOOKUP(B632,'3 - LISTA DE ESPÉCIES'!B:H,6,FALSE()),IF(AND(A632=0,B632=0,C632&lt;&gt;0),VLOOKUP(C632,'3 - LISTA DE ESPÉCIES'!C:H,5,FALSE()))))</f>
        <v>0</v>
      </c>
      <c r="G632" s="21" t="b">
        <f>IF(AND(A632&lt;&gt;0,B632=0,C632=0),VLOOKUP(A632,'3 - LISTA DE ESPÉCIES'!A:H,3,FALSE()),IF(AND(A632=0,B632&lt;&gt;0,C632=0),VLOOKUP(B632,'3 - LISTA DE ESPÉCIES'!B:H,7,FALSE()),IF(AND(A632=0,B632=0,C632&lt;&gt;0),VLOOKUP(C632,'3 - LISTA DE ESPÉCIES'!C:H,6,FALSE()))))</f>
        <v>0</v>
      </c>
      <c r="H632" s="21" t="b">
        <f>IF(AND(A632&lt;&gt;0,B632=0,C632=0),VLOOKUP(A632,'3 - LISTA DE ESPÉCIES'!A:H,4,FALSE()),IF(AND(A632=0,B632&lt;&gt;0,C632=0),VLOOKUP(B632,'3 - LISTA DE ESPÉCIES'!B:H,3,FALSE()),IF(AND(A632=0,B632=0,C632&lt;&gt;0),VLOOKUP(C632,'3 - LISTA DE ESPÉCIES'!C:H,2,FALSE()))))</f>
        <v>0</v>
      </c>
      <c r="I632" s="21" t="b">
        <f>IF(AND(A632&lt;&gt;0,B632=0,C632=0),VLOOKUP(A632,'3 - LISTA DE ESPÉCIES'!A:H,5,FALSE()),IF(AND(A632=0,B632&lt;&gt;0,C632=0),VLOOKUP(B632,'3 - LISTA DE ESPÉCIES'!B:H,4,FALSE()),IF(AND(A632=0,B632=0,C632&lt;&gt;0),VLOOKUP(C632,'3 - LISTA DE ESPÉCIES'!C:H,3,FALSE()))))</f>
        <v>0</v>
      </c>
      <c r="J632" s="23"/>
      <c r="K632" s="23"/>
      <c r="L632" s="20"/>
      <c r="M632" s="20"/>
    </row>
    <row r="633" spans="1:13" x14ac:dyDescent="0.25">
      <c r="A633" s="20"/>
      <c r="B633" s="20"/>
      <c r="C633" s="20"/>
      <c r="E633" s="21" t="b">
        <f>IF(AND(A633&lt;&gt;0,B633=0,C633=0),VLOOKUP(A633,'3 - LISTA DE ESPÉCIES'!A:H,1,FALSE()),IF(AND(A633=0,B633&lt;&gt;0,C633=0),VLOOKUP(B633,'3 - LISTA DE ESPÉCIES'!B:H,5,FALSE()),IF(AND(A633=0,B633=0,C633&lt;&gt;0),VLOOKUP(C633,'3 - LISTA DE ESPÉCIES'!C:H,4,FALSE()))))</f>
        <v>0</v>
      </c>
      <c r="F633" s="21" t="b">
        <f>IF(AND(A633&lt;&gt;0,B633=0,C633=0),VLOOKUP(A633,'3 - LISTA DE ESPÉCIES'!A:H,2,FALSE()),IF(AND(A633=0,B633&lt;&gt;0,C633=0),VLOOKUP(B633,'3 - LISTA DE ESPÉCIES'!B:H,6,FALSE()),IF(AND(A633=0,B633=0,C633&lt;&gt;0),VLOOKUP(C633,'3 - LISTA DE ESPÉCIES'!C:H,5,FALSE()))))</f>
        <v>0</v>
      </c>
      <c r="G633" s="21" t="b">
        <f>IF(AND(A633&lt;&gt;0,B633=0,C633=0),VLOOKUP(A633,'3 - LISTA DE ESPÉCIES'!A:H,3,FALSE()),IF(AND(A633=0,B633&lt;&gt;0,C633=0),VLOOKUP(B633,'3 - LISTA DE ESPÉCIES'!B:H,7,FALSE()),IF(AND(A633=0,B633=0,C633&lt;&gt;0),VLOOKUP(C633,'3 - LISTA DE ESPÉCIES'!C:H,6,FALSE()))))</f>
        <v>0</v>
      </c>
      <c r="H633" s="21" t="b">
        <f>IF(AND(A633&lt;&gt;0,B633=0,C633=0),VLOOKUP(A633,'3 - LISTA DE ESPÉCIES'!A:H,4,FALSE()),IF(AND(A633=0,B633&lt;&gt;0,C633=0),VLOOKUP(B633,'3 - LISTA DE ESPÉCIES'!B:H,3,FALSE()),IF(AND(A633=0,B633=0,C633&lt;&gt;0),VLOOKUP(C633,'3 - LISTA DE ESPÉCIES'!C:H,2,FALSE()))))</f>
        <v>0</v>
      </c>
      <c r="I633" s="21" t="b">
        <f>IF(AND(A633&lt;&gt;0,B633=0,C633=0),VLOOKUP(A633,'3 - LISTA DE ESPÉCIES'!A:H,5,FALSE()),IF(AND(A633=0,B633&lt;&gt;0,C633=0),VLOOKUP(B633,'3 - LISTA DE ESPÉCIES'!B:H,4,FALSE()),IF(AND(A633=0,B633=0,C633&lt;&gt;0),VLOOKUP(C633,'3 - LISTA DE ESPÉCIES'!C:H,3,FALSE()))))</f>
        <v>0</v>
      </c>
      <c r="J633" s="23"/>
      <c r="K633" s="23"/>
      <c r="L633" s="20"/>
      <c r="M633" s="20"/>
    </row>
    <row r="634" spans="1:13" x14ac:dyDescent="0.25">
      <c r="A634" s="20"/>
      <c r="B634" s="20"/>
      <c r="C634" s="20"/>
      <c r="E634" s="21" t="b">
        <f>IF(AND(A634&lt;&gt;0,B634=0,C634=0),VLOOKUP(A634,'3 - LISTA DE ESPÉCIES'!A:H,1,FALSE()),IF(AND(A634=0,B634&lt;&gt;0,C634=0),VLOOKUP(B634,'3 - LISTA DE ESPÉCIES'!B:H,5,FALSE()),IF(AND(A634=0,B634=0,C634&lt;&gt;0),VLOOKUP(C634,'3 - LISTA DE ESPÉCIES'!C:H,4,FALSE()))))</f>
        <v>0</v>
      </c>
      <c r="F634" s="21" t="b">
        <f>IF(AND(A634&lt;&gt;0,B634=0,C634=0),VLOOKUP(A634,'3 - LISTA DE ESPÉCIES'!A:H,2,FALSE()),IF(AND(A634=0,B634&lt;&gt;0,C634=0),VLOOKUP(B634,'3 - LISTA DE ESPÉCIES'!B:H,6,FALSE()),IF(AND(A634=0,B634=0,C634&lt;&gt;0),VLOOKUP(C634,'3 - LISTA DE ESPÉCIES'!C:H,5,FALSE()))))</f>
        <v>0</v>
      </c>
      <c r="G634" s="21" t="b">
        <f>IF(AND(A634&lt;&gt;0,B634=0,C634=0),VLOOKUP(A634,'3 - LISTA DE ESPÉCIES'!A:H,3,FALSE()),IF(AND(A634=0,B634&lt;&gt;0,C634=0),VLOOKUP(B634,'3 - LISTA DE ESPÉCIES'!B:H,7,FALSE()),IF(AND(A634=0,B634=0,C634&lt;&gt;0),VLOOKUP(C634,'3 - LISTA DE ESPÉCIES'!C:H,6,FALSE()))))</f>
        <v>0</v>
      </c>
      <c r="H634" s="21" t="b">
        <f>IF(AND(A634&lt;&gt;0,B634=0,C634=0),VLOOKUP(A634,'3 - LISTA DE ESPÉCIES'!A:H,4,FALSE()),IF(AND(A634=0,B634&lt;&gt;0,C634=0),VLOOKUP(B634,'3 - LISTA DE ESPÉCIES'!B:H,3,FALSE()),IF(AND(A634=0,B634=0,C634&lt;&gt;0),VLOOKUP(C634,'3 - LISTA DE ESPÉCIES'!C:H,2,FALSE()))))</f>
        <v>0</v>
      </c>
      <c r="I634" s="21" t="b">
        <f>IF(AND(A634&lt;&gt;0,B634=0,C634=0),VLOOKUP(A634,'3 - LISTA DE ESPÉCIES'!A:H,5,FALSE()),IF(AND(A634=0,B634&lt;&gt;0,C634=0),VLOOKUP(B634,'3 - LISTA DE ESPÉCIES'!B:H,4,FALSE()),IF(AND(A634=0,B634=0,C634&lt;&gt;0),VLOOKUP(C634,'3 - LISTA DE ESPÉCIES'!C:H,3,FALSE()))))</f>
        <v>0</v>
      </c>
      <c r="J634" s="23"/>
      <c r="K634" s="23"/>
      <c r="L634" s="20"/>
      <c r="M634" s="20"/>
    </row>
    <row r="635" spans="1:13" x14ac:dyDescent="0.25">
      <c r="A635" s="20"/>
      <c r="B635" s="20"/>
      <c r="C635" s="20"/>
      <c r="E635" s="21" t="b">
        <f>IF(AND(A635&lt;&gt;0,B635=0,C635=0),VLOOKUP(A635,'3 - LISTA DE ESPÉCIES'!A:H,1,FALSE()),IF(AND(A635=0,B635&lt;&gt;0,C635=0),VLOOKUP(B635,'3 - LISTA DE ESPÉCIES'!B:H,5,FALSE()),IF(AND(A635=0,B635=0,C635&lt;&gt;0),VLOOKUP(C635,'3 - LISTA DE ESPÉCIES'!C:H,4,FALSE()))))</f>
        <v>0</v>
      </c>
      <c r="F635" s="21" t="b">
        <f>IF(AND(A635&lt;&gt;0,B635=0,C635=0),VLOOKUP(A635,'3 - LISTA DE ESPÉCIES'!A:H,2,FALSE()),IF(AND(A635=0,B635&lt;&gt;0,C635=0),VLOOKUP(B635,'3 - LISTA DE ESPÉCIES'!B:H,6,FALSE()),IF(AND(A635=0,B635=0,C635&lt;&gt;0),VLOOKUP(C635,'3 - LISTA DE ESPÉCIES'!C:H,5,FALSE()))))</f>
        <v>0</v>
      </c>
      <c r="G635" s="21" t="b">
        <f>IF(AND(A635&lt;&gt;0,B635=0,C635=0),VLOOKUP(A635,'3 - LISTA DE ESPÉCIES'!A:H,3,FALSE()),IF(AND(A635=0,B635&lt;&gt;0,C635=0),VLOOKUP(B635,'3 - LISTA DE ESPÉCIES'!B:H,7,FALSE()),IF(AND(A635=0,B635=0,C635&lt;&gt;0),VLOOKUP(C635,'3 - LISTA DE ESPÉCIES'!C:H,6,FALSE()))))</f>
        <v>0</v>
      </c>
      <c r="H635" s="21" t="b">
        <f>IF(AND(A635&lt;&gt;0,B635=0,C635=0),VLOOKUP(A635,'3 - LISTA DE ESPÉCIES'!A:H,4,FALSE()),IF(AND(A635=0,B635&lt;&gt;0,C635=0),VLOOKUP(B635,'3 - LISTA DE ESPÉCIES'!B:H,3,FALSE()),IF(AND(A635=0,B635=0,C635&lt;&gt;0),VLOOKUP(C635,'3 - LISTA DE ESPÉCIES'!C:H,2,FALSE()))))</f>
        <v>0</v>
      </c>
      <c r="I635" s="21" t="b">
        <f>IF(AND(A635&lt;&gt;0,B635=0,C635=0),VLOOKUP(A635,'3 - LISTA DE ESPÉCIES'!A:H,5,FALSE()),IF(AND(A635=0,B635&lt;&gt;0,C635=0),VLOOKUP(B635,'3 - LISTA DE ESPÉCIES'!B:H,4,FALSE()),IF(AND(A635=0,B635=0,C635&lt;&gt;0),VLOOKUP(C635,'3 - LISTA DE ESPÉCIES'!C:H,3,FALSE()))))</f>
        <v>0</v>
      </c>
      <c r="J635" s="23"/>
      <c r="K635" s="23"/>
      <c r="L635" s="20"/>
      <c r="M635" s="20"/>
    </row>
    <row r="636" spans="1:13" x14ac:dyDescent="0.25">
      <c r="A636" s="20"/>
      <c r="B636" s="20"/>
      <c r="C636" s="20"/>
      <c r="E636" s="21" t="b">
        <f>IF(AND(A636&lt;&gt;0,B636=0,C636=0),VLOOKUP(A636,'3 - LISTA DE ESPÉCIES'!A:H,1,FALSE()),IF(AND(A636=0,B636&lt;&gt;0,C636=0),VLOOKUP(B636,'3 - LISTA DE ESPÉCIES'!B:H,5,FALSE()),IF(AND(A636=0,B636=0,C636&lt;&gt;0),VLOOKUP(C636,'3 - LISTA DE ESPÉCIES'!C:H,4,FALSE()))))</f>
        <v>0</v>
      </c>
      <c r="F636" s="21" t="b">
        <f>IF(AND(A636&lt;&gt;0,B636=0,C636=0),VLOOKUP(A636,'3 - LISTA DE ESPÉCIES'!A:H,2,FALSE()),IF(AND(A636=0,B636&lt;&gt;0,C636=0),VLOOKUP(B636,'3 - LISTA DE ESPÉCIES'!B:H,6,FALSE()),IF(AND(A636=0,B636=0,C636&lt;&gt;0),VLOOKUP(C636,'3 - LISTA DE ESPÉCIES'!C:H,5,FALSE()))))</f>
        <v>0</v>
      </c>
      <c r="G636" s="21" t="b">
        <f>IF(AND(A636&lt;&gt;0,B636=0,C636=0),VLOOKUP(A636,'3 - LISTA DE ESPÉCIES'!A:H,3,FALSE()),IF(AND(A636=0,B636&lt;&gt;0,C636=0),VLOOKUP(B636,'3 - LISTA DE ESPÉCIES'!B:H,7,FALSE()),IF(AND(A636=0,B636=0,C636&lt;&gt;0),VLOOKUP(C636,'3 - LISTA DE ESPÉCIES'!C:H,6,FALSE()))))</f>
        <v>0</v>
      </c>
      <c r="H636" s="21" t="b">
        <f>IF(AND(A636&lt;&gt;0,B636=0,C636=0),VLOOKUP(A636,'3 - LISTA DE ESPÉCIES'!A:H,4,FALSE()),IF(AND(A636=0,B636&lt;&gt;0,C636=0),VLOOKUP(B636,'3 - LISTA DE ESPÉCIES'!B:H,3,FALSE()),IF(AND(A636=0,B636=0,C636&lt;&gt;0),VLOOKUP(C636,'3 - LISTA DE ESPÉCIES'!C:H,2,FALSE()))))</f>
        <v>0</v>
      </c>
      <c r="I636" s="21" t="b">
        <f>IF(AND(A636&lt;&gt;0,B636=0,C636=0),VLOOKUP(A636,'3 - LISTA DE ESPÉCIES'!A:H,5,FALSE()),IF(AND(A636=0,B636&lt;&gt;0,C636=0),VLOOKUP(B636,'3 - LISTA DE ESPÉCIES'!B:H,4,FALSE()),IF(AND(A636=0,B636=0,C636&lt;&gt;0),VLOOKUP(C636,'3 - LISTA DE ESPÉCIES'!C:H,3,FALSE()))))</f>
        <v>0</v>
      </c>
      <c r="J636" s="23"/>
      <c r="K636" s="23"/>
      <c r="L636" s="20"/>
      <c r="M636" s="20"/>
    </row>
    <row r="637" spans="1:13" x14ac:dyDescent="0.25">
      <c r="A637" s="20"/>
      <c r="B637" s="20"/>
      <c r="C637" s="20"/>
      <c r="E637" s="21" t="b">
        <f>IF(AND(A637&lt;&gt;0,B637=0,C637=0),VLOOKUP(A637,'3 - LISTA DE ESPÉCIES'!A:H,1,FALSE()),IF(AND(A637=0,B637&lt;&gt;0,C637=0),VLOOKUP(B637,'3 - LISTA DE ESPÉCIES'!B:H,5,FALSE()),IF(AND(A637=0,B637=0,C637&lt;&gt;0),VLOOKUP(C637,'3 - LISTA DE ESPÉCIES'!C:H,4,FALSE()))))</f>
        <v>0</v>
      </c>
      <c r="F637" s="21" t="b">
        <f>IF(AND(A637&lt;&gt;0,B637=0,C637=0),VLOOKUP(A637,'3 - LISTA DE ESPÉCIES'!A:H,2,FALSE()),IF(AND(A637=0,B637&lt;&gt;0,C637=0),VLOOKUP(B637,'3 - LISTA DE ESPÉCIES'!B:H,6,FALSE()),IF(AND(A637=0,B637=0,C637&lt;&gt;0),VLOOKUP(C637,'3 - LISTA DE ESPÉCIES'!C:H,5,FALSE()))))</f>
        <v>0</v>
      </c>
      <c r="G637" s="21" t="b">
        <f>IF(AND(A637&lt;&gt;0,B637=0,C637=0),VLOOKUP(A637,'3 - LISTA DE ESPÉCIES'!A:H,3,FALSE()),IF(AND(A637=0,B637&lt;&gt;0,C637=0),VLOOKUP(B637,'3 - LISTA DE ESPÉCIES'!B:H,7,FALSE()),IF(AND(A637=0,B637=0,C637&lt;&gt;0),VLOOKUP(C637,'3 - LISTA DE ESPÉCIES'!C:H,6,FALSE()))))</f>
        <v>0</v>
      </c>
      <c r="H637" s="21" t="b">
        <f>IF(AND(A637&lt;&gt;0,B637=0,C637=0),VLOOKUP(A637,'3 - LISTA DE ESPÉCIES'!A:H,4,FALSE()),IF(AND(A637=0,B637&lt;&gt;0,C637=0),VLOOKUP(B637,'3 - LISTA DE ESPÉCIES'!B:H,3,FALSE()),IF(AND(A637=0,B637=0,C637&lt;&gt;0),VLOOKUP(C637,'3 - LISTA DE ESPÉCIES'!C:H,2,FALSE()))))</f>
        <v>0</v>
      </c>
      <c r="I637" s="21" t="b">
        <f>IF(AND(A637&lt;&gt;0,B637=0,C637=0),VLOOKUP(A637,'3 - LISTA DE ESPÉCIES'!A:H,5,FALSE()),IF(AND(A637=0,B637&lt;&gt;0,C637=0),VLOOKUP(B637,'3 - LISTA DE ESPÉCIES'!B:H,4,FALSE()),IF(AND(A637=0,B637=0,C637&lt;&gt;0),VLOOKUP(C637,'3 - LISTA DE ESPÉCIES'!C:H,3,FALSE()))))</f>
        <v>0</v>
      </c>
      <c r="J637" s="23"/>
      <c r="K637" s="23"/>
      <c r="L637" s="20"/>
      <c r="M637" s="20"/>
    </row>
    <row r="638" spans="1:13" x14ac:dyDescent="0.25">
      <c r="A638" s="20"/>
      <c r="B638" s="20"/>
      <c r="C638" s="20"/>
      <c r="E638" s="21" t="b">
        <f>IF(AND(A638&lt;&gt;0,B638=0,C638=0),VLOOKUP(A638,'3 - LISTA DE ESPÉCIES'!A:H,1,FALSE()),IF(AND(A638=0,B638&lt;&gt;0,C638=0),VLOOKUP(B638,'3 - LISTA DE ESPÉCIES'!B:H,5,FALSE()),IF(AND(A638=0,B638=0,C638&lt;&gt;0),VLOOKUP(C638,'3 - LISTA DE ESPÉCIES'!C:H,4,FALSE()))))</f>
        <v>0</v>
      </c>
      <c r="F638" s="21" t="b">
        <f>IF(AND(A638&lt;&gt;0,B638=0,C638=0),VLOOKUP(A638,'3 - LISTA DE ESPÉCIES'!A:H,2,FALSE()),IF(AND(A638=0,B638&lt;&gt;0,C638=0),VLOOKUP(B638,'3 - LISTA DE ESPÉCIES'!B:H,6,FALSE()),IF(AND(A638=0,B638=0,C638&lt;&gt;0),VLOOKUP(C638,'3 - LISTA DE ESPÉCIES'!C:H,5,FALSE()))))</f>
        <v>0</v>
      </c>
      <c r="G638" s="21" t="b">
        <f>IF(AND(A638&lt;&gt;0,B638=0,C638=0),VLOOKUP(A638,'3 - LISTA DE ESPÉCIES'!A:H,3,FALSE()),IF(AND(A638=0,B638&lt;&gt;0,C638=0),VLOOKUP(B638,'3 - LISTA DE ESPÉCIES'!B:H,7,FALSE()),IF(AND(A638=0,B638=0,C638&lt;&gt;0),VLOOKUP(C638,'3 - LISTA DE ESPÉCIES'!C:H,6,FALSE()))))</f>
        <v>0</v>
      </c>
      <c r="H638" s="21" t="b">
        <f>IF(AND(A638&lt;&gt;0,B638=0,C638=0),VLOOKUP(A638,'3 - LISTA DE ESPÉCIES'!A:H,4,FALSE()),IF(AND(A638=0,B638&lt;&gt;0,C638=0),VLOOKUP(B638,'3 - LISTA DE ESPÉCIES'!B:H,3,FALSE()),IF(AND(A638=0,B638=0,C638&lt;&gt;0),VLOOKUP(C638,'3 - LISTA DE ESPÉCIES'!C:H,2,FALSE()))))</f>
        <v>0</v>
      </c>
      <c r="I638" s="21" t="b">
        <f>IF(AND(A638&lt;&gt;0,B638=0,C638=0),VLOOKUP(A638,'3 - LISTA DE ESPÉCIES'!A:H,5,FALSE()),IF(AND(A638=0,B638&lt;&gt;0,C638=0),VLOOKUP(B638,'3 - LISTA DE ESPÉCIES'!B:H,4,FALSE()),IF(AND(A638=0,B638=0,C638&lt;&gt;0),VLOOKUP(C638,'3 - LISTA DE ESPÉCIES'!C:H,3,FALSE()))))</f>
        <v>0</v>
      </c>
      <c r="J638" s="23"/>
      <c r="K638" s="23"/>
      <c r="L638" s="20"/>
      <c r="M638" s="20"/>
    </row>
    <row r="639" spans="1:13" x14ac:dyDescent="0.25">
      <c r="A639" s="20"/>
      <c r="B639" s="20"/>
      <c r="C639" s="20"/>
      <c r="E639" s="21" t="b">
        <f>IF(AND(A639&lt;&gt;0,B639=0,C639=0),VLOOKUP(A639,'3 - LISTA DE ESPÉCIES'!A:H,1,FALSE()),IF(AND(A639=0,B639&lt;&gt;0,C639=0),VLOOKUP(B639,'3 - LISTA DE ESPÉCIES'!B:H,5,FALSE()),IF(AND(A639=0,B639=0,C639&lt;&gt;0),VLOOKUP(C639,'3 - LISTA DE ESPÉCIES'!C:H,4,FALSE()))))</f>
        <v>0</v>
      </c>
      <c r="F639" s="21" t="b">
        <f>IF(AND(A639&lt;&gt;0,B639=0,C639=0),VLOOKUP(A639,'3 - LISTA DE ESPÉCIES'!A:H,2,FALSE()),IF(AND(A639=0,B639&lt;&gt;0,C639=0),VLOOKUP(B639,'3 - LISTA DE ESPÉCIES'!B:H,6,FALSE()),IF(AND(A639=0,B639=0,C639&lt;&gt;0),VLOOKUP(C639,'3 - LISTA DE ESPÉCIES'!C:H,5,FALSE()))))</f>
        <v>0</v>
      </c>
      <c r="G639" s="21" t="b">
        <f>IF(AND(A639&lt;&gt;0,B639=0,C639=0),VLOOKUP(A639,'3 - LISTA DE ESPÉCIES'!A:H,3,FALSE()),IF(AND(A639=0,B639&lt;&gt;0,C639=0),VLOOKUP(B639,'3 - LISTA DE ESPÉCIES'!B:H,7,FALSE()),IF(AND(A639=0,B639=0,C639&lt;&gt;0),VLOOKUP(C639,'3 - LISTA DE ESPÉCIES'!C:H,6,FALSE()))))</f>
        <v>0</v>
      </c>
      <c r="H639" s="21" t="b">
        <f>IF(AND(A639&lt;&gt;0,B639=0,C639=0),VLOOKUP(A639,'3 - LISTA DE ESPÉCIES'!A:H,4,FALSE()),IF(AND(A639=0,B639&lt;&gt;0,C639=0),VLOOKUP(B639,'3 - LISTA DE ESPÉCIES'!B:H,3,FALSE()),IF(AND(A639=0,B639=0,C639&lt;&gt;0),VLOOKUP(C639,'3 - LISTA DE ESPÉCIES'!C:H,2,FALSE()))))</f>
        <v>0</v>
      </c>
      <c r="I639" s="21" t="b">
        <f>IF(AND(A639&lt;&gt;0,B639=0,C639=0),VLOOKUP(A639,'3 - LISTA DE ESPÉCIES'!A:H,5,FALSE()),IF(AND(A639=0,B639&lt;&gt;0,C639=0),VLOOKUP(B639,'3 - LISTA DE ESPÉCIES'!B:H,4,FALSE()),IF(AND(A639=0,B639=0,C639&lt;&gt;0),VLOOKUP(C639,'3 - LISTA DE ESPÉCIES'!C:H,3,FALSE()))))</f>
        <v>0</v>
      </c>
      <c r="J639" s="23"/>
      <c r="K639" s="23"/>
      <c r="L639" s="20"/>
      <c r="M639" s="20"/>
    </row>
    <row r="640" spans="1:13" x14ac:dyDescent="0.25">
      <c r="A640" s="20"/>
      <c r="B640" s="20"/>
      <c r="C640" s="20"/>
      <c r="E640" s="21" t="b">
        <f>IF(AND(A640&lt;&gt;0,B640=0,C640=0),VLOOKUP(A640,'3 - LISTA DE ESPÉCIES'!A:H,1,FALSE()),IF(AND(A640=0,B640&lt;&gt;0,C640=0),VLOOKUP(B640,'3 - LISTA DE ESPÉCIES'!B:H,5,FALSE()),IF(AND(A640=0,B640=0,C640&lt;&gt;0),VLOOKUP(C640,'3 - LISTA DE ESPÉCIES'!C:H,4,FALSE()))))</f>
        <v>0</v>
      </c>
      <c r="F640" s="21" t="b">
        <f>IF(AND(A640&lt;&gt;0,B640=0,C640=0),VLOOKUP(A640,'3 - LISTA DE ESPÉCIES'!A:H,2,FALSE()),IF(AND(A640=0,B640&lt;&gt;0,C640=0),VLOOKUP(B640,'3 - LISTA DE ESPÉCIES'!B:H,6,FALSE()),IF(AND(A640=0,B640=0,C640&lt;&gt;0),VLOOKUP(C640,'3 - LISTA DE ESPÉCIES'!C:H,5,FALSE()))))</f>
        <v>0</v>
      </c>
      <c r="G640" s="21" t="b">
        <f>IF(AND(A640&lt;&gt;0,B640=0,C640=0),VLOOKUP(A640,'3 - LISTA DE ESPÉCIES'!A:H,3,FALSE()),IF(AND(A640=0,B640&lt;&gt;0,C640=0),VLOOKUP(B640,'3 - LISTA DE ESPÉCIES'!B:H,7,FALSE()),IF(AND(A640=0,B640=0,C640&lt;&gt;0),VLOOKUP(C640,'3 - LISTA DE ESPÉCIES'!C:H,6,FALSE()))))</f>
        <v>0</v>
      </c>
      <c r="H640" s="21" t="b">
        <f>IF(AND(A640&lt;&gt;0,B640=0,C640=0),VLOOKUP(A640,'3 - LISTA DE ESPÉCIES'!A:H,4,FALSE()),IF(AND(A640=0,B640&lt;&gt;0,C640=0),VLOOKUP(B640,'3 - LISTA DE ESPÉCIES'!B:H,3,FALSE()),IF(AND(A640=0,B640=0,C640&lt;&gt;0),VLOOKUP(C640,'3 - LISTA DE ESPÉCIES'!C:H,2,FALSE()))))</f>
        <v>0</v>
      </c>
      <c r="I640" s="21" t="b">
        <f>IF(AND(A640&lt;&gt;0,B640=0,C640=0),VLOOKUP(A640,'3 - LISTA DE ESPÉCIES'!A:H,5,FALSE()),IF(AND(A640=0,B640&lt;&gt;0,C640=0),VLOOKUP(B640,'3 - LISTA DE ESPÉCIES'!B:H,4,FALSE()),IF(AND(A640=0,B640=0,C640&lt;&gt;0),VLOOKUP(C640,'3 - LISTA DE ESPÉCIES'!C:H,3,FALSE()))))</f>
        <v>0</v>
      </c>
      <c r="J640" s="23"/>
      <c r="K640" s="23"/>
      <c r="L640" s="20"/>
      <c r="M640" s="20"/>
    </row>
    <row r="641" spans="1:13" x14ac:dyDescent="0.25">
      <c r="A641" s="20"/>
      <c r="B641" s="20"/>
      <c r="C641" s="20"/>
      <c r="E641" s="21" t="b">
        <f>IF(AND(A641&lt;&gt;0,B641=0,C641=0),VLOOKUP(A641,'3 - LISTA DE ESPÉCIES'!A:H,1,FALSE()),IF(AND(A641=0,B641&lt;&gt;0,C641=0),VLOOKUP(B641,'3 - LISTA DE ESPÉCIES'!B:H,5,FALSE()),IF(AND(A641=0,B641=0,C641&lt;&gt;0),VLOOKUP(C641,'3 - LISTA DE ESPÉCIES'!C:H,4,FALSE()))))</f>
        <v>0</v>
      </c>
      <c r="F641" s="21" t="b">
        <f>IF(AND(A641&lt;&gt;0,B641=0,C641=0),VLOOKUP(A641,'3 - LISTA DE ESPÉCIES'!A:H,2,FALSE()),IF(AND(A641=0,B641&lt;&gt;0,C641=0),VLOOKUP(B641,'3 - LISTA DE ESPÉCIES'!B:H,6,FALSE()),IF(AND(A641=0,B641=0,C641&lt;&gt;0),VLOOKUP(C641,'3 - LISTA DE ESPÉCIES'!C:H,5,FALSE()))))</f>
        <v>0</v>
      </c>
      <c r="G641" s="21" t="b">
        <f>IF(AND(A641&lt;&gt;0,B641=0,C641=0),VLOOKUP(A641,'3 - LISTA DE ESPÉCIES'!A:H,3,FALSE()),IF(AND(A641=0,B641&lt;&gt;0,C641=0),VLOOKUP(B641,'3 - LISTA DE ESPÉCIES'!B:H,7,FALSE()),IF(AND(A641=0,B641=0,C641&lt;&gt;0),VLOOKUP(C641,'3 - LISTA DE ESPÉCIES'!C:H,6,FALSE()))))</f>
        <v>0</v>
      </c>
      <c r="H641" s="21" t="b">
        <f>IF(AND(A641&lt;&gt;0,B641=0,C641=0),VLOOKUP(A641,'3 - LISTA DE ESPÉCIES'!A:H,4,FALSE()),IF(AND(A641=0,B641&lt;&gt;0,C641=0),VLOOKUP(B641,'3 - LISTA DE ESPÉCIES'!B:H,3,FALSE()),IF(AND(A641=0,B641=0,C641&lt;&gt;0),VLOOKUP(C641,'3 - LISTA DE ESPÉCIES'!C:H,2,FALSE()))))</f>
        <v>0</v>
      </c>
      <c r="I641" s="21" t="b">
        <f>IF(AND(A641&lt;&gt;0,B641=0,C641=0),VLOOKUP(A641,'3 - LISTA DE ESPÉCIES'!A:H,5,FALSE()),IF(AND(A641=0,B641&lt;&gt;0,C641=0),VLOOKUP(B641,'3 - LISTA DE ESPÉCIES'!B:H,4,FALSE()),IF(AND(A641=0,B641=0,C641&lt;&gt;0),VLOOKUP(C641,'3 - LISTA DE ESPÉCIES'!C:H,3,FALSE()))))</f>
        <v>0</v>
      </c>
      <c r="J641" s="23"/>
      <c r="K641" s="23"/>
      <c r="L641" s="20"/>
      <c r="M641" s="20"/>
    </row>
    <row r="642" spans="1:13" x14ac:dyDescent="0.25">
      <c r="A642" s="20"/>
      <c r="B642" s="20"/>
      <c r="C642" s="20"/>
      <c r="E642" s="21" t="b">
        <f>IF(AND(A642&lt;&gt;0,B642=0,C642=0),VLOOKUP(A642,'3 - LISTA DE ESPÉCIES'!A:H,1,FALSE()),IF(AND(A642=0,B642&lt;&gt;0,C642=0),VLOOKUP(B642,'3 - LISTA DE ESPÉCIES'!B:H,5,FALSE()),IF(AND(A642=0,B642=0,C642&lt;&gt;0),VLOOKUP(C642,'3 - LISTA DE ESPÉCIES'!C:H,4,FALSE()))))</f>
        <v>0</v>
      </c>
      <c r="F642" s="21" t="b">
        <f>IF(AND(A642&lt;&gt;0,B642=0,C642=0),VLOOKUP(A642,'3 - LISTA DE ESPÉCIES'!A:H,2,FALSE()),IF(AND(A642=0,B642&lt;&gt;0,C642=0),VLOOKUP(B642,'3 - LISTA DE ESPÉCIES'!B:H,6,FALSE()),IF(AND(A642=0,B642=0,C642&lt;&gt;0),VLOOKUP(C642,'3 - LISTA DE ESPÉCIES'!C:H,5,FALSE()))))</f>
        <v>0</v>
      </c>
      <c r="G642" s="21" t="b">
        <f>IF(AND(A642&lt;&gt;0,B642=0,C642=0),VLOOKUP(A642,'3 - LISTA DE ESPÉCIES'!A:H,3,FALSE()),IF(AND(A642=0,B642&lt;&gt;0,C642=0),VLOOKUP(B642,'3 - LISTA DE ESPÉCIES'!B:H,7,FALSE()),IF(AND(A642=0,B642=0,C642&lt;&gt;0),VLOOKUP(C642,'3 - LISTA DE ESPÉCIES'!C:H,6,FALSE()))))</f>
        <v>0</v>
      </c>
      <c r="H642" s="21" t="b">
        <f>IF(AND(A642&lt;&gt;0,B642=0,C642=0),VLOOKUP(A642,'3 - LISTA DE ESPÉCIES'!A:H,4,FALSE()),IF(AND(A642=0,B642&lt;&gt;0,C642=0),VLOOKUP(B642,'3 - LISTA DE ESPÉCIES'!B:H,3,FALSE()),IF(AND(A642=0,B642=0,C642&lt;&gt;0),VLOOKUP(C642,'3 - LISTA DE ESPÉCIES'!C:H,2,FALSE()))))</f>
        <v>0</v>
      </c>
      <c r="I642" s="21" t="b">
        <f>IF(AND(A642&lt;&gt;0,B642=0,C642=0),VLOOKUP(A642,'3 - LISTA DE ESPÉCIES'!A:H,5,FALSE()),IF(AND(A642=0,B642&lt;&gt;0,C642=0),VLOOKUP(B642,'3 - LISTA DE ESPÉCIES'!B:H,4,FALSE()),IF(AND(A642=0,B642=0,C642&lt;&gt;0),VLOOKUP(C642,'3 - LISTA DE ESPÉCIES'!C:H,3,FALSE()))))</f>
        <v>0</v>
      </c>
      <c r="J642" s="23"/>
      <c r="K642" s="23"/>
      <c r="L642" s="20"/>
      <c r="M642" s="20"/>
    </row>
    <row r="643" spans="1:13" x14ac:dyDescent="0.25">
      <c r="A643" s="20"/>
      <c r="B643" s="20"/>
      <c r="C643" s="20"/>
      <c r="E643" s="21" t="b">
        <f>IF(AND(A643&lt;&gt;0,B643=0,C643=0),VLOOKUP(A643,'3 - LISTA DE ESPÉCIES'!A:H,1,FALSE()),IF(AND(A643=0,B643&lt;&gt;0,C643=0),VLOOKUP(B643,'3 - LISTA DE ESPÉCIES'!B:H,5,FALSE()),IF(AND(A643=0,B643=0,C643&lt;&gt;0),VLOOKUP(C643,'3 - LISTA DE ESPÉCIES'!C:H,4,FALSE()))))</f>
        <v>0</v>
      </c>
      <c r="F643" s="21" t="b">
        <f>IF(AND(A643&lt;&gt;0,B643=0,C643=0),VLOOKUP(A643,'3 - LISTA DE ESPÉCIES'!A:H,2,FALSE()),IF(AND(A643=0,B643&lt;&gt;0,C643=0),VLOOKUP(B643,'3 - LISTA DE ESPÉCIES'!B:H,6,FALSE()),IF(AND(A643=0,B643=0,C643&lt;&gt;0),VLOOKUP(C643,'3 - LISTA DE ESPÉCIES'!C:H,5,FALSE()))))</f>
        <v>0</v>
      </c>
      <c r="G643" s="21" t="b">
        <f>IF(AND(A643&lt;&gt;0,B643=0,C643=0),VLOOKUP(A643,'3 - LISTA DE ESPÉCIES'!A:H,3,FALSE()),IF(AND(A643=0,B643&lt;&gt;0,C643=0),VLOOKUP(B643,'3 - LISTA DE ESPÉCIES'!B:H,7,FALSE()),IF(AND(A643=0,B643=0,C643&lt;&gt;0),VLOOKUP(C643,'3 - LISTA DE ESPÉCIES'!C:H,6,FALSE()))))</f>
        <v>0</v>
      </c>
      <c r="H643" s="21" t="b">
        <f>IF(AND(A643&lt;&gt;0,B643=0,C643=0),VLOOKUP(A643,'3 - LISTA DE ESPÉCIES'!A:H,4,FALSE()),IF(AND(A643=0,B643&lt;&gt;0,C643=0),VLOOKUP(B643,'3 - LISTA DE ESPÉCIES'!B:H,3,FALSE()),IF(AND(A643=0,B643=0,C643&lt;&gt;0),VLOOKUP(C643,'3 - LISTA DE ESPÉCIES'!C:H,2,FALSE()))))</f>
        <v>0</v>
      </c>
      <c r="I643" s="21" t="b">
        <f>IF(AND(A643&lt;&gt;0,B643=0,C643=0),VLOOKUP(A643,'3 - LISTA DE ESPÉCIES'!A:H,5,FALSE()),IF(AND(A643=0,B643&lt;&gt;0,C643=0),VLOOKUP(B643,'3 - LISTA DE ESPÉCIES'!B:H,4,FALSE()),IF(AND(A643=0,B643=0,C643&lt;&gt;0),VLOOKUP(C643,'3 - LISTA DE ESPÉCIES'!C:H,3,FALSE()))))</f>
        <v>0</v>
      </c>
      <c r="J643" s="23"/>
      <c r="K643" s="23"/>
      <c r="L643" s="20"/>
      <c r="M643" s="20"/>
    </row>
    <row r="644" spans="1:13" x14ac:dyDescent="0.25">
      <c r="A644" s="20"/>
      <c r="B644" s="20"/>
      <c r="C644" s="20"/>
      <c r="E644" s="21" t="b">
        <f>IF(AND(A644&lt;&gt;0,B644=0,C644=0),VLOOKUP(A644,'3 - LISTA DE ESPÉCIES'!A:H,1,FALSE()),IF(AND(A644=0,B644&lt;&gt;0,C644=0),VLOOKUP(B644,'3 - LISTA DE ESPÉCIES'!B:H,5,FALSE()),IF(AND(A644=0,B644=0,C644&lt;&gt;0),VLOOKUP(C644,'3 - LISTA DE ESPÉCIES'!C:H,4,FALSE()))))</f>
        <v>0</v>
      </c>
      <c r="F644" s="21" t="b">
        <f>IF(AND(A644&lt;&gt;0,B644=0,C644=0),VLOOKUP(A644,'3 - LISTA DE ESPÉCIES'!A:H,2,FALSE()),IF(AND(A644=0,B644&lt;&gt;0,C644=0),VLOOKUP(B644,'3 - LISTA DE ESPÉCIES'!B:H,6,FALSE()),IF(AND(A644=0,B644=0,C644&lt;&gt;0),VLOOKUP(C644,'3 - LISTA DE ESPÉCIES'!C:H,5,FALSE()))))</f>
        <v>0</v>
      </c>
      <c r="G644" s="21" t="b">
        <f>IF(AND(A644&lt;&gt;0,B644=0,C644=0),VLOOKUP(A644,'3 - LISTA DE ESPÉCIES'!A:H,3,FALSE()),IF(AND(A644=0,B644&lt;&gt;0,C644=0),VLOOKUP(B644,'3 - LISTA DE ESPÉCIES'!B:H,7,FALSE()),IF(AND(A644=0,B644=0,C644&lt;&gt;0),VLOOKUP(C644,'3 - LISTA DE ESPÉCIES'!C:H,6,FALSE()))))</f>
        <v>0</v>
      </c>
      <c r="H644" s="21" t="b">
        <f>IF(AND(A644&lt;&gt;0,B644=0,C644=0),VLOOKUP(A644,'3 - LISTA DE ESPÉCIES'!A:H,4,FALSE()),IF(AND(A644=0,B644&lt;&gt;0,C644=0),VLOOKUP(B644,'3 - LISTA DE ESPÉCIES'!B:H,3,FALSE()),IF(AND(A644=0,B644=0,C644&lt;&gt;0),VLOOKUP(C644,'3 - LISTA DE ESPÉCIES'!C:H,2,FALSE()))))</f>
        <v>0</v>
      </c>
      <c r="I644" s="21" t="b">
        <f>IF(AND(A644&lt;&gt;0,B644=0,C644=0),VLOOKUP(A644,'3 - LISTA DE ESPÉCIES'!A:H,5,FALSE()),IF(AND(A644=0,B644&lt;&gt;0,C644=0),VLOOKUP(B644,'3 - LISTA DE ESPÉCIES'!B:H,4,FALSE()),IF(AND(A644=0,B644=0,C644&lt;&gt;0),VLOOKUP(C644,'3 - LISTA DE ESPÉCIES'!C:H,3,FALSE()))))</f>
        <v>0</v>
      </c>
      <c r="J644" s="23"/>
      <c r="K644" s="23"/>
      <c r="L644" s="20"/>
      <c r="M644" s="20"/>
    </row>
    <row r="645" spans="1:13" x14ac:dyDescent="0.25">
      <c r="A645" s="20"/>
      <c r="B645" s="20"/>
      <c r="C645" s="20"/>
      <c r="E645" s="21" t="b">
        <f>IF(AND(A645&lt;&gt;0,B645=0,C645=0),VLOOKUP(A645,'3 - LISTA DE ESPÉCIES'!A:H,1,FALSE()),IF(AND(A645=0,B645&lt;&gt;0,C645=0),VLOOKUP(B645,'3 - LISTA DE ESPÉCIES'!B:H,5,FALSE()),IF(AND(A645=0,B645=0,C645&lt;&gt;0),VLOOKUP(C645,'3 - LISTA DE ESPÉCIES'!C:H,4,FALSE()))))</f>
        <v>0</v>
      </c>
      <c r="F645" s="21" t="b">
        <f>IF(AND(A645&lt;&gt;0,B645=0,C645=0),VLOOKUP(A645,'3 - LISTA DE ESPÉCIES'!A:H,2,FALSE()),IF(AND(A645=0,B645&lt;&gt;0,C645=0),VLOOKUP(B645,'3 - LISTA DE ESPÉCIES'!B:H,6,FALSE()),IF(AND(A645=0,B645=0,C645&lt;&gt;0),VLOOKUP(C645,'3 - LISTA DE ESPÉCIES'!C:H,5,FALSE()))))</f>
        <v>0</v>
      </c>
      <c r="G645" s="21" t="b">
        <f>IF(AND(A645&lt;&gt;0,B645=0,C645=0),VLOOKUP(A645,'3 - LISTA DE ESPÉCIES'!A:H,3,FALSE()),IF(AND(A645=0,B645&lt;&gt;0,C645=0),VLOOKUP(B645,'3 - LISTA DE ESPÉCIES'!B:H,7,FALSE()),IF(AND(A645=0,B645=0,C645&lt;&gt;0),VLOOKUP(C645,'3 - LISTA DE ESPÉCIES'!C:H,6,FALSE()))))</f>
        <v>0</v>
      </c>
      <c r="H645" s="21" t="b">
        <f>IF(AND(A645&lt;&gt;0,B645=0,C645=0),VLOOKUP(A645,'3 - LISTA DE ESPÉCIES'!A:H,4,FALSE()),IF(AND(A645=0,B645&lt;&gt;0,C645=0),VLOOKUP(B645,'3 - LISTA DE ESPÉCIES'!B:H,3,FALSE()),IF(AND(A645=0,B645=0,C645&lt;&gt;0),VLOOKUP(C645,'3 - LISTA DE ESPÉCIES'!C:H,2,FALSE()))))</f>
        <v>0</v>
      </c>
      <c r="I645" s="21" t="b">
        <f>IF(AND(A645&lt;&gt;0,B645=0,C645=0),VLOOKUP(A645,'3 - LISTA DE ESPÉCIES'!A:H,5,FALSE()),IF(AND(A645=0,B645&lt;&gt;0,C645=0),VLOOKUP(B645,'3 - LISTA DE ESPÉCIES'!B:H,4,FALSE()),IF(AND(A645=0,B645=0,C645&lt;&gt;0),VLOOKUP(C645,'3 - LISTA DE ESPÉCIES'!C:H,3,FALSE()))))</f>
        <v>0</v>
      </c>
      <c r="J645" s="23"/>
      <c r="K645" s="23"/>
      <c r="L645" s="20"/>
      <c r="M645" s="20"/>
    </row>
    <row r="646" spans="1:13" x14ac:dyDescent="0.25">
      <c r="A646" s="20"/>
      <c r="B646" s="20"/>
      <c r="C646" s="20"/>
      <c r="E646" s="21" t="b">
        <f>IF(AND(A646&lt;&gt;0,B646=0,C646=0),VLOOKUP(A646,'3 - LISTA DE ESPÉCIES'!A:H,1,FALSE()),IF(AND(A646=0,B646&lt;&gt;0,C646=0),VLOOKUP(B646,'3 - LISTA DE ESPÉCIES'!B:H,5,FALSE()),IF(AND(A646=0,B646=0,C646&lt;&gt;0),VLOOKUP(C646,'3 - LISTA DE ESPÉCIES'!C:H,4,FALSE()))))</f>
        <v>0</v>
      </c>
      <c r="F646" s="21" t="b">
        <f>IF(AND(A646&lt;&gt;0,B646=0,C646=0),VLOOKUP(A646,'3 - LISTA DE ESPÉCIES'!A:H,2,FALSE()),IF(AND(A646=0,B646&lt;&gt;0,C646=0),VLOOKUP(B646,'3 - LISTA DE ESPÉCIES'!B:H,6,FALSE()),IF(AND(A646=0,B646=0,C646&lt;&gt;0),VLOOKUP(C646,'3 - LISTA DE ESPÉCIES'!C:H,5,FALSE()))))</f>
        <v>0</v>
      </c>
      <c r="G646" s="21" t="b">
        <f>IF(AND(A646&lt;&gt;0,B646=0,C646=0),VLOOKUP(A646,'3 - LISTA DE ESPÉCIES'!A:H,3,FALSE()),IF(AND(A646=0,B646&lt;&gt;0,C646=0),VLOOKUP(B646,'3 - LISTA DE ESPÉCIES'!B:H,7,FALSE()),IF(AND(A646=0,B646=0,C646&lt;&gt;0),VLOOKUP(C646,'3 - LISTA DE ESPÉCIES'!C:H,6,FALSE()))))</f>
        <v>0</v>
      </c>
      <c r="H646" s="21" t="b">
        <f>IF(AND(A646&lt;&gt;0,B646=0,C646=0),VLOOKUP(A646,'3 - LISTA DE ESPÉCIES'!A:H,4,FALSE()),IF(AND(A646=0,B646&lt;&gt;0,C646=0),VLOOKUP(B646,'3 - LISTA DE ESPÉCIES'!B:H,3,FALSE()),IF(AND(A646=0,B646=0,C646&lt;&gt;0),VLOOKUP(C646,'3 - LISTA DE ESPÉCIES'!C:H,2,FALSE()))))</f>
        <v>0</v>
      </c>
      <c r="I646" s="21" t="b">
        <f>IF(AND(A646&lt;&gt;0,B646=0,C646=0),VLOOKUP(A646,'3 - LISTA DE ESPÉCIES'!A:H,5,FALSE()),IF(AND(A646=0,B646&lt;&gt;0,C646=0),VLOOKUP(B646,'3 - LISTA DE ESPÉCIES'!B:H,4,FALSE()),IF(AND(A646=0,B646=0,C646&lt;&gt;0),VLOOKUP(C646,'3 - LISTA DE ESPÉCIES'!C:H,3,FALSE()))))</f>
        <v>0</v>
      </c>
      <c r="J646" s="23"/>
      <c r="K646" s="23"/>
      <c r="L646" s="20"/>
      <c r="M646" s="20"/>
    </row>
    <row r="647" spans="1:13" x14ac:dyDescent="0.25">
      <c r="A647" s="20"/>
      <c r="B647" s="20"/>
      <c r="C647" s="20"/>
      <c r="E647" s="21" t="b">
        <f>IF(AND(A647&lt;&gt;0,B647=0,C647=0),VLOOKUP(A647,'3 - LISTA DE ESPÉCIES'!A:H,1,FALSE()),IF(AND(A647=0,B647&lt;&gt;0,C647=0),VLOOKUP(B647,'3 - LISTA DE ESPÉCIES'!B:H,5,FALSE()),IF(AND(A647=0,B647=0,C647&lt;&gt;0),VLOOKUP(C647,'3 - LISTA DE ESPÉCIES'!C:H,4,FALSE()))))</f>
        <v>0</v>
      </c>
      <c r="F647" s="21" t="b">
        <f>IF(AND(A647&lt;&gt;0,B647=0,C647=0),VLOOKUP(A647,'3 - LISTA DE ESPÉCIES'!A:H,2,FALSE()),IF(AND(A647=0,B647&lt;&gt;0,C647=0),VLOOKUP(B647,'3 - LISTA DE ESPÉCIES'!B:H,6,FALSE()),IF(AND(A647=0,B647=0,C647&lt;&gt;0),VLOOKUP(C647,'3 - LISTA DE ESPÉCIES'!C:H,5,FALSE()))))</f>
        <v>0</v>
      </c>
      <c r="G647" s="21" t="b">
        <f>IF(AND(A647&lt;&gt;0,B647=0,C647=0),VLOOKUP(A647,'3 - LISTA DE ESPÉCIES'!A:H,3,FALSE()),IF(AND(A647=0,B647&lt;&gt;0,C647=0),VLOOKUP(B647,'3 - LISTA DE ESPÉCIES'!B:H,7,FALSE()),IF(AND(A647=0,B647=0,C647&lt;&gt;0),VLOOKUP(C647,'3 - LISTA DE ESPÉCIES'!C:H,6,FALSE()))))</f>
        <v>0</v>
      </c>
      <c r="H647" s="21" t="b">
        <f>IF(AND(A647&lt;&gt;0,B647=0,C647=0),VLOOKUP(A647,'3 - LISTA DE ESPÉCIES'!A:H,4,FALSE()),IF(AND(A647=0,B647&lt;&gt;0,C647=0),VLOOKUP(B647,'3 - LISTA DE ESPÉCIES'!B:H,3,FALSE()),IF(AND(A647=0,B647=0,C647&lt;&gt;0),VLOOKUP(C647,'3 - LISTA DE ESPÉCIES'!C:H,2,FALSE()))))</f>
        <v>0</v>
      </c>
      <c r="I647" s="21" t="b">
        <f>IF(AND(A647&lt;&gt;0,B647=0,C647=0),VLOOKUP(A647,'3 - LISTA DE ESPÉCIES'!A:H,5,FALSE()),IF(AND(A647=0,B647&lt;&gt;0,C647=0),VLOOKUP(B647,'3 - LISTA DE ESPÉCIES'!B:H,4,FALSE()),IF(AND(A647=0,B647=0,C647&lt;&gt;0),VLOOKUP(C647,'3 - LISTA DE ESPÉCIES'!C:H,3,FALSE()))))</f>
        <v>0</v>
      </c>
      <c r="J647" s="23"/>
      <c r="K647" s="23"/>
      <c r="L647" s="20"/>
      <c r="M647" s="20"/>
    </row>
    <row r="648" spans="1:13" x14ac:dyDescent="0.25">
      <c r="A648" s="20"/>
      <c r="B648" s="20"/>
      <c r="C648" s="20"/>
      <c r="E648" s="21" t="b">
        <f>IF(AND(A648&lt;&gt;0,B648=0,C648=0),VLOOKUP(A648,'3 - LISTA DE ESPÉCIES'!A:H,1,FALSE()),IF(AND(A648=0,B648&lt;&gt;0,C648=0),VLOOKUP(B648,'3 - LISTA DE ESPÉCIES'!B:H,5,FALSE()),IF(AND(A648=0,B648=0,C648&lt;&gt;0),VLOOKUP(C648,'3 - LISTA DE ESPÉCIES'!C:H,4,FALSE()))))</f>
        <v>0</v>
      </c>
      <c r="F648" s="21" t="b">
        <f>IF(AND(A648&lt;&gt;0,B648=0,C648=0),VLOOKUP(A648,'3 - LISTA DE ESPÉCIES'!A:H,2,FALSE()),IF(AND(A648=0,B648&lt;&gt;0,C648=0),VLOOKUP(B648,'3 - LISTA DE ESPÉCIES'!B:H,6,FALSE()),IF(AND(A648=0,B648=0,C648&lt;&gt;0),VLOOKUP(C648,'3 - LISTA DE ESPÉCIES'!C:H,5,FALSE()))))</f>
        <v>0</v>
      </c>
      <c r="G648" s="21" t="b">
        <f>IF(AND(A648&lt;&gt;0,B648=0,C648=0),VLOOKUP(A648,'3 - LISTA DE ESPÉCIES'!A:H,3,FALSE()),IF(AND(A648=0,B648&lt;&gt;0,C648=0),VLOOKUP(B648,'3 - LISTA DE ESPÉCIES'!B:H,7,FALSE()),IF(AND(A648=0,B648=0,C648&lt;&gt;0),VLOOKUP(C648,'3 - LISTA DE ESPÉCIES'!C:H,6,FALSE()))))</f>
        <v>0</v>
      </c>
      <c r="H648" s="21" t="b">
        <f>IF(AND(A648&lt;&gt;0,B648=0,C648=0),VLOOKUP(A648,'3 - LISTA DE ESPÉCIES'!A:H,4,FALSE()),IF(AND(A648=0,B648&lt;&gt;0,C648=0),VLOOKUP(B648,'3 - LISTA DE ESPÉCIES'!B:H,3,FALSE()),IF(AND(A648=0,B648=0,C648&lt;&gt;0),VLOOKUP(C648,'3 - LISTA DE ESPÉCIES'!C:H,2,FALSE()))))</f>
        <v>0</v>
      </c>
      <c r="I648" s="21" t="b">
        <f>IF(AND(A648&lt;&gt;0,B648=0,C648=0),VLOOKUP(A648,'3 - LISTA DE ESPÉCIES'!A:H,5,FALSE()),IF(AND(A648=0,B648&lt;&gt;0,C648=0),VLOOKUP(B648,'3 - LISTA DE ESPÉCIES'!B:H,4,FALSE()),IF(AND(A648=0,B648=0,C648&lt;&gt;0),VLOOKUP(C648,'3 - LISTA DE ESPÉCIES'!C:H,3,FALSE()))))</f>
        <v>0</v>
      </c>
      <c r="J648" s="23"/>
      <c r="K648" s="23"/>
      <c r="L648" s="20"/>
      <c r="M648" s="20"/>
    </row>
    <row r="649" spans="1:13" x14ac:dyDescent="0.25">
      <c r="A649" s="20"/>
      <c r="B649" s="20"/>
      <c r="C649" s="20"/>
      <c r="E649" s="21" t="b">
        <f>IF(AND(A649&lt;&gt;0,B649=0,C649=0),VLOOKUP(A649,'3 - LISTA DE ESPÉCIES'!A:H,1,FALSE()),IF(AND(A649=0,B649&lt;&gt;0,C649=0),VLOOKUP(B649,'3 - LISTA DE ESPÉCIES'!B:H,5,FALSE()),IF(AND(A649=0,B649=0,C649&lt;&gt;0),VLOOKUP(C649,'3 - LISTA DE ESPÉCIES'!C:H,4,FALSE()))))</f>
        <v>0</v>
      </c>
      <c r="F649" s="21" t="b">
        <f>IF(AND(A649&lt;&gt;0,B649=0,C649=0),VLOOKUP(A649,'3 - LISTA DE ESPÉCIES'!A:H,2,FALSE()),IF(AND(A649=0,B649&lt;&gt;0,C649=0),VLOOKUP(B649,'3 - LISTA DE ESPÉCIES'!B:H,6,FALSE()),IF(AND(A649=0,B649=0,C649&lt;&gt;0),VLOOKUP(C649,'3 - LISTA DE ESPÉCIES'!C:H,5,FALSE()))))</f>
        <v>0</v>
      </c>
      <c r="G649" s="21" t="b">
        <f>IF(AND(A649&lt;&gt;0,B649=0,C649=0),VLOOKUP(A649,'3 - LISTA DE ESPÉCIES'!A:H,3,FALSE()),IF(AND(A649=0,B649&lt;&gt;0,C649=0),VLOOKUP(B649,'3 - LISTA DE ESPÉCIES'!B:H,7,FALSE()),IF(AND(A649=0,B649=0,C649&lt;&gt;0),VLOOKUP(C649,'3 - LISTA DE ESPÉCIES'!C:H,6,FALSE()))))</f>
        <v>0</v>
      </c>
      <c r="H649" s="21" t="b">
        <f>IF(AND(A649&lt;&gt;0,B649=0,C649=0),VLOOKUP(A649,'3 - LISTA DE ESPÉCIES'!A:H,4,FALSE()),IF(AND(A649=0,B649&lt;&gt;0,C649=0),VLOOKUP(B649,'3 - LISTA DE ESPÉCIES'!B:H,3,FALSE()),IF(AND(A649=0,B649=0,C649&lt;&gt;0),VLOOKUP(C649,'3 - LISTA DE ESPÉCIES'!C:H,2,FALSE()))))</f>
        <v>0</v>
      </c>
      <c r="I649" s="21" t="b">
        <f>IF(AND(A649&lt;&gt;0,B649=0,C649=0),VLOOKUP(A649,'3 - LISTA DE ESPÉCIES'!A:H,5,FALSE()),IF(AND(A649=0,B649&lt;&gt;0,C649=0),VLOOKUP(B649,'3 - LISTA DE ESPÉCIES'!B:H,4,FALSE()),IF(AND(A649=0,B649=0,C649&lt;&gt;0),VLOOKUP(C649,'3 - LISTA DE ESPÉCIES'!C:H,3,FALSE()))))</f>
        <v>0</v>
      </c>
      <c r="J649" s="23"/>
      <c r="K649" s="23"/>
      <c r="L649" s="20"/>
      <c r="M649" s="20"/>
    </row>
    <row r="650" spans="1:13" x14ac:dyDescent="0.25">
      <c r="A650" s="20"/>
      <c r="B650" s="20"/>
      <c r="C650" s="20"/>
      <c r="E650" s="21" t="b">
        <f>IF(AND(A650&lt;&gt;0,B650=0,C650=0),VLOOKUP(A650,'3 - LISTA DE ESPÉCIES'!A:H,1,FALSE()),IF(AND(A650=0,B650&lt;&gt;0,C650=0),VLOOKUP(B650,'3 - LISTA DE ESPÉCIES'!B:H,5,FALSE()),IF(AND(A650=0,B650=0,C650&lt;&gt;0),VLOOKUP(C650,'3 - LISTA DE ESPÉCIES'!C:H,4,FALSE()))))</f>
        <v>0</v>
      </c>
      <c r="F650" s="21" t="b">
        <f>IF(AND(A650&lt;&gt;0,B650=0,C650=0),VLOOKUP(A650,'3 - LISTA DE ESPÉCIES'!A:H,2,FALSE()),IF(AND(A650=0,B650&lt;&gt;0,C650=0),VLOOKUP(B650,'3 - LISTA DE ESPÉCIES'!B:H,6,FALSE()),IF(AND(A650=0,B650=0,C650&lt;&gt;0),VLOOKUP(C650,'3 - LISTA DE ESPÉCIES'!C:H,5,FALSE()))))</f>
        <v>0</v>
      </c>
      <c r="G650" s="21" t="b">
        <f>IF(AND(A650&lt;&gt;0,B650=0,C650=0),VLOOKUP(A650,'3 - LISTA DE ESPÉCIES'!A:H,3,FALSE()),IF(AND(A650=0,B650&lt;&gt;0,C650=0),VLOOKUP(B650,'3 - LISTA DE ESPÉCIES'!B:H,7,FALSE()),IF(AND(A650=0,B650=0,C650&lt;&gt;0),VLOOKUP(C650,'3 - LISTA DE ESPÉCIES'!C:H,6,FALSE()))))</f>
        <v>0</v>
      </c>
      <c r="H650" s="21" t="b">
        <f>IF(AND(A650&lt;&gt;0,B650=0,C650=0),VLOOKUP(A650,'3 - LISTA DE ESPÉCIES'!A:H,4,FALSE()),IF(AND(A650=0,B650&lt;&gt;0,C650=0),VLOOKUP(B650,'3 - LISTA DE ESPÉCIES'!B:H,3,FALSE()),IF(AND(A650=0,B650=0,C650&lt;&gt;0),VLOOKUP(C650,'3 - LISTA DE ESPÉCIES'!C:H,2,FALSE()))))</f>
        <v>0</v>
      </c>
      <c r="I650" s="21" t="b">
        <f>IF(AND(A650&lt;&gt;0,B650=0,C650=0),VLOOKUP(A650,'3 - LISTA DE ESPÉCIES'!A:H,5,FALSE()),IF(AND(A650=0,B650&lt;&gt;0,C650=0),VLOOKUP(B650,'3 - LISTA DE ESPÉCIES'!B:H,4,FALSE()),IF(AND(A650=0,B650=0,C650&lt;&gt;0),VLOOKUP(C650,'3 - LISTA DE ESPÉCIES'!C:H,3,FALSE()))))</f>
        <v>0</v>
      </c>
      <c r="J650" s="23"/>
      <c r="K650" s="23"/>
      <c r="L650" s="20"/>
      <c r="M650" s="20"/>
    </row>
    <row r="651" spans="1:13" x14ac:dyDescent="0.25">
      <c r="A651" s="20"/>
      <c r="B651" s="20"/>
      <c r="C651" s="20"/>
      <c r="E651" s="21" t="b">
        <f>IF(AND(A651&lt;&gt;0,B651=0,C651=0),VLOOKUP(A651,'3 - LISTA DE ESPÉCIES'!A:H,1,FALSE()),IF(AND(A651=0,B651&lt;&gt;0,C651=0),VLOOKUP(B651,'3 - LISTA DE ESPÉCIES'!B:H,5,FALSE()),IF(AND(A651=0,B651=0,C651&lt;&gt;0),VLOOKUP(C651,'3 - LISTA DE ESPÉCIES'!C:H,4,FALSE()))))</f>
        <v>0</v>
      </c>
      <c r="F651" s="21" t="b">
        <f>IF(AND(A651&lt;&gt;0,B651=0,C651=0),VLOOKUP(A651,'3 - LISTA DE ESPÉCIES'!A:H,2,FALSE()),IF(AND(A651=0,B651&lt;&gt;0,C651=0),VLOOKUP(B651,'3 - LISTA DE ESPÉCIES'!B:H,6,FALSE()),IF(AND(A651=0,B651=0,C651&lt;&gt;0),VLOOKUP(C651,'3 - LISTA DE ESPÉCIES'!C:H,5,FALSE()))))</f>
        <v>0</v>
      </c>
      <c r="G651" s="21" t="b">
        <f>IF(AND(A651&lt;&gt;0,B651=0,C651=0),VLOOKUP(A651,'3 - LISTA DE ESPÉCIES'!A:H,3,FALSE()),IF(AND(A651=0,B651&lt;&gt;0,C651=0),VLOOKUP(B651,'3 - LISTA DE ESPÉCIES'!B:H,7,FALSE()),IF(AND(A651=0,B651=0,C651&lt;&gt;0),VLOOKUP(C651,'3 - LISTA DE ESPÉCIES'!C:H,6,FALSE()))))</f>
        <v>0</v>
      </c>
      <c r="H651" s="21" t="b">
        <f>IF(AND(A651&lt;&gt;0,B651=0,C651=0),VLOOKUP(A651,'3 - LISTA DE ESPÉCIES'!A:H,4,FALSE()),IF(AND(A651=0,B651&lt;&gt;0,C651=0),VLOOKUP(B651,'3 - LISTA DE ESPÉCIES'!B:H,3,FALSE()),IF(AND(A651=0,B651=0,C651&lt;&gt;0),VLOOKUP(C651,'3 - LISTA DE ESPÉCIES'!C:H,2,FALSE()))))</f>
        <v>0</v>
      </c>
      <c r="I651" s="21" t="b">
        <f>IF(AND(A651&lt;&gt;0,B651=0,C651=0),VLOOKUP(A651,'3 - LISTA DE ESPÉCIES'!A:H,5,FALSE()),IF(AND(A651=0,B651&lt;&gt;0,C651=0),VLOOKUP(B651,'3 - LISTA DE ESPÉCIES'!B:H,4,FALSE()),IF(AND(A651=0,B651=0,C651&lt;&gt;0),VLOOKUP(C651,'3 - LISTA DE ESPÉCIES'!C:H,3,FALSE()))))</f>
        <v>0</v>
      </c>
      <c r="J651" s="23"/>
      <c r="K651" s="23"/>
      <c r="L651" s="20"/>
      <c r="M651" s="20"/>
    </row>
    <row r="652" spans="1:13" x14ac:dyDescent="0.25">
      <c r="A652" s="20"/>
      <c r="B652" s="20"/>
      <c r="C652" s="20"/>
      <c r="E652" s="21" t="b">
        <f>IF(AND(A652&lt;&gt;0,B652=0,C652=0),VLOOKUP(A652,'3 - LISTA DE ESPÉCIES'!A:H,1,FALSE()),IF(AND(A652=0,B652&lt;&gt;0,C652=0),VLOOKUP(B652,'3 - LISTA DE ESPÉCIES'!B:H,5,FALSE()),IF(AND(A652=0,B652=0,C652&lt;&gt;0),VLOOKUP(C652,'3 - LISTA DE ESPÉCIES'!C:H,4,FALSE()))))</f>
        <v>0</v>
      </c>
      <c r="F652" s="21" t="b">
        <f>IF(AND(A652&lt;&gt;0,B652=0,C652=0),VLOOKUP(A652,'3 - LISTA DE ESPÉCIES'!A:H,2,FALSE()),IF(AND(A652=0,B652&lt;&gt;0,C652=0),VLOOKUP(B652,'3 - LISTA DE ESPÉCIES'!B:H,6,FALSE()),IF(AND(A652=0,B652=0,C652&lt;&gt;0),VLOOKUP(C652,'3 - LISTA DE ESPÉCIES'!C:H,5,FALSE()))))</f>
        <v>0</v>
      </c>
      <c r="G652" s="21" t="b">
        <f>IF(AND(A652&lt;&gt;0,B652=0,C652=0),VLOOKUP(A652,'3 - LISTA DE ESPÉCIES'!A:H,3,FALSE()),IF(AND(A652=0,B652&lt;&gt;0,C652=0),VLOOKUP(B652,'3 - LISTA DE ESPÉCIES'!B:H,7,FALSE()),IF(AND(A652=0,B652=0,C652&lt;&gt;0),VLOOKUP(C652,'3 - LISTA DE ESPÉCIES'!C:H,6,FALSE()))))</f>
        <v>0</v>
      </c>
      <c r="H652" s="21" t="b">
        <f>IF(AND(A652&lt;&gt;0,B652=0,C652=0),VLOOKUP(A652,'3 - LISTA DE ESPÉCIES'!A:H,4,FALSE()),IF(AND(A652=0,B652&lt;&gt;0,C652=0),VLOOKUP(B652,'3 - LISTA DE ESPÉCIES'!B:H,3,FALSE()),IF(AND(A652=0,B652=0,C652&lt;&gt;0),VLOOKUP(C652,'3 - LISTA DE ESPÉCIES'!C:H,2,FALSE()))))</f>
        <v>0</v>
      </c>
      <c r="I652" s="21" t="b">
        <f>IF(AND(A652&lt;&gt;0,B652=0,C652=0),VLOOKUP(A652,'3 - LISTA DE ESPÉCIES'!A:H,5,FALSE()),IF(AND(A652=0,B652&lt;&gt;0,C652=0),VLOOKUP(B652,'3 - LISTA DE ESPÉCIES'!B:H,4,FALSE()),IF(AND(A652=0,B652=0,C652&lt;&gt;0),VLOOKUP(C652,'3 - LISTA DE ESPÉCIES'!C:H,3,FALSE()))))</f>
        <v>0</v>
      </c>
      <c r="J652" s="23"/>
      <c r="K652" s="23"/>
      <c r="L652" s="20"/>
      <c r="M652" s="20"/>
    </row>
    <row r="653" spans="1:13" x14ac:dyDescent="0.25">
      <c r="A653" s="20"/>
      <c r="B653" s="20"/>
      <c r="C653" s="20"/>
      <c r="E653" s="21" t="b">
        <f>IF(AND(A653&lt;&gt;0,B653=0,C653=0),VLOOKUP(A653,'3 - LISTA DE ESPÉCIES'!A:H,1,FALSE()),IF(AND(A653=0,B653&lt;&gt;0,C653=0),VLOOKUP(B653,'3 - LISTA DE ESPÉCIES'!B:H,5,FALSE()),IF(AND(A653=0,B653=0,C653&lt;&gt;0),VLOOKUP(C653,'3 - LISTA DE ESPÉCIES'!C:H,4,FALSE()))))</f>
        <v>0</v>
      </c>
      <c r="F653" s="21" t="b">
        <f>IF(AND(A653&lt;&gt;0,B653=0,C653=0),VLOOKUP(A653,'3 - LISTA DE ESPÉCIES'!A:H,2,FALSE()),IF(AND(A653=0,B653&lt;&gt;0,C653=0),VLOOKUP(B653,'3 - LISTA DE ESPÉCIES'!B:H,6,FALSE()),IF(AND(A653=0,B653=0,C653&lt;&gt;0),VLOOKUP(C653,'3 - LISTA DE ESPÉCIES'!C:H,5,FALSE()))))</f>
        <v>0</v>
      </c>
      <c r="G653" s="21" t="b">
        <f>IF(AND(A653&lt;&gt;0,B653=0,C653=0),VLOOKUP(A653,'3 - LISTA DE ESPÉCIES'!A:H,3,FALSE()),IF(AND(A653=0,B653&lt;&gt;0,C653=0),VLOOKUP(B653,'3 - LISTA DE ESPÉCIES'!B:H,7,FALSE()),IF(AND(A653=0,B653=0,C653&lt;&gt;0),VLOOKUP(C653,'3 - LISTA DE ESPÉCIES'!C:H,6,FALSE()))))</f>
        <v>0</v>
      </c>
      <c r="H653" s="21" t="b">
        <f>IF(AND(A653&lt;&gt;0,B653=0,C653=0),VLOOKUP(A653,'3 - LISTA DE ESPÉCIES'!A:H,4,FALSE()),IF(AND(A653=0,B653&lt;&gt;0,C653=0),VLOOKUP(B653,'3 - LISTA DE ESPÉCIES'!B:H,3,FALSE()),IF(AND(A653=0,B653=0,C653&lt;&gt;0),VLOOKUP(C653,'3 - LISTA DE ESPÉCIES'!C:H,2,FALSE()))))</f>
        <v>0</v>
      </c>
      <c r="I653" s="21" t="b">
        <f>IF(AND(A653&lt;&gt;0,B653=0,C653=0),VLOOKUP(A653,'3 - LISTA DE ESPÉCIES'!A:H,5,FALSE()),IF(AND(A653=0,B653&lt;&gt;0,C653=0),VLOOKUP(B653,'3 - LISTA DE ESPÉCIES'!B:H,4,FALSE()),IF(AND(A653=0,B653=0,C653&lt;&gt;0),VLOOKUP(C653,'3 - LISTA DE ESPÉCIES'!C:H,3,FALSE()))))</f>
        <v>0</v>
      </c>
      <c r="J653" s="23"/>
      <c r="K653" s="23"/>
      <c r="L653" s="20"/>
      <c r="M653" s="20"/>
    </row>
    <row r="654" spans="1:13" x14ac:dyDescent="0.25">
      <c r="A654" s="20"/>
      <c r="B654" s="20"/>
      <c r="C654" s="20"/>
      <c r="E654" s="21" t="b">
        <f>IF(AND(A654&lt;&gt;0,B654=0,C654=0),VLOOKUP(A654,'3 - LISTA DE ESPÉCIES'!A:H,1,FALSE()),IF(AND(A654=0,B654&lt;&gt;0,C654=0),VLOOKUP(B654,'3 - LISTA DE ESPÉCIES'!B:H,5,FALSE()),IF(AND(A654=0,B654=0,C654&lt;&gt;0),VLOOKUP(C654,'3 - LISTA DE ESPÉCIES'!C:H,4,FALSE()))))</f>
        <v>0</v>
      </c>
      <c r="F654" s="21" t="b">
        <f>IF(AND(A654&lt;&gt;0,B654=0,C654=0),VLOOKUP(A654,'3 - LISTA DE ESPÉCIES'!A:H,2,FALSE()),IF(AND(A654=0,B654&lt;&gt;0,C654=0),VLOOKUP(B654,'3 - LISTA DE ESPÉCIES'!B:H,6,FALSE()),IF(AND(A654=0,B654=0,C654&lt;&gt;0),VLOOKUP(C654,'3 - LISTA DE ESPÉCIES'!C:H,5,FALSE()))))</f>
        <v>0</v>
      </c>
      <c r="G654" s="21" t="b">
        <f>IF(AND(A654&lt;&gt;0,B654=0,C654=0),VLOOKUP(A654,'3 - LISTA DE ESPÉCIES'!A:H,3,FALSE()),IF(AND(A654=0,B654&lt;&gt;0,C654=0),VLOOKUP(B654,'3 - LISTA DE ESPÉCIES'!B:H,7,FALSE()),IF(AND(A654=0,B654=0,C654&lt;&gt;0),VLOOKUP(C654,'3 - LISTA DE ESPÉCIES'!C:H,6,FALSE()))))</f>
        <v>0</v>
      </c>
      <c r="H654" s="21" t="b">
        <f>IF(AND(A654&lt;&gt;0,B654=0,C654=0),VLOOKUP(A654,'3 - LISTA DE ESPÉCIES'!A:H,4,FALSE()),IF(AND(A654=0,B654&lt;&gt;0,C654=0),VLOOKUP(B654,'3 - LISTA DE ESPÉCIES'!B:H,3,FALSE()),IF(AND(A654=0,B654=0,C654&lt;&gt;0),VLOOKUP(C654,'3 - LISTA DE ESPÉCIES'!C:H,2,FALSE()))))</f>
        <v>0</v>
      </c>
      <c r="I654" s="21" t="b">
        <f>IF(AND(A654&lt;&gt;0,B654=0,C654=0),VLOOKUP(A654,'3 - LISTA DE ESPÉCIES'!A:H,5,FALSE()),IF(AND(A654=0,B654&lt;&gt;0,C654=0),VLOOKUP(B654,'3 - LISTA DE ESPÉCIES'!B:H,4,FALSE()),IF(AND(A654=0,B654=0,C654&lt;&gt;0),VLOOKUP(C654,'3 - LISTA DE ESPÉCIES'!C:H,3,FALSE()))))</f>
        <v>0</v>
      </c>
      <c r="J654" s="23"/>
      <c r="K654" s="23"/>
      <c r="L654" s="20"/>
      <c r="M654" s="20"/>
    </row>
    <row r="655" spans="1:13" x14ac:dyDescent="0.25">
      <c r="A655" s="20"/>
      <c r="B655" s="20"/>
      <c r="C655" s="20"/>
      <c r="E655" s="21" t="b">
        <f>IF(AND(A655&lt;&gt;0,B655=0,C655=0),VLOOKUP(A655,'3 - LISTA DE ESPÉCIES'!A:H,1,FALSE()),IF(AND(A655=0,B655&lt;&gt;0,C655=0),VLOOKUP(B655,'3 - LISTA DE ESPÉCIES'!B:H,5,FALSE()),IF(AND(A655=0,B655=0,C655&lt;&gt;0),VLOOKUP(C655,'3 - LISTA DE ESPÉCIES'!C:H,4,FALSE()))))</f>
        <v>0</v>
      </c>
      <c r="F655" s="21" t="b">
        <f>IF(AND(A655&lt;&gt;0,B655=0,C655=0),VLOOKUP(A655,'3 - LISTA DE ESPÉCIES'!A:H,2,FALSE()),IF(AND(A655=0,B655&lt;&gt;0,C655=0),VLOOKUP(B655,'3 - LISTA DE ESPÉCIES'!B:H,6,FALSE()),IF(AND(A655=0,B655=0,C655&lt;&gt;0),VLOOKUP(C655,'3 - LISTA DE ESPÉCIES'!C:H,5,FALSE()))))</f>
        <v>0</v>
      </c>
      <c r="G655" s="21" t="b">
        <f>IF(AND(A655&lt;&gt;0,B655=0,C655=0),VLOOKUP(A655,'3 - LISTA DE ESPÉCIES'!A:H,3,FALSE()),IF(AND(A655=0,B655&lt;&gt;0,C655=0),VLOOKUP(B655,'3 - LISTA DE ESPÉCIES'!B:H,7,FALSE()),IF(AND(A655=0,B655=0,C655&lt;&gt;0),VLOOKUP(C655,'3 - LISTA DE ESPÉCIES'!C:H,6,FALSE()))))</f>
        <v>0</v>
      </c>
      <c r="H655" s="21" t="b">
        <f>IF(AND(A655&lt;&gt;0,B655=0,C655=0),VLOOKUP(A655,'3 - LISTA DE ESPÉCIES'!A:H,4,FALSE()),IF(AND(A655=0,B655&lt;&gt;0,C655=0),VLOOKUP(B655,'3 - LISTA DE ESPÉCIES'!B:H,3,FALSE()),IF(AND(A655=0,B655=0,C655&lt;&gt;0),VLOOKUP(C655,'3 - LISTA DE ESPÉCIES'!C:H,2,FALSE()))))</f>
        <v>0</v>
      </c>
      <c r="I655" s="21" t="b">
        <f>IF(AND(A655&lt;&gt;0,B655=0,C655=0),VLOOKUP(A655,'3 - LISTA DE ESPÉCIES'!A:H,5,FALSE()),IF(AND(A655=0,B655&lt;&gt;0,C655=0),VLOOKUP(B655,'3 - LISTA DE ESPÉCIES'!B:H,4,FALSE()),IF(AND(A655=0,B655=0,C655&lt;&gt;0),VLOOKUP(C655,'3 - LISTA DE ESPÉCIES'!C:H,3,FALSE()))))</f>
        <v>0</v>
      </c>
      <c r="J655" s="23"/>
      <c r="K655" s="23"/>
      <c r="L655" s="20"/>
      <c r="M655" s="20"/>
    </row>
    <row r="656" spans="1:13" x14ac:dyDescent="0.25">
      <c r="A656" s="20"/>
      <c r="B656" s="20"/>
      <c r="C656" s="20"/>
      <c r="E656" s="21" t="b">
        <f>IF(AND(A656&lt;&gt;0,B656=0,C656=0),VLOOKUP(A656,'3 - LISTA DE ESPÉCIES'!A:H,1,FALSE()),IF(AND(A656=0,B656&lt;&gt;0,C656=0),VLOOKUP(B656,'3 - LISTA DE ESPÉCIES'!B:H,5,FALSE()),IF(AND(A656=0,B656=0,C656&lt;&gt;0),VLOOKUP(C656,'3 - LISTA DE ESPÉCIES'!C:H,4,FALSE()))))</f>
        <v>0</v>
      </c>
      <c r="F656" s="21" t="b">
        <f>IF(AND(A656&lt;&gt;0,B656=0,C656=0),VLOOKUP(A656,'3 - LISTA DE ESPÉCIES'!A:H,2,FALSE()),IF(AND(A656=0,B656&lt;&gt;0,C656=0),VLOOKUP(B656,'3 - LISTA DE ESPÉCIES'!B:H,6,FALSE()),IF(AND(A656=0,B656=0,C656&lt;&gt;0),VLOOKUP(C656,'3 - LISTA DE ESPÉCIES'!C:H,5,FALSE()))))</f>
        <v>0</v>
      </c>
      <c r="G656" s="21" t="b">
        <f>IF(AND(A656&lt;&gt;0,B656=0,C656=0),VLOOKUP(A656,'3 - LISTA DE ESPÉCIES'!A:H,3,FALSE()),IF(AND(A656=0,B656&lt;&gt;0,C656=0),VLOOKUP(B656,'3 - LISTA DE ESPÉCIES'!B:H,7,FALSE()),IF(AND(A656=0,B656=0,C656&lt;&gt;0),VLOOKUP(C656,'3 - LISTA DE ESPÉCIES'!C:H,6,FALSE()))))</f>
        <v>0</v>
      </c>
      <c r="H656" s="21" t="b">
        <f>IF(AND(A656&lt;&gt;0,B656=0,C656=0),VLOOKUP(A656,'3 - LISTA DE ESPÉCIES'!A:H,4,FALSE()),IF(AND(A656=0,B656&lt;&gt;0,C656=0),VLOOKUP(B656,'3 - LISTA DE ESPÉCIES'!B:H,3,FALSE()),IF(AND(A656=0,B656=0,C656&lt;&gt;0),VLOOKUP(C656,'3 - LISTA DE ESPÉCIES'!C:H,2,FALSE()))))</f>
        <v>0</v>
      </c>
      <c r="I656" s="21" t="b">
        <f>IF(AND(A656&lt;&gt;0,B656=0,C656=0),VLOOKUP(A656,'3 - LISTA DE ESPÉCIES'!A:H,5,FALSE()),IF(AND(A656=0,B656&lt;&gt;0,C656=0),VLOOKUP(B656,'3 - LISTA DE ESPÉCIES'!B:H,4,FALSE()),IF(AND(A656=0,B656=0,C656&lt;&gt;0),VLOOKUP(C656,'3 - LISTA DE ESPÉCIES'!C:H,3,FALSE()))))</f>
        <v>0</v>
      </c>
      <c r="J656" s="23"/>
      <c r="K656" s="23"/>
      <c r="L656" s="20"/>
      <c r="M656" s="20"/>
    </row>
    <row r="657" spans="1:13" x14ac:dyDescent="0.25">
      <c r="A657" s="20"/>
      <c r="B657" s="20"/>
      <c r="C657" s="20"/>
      <c r="E657" s="21" t="b">
        <f>IF(AND(A657&lt;&gt;0,B657=0,C657=0),VLOOKUP(A657,'3 - LISTA DE ESPÉCIES'!A:H,1,FALSE()),IF(AND(A657=0,B657&lt;&gt;0,C657=0),VLOOKUP(B657,'3 - LISTA DE ESPÉCIES'!B:H,5,FALSE()),IF(AND(A657=0,B657=0,C657&lt;&gt;0),VLOOKUP(C657,'3 - LISTA DE ESPÉCIES'!C:H,4,FALSE()))))</f>
        <v>0</v>
      </c>
      <c r="F657" s="21" t="b">
        <f>IF(AND(A657&lt;&gt;0,B657=0,C657=0),VLOOKUP(A657,'3 - LISTA DE ESPÉCIES'!A:H,2,FALSE()),IF(AND(A657=0,B657&lt;&gt;0,C657=0),VLOOKUP(B657,'3 - LISTA DE ESPÉCIES'!B:H,6,FALSE()),IF(AND(A657=0,B657=0,C657&lt;&gt;0),VLOOKUP(C657,'3 - LISTA DE ESPÉCIES'!C:H,5,FALSE()))))</f>
        <v>0</v>
      </c>
      <c r="G657" s="21" t="b">
        <f>IF(AND(A657&lt;&gt;0,B657=0,C657=0),VLOOKUP(A657,'3 - LISTA DE ESPÉCIES'!A:H,3,FALSE()),IF(AND(A657=0,B657&lt;&gt;0,C657=0),VLOOKUP(B657,'3 - LISTA DE ESPÉCIES'!B:H,7,FALSE()),IF(AND(A657=0,B657=0,C657&lt;&gt;0),VLOOKUP(C657,'3 - LISTA DE ESPÉCIES'!C:H,6,FALSE()))))</f>
        <v>0</v>
      </c>
      <c r="H657" s="21" t="b">
        <f>IF(AND(A657&lt;&gt;0,B657=0,C657=0),VLOOKUP(A657,'3 - LISTA DE ESPÉCIES'!A:H,4,FALSE()),IF(AND(A657=0,B657&lt;&gt;0,C657=0),VLOOKUP(B657,'3 - LISTA DE ESPÉCIES'!B:H,3,FALSE()),IF(AND(A657=0,B657=0,C657&lt;&gt;0),VLOOKUP(C657,'3 - LISTA DE ESPÉCIES'!C:H,2,FALSE()))))</f>
        <v>0</v>
      </c>
      <c r="I657" s="21" t="b">
        <f>IF(AND(A657&lt;&gt;0,B657=0,C657=0),VLOOKUP(A657,'3 - LISTA DE ESPÉCIES'!A:H,5,FALSE()),IF(AND(A657=0,B657&lt;&gt;0,C657=0),VLOOKUP(B657,'3 - LISTA DE ESPÉCIES'!B:H,4,FALSE()),IF(AND(A657=0,B657=0,C657&lt;&gt;0),VLOOKUP(C657,'3 - LISTA DE ESPÉCIES'!C:H,3,FALSE()))))</f>
        <v>0</v>
      </c>
      <c r="J657" s="23"/>
      <c r="K657" s="23"/>
      <c r="L657" s="20"/>
      <c r="M657" s="20"/>
    </row>
    <row r="658" spans="1:13" x14ac:dyDescent="0.25">
      <c r="A658" s="20"/>
      <c r="B658" s="20"/>
      <c r="C658" s="20"/>
      <c r="E658" s="21" t="b">
        <f>IF(AND(A658&lt;&gt;0,B658=0,C658=0),VLOOKUP(A658,'3 - LISTA DE ESPÉCIES'!A:H,1,FALSE()),IF(AND(A658=0,B658&lt;&gt;0,C658=0),VLOOKUP(B658,'3 - LISTA DE ESPÉCIES'!B:H,5,FALSE()),IF(AND(A658=0,B658=0,C658&lt;&gt;0),VLOOKUP(C658,'3 - LISTA DE ESPÉCIES'!C:H,4,FALSE()))))</f>
        <v>0</v>
      </c>
      <c r="F658" s="21" t="b">
        <f>IF(AND(A658&lt;&gt;0,B658=0,C658=0),VLOOKUP(A658,'3 - LISTA DE ESPÉCIES'!A:H,2,FALSE()),IF(AND(A658=0,B658&lt;&gt;0,C658=0),VLOOKUP(B658,'3 - LISTA DE ESPÉCIES'!B:H,6,FALSE()),IF(AND(A658=0,B658=0,C658&lt;&gt;0),VLOOKUP(C658,'3 - LISTA DE ESPÉCIES'!C:H,5,FALSE()))))</f>
        <v>0</v>
      </c>
      <c r="G658" s="21" t="b">
        <f>IF(AND(A658&lt;&gt;0,B658=0,C658=0),VLOOKUP(A658,'3 - LISTA DE ESPÉCIES'!A:H,3,FALSE()),IF(AND(A658=0,B658&lt;&gt;0,C658=0),VLOOKUP(B658,'3 - LISTA DE ESPÉCIES'!B:H,7,FALSE()),IF(AND(A658=0,B658=0,C658&lt;&gt;0),VLOOKUP(C658,'3 - LISTA DE ESPÉCIES'!C:H,6,FALSE()))))</f>
        <v>0</v>
      </c>
      <c r="H658" s="21" t="b">
        <f>IF(AND(A658&lt;&gt;0,B658=0,C658=0),VLOOKUP(A658,'3 - LISTA DE ESPÉCIES'!A:H,4,FALSE()),IF(AND(A658=0,B658&lt;&gt;0,C658=0),VLOOKUP(B658,'3 - LISTA DE ESPÉCIES'!B:H,3,FALSE()),IF(AND(A658=0,B658=0,C658&lt;&gt;0),VLOOKUP(C658,'3 - LISTA DE ESPÉCIES'!C:H,2,FALSE()))))</f>
        <v>0</v>
      </c>
      <c r="I658" s="21" t="b">
        <f>IF(AND(A658&lt;&gt;0,B658=0,C658=0),VLOOKUP(A658,'3 - LISTA DE ESPÉCIES'!A:H,5,FALSE()),IF(AND(A658=0,B658&lt;&gt;0,C658=0),VLOOKUP(B658,'3 - LISTA DE ESPÉCIES'!B:H,4,FALSE()),IF(AND(A658=0,B658=0,C658&lt;&gt;0),VLOOKUP(C658,'3 - LISTA DE ESPÉCIES'!C:H,3,FALSE()))))</f>
        <v>0</v>
      </c>
      <c r="J658" s="23"/>
      <c r="K658" s="23"/>
      <c r="L658" s="20"/>
      <c r="M658" s="20"/>
    </row>
    <row r="659" spans="1:13" x14ac:dyDescent="0.25">
      <c r="A659" s="20"/>
      <c r="B659" s="20"/>
      <c r="C659" s="20"/>
      <c r="E659" s="21" t="b">
        <f>IF(AND(A659&lt;&gt;0,B659=0,C659=0),VLOOKUP(A659,'3 - LISTA DE ESPÉCIES'!A:H,1,FALSE()),IF(AND(A659=0,B659&lt;&gt;0,C659=0),VLOOKUP(B659,'3 - LISTA DE ESPÉCIES'!B:H,5,FALSE()),IF(AND(A659=0,B659=0,C659&lt;&gt;0),VLOOKUP(C659,'3 - LISTA DE ESPÉCIES'!C:H,4,FALSE()))))</f>
        <v>0</v>
      </c>
      <c r="F659" s="21" t="b">
        <f>IF(AND(A659&lt;&gt;0,B659=0,C659=0),VLOOKUP(A659,'3 - LISTA DE ESPÉCIES'!A:H,2,FALSE()),IF(AND(A659=0,B659&lt;&gt;0,C659=0),VLOOKUP(B659,'3 - LISTA DE ESPÉCIES'!B:H,6,FALSE()),IF(AND(A659=0,B659=0,C659&lt;&gt;0),VLOOKUP(C659,'3 - LISTA DE ESPÉCIES'!C:H,5,FALSE()))))</f>
        <v>0</v>
      </c>
      <c r="G659" s="21" t="b">
        <f>IF(AND(A659&lt;&gt;0,B659=0,C659=0),VLOOKUP(A659,'3 - LISTA DE ESPÉCIES'!A:H,3,FALSE()),IF(AND(A659=0,B659&lt;&gt;0,C659=0),VLOOKUP(B659,'3 - LISTA DE ESPÉCIES'!B:H,7,FALSE()),IF(AND(A659=0,B659=0,C659&lt;&gt;0),VLOOKUP(C659,'3 - LISTA DE ESPÉCIES'!C:H,6,FALSE()))))</f>
        <v>0</v>
      </c>
      <c r="H659" s="21" t="b">
        <f>IF(AND(A659&lt;&gt;0,B659=0,C659=0),VLOOKUP(A659,'3 - LISTA DE ESPÉCIES'!A:H,4,FALSE()),IF(AND(A659=0,B659&lt;&gt;0,C659=0),VLOOKUP(B659,'3 - LISTA DE ESPÉCIES'!B:H,3,FALSE()),IF(AND(A659=0,B659=0,C659&lt;&gt;0),VLOOKUP(C659,'3 - LISTA DE ESPÉCIES'!C:H,2,FALSE()))))</f>
        <v>0</v>
      </c>
      <c r="I659" s="21" t="b">
        <f>IF(AND(A659&lt;&gt;0,B659=0,C659=0),VLOOKUP(A659,'3 - LISTA DE ESPÉCIES'!A:H,5,FALSE()),IF(AND(A659=0,B659&lt;&gt;0,C659=0),VLOOKUP(B659,'3 - LISTA DE ESPÉCIES'!B:H,4,FALSE()),IF(AND(A659=0,B659=0,C659&lt;&gt;0),VLOOKUP(C659,'3 - LISTA DE ESPÉCIES'!C:H,3,FALSE()))))</f>
        <v>0</v>
      </c>
      <c r="J659" s="23"/>
      <c r="K659" s="23"/>
      <c r="L659" s="20"/>
      <c r="M659" s="20"/>
    </row>
    <row r="660" spans="1:13" x14ac:dyDescent="0.25">
      <c r="A660" s="20"/>
      <c r="B660" s="20"/>
      <c r="C660" s="20"/>
      <c r="E660" s="21" t="b">
        <f>IF(AND(A660&lt;&gt;0,B660=0,C660=0),VLOOKUP(A660,'3 - LISTA DE ESPÉCIES'!A:H,1,FALSE()),IF(AND(A660=0,B660&lt;&gt;0,C660=0),VLOOKUP(B660,'3 - LISTA DE ESPÉCIES'!B:H,5,FALSE()),IF(AND(A660=0,B660=0,C660&lt;&gt;0),VLOOKUP(C660,'3 - LISTA DE ESPÉCIES'!C:H,4,FALSE()))))</f>
        <v>0</v>
      </c>
      <c r="F660" s="21" t="b">
        <f>IF(AND(A660&lt;&gt;0,B660=0,C660=0),VLOOKUP(A660,'3 - LISTA DE ESPÉCIES'!A:H,2,FALSE()),IF(AND(A660=0,B660&lt;&gt;0,C660=0),VLOOKUP(B660,'3 - LISTA DE ESPÉCIES'!B:H,6,FALSE()),IF(AND(A660=0,B660=0,C660&lt;&gt;0),VLOOKUP(C660,'3 - LISTA DE ESPÉCIES'!C:H,5,FALSE()))))</f>
        <v>0</v>
      </c>
      <c r="G660" s="21" t="b">
        <f>IF(AND(A660&lt;&gt;0,B660=0,C660=0),VLOOKUP(A660,'3 - LISTA DE ESPÉCIES'!A:H,3,FALSE()),IF(AND(A660=0,B660&lt;&gt;0,C660=0),VLOOKUP(B660,'3 - LISTA DE ESPÉCIES'!B:H,7,FALSE()),IF(AND(A660=0,B660=0,C660&lt;&gt;0),VLOOKUP(C660,'3 - LISTA DE ESPÉCIES'!C:H,6,FALSE()))))</f>
        <v>0</v>
      </c>
      <c r="H660" s="21" t="b">
        <f>IF(AND(A660&lt;&gt;0,B660=0,C660=0),VLOOKUP(A660,'3 - LISTA DE ESPÉCIES'!A:H,4,FALSE()),IF(AND(A660=0,B660&lt;&gt;0,C660=0),VLOOKUP(B660,'3 - LISTA DE ESPÉCIES'!B:H,3,FALSE()),IF(AND(A660=0,B660=0,C660&lt;&gt;0),VLOOKUP(C660,'3 - LISTA DE ESPÉCIES'!C:H,2,FALSE()))))</f>
        <v>0</v>
      </c>
      <c r="I660" s="21" t="b">
        <f>IF(AND(A660&lt;&gt;0,B660=0,C660=0),VLOOKUP(A660,'3 - LISTA DE ESPÉCIES'!A:H,5,FALSE()),IF(AND(A660=0,B660&lt;&gt;0,C660=0),VLOOKUP(B660,'3 - LISTA DE ESPÉCIES'!B:H,4,FALSE()),IF(AND(A660=0,B660=0,C660&lt;&gt;0),VLOOKUP(C660,'3 - LISTA DE ESPÉCIES'!C:H,3,FALSE()))))</f>
        <v>0</v>
      </c>
      <c r="J660" s="23"/>
      <c r="K660" s="23"/>
      <c r="L660" s="20"/>
      <c r="M660" s="20"/>
    </row>
    <row r="661" spans="1:13" x14ac:dyDescent="0.25">
      <c r="A661" s="20"/>
      <c r="B661" s="20"/>
      <c r="C661" s="20"/>
      <c r="E661" s="21" t="b">
        <f>IF(AND(A661&lt;&gt;0,B661=0,C661=0),VLOOKUP(A661,'3 - LISTA DE ESPÉCIES'!A:H,1,FALSE()),IF(AND(A661=0,B661&lt;&gt;0,C661=0),VLOOKUP(B661,'3 - LISTA DE ESPÉCIES'!B:H,5,FALSE()),IF(AND(A661=0,B661=0,C661&lt;&gt;0),VLOOKUP(C661,'3 - LISTA DE ESPÉCIES'!C:H,4,FALSE()))))</f>
        <v>0</v>
      </c>
      <c r="F661" s="21" t="b">
        <f>IF(AND(A661&lt;&gt;0,B661=0,C661=0),VLOOKUP(A661,'3 - LISTA DE ESPÉCIES'!A:H,2,FALSE()),IF(AND(A661=0,B661&lt;&gt;0,C661=0),VLOOKUP(B661,'3 - LISTA DE ESPÉCIES'!B:H,6,FALSE()),IF(AND(A661=0,B661=0,C661&lt;&gt;0),VLOOKUP(C661,'3 - LISTA DE ESPÉCIES'!C:H,5,FALSE()))))</f>
        <v>0</v>
      </c>
      <c r="G661" s="21" t="b">
        <f>IF(AND(A661&lt;&gt;0,B661=0,C661=0),VLOOKUP(A661,'3 - LISTA DE ESPÉCIES'!A:H,3,FALSE()),IF(AND(A661=0,B661&lt;&gt;0,C661=0),VLOOKUP(B661,'3 - LISTA DE ESPÉCIES'!B:H,7,FALSE()),IF(AND(A661=0,B661=0,C661&lt;&gt;0),VLOOKUP(C661,'3 - LISTA DE ESPÉCIES'!C:H,6,FALSE()))))</f>
        <v>0</v>
      </c>
      <c r="H661" s="21" t="b">
        <f>IF(AND(A661&lt;&gt;0,B661=0,C661=0),VLOOKUP(A661,'3 - LISTA DE ESPÉCIES'!A:H,4,FALSE()),IF(AND(A661=0,B661&lt;&gt;0,C661=0),VLOOKUP(B661,'3 - LISTA DE ESPÉCIES'!B:H,3,FALSE()),IF(AND(A661=0,B661=0,C661&lt;&gt;0),VLOOKUP(C661,'3 - LISTA DE ESPÉCIES'!C:H,2,FALSE()))))</f>
        <v>0</v>
      </c>
      <c r="I661" s="21" t="b">
        <f>IF(AND(A661&lt;&gt;0,B661=0,C661=0),VLOOKUP(A661,'3 - LISTA DE ESPÉCIES'!A:H,5,FALSE()),IF(AND(A661=0,B661&lt;&gt;0,C661=0),VLOOKUP(B661,'3 - LISTA DE ESPÉCIES'!B:H,4,FALSE()),IF(AND(A661=0,B661=0,C661&lt;&gt;0),VLOOKUP(C661,'3 - LISTA DE ESPÉCIES'!C:H,3,FALSE()))))</f>
        <v>0</v>
      </c>
      <c r="J661" s="23"/>
      <c r="K661" s="23"/>
      <c r="L661" s="20"/>
      <c r="M661" s="20"/>
    </row>
    <row r="662" spans="1:13" x14ac:dyDescent="0.25">
      <c r="A662" s="20"/>
      <c r="B662" s="20"/>
      <c r="C662" s="20"/>
      <c r="E662" s="21" t="b">
        <f>IF(AND(A662&lt;&gt;0,B662=0,C662=0),VLOOKUP(A662,'3 - LISTA DE ESPÉCIES'!A:H,1,FALSE()),IF(AND(A662=0,B662&lt;&gt;0,C662=0),VLOOKUP(B662,'3 - LISTA DE ESPÉCIES'!B:H,5,FALSE()),IF(AND(A662=0,B662=0,C662&lt;&gt;0),VLOOKUP(C662,'3 - LISTA DE ESPÉCIES'!C:H,4,FALSE()))))</f>
        <v>0</v>
      </c>
      <c r="F662" s="21" t="b">
        <f>IF(AND(A662&lt;&gt;0,B662=0,C662=0),VLOOKUP(A662,'3 - LISTA DE ESPÉCIES'!A:H,2,FALSE()),IF(AND(A662=0,B662&lt;&gt;0,C662=0),VLOOKUP(B662,'3 - LISTA DE ESPÉCIES'!B:H,6,FALSE()),IF(AND(A662=0,B662=0,C662&lt;&gt;0),VLOOKUP(C662,'3 - LISTA DE ESPÉCIES'!C:H,5,FALSE()))))</f>
        <v>0</v>
      </c>
      <c r="G662" s="21" t="b">
        <f>IF(AND(A662&lt;&gt;0,B662=0,C662=0),VLOOKUP(A662,'3 - LISTA DE ESPÉCIES'!A:H,3,FALSE()),IF(AND(A662=0,B662&lt;&gt;0,C662=0),VLOOKUP(B662,'3 - LISTA DE ESPÉCIES'!B:H,7,FALSE()),IF(AND(A662=0,B662=0,C662&lt;&gt;0),VLOOKUP(C662,'3 - LISTA DE ESPÉCIES'!C:H,6,FALSE()))))</f>
        <v>0</v>
      </c>
      <c r="H662" s="21" t="b">
        <f>IF(AND(A662&lt;&gt;0,B662=0,C662=0),VLOOKUP(A662,'3 - LISTA DE ESPÉCIES'!A:H,4,FALSE()),IF(AND(A662=0,B662&lt;&gt;0,C662=0),VLOOKUP(B662,'3 - LISTA DE ESPÉCIES'!B:H,3,FALSE()),IF(AND(A662=0,B662=0,C662&lt;&gt;0),VLOOKUP(C662,'3 - LISTA DE ESPÉCIES'!C:H,2,FALSE()))))</f>
        <v>0</v>
      </c>
      <c r="I662" s="21" t="b">
        <f>IF(AND(A662&lt;&gt;0,B662=0,C662=0),VLOOKUP(A662,'3 - LISTA DE ESPÉCIES'!A:H,5,FALSE()),IF(AND(A662=0,B662&lt;&gt;0,C662=0),VLOOKUP(B662,'3 - LISTA DE ESPÉCIES'!B:H,4,FALSE()),IF(AND(A662=0,B662=0,C662&lt;&gt;0),VLOOKUP(C662,'3 - LISTA DE ESPÉCIES'!C:H,3,FALSE()))))</f>
        <v>0</v>
      </c>
      <c r="J662" s="23"/>
      <c r="K662" s="23"/>
      <c r="L662" s="20"/>
      <c r="M662" s="20"/>
    </row>
    <row r="663" spans="1:13" x14ac:dyDescent="0.25">
      <c r="A663" s="20"/>
      <c r="B663" s="20"/>
      <c r="C663" s="20"/>
      <c r="E663" s="21" t="b">
        <f>IF(AND(A663&lt;&gt;0,B663=0,C663=0),VLOOKUP(A663,'3 - LISTA DE ESPÉCIES'!A:H,1,FALSE()),IF(AND(A663=0,B663&lt;&gt;0,C663=0),VLOOKUP(B663,'3 - LISTA DE ESPÉCIES'!B:H,5,FALSE()),IF(AND(A663=0,B663=0,C663&lt;&gt;0),VLOOKUP(C663,'3 - LISTA DE ESPÉCIES'!C:H,4,FALSE()))))</f>
        <v>0</v>
      </c>
      <c r="F663" s="21" t="b">
        <f>IF(AND(A663&lt;&gt;0,B663=0,C663=0),VLOOKUP(A663,'3 - LISTA DE ESPÉCIES'!A:H,2,FALSE()),IF(AND(A663=0,B663&lt;&gt;0,C663=0),VLOOKUP(B663,'3 - LISTA DE ESPÉCIES'!B:H,6,FALSE()),IF(AND(A663=0,B663=0,C663&lt;&gt;0),VLOOKUP(C663,'3 - LISTA DE ESPÉCIES'!C:H,5,FALSE()))))</f>
        <v>0</v>
      </c>
      <c r="G663" s="21" t="b">
        <f>IF(AND(A663&lt;&gt;0,B663=0,C663=0),VLOOKUP(A663,'3 - LISTA DE ESPÉCIES'!A:H,3,FALSE()),IF(AND(A663=0,B663&lt;&gt;0,C663=0),VLOOKUP(B663,'3 - LISTA DE ESPÉCIES'!B:H,7,FALSE()),IF(AND(A663=0,B663=0,C663&lt;&gt;0),VLOOKUP(C663,'3 - LISTA DE ESPÉCIES'!C:H,6,FALSE()))))</f>
        <v>0</v>
      </c>
      <c r="H663" s="21" t="b">
        <f>IF(AND(A663&lt;&gt;0,B663=0,C663=0),VLOOKUP(A663,'3 - LISTA DE ESPÉCIES'!A:H,4,FALSE()),IF(AND(A663=0,B663&lt;&gt;0,C663=0),VLOOKUP(B663,'3 - LISTA DE ESPÉCIES'!B:H,3,FALSE()),IF(AND(A663=0,B663=0,C663&lt;&gt;0),VLOOKUP(C663,'3 - LISTA DE ESPÉCIES'!C:H,2,FALSE()))))</f>
        <v>0</v>
      </c>
      <c r="I663" s="21" t="b">
        <f>IF(AND(A663&lt;&gt;0,B663=0,C663=0),VLOOKUP(A663,'3 - LISTA DE ESPÉCIES'!A:H,5,FALSE()),IF(AND(A663=0,B663&lt;&gt;0,C663=0),VLOOKUP(B663,'3 - LISTA DE ESPÉCIES'!B:H,4,FALSE()),IF(AND(A663=0,B663=0,C663&lt;&gt;0),VLOOKUP(C663,'3 - LISTA DE ESPÉCIES'!C:H,3,FALSE()))))</f>
        <v>0</v>
      </c>
      <c r="J663" s="23"/>
      <c r="K663" s="23"/>
      <c r="L663" s="20"/>
      <c r="M663" s="20"/>
    </row>
    <row r="664" spans="1:13" x14ac:dyDescent="0.25">
      <c r="A664" s="20"/>
      <c r="B664" s="20"/>
      <c r="C664" s="20"/>
      <c r="E664" s="21" t="b">
        <f>IF(AND(A664&lt;&gt;0,B664=0,C664=0),VLOOKUP(A664,'3 - LISTA DE ESPÉCIES'!A:H,1,FALSE()),IF(AND(A664=0,B664&lt;&gt;0,C664=0),VLOOKUP(B664,'3 - LISTA DE ESPÉCIES'!B:H,5,FALSE()),IF(AND(A664=0,B664=0,C664&lt;&gt;0),VLOOKUP(C664,'3 - LISTA DE ESPÉCIES'!C:H,4,FALSE()))))</f>
        <v>0</v>
      </c>
      <c r="F664" s="21" t="b">
        <f>IF(AND(A664&lt;&gt;0,B664=0,C664=0),VLOOKUP(A664,'3 - LISTA DE ESPÉCIES'!A:H,2,FALSE()),IF(AND(A664=0,B664&lt;&gt;0,C664=0),VLOOKUP(B664,'3 - LISTA DE ESPÉCIES'!B:H,6,FALSE()),IF(AND(A664=0,B664=0,C664&lt;&gt;0),VLOOKUP(C664,'3 - LISTA DE ESPÉCIES'!C:H,5,FALSE()))))</f>
        <v>0</v>
      </c>
      <c r="G664" s="21" t="b">
        <f>IF(AND(A664&lt;&gt;0,B664=0,C664=0),VLOOKUP(A664,'3 - LISTA DE ESPÉCIES'!A:H,3,FALSE()),IF(AND(A664=0,B664&lt;&gt;0,C664=0),VLOOKUP(B664,'3 - LISTA DE ESPÉCIES'!B:H,7,FALSE()),IF(AND(A664=0,B664=0,C664&lt;&gt;0),VLOOKUP(C664,'3 - LISTA DE ESPÉCIES'!C:H,6,FALSE()))))</f>
        <v>0</v>
      </c>
      <c r="H664" s="21" t="b">
        <f>IF(AND(A664&lt;&gt;0,B664=0,C664=0),VLOOKUP(A664,'3 - LISTA DE ESPÉCIES'!A:H,4,FALSE()),IF(AND(A664=0,B664&lt;&gt;0,C664=0),VLOOKUP(B664,'3 - LISTA DE ESPÉCIES'!B:H,3,FALSE()),IF(AND(A664=0,B664=0,C664&lt;&gt;0),VLOOKUP(C664,'3 - LISTA DE ESPÉCIES'!C:H,2,FALSE()))))</f>
        <v>0</v>
      </c>
      <c r="I664" s="21" t="b">
        <f>IF(AND(A664&lt;&gt;0,B664=0,C664=0),VLOOKUP(A664,'3 - LISTA DE ESPÉCIES'!A:H,5,FALSE()),IF(AND(A664=0,B664&lt;&gt;0,C664=0),VLOOKUP(B664,'3 - LISTA DE ESPÉCIES'!B:H,4,FALSE()),IF(AND(A664=0,B664=0,C664&lt;&gt;0),VLOOKUP(C664,'3 - LISTA DE ESPÉCIES'!C:H,3,FALSE()))))</f>
        <v>0</v>
      </c>
      <c r="J664" s="23"/>
      <c r="K664" s="23"/>
      <c r="L664" s="20"/>
      <c r="M664" s="20"/>
    </row>
    <row r="665" spans="1:13" x14ac:dyDescent="0.25">
      <c r="A665" s="20"/>
      <c r="B665" s="20"/>
      <c r="C665" s="20"/>
      <c r="E665" s="21" t="b">
        <f>IF(AND(A665&lt;&gt;0,B665=0,C665=0),VLOOKUP(A665,'3 - LISTA DE ESPÉCIES'!A:H,1,FALSE()),IF(AND(A665=0,B665&lt;&gt;0,C665=0),VLOOKUP(B665,'3 - LISTA DE ESPÉCIES'!B:H,5,FALSE()),IF(AND(A665=0,B665=0,C665&lt;&gt;0),VLOOKUP(C665,'3 - LISTA DE ESPÉCIES'!C:H,4,FALSE()))))</f>
        <v>0</v>
      </c>
      <c r="F665" s="21" t="b">
        <f>IF(AND(A665&lt;&gt;0,B665=0,C665=0),VLOOKUP(A665,'3 - LISTA DE ESPÉCIES'!A:H,2,FALSE()),IF(AND(A665=0,B665&lt;&gt;0,C665=0),VLOOKUP(B665,'3 - LISTA DE ESPÉCIES'!B:H,6,FALSE()),IF(AND(A665=0,B665=0,C665&lt;&gt;0),VLOOKUP(C665,'3 - LISTA DE ESPÉCIES'!C:H,5,FALSE()))))</f>
        <v>0</v>
      </c>
      <c r="G665" s="21" t="b">
        <f>IF(AND(A665&lt;&gt;0,B665=0,C665=0),VLOOKUP(A665,'3 - LISTA DE ESPÉCIES'!A:H,3,FALSE()),IF(AND(A665=0,B665&lt;&gt;0,C665=0),VLOOKUP(B665,'3 - LISTA DE ESPÉCIES'!B:H,7,FALSE()),IF(AND(A665=0,B665=0,C665&lt;&gt;0),VLOOKUP(C665,'3 - LISTA DE ESPÉCIES'!C:H,6,FALSE()))))</f>
        <v>0</v>
      </c>
      <c r="H665" s="21" t="b">
        <f>IF(AND(A665&lt;&gt;0,B665=0,C665=0),VLOOKUP(A665,'3 - LISTA DE ESPÉCIES'!A:H,4,FALSE()),IF(AND(A665=0,B665&lt;&gt;0,C665=0),VLOOKUP(B665,'3 - LISTA DE ESPÉCIES'!B:H,3,FALSE()),IF(AND(A665=0,B665=0,C665&lt;&gt;0),VLOOKUP(C665,'3 - LISTA DE ESPÉCIES'!C:H,2,FALSE()))))</f>
        <v>0</v>
      </c>
      <c r="I665" s="21" t="b">
        <f>IF(AND(A665&lt;&gt;0,B665=0,C665=0),VLOOKUP(A665,'3 - LISTA DE ESPÉCIES'!A:H,5,FALSE()),IF(AND(A665=0,B665&lt;&gt;0,C665=0),VLOOKUP(B665,'3 - LISTA DE ESPÉCIES'!B:H,4,FALSE()),IF(AND(A665=0,B665=0,C665&lt;&gt;0),VLOOKUP(C665,'3 - LISTA DE ESPÉCIES'!C:H,3,FALSE()))))</f>
        <v>0</v>
      </c>
      <c r="J665" s="23"/>
      <c r="K665" s="23"/>
      <c r="L665" s="20"/>
      <c r="M665" s="20"/>
    </row>
    <row r="666" spans="1:13" x14ac:dyDescent="0.25">
      <c r="A666" s="20"/>
      <c r="B666" s="20"/>
      <c r="C666" s="20"/>
      <c r="E666" s="21" t="b">
        <f>IF(AND(A666&lt;&gt;0,B666=0,C666=0),VLOOKUP(A666,'3 - LISTA DE ESPÉCIES'!A:H,1,FALSE()),IF(AND(A666=0,B666&lt;&gt;0,C666=0),VLOOKUP(B666,'3 - LISTA DE ESPÉCIES'!B:H,5,FALSE()),IF(AND(A666=0,B666=0,C666&lt;&gt;0),VLOOKUP(C666,'3 - LISTA DE ESPÉCIES'!C:H,4,FALSE()))))</f>
        <v>0</v>
      </c>
      <c r="F666" s="21" t="b">
        <f>IF(AND(A666&lt;&gt;0,B666=0,C666=0),VLOOKUP(A666,'3 - LISTA DE ESPÉCIES'!A:H,2,FALSE()),IF(AND(A666=0,B666&lt;&gt;0,C666=0),VLOOKUP(B666,'3 - LISTA DE ESPÉCIES'!B:H,6,FALSE()),IF(AND(A666=0,B666=0,C666&lt;&gt;0),VLOOKUP(C666,'3 - LISTA DE ESPÉCIES'!C:H,5,FALSE()))))</f>
        <v>0</v>
      </c>
      <c r="G666" s="21" t="b">
        <f>IF(AND(A666&lt;&gt;0,B666=0,C666=0),VLOOKUP(A666,'3 - LISTA DE ESPÉCIES'!A:H,3,FALSE()),IF(AND(A666=0,B666&lt;&gt;0,C666=0),VLOOKUP(B666,'3 - LISTA DE ESPÉCIES'!B:H,7,FALSE()),IF(AND(A666=0,B666=0,C666&lt;&gt;0),VLOOKUP(C666,'3 - LISTA DE ESPÉCIES'!C:H,6,FALSE()))))</f>
        <v>0</v>
      </c>
      <c r="H666" s="21" t="b">
        <f>IF(AND(A666&lt;&gt;0,B666=0,C666=0),VLOOKUP(A666,'3 - LISTA DE ESPÉCIES'!A:H,4,FALSE()),IF(AND(A666=0,B666&lt;&gt;0,C666=0),VLOOKUP(B666,'3 - LISTA DE ESPÉCIES'!B:H,3,FALSE()),IF(AND(A666=0,B666=0,C666&lt;&gt;0),VLOOKUP(C666,'3 - LISTA DE ESPÉCIES'!C:H,2,FALSE()))))</f>
        <v>0</v>
      </c>
      <c r="I666" s="21" t="b">
        <f>IF(AND(A666&lt;&gt;0,B666=0,C666=0),VLOOKUP(A666,'3 - LISTA DE ESPÉCIES'!A:H,5,FALSE()),IF(AND(A666=0,B666&lt;&gt;0,C666=0),VLOOKUP(B666,'3 - LISTA DE ESPÉCIES'!B:H,4,FALSE()),IF(AND(A666=0,B666=0,C666&lt;&gt;0),VLOOKUP(C666,'3 - LISTA DE ESPÉCIES'!C:H,3,FALSE()))))</f>
        <v>0</v>
      </c>
      <c r="J666" s="23"/>
      <c r="K666" s="23"/>
      <c r="L666" s="20"/>
      <c r="M666" s="20"/>
    </row>
    <row r="667" spans="1:13" x14ac:dyDescent="0.25">
      <c r="A667" s="20"/>
      <c r="B667" s="20"/>
      <c r="C667" s="20"/>
      <c r="E667" s="21" t="b">
        <f>IF(AND(A667&lt;&gt;0,B667=0,C667=0),VLOOKUP(A667,'3 - LISTA DE ESPÉCIES'!A:H,1,FALSE()),IF(AND(A667=0,B667&lt;&gt;0,C667=0),VLOOKUP(B667,'3 - LISTA DE ESPÉCIES'!B:H,5,FALSE()),IF(AND(A667=0,B667=0,C667&lt;&gt;0),VLOOKUP(C667,'3 - LISTA DE ESPÉCIES'!C:H,4,FALSE()))))</f>
        <v>0</v>
      </c>
      <c r="F667" s="21" t="b">
        <f>IF(AND(A667&lt;&gt;0,B667=0,C667=0),VLOOKUP(A667,'3 - LISTA DE ESPÉCIES'!A:H,2,FALSE()),IF(AND(A667=0,B667&lt;&gt;0,C667=0),VLOOKUP(B667,'3 - LISTA DE ESPÉCIES'!B:H,6,FALSE()),IF(AND(A667=0,B667=0,C667&lt;&gt;0),VLOOKUP(C667,'3 - LISTA DE ESPÉCIES'!C:H,5,FALSE()))))</f>
        <v>0</v>
      </c>
      <c r="G667" s="21" t="b">
        <f>IF(AND(A667&lt;&gt;0,B667=0,C667=0),VLOOKUP(A667,'3 - LISTA DE ESPÉCIES'!A:H,3,FALSE()),IF(AND(A667=0,B667&lt;&gt;0,C667=0),VLOOKUP(B667,'3 - LISTA DE ESPÉCIES'!B:H,7,FALSE()),IF(AND(A667=0,B667=0,C667&lt;&gt;0),VLOOKUP(C667,'3 - LISTA DE ESPÉCIES'!C:H,6,FALSE()))))</f>
        <v>0</v>
      </c>
      <c r="H667" s="21" t="b">
        <f>IF(AND(A667&lt;&gt;0,B667=0,C667=0),VLOOKUP(A667,'3 - LISTA DE ESPÉCIES'!A:H,4,FALSE()),IF(AND(A667=0,B667&lt;&gt;0,C667=0),VLOOKUP(B667,'3 - LISTA DE ESPÉCIES'!B:H,3,FALSE()),IF(AND(A667=0,B667=0,C667&lt;&gt;0),VLOOKUP(C667,'3 - LISTA DE ESPÉCIES'!C:H,2,FALSE()))))</f>
        <v>0</v>
      </c>
      <c r="I667" s="21" t="b">
        <f>IF(AND(A667&lt;&gt;0,B667=0,C667=0),VLOOKUP(A667,'3 - LISTA DE ESPÉCIES'!A:H,5,FALSE()),IF(AND(A667=0,B667&lt;&gt;0,C667=0),VLOOKUP(B667,'3 - LISTA DE ESPÉCIES'!B:H,4,FALSE()),IF(AND(A667=0,B667=0,C667&lt;&gt;0),VLOOKUP(C667,'3 - LISTA DE ESPÉCIES'!C:H,3,FALSE()))))</f>
        <v>0</v>
      </c>
      <c r="J667" s="23"/>
      <c r="K667" s="23"/>
      <c r="L667" s="20"/>
      <c r="M667" s="20"/>
    </row>
    <row r="668" spans="1:13" x14ac:dyDescent="0.25">
      <c r="A668" s="20"/>
      <c r="B668" s="20"/>
      <c r="C668" s="20"/>
      <c r="E668" s="21" t="b">
        <f>IF(AND(A668&lt;&gt;0,B668=0,C668=0),VLOOKUP(A668,'3 - LISTA DE ESPÉCIES'!A:H,1,FALSE()),IF(AND(A668=0,B668&lt;&gt;0,C668=0),VLOOKUP(B668,'3 - LISTA DE ESPÉCIES'!B:H,5,FALSE()),IF(AND(A668=0,B668=0,C668&lt;&gt;0),VLOOKUP(C668,'3 - LISTA DE ESPÉCIES'!C:H,4,FALSE()))))</f>
        <v>0</v>
      </c>
      <c r="F668" s="21" t="b">
        <f>IF(AND(A668&lt;&gt;0,B668=0,C668=0),VLOOKUP(A668,'3 - LISTA DE ESPÉCIES'!A:H,2,FALSE()),IF(AND(A668=0,B668&lt;&gt;0,C668=0),VLOOKUP(B668,'3 - LISTA DE ESPÉCIES'!B:H,6,FALSE()),IF(AND(A668=0,B668=0,C668&lt;&gt;0),VLOOKUP(C668,'3 - LISTA DE ESPÉCIES'!C:H,5,FALSE()))))</f>
        <v>0</v>
      </c>
      <c r="G668" s="21" t="b">
        <f>IF(AND(A668&lt;&gt;0,B668=0,C668=0),VLOOKUP(A668,'3 - LISTA DE ESPÉCIES'!A:H,3,FALSE()),IF(AND(A668=0,B668&lt;&gt;0,C668=0),VLOOKUP(B668,'3 - LISTA DE ESPÉCIES'!B:H,7,FALSE()),IF(AND(A668=0,B668=0,C668&lt;&gt;0),VLOOKUP(C668,'3 - LISTA DE ESPÉCIES'!C:H,6,FALSE()))))</f>
        <v>0</v>
      </c>
      <c r="H668" s="21" t="b">
        <f>IF(AND(A668&lt;&gt;0,B668=0,C668=0),VLOOKUP(A668,'3 - LISTA DE ESPÉCIES'!A:H,4,FALSE()),IF(AND(A668=0,B668&lt;&gt;0,C668=0),VLOOKUP(B668,'3 - LISTA DE ESPÉCIES'!B:H,3,FALSE()),IF(AND(A668=0,B668=0,C668&lt;&gt;0),VLOOKUP(C668,'3 - LISTA DE ESPÉCIES'!C:H,2,FALSE()))))</f>
        <v>0</v>
      </c>
      <c r="I668" s="21" t="b">
        <f>IF(AND(A668&lt;&gt;0,B668=0,C668=0),VLOOKUP(A668,'3 - LISTA DE ESPÉCIES'!A:H,5,FALSE()),IF(AND(A668=0,B668&lt;&gt;0,C668=0),VLOOKUP(B668,'3 - LISTA DE ESPÉCIES'!B:H,4,FALSE()),IF(AND(A668=0,B668=0,C668&lt;&gt;0),VLOOKUP(C668,'3 - LISTA DE ESPÉCIES'!C:H,3,FALSE()))))</f>
        <v>0</v>
      </c>
      <c r="J668" s="23"/>
      <c r="K668" s="23"/>
      <c r="L668" s="20"/>
      <c r="M668" s="20"/>
    </row>
    <row r="669" spans="1:13" x14ac:dyDescent="0.25">
      <c r="A669" s="20"/>
      <c r="B669" s="20"/>
      <c r="C669" s="20"/>
      <c r="E669" s="21" t="b">
        <f>IF(AND(A669&lt;&gt;0,B669=0,C669=0),VLOOKUP(A669,'3 - LISTA DE ESPÉCIES'!A:H,1,FALSE()),IF(AND(A669=0,B669&lt;&gt;0,C669=0),VLOOKUP(B669,'3 - LISTA DE ESPÉCIES'!B:H,5,FALSE()),IF(AND(A669=0,B669=0,C669&lt;&gt;0),VLOOKUP(C669,'3 - LISTA DE ESPÉCIES'!C:H,4,FALSE()))))</f>
        <v>0</v>
      </c>
      <c r="F669" s="21" t="b">
        <f>IF(AND(A669&lt;&gt;0,B669=0,C669=0),VLOOKUP(A669,'3 - LISTA DE ESPÉCIES'!A:H,2,FALSE()),IF(AND(A669=0,B669&lt;&gt;0,C669=0),VLOOKUP(B669,'3 - LISTA DE ESPÉCIES'!B:H,6,FALSE()),IF(AND(A669=0,B669=0,C669&lt;&gt;0),VLOOKUP(C669,'3 - LISTA DE ESPÉCIES'!C:H,5,FALSE()))))</f>
        <v>0</v>
      </c>
      <c r="G669" s="21" t="b">
        <f>IF(AND(A669&lt;&gt;0,B669=0,C669=0),VLOOKUP(A669,'3 - LISTA DE ESPÉCIES'!A:H,3,FALSE()),IF(AND(A669=0,B669&lt;&gt;0,C669=0),VLOOKUP(B669,'3 - LISTA DE ESPÉCIES'!B:H,7,FALSE()),IF(AND(A669=0,B669=0,C669&lt;&gt;0),VLOOKUP(C669,'3 - LISTA DE ESPÉCIES'!C:H,6,FALSE()))))</f>
        <v>0</v>
      </c>
      <c r="H669" s="21" t="b">
        <f>IF(AND(A669&lt;&gt;0,B669=0,C669=0),VLOOKUP(A669,'3 - LISTA DE ESPÉCIES'!A:H,4,FALSE()),IF(AND(A669=0,B669&lt;&gt;0,C669=0),VLOOKUP(B669,'3 - LISTA DE ESPÉCIES'!B:H,3,FALSE()),IF(AND(A669=0,B669=0,C669&lt;&gt;0),VLOOKUP(C669,'3 - LISTA DE ESPÉCIES'!C:H,2,FALSE()))))</f>
        <v>0</v>
      </c>
      <c r="I669" s="21" t="b">
        <f>IF(AND(A669&lt;&gt;0,B669=0,C669=0),VLOOKUP(A669,'3 - LISTA DE ESPÉCIES'!A:H,5,FALSE()),IF(AND(A669=0,B669&lt;&gt;0,C669=0),VLOOKUP(B669,'3 - LISTA DE ESPÉCIES'!B:H,4,FALSE()),IF(AND(A669=0,B669=0,C669&lt;&gt;0),VLOOKUP(C669,'3 - LISTA DE ESPÉCIES'!C:H,3,FALSE()))))</f>
        <v>0</v>
      </c>
      <c r="J669" s="23"/>
      <c r="K669" s="23"/>
      <c r="L669" s="20"/>
      <c r="M669" s="20"/>
    </row>
    <row r="670" spans="1:13" x14ac:dyDescent="0.25">
      <c r="A670" s="20"/>
      <c r="B670" s="20"/>
      <c r="C670" s="20"/>
      <c r="E670" s="21" t="b">
        <f>IF(AND(A670&lt;&gt;0,B670=0,C670=0),VLOOKUP(A670,'3 - LISTA DE ESPÉCIES'!A:H,1,FALSE()),IF(AND(A670=0,B670&lt;&gt;0,C670=0),VLOOKUP(B670,'3 - LISTA DE ESPÉCIES'!B:H,5,FALSE()),IF(AND(A670=0,B670=0,C670&lt;&gt;0),VLOOKUP(C670,'3 - LISTA DE ESPÉCIES'!C:H,4,FALSE()))))</f>
        <v>0</v>
      </c>
      <c r="F670" s="21" t="b">
        <f>IF(AND(A670&lt;&gt;0,B670=0,C670=0),VLOOKUP(A670,'3 - LISTA DE ESPÉCIES'!A:H,2,FALSE()),IF(AND(A670=0,B670&lt;&gt;0,C670=0),VLOOKUP(B670,'3 - LISTA DE ESPÉCIES'!B:H,6,FALSE()),IF(AND(A670=0,B670=0,C670&lt;&gt;0),VLOOKUP(C670,'3 - LISTA DE ESPÉCIES'!C:H,5,FALSE()))))</f>
        <v>0</v>
      </c>
      <c r="G670" s="21" t="b">
        <f>IF(AND(A670&lt;&gt;0,B670=0,C670=0),VLOOKUP(A670,'3 - LISTA DE ESPÉCIES'!A:H,3,FALSE()),IF(AND(A670=0,B670&lt;&gt;0,C670=0),VLOOKUP(B670,'3 - LISTA DE ESPÉCIES'!B:H,7,FALSE()),IF(AND(A670=0,B670=0,C670&lt;&gt;0),VLOOKUP(C670,'3 - LISTA DE ESPÉCIES'!C:H,6,FALSE()))))</f>
        <v>0</v>
      </c>
      <c r="H670" s="21" t="b">
        <f>IF(AND(A670&lt;&gt;0,B670=0,C670=0),VLOOKUP(A670,'3 - LISTA DE ESPÉCIES'!A:H,4,FALSE()),IF(AND(A670=0,B670&lt;&gt;0,C670=0),VLOOKUP(B670,'3 - LISTA DE ESPÉCIES'!B:H,3,FALSE()),IF(AND(A670=0,B670=0,C670&lt;&gt;0),VLOOKUP(C670,'3 - LISTA DE ESPÉCIES'!C:H,2,FALSE()))))</f>
        <v>0</v>
      </c>
      <c r="I670" s="21" t="b">
        <f>IF(AND(A670&lt;&gt;0,B670=0,C670=0),VLOOKUP(A670,'3 - LISTA DE ESPÉCIES'!A:H,5,FALSE()),IF(AND(A670=0,B670&lt;&gt;0,C670=0),VLOOKUP(B670,'3 - LISTA DE ESPÉCIES'!B:H,4,FALSE()),IF(AND(A670=0,B670=0,C670&lt;&gt;0),VLOOKUP(C670,'3 - LISTA DE ESPÉCIES'!C:H,3,FALSE()))))</f>
        <v>0</v>
      </c>
      <c r="J670" s="23"/>
      <c r="K670" s="23"/>
      <c r="L670" s="20"/>
      <c r="M670" s="20"/>
    </row>
    <row r="671" spans="1:13" x14ac:dyDescent="0.25">
      <c r="A671" s="20"/>
      <c r="B671" s="20"/>
      <c r="C671" s="20"/>
      <c r="E671" s="21" t="b">
        <f>IF(AND(A671&lt;&gt;0,B671=0,C671=0),VLOOKUP(A671,'3 - LISTA DE ESPÉCIES'!A:H,1,FALSE()),IF(AND(A671=0,B671&lt;&gt;0,C671=0),VLOOKUP(B671,'3 - LISTA DE ESPÉCIES'!B:H,5,FALSE()),IF(AND(A671=0,B671=0,C671&lt;&gt;0),VLOOKUP(C671,'3 - LISTA DE ESPÉCIES'!C:H,4,FALSE()))))</f>
        <v>0</v>
      </c>
      <c r="F671" s="21" t="b">
        <f>IF(AND(A671&lt;&gt;0,B671=0,C671=0),VLOOKUP(A671,'3 - LISTA DE ESPÉCIES'!A:H,2,FALSE()),IF(AND(A671=0,B671&lt;&gt;0,C671=0),VLOOKUP(B671,'3 - LISTA DE ESPÉCIES'!B:H,6,FALSE()),IF(AND(A671=0,B671=0,C671&lt;&gt;0),VLOOKUP(C671,'3 - LISTA DE ESPÉCIES'!C:H,5,FALSE()))))</f>
        <v>0</v>
      </c>
      <c r="G671" s="21" t="b">
        <f>IF(AND(A671&lt;&gt;0,B671=0,C671=0),VLOOKUP(A671,'3 - LISTA DE ESPÉCIES'!A:H,3,FALSE()),IF(AND(A671=0,B671&lt;&gt;0,C671=0),VLOOKUP(B671,'3 - LISTA DE ESPÉCIES'!B:H,7,FALSE()),IF(AND(A671=0,B671=0,C671&lt;&gt;0),VLOOKUP(C671,'3 - LISTA DE ESPÉCIES'!C:H,6,FALSE()))))</f>
        <v>0</v>
      </c>
      <c r="H671" s="21" t="b">
        <f>IF(AND(A671&lt;&gt;0,B671=0,C671=0),VLOOKUP(A671,'3 - LISTA DE ESPÉCIES'!A:H,4,FALSE()),IF(AND(A671=0,B671&lt;&gt;0,C671=0),VLOOKUP(B671,'3 - LISTA DE ESPÉCIES'!B:H,3,FALSE()),IF(AND(A671=0,B671=0,C671&lt;&gt;0),VLOOKUP(C671,'3 - LISTA DE ESPÉCIES'!C:H,2,FALSE()))))</f>
        <v>0</v>
      </c>
      <c r="I671" s="21" t="b">
        <f>IF(AND(A671&lt;&gt;0,B671=0,C671=0),VLOOKUP(A671,'3 - LISTA DE ESPÉCIES'!A:H,5,FALSE()),IF(AND(A671=0,B671&lt;&gt;0,C671=0),VLOOKUP(B671,'3 - LISTA DE ESPÉCIES'!B:H,4,FALSE()),IF(AND(A671=0,B671=0,C671&lt;&gt;0),VLOOKUP(C671,'3 - LISTA DE ESPÉCIES'!C:H,3,FALSE()))))</f>
        <v>0</v>
      </c>
      <c r="J671" s="23"/>
      <c r="K671" s="23"/>
      <c r="L671" s="20"/>
      <c r="M671" s="20"/>
    </row>
    <row r="672" spans="1:13" x14ac:dyDescent="0.25">
      <c r="A672" s="20"/>
      <c r="B672" s="20"/>
      <c r="C672" s="20"/>
      <c r="E672" s="21" t="b">
        <f>IF(AND(A672&lt;&gt;0,B672=0,C672=0),VLOOKUP(A672,'3 - LISTA DE ESPÉCIES'!A:H,1,FALSE()),IF(AND(A672=0,B672&lt;&gt;0,C672=0),VLOOKUP(B672,'3 - LISTA DE ESPÉCIES'!B:H,5,FALSE()),IF(AND(A672=0,B672=0,C672&lt;&gt;0),VLOOKUP(C672,'3 - LISTA DE ESPÉCIES'!C:H,4,FALSE()))))</f>
        <v>0</v>
      </c>
      <c r="F672" s="21" t="b">
        <f>IF(AND(A672&lt;&gt;0,B672=0,C672=0),VLOOKUP(A672,'3 - LISTA DE ESPÉCIES'!A:H,2,FALSE()),IF(AND(A672=0,B672&lt;&gt;0,C672=0),VLOOKUP(B672,'3 - LISTA DE ESPÉCIES'!B:H,6,FALSE()),IF(AND(A672=0,B672=0,C672&lt;&gt;0),VLOOKUP(C672,'3 - LISTA DE ESPÉCIES'!C:H,5,FALSE()))))</f>
        <v>0</v>
      </c>
      <c r="G672" s="21" t="b">
        <f>IF(AND(A672&lt;&gt;0,B672=0,C672=0),VLOOKUP(A672,'3 - LISTA DE ESPÉCIES'!A:H,3,FALSE()),IF(AND(A672=0,B672&lt;&gt;0,C672=0),VLOOKUP(B672,'3 - LISTA DE ESPÉCIES'!B:H,7,FALSE()),IF(AND(A672=0,B672=0,C672&lt;&gt;0),VLOOKUP(C672,'3 - LISTA DE ESPÉCIES'!C:H,6,FALSE()))))</f>
        <v>0</v>
      </c>
      <c r="H672" s="21" t="b">
        <f>IF(AND(A672&lt;&gt;0,B672=0,C672=0),VLOOKUP(A672,'3 - LISTA DE ESPÉCIES'!A:H,4,FALSE()),IF(AND(A672=0,B672&lt;&gt;0,C672=0),VLOOKUP(B672,'3 - LISTA DE ESPÉCIES'!B:H,3,FALSE()),IF(AND(A672=0,B672=0,C672&lt;&gt;0),VLOOKUP(C672,'3 - LISTA DE ESPÉCIES'!C:H,2,FALSE()))))</f>
        <v>0</v>
      </c>
      <c r="I672" s="21" t="b">
        <f>IF(AND(A672&lt;&gt;0,B672=0,C672=0),VLOOKUP(A672,'3 - LISTA DE ESPÉCIES'!A:H,5,FALSE()),IF(AND(A672=0,B672&lt;&gt;0,C672=0),VLOOKUP(B672,'3 - LISTA DE ESPÉCIES'!B:H,4,FALSE()),IF(AND(A672=0,B672=0,C672&lt;&gt;0),VLOOKUP(C672,'3 - LISTA DE ESPÉCIES'!C:H,3,FALSE()))))</f>
        <v>0</v>
      </c>
      <c r="J672" s="23"/>
      <c r="K672" s="23"/>
      <c r="L672" s="20"/>
      <c r="M672" s="20"/>
    </row>
    <row r="673" spans="1:13" x14ac:dyDescent="0.25">
      <c r="A673" s="20"/>
      <c r="B673" s="20"/>
      <c r="C673" s="20"/>
      <c r="E673" s="21" t="b">
        <f>IF(AND(A673&lt;&gt;0,B673=0,C673=0),VLOOKUP(A673,'3 - LISTA DE ESPÉCIES'!A:H,1,FALSE()),IF(AND(A673=0,B673&lt;&gt;0,C673=0),VLOOKUP(B673,'3 - LISTA DE ESPÉCIES'!B:H,5,FALSE()),IF(AND(A673=0,B673=0,C673&lt;&gt;0),VLOOKUP(C673,'3 - LISTA DE ESPÉCIES'!C:H,4,FALSE()))))</f>
        <v>0</v>
      </c>
      <c r="F673" s="21" t="b">
        <f>IF(AND(A673&lt;&gt;0,B673=0,C673=0),VLOOKUP(A673,'3 - LISTA DE ESPÉCIES'!A:H,2,FALSE()),IF(AND(A673=0,B673&lt;&gt;0,C673=0),VLOOKUP(B673,'3 - LISTA DE ESPÉCIES'!B:H,6,FALSE()),IF(AND(A673=0,B673=0,C673&lt;&gt;0),VLOOKUP(C673,'3 - LISTA DE ESPÉCIES'!C:H,5,FALSE()))))</f>
        <v>0</v>
      </c>
      <c r="G673" s="21" t="b">
        <f>IF(AND(A673&lt;&gt;0,B673=0,C673=0),VLOOKUP(A673,'3 - LISTA DE ESPÉCIES'!A:H,3,FALSE()),IF(AND(A673=0,B673&lt;&gt;0,C673=0),VLOOKUP(B673,'3 - LISTA DE ESPÉCIES'!B:H,7,FALSE()),IF(AND(A673=0,B673=0,C673&lt;&gt;0),VLOOKUP(C673,'3 - LISTA DE ESPÉCIES'!C:H,6,FALSE()))))</f>
        <v>0</v>
      </c>
      <c r="H673" s="21" t="b">
        <f>IF(AND(A673&lt;&gt;0,B673=0,C673=0),VLOOKUP(A673,'3 - LISTA DE ESPÉCIES'!A:H,4,FALSE()),IF(AND(A673=0,B673&lt;&gt;0,C673=0),VLOOKUP(B673,'3 - LISTA DE ESPÉCIES'!B:H,3,FALSE()),IF(AND(A673=0,B673=0,C673&lt;&gt;0),VLOOKUP(C673,'3 - LISTA DE ESPÉCIES'!C:H,2,FALSE()))))</f>
        <v>0</v>
      </c>
      <c r="I673" s="21" t="b">
        <f>IF(AND(A673&lt;&gt;0,B673=0,C673=0),VLOOKUP(A673,'3 - LISTA DE ESPÉCIES'!A:H,5,FALSE()),IF(AND(A673=0,B673&lt;&gt;0,C673=0),VLOOKUP(B673,'3 - LISTA DE ESPÉCIES'!B:H,4,FALSE()),IF(AND(A673=0,B673=0,C673&lt;&gt;0),VLOOKUP(C673,'3 - LISTA DE ESPÉCIES'!C:H,3,FALSE()))))</f>
        <v>0</v>
      </c>
      <c r="J673" s="23"/>
      <c r="K673" s="23"/>
      <c r="L673" s="20"/>
      <c r="M673" s="20"/>
    </row>
    <row r="674" spans="1:13" x14ac:dyDescent="0.25">
      <c r="A674" s="20"/>
      <c r="B674" s="20"/>
      <c r="C674" s="20"/>
      <c r="E674" s="21" t="b">
        <f>IF(AND(A674&lt;&gt;0,B674=0,C674=0),VLOOKUP(A674,'3 - LISTA DE ESPÉCIES'!A:H,1,FALSE()),IF(AND(A674=0,B674&lt;&gt;0,C674=0),VLOOKUP(B674,'3 - LISTA DE ESPÉCIES'!B:H,5,FALSE()),IF(AND(A674=0,B674=0,C674&lt;&gt;0),VLOOKUP(C674,'3 - LISTA DE ESPÉCIES'!C:H,4,FALSE()))))</f>
        <v>0</v>
      </c>
      <c r="F674" s="21" t="b">
        <f>IF(AND(A674&lt;&gt;0,B674=0,C674=0),VLOOKUP(A674,'3 - LISTA DE ESPÉCIES'!A:H,2,FALSE()),IF(AND(A674=0,B674&lt;&gt;0,C674=0),VLOOKUP(B674,'3 - LISTA DE ESPÉCIES'!B:H,6,FALSE()),IF(AND(A674=0,B674=0,C674&lt;&gt;0),VLOOKUP(C674,'3 - LISTA DE ESPÉCIES'!C:H,5,FALSE()))))</f>
        <v>0</v>
      </c>
      <c r="G674" s="21" t="b">
        <f>IF(AND(A674&lt;&gt;0,B674=0,C674=0),VLOOKUP(A674,'3 - LISTA DE ESPÉCIES'!A:H,3,FALSE()),IF(AND(A674=0,B674&lt;&gt;0,C674=0),VLOOKUP(B674,'3 - LISTA DE ESPÉCIES'!B:H,7,FALSE()),IF(AND(A674=0,B674=0,C674&lt;&gt;0),VLOOKUP(C674,'3 - LISTA DE ESPÉCIES'!C:H,6,FALSE()))))</f>
        <v>0</v>
      </c>
      <c r="H674" s="21" t="b">
        <f>IF(AND(A674&lt;&gt;0,B674=0,C674=0),VLOOKUP(A674,'3 - LISTA DE ESPÉCIES'!A:H,4,FALSE()),IF(AND(A674=0,B674&lt;&gt;0,C674=0),VLOOKUP(B674,'3 - LISTA DE ESPÉCIES'!B:H,3,FALSE()),IF(AND(A674=0,B674=0,C674&lt;&gt;0),VLOOKUP(C674,'3 - LISTA DE ESPÉCIES'!C:H,2,FALSE()))))</f>
        <v>0</v>
      </c>
      <c r="I674" s="21" t="b">
        <f>IF(AND(A674&lt;&gt;0,B674=0,C674=0),VLOOKUP(A674,'3 - LISTA DE ESPÉCIES'!A:H,5,FALSE()),IF(AND(A674=0,B674&lt;&gt;0,C674=0),VLOOKUP(B674,'3 - LISTA DE ESPÉCIES'!B:H,4,FALSE()),IF(AND(A674=0,B674=0,C674&lt;&gt;0),VLOOKUP(C674,'3 - LISTA DE ESPÉCIES'!C:H,3,FALSE()))))</f>
        <v>0</v>
      </c>
      <c r="J674" s="23"/>
      <c r="K674" s="23"/>
      <c r="L674" s="20"/>
      <c r="M674" s="20"/>
    </row>
    <row r="675" spans="1:13" x14ac:dyDescent="0.25">
      <c r="A675" s="20"/>
      <c r="B675" s="20"/>
      <c r="C675" s="20"/>
      <c r="E675" s="21" t="b">
        <f>IF(AND(A675&lt;&gt;0,B675=0,C675=0),VLOOKUP(A675,'3 - LISTA DE ESPÉCIES'!A:H,1,FALSE()),IF(AND(A675=0,B675&lt;&gt;0,C675=0),VLOOKUP(B675,'3 - LISTA DE ESPÉCIES'!B:H,5,FALSE()),IF(AND(A675=0,B675=0,C675&lt;&gt;0),VLOOKUP(C675,'3 - LISTA DE ESPÉCIES'!C:H,4,FALSE()))))</f>
        <v>0</v>
      </c>
      <c r="F675" s="21" t="b">
        <f>IF(AND(A675&lt;&gt;0,B675=0,C675=0),VLOOKUP(A675,'3 - LISTA DE ESPÉCIES'!A:H,2,FALSE()),IF(AND(A675=0,B675&lt;&gt;0,C675=0),VLOOKUP(B675,'3 - LISTA DE ESPÉCIES'!B:H,6,FALSE()),IF(AND(A675=0,B675=0,C675&lt;&gt;0),VLOOKUP(C675,'3 - LISTA DE ESPÉCIES'!C:H,5,FALSE()))))</f>
        <v>0</v>
      </c>
      <c r="G675" s="21" t="b">
        <f>IF(AND(A675&lt;&gt;0,B675=0,C675=0),VLOOKUP(A675,'3 - LISTA DE ESPÉCIES'!A:H,3,FALSE()),IF(AND(A675=0,B675&lt;&gt;0,C675=0),VLOOKUP(B675,'3 - LISTA DE ESPÉCIES'!B:H,7,FALSE()),IF(AND(A675=0,B675=0,C675&lt;&gt;0),VLOOKUP(C675,'3 - LISTA DE ESPÉCIES'!C:H,6,FALSE()))))</f>
        <v>0</v>
      </c>
      <c r="H675" s="21" t="b">
        <f>IF(AND(A675&lt;&gt;0,B675=0,C675=0),VLOOKUP(A675,'3 - LISTA DE ESPÉCIES'!A:H,4,FALSE()),IF(AND(A675=0,B675&lt;&gt;0,C675=0),VLOOKUP(B675,'3 - LISTA DE ESPÉCIES'!B:H,3,FALSE()),IF(AND(A675=0,B675=0,C675&lt;&gt;0),VLOOKUP(C675,'3 - LISTA DE ESPÉCIES'!C:H,2,FALSE()))))</f>
        <v>0</v>
      </c>
      <c r="I675" s="21" t="b">
        <f>IF(AND(A675&lt;&gt;0,B675=0,C675=0),VLOOKUP(A675,'3 - LISTA DE ESPÉCIES'!A:H,5,FALSE()),IF(AND(A675=0,B675&lt;&gt;0,C675=0),VLOOKUP(B675,'3 - LISTA DE ESPÉCIES'!B:H,4,FALSE()),IF(AND(A675=0,B675=0,C675&lt;&gt;0),VLOOKUP(C675,'3 - LISTA DE ESPÉCIES'!C:H,3,FALSE()))))</f>
        <v>0</v>
      </c>
      <c r="J675" s="23"/>
      <c r="K675" s="23"/>
      <c r="L675" s="20"/>
      <c r="M675" s="20"/>
    </row>
    <row r="676" spans="1:13" x14ac:dyDescent="0.25">
      <c r="A676" s="20"/>
      <c r="B676" s="20"/>
      <c r="C676" s="20"/>
      <c r="E676" s="21" t="b">
        <f>IF(AND(A676&lt;&gt;0,B676=0,C676=0),VLOOKUP(A676,'3 - LISTA DE ESPÉCIES'!A:H,1,FALSE()),IF(AND(A676=0,B676&lt;&gt;0,C676=0),VLOOKUP(B676,'3 - LISTA DE ESPÉCIES'!B:H,5,FALSE()),IF(AND(A676=0,B676=0,C676&lt;&gt;0),VLOOKUP(C676,'3 - LISTA DE ESPÉCIES'!C:H,4,FALSE()))))</f>
        <v>0</v>
      </c>
      <c r="F676" s="21" t="b">
        <f>IF(AND(A676&lt;&gt;0,B676=0,C676=0),VLOOKUP(A676,'3 - LISTA DE ESPÉCIES'!A:H,2,FALSE()),IF(AND(A676=0,B676&lt;&gt;0,C676=0),VLOOKUP(B676,'3 - LISTA DE ESPÉCIES'!B:H,6,FALSE()),IF(AND(A676=0,B676=0,C676&lt;&gt;0),VLOOKUP(C676,'3 - LISTA DE ESPÉCIES'!C:H,5,FALSE()))))</f>
        <v>0</v>
      </c>
      <c r="G676" s="21" t="b">
        <f>IF(AND(A676&lt;&gt;0,B676=0,C676=0),VLOOKUP(A676,'3 - LISTA DE ESPÉCIES'!A:H,3,FALSE()),IF(AND(A676=0,B676&lt;&gt;0,C676=0),VLOOKUP(B676,'3 - LISTA DE ESPÉCIES'!B:H,7,FALSE()),IF(AND(A676=0,B676=0,C676&lt;&gt;0),VLOOKUP(C676,'3 - LISTA DE ESPÉCIES'!C:H,6,FALSE()))))</f>
        <v>0</v>
      </c>
      <c r="H676" s="21" t="b">
        <f>IF(AND(A676&lt;&gt;0,B676=0,C676=0),VLOOKUP(A676,'3 - LISTA DE ESPÉCIES'!A:H,4,FALSE()),IF(AND(A676=0,B676&lt;&gt;0,C676=0),VLOOKUP(B676,'3 - LISTA DE ESPÉCIES'!B:H,3,FALSE()),IF(AND(A676=0,B676=0,C676&lt;&gt;0),VLOOKUP(C676,'3 - LISTA DE ESPÉCIES'!C:H,2,FALSE()))))</f>
        <v>0</v>
      </c>
      <c r="I676" s="21" t="b">
        <f>IF(AND(A676&lt;&gt;0,B676=0,C676=0),VLOOKUP(A676,'3 - LISTA DE ESPÉCIES'!A:H,5,FALSE()),IF(AND(A676=0,B676&lt;&gt;0,C676=0),VLOOKUP(B676,'3 - LISTA DE ESPÉCIES'!B:H,4,FALSE()),IF(AND(A676=0,B676=0,C676&lt;&gt;0),VLOOKUP(C676,'3 - LISTA DE ESPÉCIES'!C:H,3,FALSE()))))</f>
        <v>0</v>
      </c>
      <c r="J676" s="23"/>
      <c r="K676" s="23"/>
      <c r="L676" s="20"/>
      <c r="M676" s="20"/>
    </row>
    <row r="677" spans="1:13" x14ac:dyDescent="0.25">
      <c r="A677" s="20"/>
      <c r="B677" s="20"/>
      <c r="C677" s="20"/>
      <c r="E677" s="21" t="b">
        <f>IF(AND(A677&lt;&gt;0,B677=0,C677=0),VLOOKUP(A677,'3 - LISTA DE ESPÉCIES'!A:H,1,FALSE()),IF(AND(A677=0,B677&lt;&gt;0,C677=0),VLOOKUP(B677,'3 - LISTA DE ESPÉCIES'!B:H,5,FALSE()),IF(AND(A677=0,B677=0,C677&lt;&gt;0),VLOOKUP(C677,'3 - LISTA DE ESPÉCIES'!C:H,4,FALSE()))))</f>
        <v>0</v>
      </c>
      <c r="F677" s="21" t="b">
        <f>IF(AND(A677&lt;&gt;0,B677=0,C677=0),VLOOKUP(A677,'3 - LISTA DE ESPÉCIES'!A:H,2,FALSE()),IF(AND(A677=0,B677&lt;&gt;0,C677=0),VLOOKUP(B677,'3 - LISTA DE ESPÉCIES'!B:H,6,FALSE()),IF(AND(A677=0,B677=0,C677&lt;&gt;0),VLOOKUP(C677,'3 - LISTA DE ESPÉCIES'!C:H,5,FALSE()))))</f>
        <v>0</v>
      </c>
      <c r="G677" s="21" t="b">
        <f>IF(AND(A677&lt;&gt;0,B677=0,C677=0),VLOOKUP(A677,'3 - LISTA DE ESPÉCIES'!A:H,3,FALSE()),IF(AND(A677=0,B677&lt;&gt;0,C677=0),VLOOKUP(B677,'3 - LISTA DE ESPÉCIES'!B:H,7,FALSE()),IF(AND(A677=0,B677=0,C677&lt;&gt;0),VLOOKUP(C677,'3 - LISTA DE ESPÉCIES'!C:H,6,FALSE()))))</f>
        <v>0</v>
      </c>
      <c r="H677" s="21" t="b">
        <f>IF(AND(A677&lt;&gt;0,B677=0,C677=0),VLOOKUP(A677,'3 - LISTA DE ESPÉCIES'!A:H,4,FALSE()),IF(AND(A677=0,B677&lt;&gt;0,C677=0),VLOOKUP(B677,'3 - LISTA DE ESPÉCIES'!B:H,3,FALSE()),IF(AND(A677=0,B677=0,C677&lt;&gt;0),VLOOKUP(C677,'3 - LISTA DE ESPÉCIES'!C:H,2,FALSE()))))</f>
        <v>0</v>
      </c>
      <c r="I677" s="21" t="b">
        <f>IF(AND(A677&lt;&gt;0,B677=0,C677=0),VLOOKUP(A677,'3 - LISTA DE ESPÉCIES'!A:H,5,FALSE()),IF(AND(A677=0,B677&lt;&gt;0,C677=0),VLOOKUP(B677,'3 - LISTA DE ESPÉCIES'!B:H,4,FALSE()),IF(AND(A677=0,B677=0,C677&lt;&gt;0),VLOOKUP(C677,'3 - LISTA DE ESPÉCIES'!C:H,3,FALSE()))))</f>
        <v>0</v>
      </c>
      <c r="J677" s="23"/>
      <c r="K677" s="23"/>
      <c r="L677" s="20"/>
      <c r="M677" s="20"/>
    </row>
    <row r="678" spans="1:13" x14ac:dyDescent="0.25">
      <c r="A678" s="20"/>
      <c r="B678" s="20"/>
      <c r="C678" s="20"/>
      <c r="E678" s="21" t="b">
        <f>IF(AND(A678&lt;&gt;0,B678=0,C678=0),VLOOKUP(A678,'3 - LISTA DE ESPÉCIES'!A:H,1,FALSE()),IF(AND(A678=0,B678&lt;&gt;0,C678=0),VLOOKUP(B678,'3 - LISTA DE ESPÉCIES'!B:H,5,FALSE()),IF(AND(A678=0,B678=0,C678&lt;&gt;0),VLOOKUP(C678,'3 - LISTA DE ESPÉCIES'!C:H,4,FALSE()))))</f>
        <v>0</v>
      </c>
      <c r="F678" s="21" t="b">
        <f>IF(AND(A678&lt;&gt;0,B678=0,C678=0),VLOOKUP(A678,'3 - LISTA DE ESPÉCIES'!A:H,2,FALSE()),IF(AND(A678=0,B678&lt;&gt;0,C678=0),VLOOKUP(B678,'3 - LISTA DE ESPÉCIES'!B:H,6,FALSE()),IF(AND(A678=0,B678=0,C678&lt;&gt;0),VLOOKUP(C678,'3 - LISTA DE ESPÉCIES'!C:H,5,FALSE()))))</f>
        <v>0</v>
      </c>
      <c r="G678" s="21" t="b">
        <f>IF(AND(A678&lt;&gt;0,B678=0,C678=0),VLOOKUP(A678,'3 - LISTA DE ESPÉCIES'!A:H,3,FALSE()),IF(AND(A678=0,B678&lt;&gt;0,C678=0),VLOOKUP(B678,'3 - LISTA DE ESPÉCIES'!B:H,7,FALSE()),IF(AND(A678=0,B678=0,C678&lt;&gt;0),VLOOKUP(C678,'3 - LISTA DE ESPÉCIES'!C:H,6,FALSE()))))</f>
        <v>0</v>
      </c>
      <c r="H678" s="21" t="b">
        <f>IF(AND(A678&lt;&gt;0,B678=0,C678=0),VLOOKUP(A678,'3 - LISTA DE ESPÉCIES'!A:H,4,FALSE()),IF(AND(A678=0,B678&lt;&gt;0,C678=0),VLOOKUP(B678,'3 - LISTA DE ESPÉCIES'!B:H,3,FALSE()),IF(AND(A678=0,B678=0,C678&lt;&gt;0),VLOOKUP(C678,'3 - LISTA DE ESPÉCIES'!C:H,2,FALSE()))))</f>
        <v>0</v>
      </c>
      <c r="I678" s="21" t="b">
        <f>IF(AND(A678&lt;&gt;0,B678=0,C678=0),VLOOKUP(A678,'3 - LISTA DE ESPÉCIES'!A:H,5,FALSE()),IF(AND(A678=0,B678&lt;&gt;0,C678=0),VLOOKUP(B678,'3 - LISTA DE ESPÉCIES'!B:H,4,FALSE()),IF(AND(A678=0,B678=0,C678&lt;&gt;0),VLOOKUP(C678,'3 - LISTA DE ESPÉCIES'!C:H,3,FALSE()))))</f>
        <v>0</v>
      </c>
      <c r="J678" s="23"/>
      <c r="K678" s="23"/>
      <c r="L678" s="20"/>
      <c r="M678" s="20"/>
    </row>
    <row r="679" spans="1:13" x14ac:dyDescent="0.25">
      <c r="A679" s="20"/>
      <c r="B679" s="20"/>
      <c r="C679" s="20"/>
      <c r="E679" s="21" t="b">
        <f>IF(AND(A679&lt;&gt;0,B679=0,C679=0),VLOOKUP(A679,'3 - LISTA DE ESPÉCIES'!A:H,1,FALSE()),IF(AND(A679=0,B679&lt;&gt;0,C679=0),VLOOKUP(B679,'3 - LISTA DE ESPÉCIES'!B:H,5,FALSE()),IF(AND(A679=0,B679=0,C679&lt;&gt;0),VLOOKUP(C679,'3 - LISTA DE ESPÉCIES'!C:H,4,FALSE()))))</f>
        <v>0</v>
      </c>
      <c r="F679" s="21" t="b">
        <f>IF(AND(A679&lt;&gt;0,B679=0,C679=0),VLOOKUP(A679,'3 - LISTA DE ESPÉCIES'!A:H,2,FALSE()),IF(AND(A679=0,B679&lt;&gt;0,C679=0),VLOOKUP(B679,'3 - LISTA DE ESPÉCIES'!B:H,6,FALSE()),IF(AND(A679=0,B679=0,C679&lt;&gt;0),VLOOKUP(C679,'3 - LISTA DE ESPÉCIES'!C:H,5,FALSE()))))</f>
        <v>0</v>
      </c>
      <c r="G679" s="21" t="b">
        <f>IF(AND(A679&lt;&gt;0,B679=0,C679=0),VLOOKUP(A679,'3 - LISTA DE ESPÉCIES'!A:H,3,FALSE()),IF(AND(A679=0,B679&lt;&gt;0,C679=0),VLOOKUP(B679,'3 - LISTA DE ESPÉCIES'!B:H,7,FALSE()),IF(AND(A679=0,B679=0,C679&lt;&gt;0),VLOOKUP(C679,'3 - LISTA DE ESPÉCIES'!C:H,6,FALSE()))))</f>
        <v>0</v>
      </c>
      <c r="H679" s="21" t="b">
        <f>IF(AND(A679&lt;&gt;0,B679=0,C679=0),VLOOKUP(A679,'3 - LISTA DE ESPÉCIES'!A:H,4,FALSE()),IF(AND(A679=0,B679&lt;&gt;0,C679=0),VLOOKUP(B679,'3 - LISTA DE ESPÉCIES'!B:H,3,FALSE()),IF(AND(A679=0,B679=0,C679&lt;&gt;0),VLOOKUP(C679,'3 - LISTA DE ESPÉCIES'!C:H,2,FALSE()))))</f>
        <v>0</v>
      </c>
      <c r="I679" s="21" t="b">
        <f>IF(AND(A679&lt;&gt;0,B679=0,C679=0),VLOOKUP(A679,'3 - LISTA DE ESPÉCIES'!A:H,5,FALSE()),IF(AND(A679=0,B679&lt;&gt;0,C679=0),VLOOKUP(B679,'3 - LISTA DE ESPÉCIES'!B:H,4,FALSE()),IF(AND(A679=0,B679=0,C679&lt;&gt;0),VLOOKUP(C679,'3 - LISTA DE ESPÉCIES'!C:H,3,FALSE()))))</f>
        <v>0</v>
      </c>
      <c r="J679" s="23"/>
      <c r="K679" s="23"/>
      <c r="L679" s="20"/>
      <c r="M679" s="20"/>
    </row>
    <row r="680" spans="1:13" x14ac:dyDescent="0.25">
      <c r="A680" s="20"/>
      <c r="B680" s="20"/>
      <c r="C680" s="20"/>
      <c r="E680" s="21" t="b">
        <f>IF(AND(A680&lt;&gt;0,B680=0,C680=0),VLOOKUP(A680,'3 - LISTA DE ESPÉCIES'!A:H,1,FALSE()),IF(AND(A680=0,B680&lt;&gt;0,C680=0),VLOOKUP(B680,'3 - LISTA DE ESPÉCIES'!B:H,5,FALSE()),IF(AND(A680=0,B680=0,C680&lt;&gt;0),VLOOKUP(C680,'3 - LISTA DE ESPÉCIES'!C:H,4,FALSE()))))</f>
        <v>0</v>
      </c>
      <c r="F680" s="21" t="b">
        <f>IF(AND(A680&lt;&gt;0,B680=0,C680=0),VLOOKUP(A680,'3 - LISTA DE ESPÉCIES'!A:H,2,FALSE()),IF(AND(A680=0,B680&lt;&gt;0,C680=0),VLOOKUP(B680,'3 - LISTA DE ESPÉCIES'!B:H,6,FALSE()),IF(AND(A680=0,B680=0,C680&lt;&gt;0),VLOOKUP(C680,'3 - LISTA DE ESPÉCIES'!C:H,5,FALSE()))))</f>
        <v>0</v>
      </c>
      <c r="G680" s="21" t="b">
        <f>IF(AND(A680&lt;&gt;0,B680=0,C680=0),VLOOKUP(A680,'3 - LISTA DE ESPÉCIES'!A:H,3,FALSE()),IF(AND(A680=0,B680&lt;&gt;0,C680=0),VLOOKUP(B680,'3 - LISTA DE ESPÉCIES'!B:H,7,FALSE()),IF(AND(A680=0,B680=0,C680&lt;&gt;0),VLOOKUP(C680,'3 - LISTA DE ESPÉCIES'!C:H,6,FALSE()))))</f>
        <v>0</v>
      </c>
      <c r="H680" s="21" t="b">
        <f>IF(AND(A680&lt;&gt;0,B680=0,C680=0),VLOOKUP(A680,'3 - LISTA DE ESPÉCIES'!A:H,4,FALSE()),IF(AND(A680=0,B680&lt;&gt;0,C680=0),VLOOKUP(B680,'3 - LISTA DE ESPÉCIES'!B:H,3,FALSE()),IF(AND(A680=0,B680=0,C680&lt;&gt;0),VLOOKUP(C680,'3 - LISTA DE ESPÉCIES'!C:H,2,FALSE()))))</f>
        <v>0</v>
      </c>
      <c r="I680" s="21" t="b">
        <f>IF(AND(A680&lt;&gt;0,B680=0,C680=0),VLOOKUP(A680,'3 - LISTA DE ESPÉCIES'!A:H,5,FALSE()),IF(AND(A680=0,B680&lt;&gt;0,C680=0),VLOOKUP(B680,'3 - LISTA DE ESPÉCIES'!B:H,4,FALSE()),IF(AND(A680=0,B680=0,C680&lt;&gt;0),VLOOKUP(C680,'3 - LISTA DE ESPÉCIES'!C:H,3,FALSE()))))</f>
        <v>0</v>
      </c>
      <c r="J680" s="23"/>
      <c r="K680" s="23"/>
      <c r="L680" s="20"/>
      <c r="M680" s="20"/>
    </row>
    <row r="681" spans="1:13" x14ac:dyDescent="0.25">
      <c r="A681" s="20"/>
      <c r="B681" s="20"/>
      <c r="C681" s="20"/>
      <c r="E681" s="21" t="b">
        <f>IF(AND(A681&lt;&gt;0,B681=0,C681=0),VLOOKUP(A681,'3 - LISTA DE ESPÉCIES'!A:H,1,FALSE()),IF(AND(A681=0,B681&lt;&gt;0,C681=0),VLOOKUP(B681,'3 - LISTA DE ESPÉCIES'!B:H,5,FALSE()),IF(AND(A681=0,B681=0,C681&lt;&gt;0),VLOOKUP(C681,'3 - LISTA DE ESPÉCIES'!C:H,4,FALSE()))))</f>
        <v>0</v>
      </c>
      <c r="F681" s="21" t="b">
        <f>IF(AND(A681&lt;&gt;0,B681=0,C681=0),VLOOKUP(A681,'3 - LISTA DE ESPÉCIES'!A:H,2,FALSE()),IF(AND(A681=0,B681&lt;&gt;0,C681=0),VLOOKUP(B681,'3 - LISTA DE ESPÉCIES'!B:H,6,FALSE()),IF(AND(A681=0,B681=0,C681&lt;&gt;0),VLOOKUP(C681,'3 - LISTA DE ESPÉCIES'!C:H,5,FALSE()))))</f>
        <v>0</v>
      </c>
      <c r="G681" s="21" t="b">
        <f>IF(AND(A681&lt;&gt;0,B681=0,C681=0),VLOOKUP(A681,'3 - LISTA DE ESPÉCIES'!A:H,3,FALSE()),IF(AND(A681=0,B681&lt;&gt;0,C681=0),VLOOKUP(B681,'3 - LISTA DE ESPÉCIES'!B:H,7,FALSE()),IF(AND(A681=0,B681=0,C681&lt;&gt;0),VLOOKUP(C681,'3 - LISTA DE ESPÉCIES'!C:H,6,FALSE()))))</f>
        <v>0</v>
      </c>
      <c r="H681" s="21" t="b">
        <f>IF(AND(A681&lt;&gt;0,B681=0,C681=0),VLOOKUP(A681,'3 - LISTA DE ESPÉCIES'!A:H,4,FALSE()),IF(AND(A681=0,B681&lt;&gt;0,C681=0),VLOOKUP(B681,'3 - LISTA DE ESPÉCIES'!B:H,3,FALSE()),IF(AND(A681=0,B681=0,C681&lt;&gt;0),VLOOKUP(C681,'3 - LISTA DE ESPÉCIES'!C:H,2,FALSE()))))</f>
        <v>0</v>
      </c>
      <c r="I681" s="21" t="b">
        <f>IF(AND(A681&lt;&gt;0,B681=0,C681=0),VLOOKUP(A681,'3 - LISTA DE ESPÉCIES'!A:H,5,FALSE()),IF(AND(A681=0,B681&lt;&gt;0,C681=0),VLOOKUP(B681,'3 - LISTA DE ESPÉCIES'!B:H,4,FALSE()),IF(AND(A681=0,B681=0,C681&lt;&gt;0),VLOOKUP(C681,'3 - LISTA DE ESPÉCIES'!C:H,3,FALSE()))))</f>
        <v>0</v>
      </c>
      <c r="J681" s="23"/>
      <c r="K681" s="23"/>
      <c r="L681" s="20"/>
      <c r="M681" s="20"/>
    </row>
    <row r="682" spans="1:13" x14ac:dyDescent="0.25">
      <c r="A682" s="20"/>
      <c r="B682" s="20"/>
      <c r="C682" s="20"/>
      <c r="E682" s="21" t="b">
        <f>IF(AND(A682&lt;&gt;0,B682=0,C682=0),VLOOKUP(A682,'3 - LISTA DE ESPÉCIES'!A:H,1,FALSE()),IF(AND(A682=0,B682&lt;&gt;0,C682=0),VLOOKUP(B682,'3 - LISTA DE ESPÉCIES'!B:H,5,FALSE()),IF(AND(A682=0,B682=0,C682&lt;&gt;0),VLOOKUP(C682,'3 - LISTA DE ESPÉCIES'!C:H,4,FALSE()))))</f>
        <v>0</v>
      </c>
      <c r="F682" s="21" t="b">
        <f>IF(AND(A682&lt;&gt;0,B682=0,C682=0),VLOOKUP(A682,'3 - LISTA DE ESPÉCIES'!A:H,2,FALSE()),IF(AND(A682=0,B682&lt;&gt;0,C682=0),VLOOKUP(B682,'3 - LISTA DE ESPÉCIES'!B:H,6,FALSE()),IF(AND(A682=0,B682=0,C682&lt;&gt;0),VLOOKUP(C682,'3 - LISTA DE ESPÉCIES'!C:H,5,FALSE()))))</f>
        <v>0</v>
      </c>
      <c r="G682" s="21" t="b">
        <f>IF(AND(A682&lt;&gt;0,B682=0,C682=0),VLOOKUP(A682,'3 - LISTA DE ESPÉCIES'!A:H,3,FALSE()),IF(AND(A682=0,B682&lt;&gt;0,C682=0),VLOOKUP(B682,'3 - LISTA DE ESPÉCIES'!B:H,7,FALSE()),IF(AND(A682=0,B682=0,C682&lt;&gt;0),VLOOKUP(C682,'3 - LISTA DE ESPÉCIES'!C:H,6,FALSE()))))</f>
        <v>0</v>
      </c>
      <c r="H682" s="21" t="b">
        <f>IF(AND(A682&lt;&gt;0,B682=0,C682=0),VLOOKUP(A682,'3 - LISTA DE ESPÉCIES'!A:H,4,FALSE()),IF(AND(A682=0,B682&lt;&gt;0,C682=0),VLOOKUP(B682,'3 - LISTA DE ESPÉCIES'!B:H,3,FALSE()),IF(AND(A682=0,B682=0,C682&lt;&gt;0),VLOOKUP(C682,'3 - LISTA DE ESPÉCIES'!C:H,2,FALSE()))))</f>
        <v>0</v>
      </c>
      <c r="I682" s="21" t="b">
        <f>IF(AND(A682&lt;&gt;0,B682=0,C682=0),VLOOKUP(A682,'3 - LISTA DE ESPÉCIES'!A:H,5,FALSE()),IF(AND(A682=0,B682&lt;&gt;0,C682=0),VLOOKUP(B682,'3 - LISTA DE ESPÉCIES'!B:H,4,FALSE()),IF(AND(A682=0,B682=0,C682&lt;&gt;0),VLOOKUP(C682,'3 - LISTA DE ESPÉCIES'!C:H,3,FALSE()))))</f>
        <v>0</v>
      </c>
      <c r="J682" s="23"/>
      <c r="K682" s="23"/>
      <c r="L682" s="20"/>
      <c r="M682" s="20"/>
    </row>
    <row r="683" spans="1:13" x14ac:dyDescent="0.25">
      <c r="A683" s="20"/>
      <c r="B683" s="20"/>
      <c r="C683" s="20"/>
      <c r="E683" s="21" t="b">
        <f>IF(AND(A683&lt;&gt;0,B683=0,C683=0),VLOOKUP(A683,'3 - LISTA DE ESPÉCIES'!A:H,1,FALSE()),IF(AND(A683=0,B683&lt;&gt;0,C683=0),VLOOKUP(B683,'3 - LISTA DE ESPÉCIES'!B:H,5,FALSE()),IF(AND(A683=0,B683=0,C683&lt;&gt;0),VLOOKUP(C683,'3 - LISTA DE ESPÉCIES'!C:H,4,FALSE()))))</f>
        <v>0</v>
      </c>
      <c r="F683" s="21" t="b">
        <f>IF(AND(A683&lt;&gt;0,B683=0,C683=0),VLOOKUP(A683,'3 - LISTA DE ESPÉCIES'!A:H,2,FALSE()),IF(AND(A683=0,B683&lt;&gt;0,C683=0),VLOOKUP(B683,'3 - LISTA DE ESPÉCIES'!B:H,6,FALSE()),IF(AND(A683=0,B683=0,C683&lt;&gt;0),VLOOKUP(C683,'3 - LISTA DE ESPÉCIES'!C:H,5,FALSE()))))</f>
        <v>0</v>
      </c>
      <c r="G683" s="21" t="b">
        <f>IF(AND(A683&lt;&gt;0,B683=0,C683=0),VLOOKUP(A683,'3 - LISTA DE ESPÉCIES'!A:H,3,FALSE()),IF(AND(A683=0,B683&lt;&gt;0,C683=0),VLOOKUP(B683,'3 - LISTA DE ESPÉCIES'!B:H,7,FALSE()),IF(AND(A683=0,B683=0,C683&lt;&gt;0),VLOOKUP(C683,'3 - LISTA DE ESPÉCIES'!C:H,6,FALSE()))))</f>
        <v>0</v>
      </c>
      <c r="H683" s="21" t="b">
        <f>IF(AND(A683&lt;&gt;0,B683=0,C683=0),VLOOKUP(A683,'3 - LISTA DE ESPÉCIES'!A:H,4,FALSE()),IF(AND(A683=0,B683&lt;&gt;0,C683=0),VLOOKUP(B683,'3 - LISTA DE ESPÉCIES'!B:H,3,FALSE()),IF(AND(A683=0,B683=0,C683&lt;&gt;0),VLOOKUP(C683,'3 - LISTA DE ESPÉCIES'!C:H,2,FALSE()))))</f>
        <v>0</v>
      </c>
      <c r="I683" s="21" t="b">
        <f>IF(AND(A683&lt;&gt;0,B683=0,C683=0),VLOOKUP(A683,'3 - LISTA DE ESPÉCIES'!A:H,5,FALSE()),IF(AND(A683=0,B683&lt;&gt;0,C683=0),VLOOKUP(B683,'3 - LISTA DE ESPÉCIES'!B:H,4,FALSE()),IF(AND(A683=0,B683=0,C683&lt;&gt;0),VLOOKUP(C683,'3 - LISTA DE ESPÉCIES'!C:H,3,FALSE()))))</f>
        <v>0</v>
      </c>
      <c r="J683" s="23"/>
      <c r="K683" s="23"/>
      <c r="L683" s="20"/>
      <c r="M683" s="20"/>
    </row>
    <row r="684" spans="1:13" x14ac:dyDescent="0.25">
      <c r="A684" s="20"/>
      <c r="B684" s="20"/>
      <c r="C684" s="20"/>
      <c r="E684" s="21" t="b">
        <f>IF(AND(A684&lt;&gt;0,B684=0,C684=0),VLOOKUP(A684,'3 - LISTA DE ESPÉCIES'!A:H,1,FALSE()),IF(AND(A684=0,B684&lt;&gt;0,C684=0),VLOOKUP(B684,'3 - LISTA DE ESPÉCIES'!B:H,5,FALSE()),IF(AND(A684=0,B684=0,C684&lt;&gt;0),VLOOKUP(C684,'3 - LISTA DE ESPÉCIES'!C:H,4,FALSE()))))</f>
        <v>0</v>
      </c>
      <c r="F684" s="21" t="b">
        <f>IF(AND(A684&lt;&gt;0,B684=0,C684=0),VLOOKUP(A684,'3 - LISTA DE ESPÉCIES'!A:H,2,FALSE()),IF(AND(A684=0,B684&lt;&gt;0,C684=0),VLOOKUP(B684,'3 - LISTA DE ESPÉCIES'!B:H,6,FALSE()),IF(AND(A684=0,B684=0,C684&lt;&gt;0),VLOOKUP(C684,'3 - LISTA DE ESPÉCIES'!C:H,5,FALSE()))))</f>
        <v>0</v>
      </c>
      <c r="G684" s="21" t="b">
        <f>IF(AND(A684&lt;&gt;0,B684=0,C684=0),VLOOKUP(A684,'3 - LISTA DE ESPÉCIES'!A:H,3,FALSE()),IF(AND(A684=0,B684&lt;&gt;0,C684=0),VLOOKUP(B684,'3 - LISTA DE ESPÉCIES'!B:H,7,FALSE()),IF(AND(A684=0,B684=0,C684&lt;&gt;0),VLOOKUP(C684,'3 - LISTA DE ESPÉCIES'!C:H,6,FALSE()))))</f>
        <v>0</v>
      </c>
      <c r="H684" s="21" t="b">
        <f>IF(AND(A684&lt;&gt;0,B684=0,C684=0),VLOOKUP(A684,'3 - LISTA DE ESPÉCIES'!A:H,4,FALSE()),IF(AND(A684=0,B684&lt;&gt;0,C684=0),VLOOKUP(B684,'3 - LISTA DE ESPÉCIES'!B:H,3,FALSE()),IF(AND(A684=0,B684=0,C684&lt;&gt;0),VLOOKUP(C684,'3 - LISTA DE ESPÉCIES'!C:H,2,FALSE()))))</f>
        <v>0</v>
      </c>
      <c r="I684" s="21" t="b">
        <f>IF(AND(A684&lt;&gt;0,B684=0,C684=0),VLOOKUP(A684,'3 - LISTA DE ESPÉCIES'!A:H,5,FALSE()),IF(AND(A684=0,B684&lt;&gt;0,C684=0),VLOOKUP(B684,'3 - LISTA DE ESPÉCIES'!B:H,4,FALSE()),IF(AND(A684=0,B684=0,C684&lt;&gt;0),VLOOKUP(C684,'3 - LISTA DE ESPÉCIES'!C:H,3,FALSE()))))</f>
        <v>0</v>
      </c>
      <c r="J684" s="23"/>
      <c r="K684" s="23"/>
      <c r="L684" s="20"/>
      <c r="M684" s="20"/>
    </row>
    <row r="685" spans="1:13" x14ac:dyDescent="0.25">
      <c r="A685" s="20"/>
      <c r="B685" s="20"/>
      <c r="C685" s="20"/>
      <c r="E685" s="21" t="b">
        <f>IF(AND(A685&lt;&gt;0,B685=0,C685=0),VLOOKUP(A685,'3 - LISTA DE ESPÉCIES'!A:H,1,FALSE()),IF(AND(A685=0,B685&lt;&gt;0,C685=0),VLOOKUP(B685,'3 - LISTA DE ESPÉCIES'!B:H,5,FALSE()),IF(AND(A685=0,B685=0,C685&lt;&gt;0),VLOOKUP(C685,'3 - LISTA DE ESPÉCIES'!C:H,4,FALSE()))))</f>
        <v>0</v>
      </c>
      <c r="F685" s="21" t="b">
        <f>IF(AND(A685&lt;&gt;0,B685=0,C685=0),VLOOKUP(A685,'3 - LISTA DE ESPÉCIES'!A:H,2,FALSE()),IF(AND(A685=0,B685&lt;&gt;0,C685=0),VLOOKUP(B685,'3 - LISTA DE ESPÉCIES'!B:H,6,FALSE()),IF(AND(A685=0,B685=0,C685&lt;&gt;0),VLOOKUP(C685,'3 - LISTA DE ESPÉCIES'!C:H,5,FALSE()))))</f>
        <v>0</v>
      </c>
      <c r="G685" s="21" t="b">
        <f>IF(AND(A685&lt;&gt;0,B685=0,C685=0),VLOOKUP(A685,'3 - LISTA DE ESPÉCIES'!A:H,3,FALSE()),IF(AND(A685=0,B685&lt;&gt;0,C685=0),VLOOKUP(B685,'3 - LISTA DE ESPÉCIES'!B:H,7,FALSE()),IF(AND(A685=0,B685=0,C685&lt;&gt;0),VLOOKUP(C685,'3 - LISTA DE ESPÉCIES'!C:H,6,FALSE()))))</f>
        <v>0</v>
      </c>
      <c r="H685" s="21" t="b">
        <f>IF(AND(A685&lt;&gt;0,B685=0,C685=0),VLOOKUP(A685,'3 - LISTA DE ESPÉCIES'!A:H,4,FALSE()),IF(AND(A685=0,B685&lt;&gt;0,C685=0),VLOOKUP(B685,'3 - LISTA DE ESPÉCIES'!B:H,3,FALSE()),IF(AND(A685=0,B685=0,C685&lt;&gt;0),VLOOKUP(C685,'3 - LISTA DE ESPÉCIES'!C:H,2,FALSE()))))</f>
        <v>0</v>
      </c>
      <c r="I685" s="21" t="b">
        <f>IF(AND(A685&lt;&gt;0,B685=0,C685=0),VLOOKUP(A685,'3 - LISTA DE ESPÉCIES'!A:H,5,FALSE()),IF(AND(A685=0,B685&lt;&gt;0,C685=0),VLOOKUP(B685,'3 - LISTA DE ESPÉCIES'!B:H,4,FALSE()),IF(AND(A685=0,B685=0,C685&lt;&gt;0),VLOOKUP(C685,'3 - LISTA DE ESPÉCIES'!C:H,3,FALSE()))))</f>
        <v>0</v>
      </c>
      <c r="J685" s="23"/>
      <c r="K685" s="23"/>
      <c r="L685" s="20"/>
      <c r="M685" s="20"/>
    </row>
    <row r="686" spans="1:13" x14ac:dyDescent="0.25">
      <c r="A686" s="20"/>
      <c r="B686" s="20"/>
      <c r="C686" s="20"/>
      <c r="E686" s="21" t="b">
        <f>IF(AND(A686&lt;&gt;0,B686=0,C686=0),VLOOKUP(A686,'3 - LISTA DE ESPÉCIES'!A:H,1,FALSE()),IF(AND(A686=0,B686&lt;&gt;0,C686=0),VLOOKUP(B686,'3 - LISTA DE ESPÉCIES'!B:H,5,FALSE()),IF(AND(A686=0,B686=0,C686&lt;&gt;0),VLOOKUP(C686,'3 - LISTA DE ESPÉCIES'!C:H,4,FALSE()))))</f>
        <v>0</v>
      </c>
      <c r="F686" s="21" t="b">
        <f>IF(AND(A686&lt;&gt;0,B686=0,C686=0),VLOOKUP(A686,'3 - LISTA DE ESPÉCIES'!A:H,2,FALSE()),IF(AND(A686=0,B686&lt;&gt;0,C686=0),VLOOKUP(B686,'3 - LISTA DE ESPÉCIES'!B:H,6,FALSE()),IF(AND(A686=0,B686=0,C686&lt;&gt;0),VLOOKUP(C686,'3 - LISTA DE ESPÉCIES'!C:H,5,FALSE()))))</f>
        <v>0</v>
      </c>
      <c r="G686" s="21" t="b">
        <f>IF(AND(A686&lt;&gt;0,B686=0,C686=0),VLOOKUP(A686,'3 - LISTA DE ESPÉCIES'!A:H,3,FALSE()),IF(AND(A686=0,B686&lt;&gt;0,C686=0),VLOOKUP(B686,'3 - LISTA DE ESPÉCIES'!B:H,7,FALSE()),IF(AND(A686=0,B686=0,C686&lt;&gt;0),VLOOKUP(C686,'3 - LISTA DE ESPÉCIES'!C:H,6,FALSE()))))</f>
        <v>0</v>
      </c>
      <c r="H686" s="21" t="b">
        <f>IF(AND(A686&lt;&gt;0,B686=0,C686=0),VLOOKUP(A686,'3 - LISTA DE ESPÉCIES'!A:H,4,FALSE()),IF(AND(A686=0,B686&lt;&gt;0,C686=0),VLOOKUP(B686,'3 - LISTA DE ESPÉCIES'!B:H,3,FALSE()),IF(AND(A686=0,B686=0,C686&lt;&gt;0),VLOOKUP(C686,'3 - LISTA DE ESPÉCIES'!C:H,2,FALSE()))))</f>
        <v>0</v>
      </c>
      <c r="I686" s="21" t="b">
        <f>IF(AND(A686&lt;&gt;0,B686=0,C686=0),VLOOKUP(A686,'3 - LISTA DE ESPÉCIES'!A:H,5,FALSE()),IF(AND(A686=0,B686&lt;&gt;0,C686=0),VLOOKUP(B686,'3 - LISTA DE ESPÉCIES'!B:H,4,FALSE()),IF(AND(A686=0,B686=0,C686&lt;&gt;0),VLOOKUP(C686,'3 - LISTA DE ESPÉCIES'!C:H,3,FALSE()))))</f>
        <v>0</v>
      </c>
      <c r="J686" s="23"/>
      <c r="K686" s="23"/>
      <c r="L686" s="20"/>
      <c r="M686" s="20"/>
    </row>
    <row r="687" spans="1:13" x14ac:dyDescent="0.25">
      <c r="A687" s="20"/>
      <c r="B687" s="20"/>
      <c r="C687" s="20"/>
      <c r="E687" s="21" t="b">
        <f>IF(AND(A687&lt;&gt;0,B687=0,C687=0),VLOOKUP(A687,'3 - LISTA DE ESPÉCIES'!A:H,1,FALSE()),IF(AND(A687=0,B687&lt;&gt;0,C687=0),VLOOKUP(B687,'3 - LISTA DE ESPÉCIES'!B:H,5,FALSE()),IF(AND(A687=0,B687=0,C687&lt;&gt;0),VLOOKUP(C687,'3 - LISTA DE ESPÉCIES'!C:H,4,FALSE()))))</f>
        <v>0</v>
      </c>
      <c r="F687" s="21" t="b">
        <f>IF(AND(A687&lt;&gt;0,B687=0,C687=0),VLOOKUP(A687,'3 - LISTA DE ESPÉCIES'!A:H,2,FALSE()),IF(AND(A687=0,B687&lt;&gt;0,C687=0),VLOOKUP(B687,'3 - LISTA DE ESPÉCIES'!B:H,6,FALSE()),IF(AND(A687=0,B687=0,C687&lt;&gt;0),VLOOKUP(C687,'3 - LISTA DE ESPÉCIES'!C:H,5,FALSE()))))</f>
        <v>0</v>
      </c>
      <c r="G687" s="21" t="b">
        <f>IF(AND(A687&lt;&gt;0,B687=0,C687=0),VLOOKUP(A687,'3 - LISTA DE ESPÉCIES'!A:H,3,FALSE()),IF(AND(A687=0,B687&lt;&gt;0,C687=0),VLOOKUP(B687,'3 - LISTA DE ESPÉCIES'!B:H,7,FALSE()),IF(AND(A687=0,B687=0,C687&lt;&gt;0),VLOOKUP(C687,'3 - LISTA DE ESPÉCIES'!C:H,6,FALSE()))))</f>
        <v>0</v>
      </c>
      <c r="H687" s="21" t="b">
        <f>IF(AND(A687&lt;&gt;0,B687=0,C687=0),VLOOKUP(A687,'3 - LISTA DE ESPÉCIES'!A:H,4,FALSE()),IF(AND(A687=0,B687&lt;&gt;0,C687=0),VLOOKUP(B687,'3 - LISTA DE ESPÉCIES'!B:H,3,FALSE()),IF(AND(A687=0,B687=0,C687&lt;&gt;0),VLOOKUP(C687,'3 - LISTA DE ESPÉCIES'!C:H,2,FALSE()))))</f>
        <v>0</v>
      </c>
      <c r="I687" s="21" t="b">
        <f>IF(AND(A687&lt;&gt;0,B687=0,C687=0),VLOOKUP(A687,'3 - LISTA DE ESPÉCIES'!A:H,5,FALSE()),IF(AND(A687=0,B687&lt;&gt;0,C687=0),VLOOKUP(B687,'3 - LISTA DE ESPÉCIES'!B:H,4,FALSE()),IF(AND(A687=0,B687=0,C687&lt;&gt;0),VLOOKUP(C687,'3 - LISTA DE ESPÉCIES'!C:H,3,FALSE()))))</f>
        <v>0</v>
      </c>
      <c r="J687" s="23"/>
      <c r="K687" s="23"/>
      <c r="L687" s="20"/>
      <c r="M687" s="20"/>
    </row>
    <row r="688" spans="1:13" x14ac:dyDescent="0.25">
      <c r="A688" s="20"/>
      <c r="B688" s="20"/>
      <c r="C688" s="20"/>
      <c r="E688" s="21" t="b">
        <f>IF(AND(A688&lt;&gt;0,B688=0,C688=0),VLOOKUP(A688,'3 - LISTA DE ESPÉCIES'!A:H,1,FALSE()),IF(AND(A688=0,B688&lt;&gt;0,C688=0),VLOOKUP(B688,'3 - LISTA DE ESPÉCIES'!B:H,5,FALSE()),IF(AND(A688=0,B688=0,C688&lt;&gt;0),VLOOKUP(C688,'3 - LISTA DE ESPÉCIES'!C:H,4,FALSE()))))</f>
        <v>0</v>
      </c>
      <c r="F688" s="21" t="b">
        <f>IF(AND(A688&lt;&gt;0,B688=0,C688=0),VLOOKUP(A688,'3 - LISTA DE ESPÉCIES'!A:H,2,FALSE()),IF(AND(A688=0,B688&lt;&gt;0,C688=0),VLOOKUP(B688,'3 - LISTA DE ESPÉCIES'!B:H,6,FALSE()),IF(AND(A688=0,B688=0,C688&lt;&gt;0),VLOOKUP(C688,'3 - LISTA DE ESPÉCIES'!C:H,5,FALSE()))))</f>
        <v>0</v>
      </c>
      <c r="G688" s="21" t="b">
        <f>IF(AND(A688&lt;&gt;0,B688=0,C688=0),VLOOKUP(A688,'3 - LISTA DE ESPÉCIES'!A:H,3,FALSE()),IF(AND(A688=0,B688&lt;&gt;0,C688=0),VLOOKUP(B688,'3 - LISTA DE ESPÉCIES'!B:H,7,FALSE()),IF(AND(A688=0,B688=0,C688&lt;&gt;0),VLOOKUP(C688,'3 - LISTA DE ESPÉCIES'!C:H,6,FALSE()))))</f>
        <v>0</v>
      </c>
      <c r="H688" s="21" t="b">
        <f>IF(AND(A688&lt;&gt;0,B688=0,C688=0),VLOOKUP(A688,'3 - LISTA DE ESPÉCIES'!A:H,4,FALSE()),IF(AND(A688=0,B688&lt;&gt;0,C688=0),VLOOKUP(B688,'3 - LISTA DE ESPÉCIES'!B:H,3,FALSE()),IF(AND(A688=0,B688=0,C688&lt;&gt;0),VLOOKUP(C688,'3 - LISTA DE ESPÉCIES'!C:H,2,FALSE()))))</f>
        <v>0</v>
      </c>
      <c r="I688" s="21" t="b">
        <f>IF(AND(A688&lt;&gt;0,B688=0,C688=0),VLOOKUP(A688,'3 - LISTA DE ESPÉCIES'!A:H,5,FALSE()),IF(AND(A688=0,B688&lt;&gt;0,C688=0),VLOOKUP(B688,'3 - LISTA DE ESPÉCIES'!B:H,4,FALSE()),IF(AND(A688=0,B688=0,C688&lt;&gt;0),VLOOKUP(C688,'3 - LISTA DE ESPÉCIES'!C:H,3,FALSE()))))</f>
        <v>0</v>
      </c>
      <c r="J688" s="23"/>
      <c r="K688" s="23"/>
      <c r="L688" s="20"/>
      <c r="M688" s="20"/>
    </row>
    <row r="689" spans="1:13" x14ac:dyDescent="0.25">
      <c r="A689" s="20"/>
      <c r="B689" s="20"/>
      <c r="C689" s="20"/>
      <c r="E689" s="21" t="b">
        <f>IF(AND(A689&lt;&gt;0,B689=0,C689=0),VLOOKUP(A689,'3 - LISTA DE ESPÉCIES'!A:H,1,FALSE()),IF(AND(A689=0,B689&lt;&gt;0,C689=0),VLOOKUP(B689,'3 - LISTA DE ESPÉCIES'!B:H,5,FALSE()),IF(AND(A689=0,B689=0,C689&lt;&gt;0),VLOOKUP(C689,'3 - LISTA DE ESPÉCIES'!C:H,4,FALSE()))))</f>
        <v>0</v>
      </c>
      <c r="F689" s="21" t="b">
        <f>IF(AND(A689&lt;&gt;0,B689=0,C689=0),VLOOKUP(A689,'3 - LISTA DE ESPÉCIES'!A:H,2,FALSE()),IF(AND(A689=0,B689&lt;&gt;0,C689=0),VLOOKUP(B689,'3 - LISTA DE ESPÉCIES'!B:H,6,FALSE()),IF(AND(A689=0,B689=0,C689&lt;&gt;0),VLOOKUP(C689,'3 - LISTA DE ESPÉCIES'!C:H,5,FALSE()))))</f>
        <v>0</v>
      </c>
      <c r="G689" s="21" t="b">
        <f>IF(AND(A689&lt;&gt;0,B689=0,C689=0),VLOOKUP(A689,'3 - LISTA DE ESPÉCIES'!A:H,3,FALSE()),IF(AND(A689=0,B689&lt;&gt;0,C689=0),VLOOKUP(B689,'3 - LISTA DE ESPÉCIES'!B:H,7,FALSE()),IF(AND(A689=0,B689=0,C689&lt;&gt;0),VLOOKUP(C689,'3 - LISTA DE ESPÉCIES'!C:H,6,FALSE()))))</f>
        <v>0</v>
      </c>
      <c r="H689" s="21" t="b">
        <f>IF(AND(A689&lt;&gt;0,B689=0,C689=0),VLOOKUP(A689,'3 - LISTA DE ESPÉCIES'!A:H,4,FALSE()),IF(AND(A689=0,B689&lt;&gt;0,C689=0),VLOOKUP(B689,'3 - LISTA DE ESPÉCIES'!B:H,3,FALSE()),IF(AND(A689=0,B689=0,C689&lt;&gt;0),VLOOKUP(C689,'3 - LISTA DE ESPÉCIES'!C:H,2,FALSE()))))</f>
        <v>0</v>
      </c>
      <c r="I689" s="21" t="b">
        <f>IF(AND(A689&lt;&gt;0,B689=0,C689=0),VLOOKUP(A689,'3 - LISTA DE ESPÉCIES'!A:H,5,FALSE()),IF(AND(A689=0,B689&lt;&gt;0,C689=0),VLOOKUP(B689,'3 - LISTA DE ESPÉCIES'!B:H,4,FALSE()),IF(AND(A689=0,B689=0,C689&lt;&gt;0),VLOOKUP(C689,'3 - LISTA DE ESPÉCIES'!C:H,3,FALSE()))))</f>
        <v>0</v>
      </c>
      <c r="J689" s="23"/>
      <c r="K689" s="23"/>
      <c r="L689" s="20"/>
      <c r="M689" s="20"/>
    </row>
    <row r="690" spans="1:13" x14ac:dyDescent="0.25">
      <c r="A690" s="20"/>
      <c r="B690" s="20"/>
      <c r="C690" s="20"/>
      <c r="E690" s="21" t="b">
        <f>IF(AND(A690&lt;&gt;0,B690=0,C690=0),VLOOKUP(A690,'3 - LISTA DE ESPÉCIES'!A:H,1,FALSE()),IF(AND(A690=0,B690&lt;&gt;0,C690=0),VLOOKUP(B690,'3 - LISTA DE ESPÉCIES'!B:H,5,FALSE()),IF(AND(A690=0,B690=0,C690&lt;&gt;0),VLOOKUP(C690,'3 - LISTA DE ESPÉCIES'!C:H,4,FALSE()))))</f>
        <v>0</v>
      </c>
      <c r="F690" s="21" t="b">
        <f>IF(AND(A690&lt;&gt;0,B690=0,C690=0),VLOOKUP(A690,'3 - LISTA DE ESPÉCIES'!A:H,2,FALSE()),IF(AND(A690=0,B690&lt;&gt;0,C690=0),VLOOKUP(B690,'3 - LISTA DE ESPÉCIES'!B:H,6,FALSE()),IF(AND(A690=0,B690=0,C690&lt;&gt;0),VLOOKUP(C690,'3 - LISTA DE ESPÉCIES'!C:H,5,FALSE()))))</f>
        <v>0</v>
      </c>
      <c r="G690" s="21" t="b">
        <f>IF(AND(A690&lt;&gt;0,B690=0,C690=0),VLOOKUP(A690,'3 - LISTA DE ESPÉCIES'!A:H,3,FALSE()),IF(AND(A690=0,B690&lt;&gt;0,C690=0),VLOOKUP(B690,'3 - LISTA DE ESPÉCIES'!B:H,7,FALSE()),IF(AND(A690=0,B690=0,C690&lt;&gt;0),VLOOKUP(C690,'3 - LISTA DE ESPÉCIES'!C:H,6,FALSE()))))</f>
        <v>0</v>
      </c>
      <c r="H690" s="21" t="b">
        <f>IF(AND(A690&lt;&gt;0,B690=0,C690=0),VLOOKUP(A690,'3 - LISTA DE ESPÉCIES'!A:H,4,FALSE()),IF(AND(A690=0,B690&lt;&gt;0,C690=0),VLOOKUP(B690,'3 - LISTA DE ESPÉCIES'!B:H,3,FALSE()),IF(AND(A690=0,B690=0,C690&lt;&gt;0),VLOOKUP(C690,'3 - LISTA DE ESPÉCIES'!C:H,2,FALSE()))))</f>
        <v>0</v>
      </c>
      <c r="I690" s="21" t="b">
        <f>IF(AND(A690&lt;&gt;0,B690=0,C690=0),VLOOKUP(A690,'3 - LISTA DE ESPÉCIES'!A:H,5,FALSE()),IF(AND(A690=0,B690&lt;&gt;0,C690=0),VLOOKUP(B690,'3 - LISTA DE ESPÉCIES'!B:H,4,FALSE()),IF(AND(A690=0,B690=0,C690&lt;&gt;0),VLOOKUP(C690,'3 - LISTA DE ESPÉCIES'!C:H,3,FALSE()))))</f>
        <v>0</v>
      </c>
      <c r="J690" s="23"/>
      <c r="K690" s="23"/>
      <c r="L690" s="20"/>
      <c r="M690" s="20"/>
    </row>
    <row r="691" spans="1:13" x14ac:dyDescent="0.25">
      <c r="A691" s="20"/>
      <c r="B691" s="20"/>
      <c r="C691" s="20"/>
      <c r="E691" s="21" t="b">
        <f>IF(AND(A691&lt;&gt;0,B691=0,C691=0),VLOOKUP(A691,'3 - LISTA DE ESPÉCIES'!A:H,1,FALSE()),IF(AND(A691=0,B691&lt;&gt;0,C691=0),VLOOKUP(B691,'3 - LISTA DE ESPÉCIES'!B:H,5,FALSE()),IF(AND(A691=0,B691=0,C691&lt;&gt;0),VLOOKUP(C691,'3 - LISTA DE ESPÉCIES'!C:H,4,FALSE()))))</f>
        <v>0</v>
      </c>
      <c r="F691" s="21" t="b">
        <f>IF(AND(A691&lt;&gt;0,B691=0,C691=0),VLOOKUP(A691,'3 - LISTA DE ESPÉCIES'!A:H,2,FALSE()),IF(AND(A691=0,B691&lt;&gt;0,C691=0),VLOOKUP(B691,'3 - LISTA DE ESPÉCIES'!B:H,6,FALSE()),IF(AND(A691=0,B691=0,C691&lt;&gt;0),VLOOKUP(C691,'3 - LISTA DE ESPÉCIES'!C:H,5,FALSE()))))</f>
        <v>0</v>
      </c>
      <c r="G691" s="21" t="b">
        <f>IF(AND(A691&lt;&gt;0,B691=0,C691=0),VLOOKUP(A691,'3 - LISTA DE ESPÉCIES'!A:H,3,FALSE()),IF(AND(A691=0,B691&lt;&gt;0,C691=0),VLOOKUP(B691,'3 - LISTA DE ESPÉCIES'!B:H,7,FALSE()),IF(AND(A691=0,B691=0,C691&lt;&gt;0),VLOOKUP(C691,'3 - LISTA DE ESPÉCIES'!C:H,6,FALSE()))))</f>
        <v>0</v>
      </c>
      <c r="H691" s="21" t="b">
        <f>IF(AND(A691&lt;&gt;0,B691=0,C691=0),VLOOKUP(A691,'3 - LISTA DE ESPÉCIES'!A:H,4,FALSE()),IF(AND(A691=0,B691&lt;&gt;0,C691=0),VLOOKUP(B691,'3 - LISTA DE ESPÉCIES'!B:H,3,FALSE()),IF(AND(A691=0,B691=0,C691&lt;&gt;0),VLOOKUP(C691,'3 - LISTA DE ESPÉCIES'!C:H,2,FALSE()))))</f>
        <v>0</v>
      </c>
      <c r="I691" s="21" t="b">
        <f>IF(AND(A691&lt;&gt;0,B691=0,C691=0),VLOOKUP(A691,'3 - LISTA DE ESPÉCIES'!A:H,5,FALSE()),IF(AND(A691=0,B691&lt;&gt;0,C691=0),VLOOKUP(B691,'3 - LISTA DE ESPÉCIES'!B:H,4,FALSE()),IF(AND(A691=0,B691=0,C691&lt;&gt;0),VLOOKUP(C691,'3 - LISTA DE ESPÉCIES'!C:H,3,FALSE()))))</f>
        <v>0</v>
      </c>
      <c r="J691" s="23"/>
      <c r="K691" s="23"/>
      <c r="L691" s="20"/>
      <c r="M691" s="20"/>
    </row>
    <row r="692" spans="1:13" x14ac:dyDescent="0.25">
      <c r="A692" s="20"/>
      <c r="B692" s="20"/>
      <c r="C692" s="20"/>
      <c r="E692" s="21" t="b">
        <f>IF(AND(A692&lt;&gt;0,B692=0,C692=0),VLOOKUP(A692,'3 - LISTA DE ESPÉCIES'!A:H,1,FALSE()),IF(AND(A692=0,B692&lt;&gt;0,C692=0),VLOOKUP(B692,'3 - LISTA DE ESPÉCIES'!B:H,5,FALSE()),IF(AND(A692=0,B692=0,C692&lt;&gt;0),VLOOKUP(C692,'3 - LISTA DE ESPÉCIES'!C:H,4,FALSE()))))</f>
        <v>0</v>
      </c>
      <c r="F692" s="21" t="b">
        <f>IF(AND(A692&lt;&gt;0,B692=0,C692=0),VLOOKUP(A692,'3 - LISTA DE ESPÉCIES'!A:H,2,FALSE()),IF(AND(A692=0,B692&lt;&gt;0,C692=0),VLOOKUP(B692,'3 - LISTA DE ESPÉCIES'!B:H,6,FALSE()),IF(AND(A692=0,B692=0,C692&lt;&gt;0),VLOOKUP(C692,'3 - LISTA DE ESPÉCIES'!C:H,5,FALSE()))))</f>
        <v>0</v>
      </c>
      <c r="G692" s="21" t="b">
        <f>IF(AND(A692&lt;&gt;0,B692=0,C692=0),VLOOKUP(A692,'3 - LISTA DE ESPÉCIES'!A:H,3,FALSE()),IF(AND(A692=0,B692&lt;&gt;0,C692=0),VLOOKUP(B692,'3 - LISTA DE ESPÉCIES'!B:H,7,FALSE()),IF(AND(A692=0,B692=0,C692&lt;&gt;0),VLOOKUP(C692,'3 - LISTA DE ESPÉCIES'!C:H,6,FALSE()))))</f>
        <v>0</v>
      </c>
      <c r="H692" s="21" t="b">
        <f>IF(AND(A692&lt;&gt;0,B692=0,C692=0),VLOOKUP(A692,'3 - LISTA DE ESPÉCIES'!A:H,4,FALSE()),IF(AND(A692=0,B692&lt;&gt;0,C692=0),VLOOKUP(B692,'3 - LISTA DE ESPÉCIES'!B:H,3,FALSE()),IF(AND(A692=0,B692=0,C692&lt;&gt;0),VLOOKUP(C692,'3 - LISTA DE ESPÉCIES'!C:H,2,FALSE()))))</f>
        <v>0</v>
      </c>
      <c r="I692" s="21" t="b">
        <f>IF(AND(A692&lt;&gt;0,B692=0,C692=0),VLOOKUP(A692,'3 - LISTA DE ESPÉCIES'!A:H,5,FALSE()),IF(AND(A692=0,B692&lt;&gt;0,C692=0),VLOOKUP(B692,'3 - LISTA DE ESPÉCIES'!B:H,4,FALSE()),IF(AND(A692=0,B692=0,C692&lt;&gt;0),VLOOKUP(C692,'3 - LISTA DE ESPÉCIES'!C:H,3,FALSE()))))</f>
        <v>0</v>
      </c>
      <c r="J692" s="23"/>
      <c r="K692" s="23"/>
      <c r="L692" s="20"/>
      <c r="M692" s="20"/>
    </row>
    <row r="693" spans="1:13" x14ac:dyDescent="0.25">
      <c r="A693" s="20"/>
      <c r="B693" s="20"/>
      <c r="C693" s="20"/>
      <c r="E693" s="21" t="b">
        <f>IF(AND(A693&lt;&gt;0,B693=0,C693=0),VLOOKUP(A693,'3 - LISTA DE ESPÉCIES'!A:H,1,FALSE()),IF(AND(A693=0,B693&lt;&gt;0,C693=0),VLOOKUP(B693,'3 - LISTA DE ESPÉCIES'!B:H,5,FALSE()),IF(AND(A693=0,B693=0,C693&lt;&gt;0),VLOOKUP(C693,'3 - LISTA DE ESPÉCIES'!C:H,4,FALSE()))))</f>
        <v>0</v>
      </c>
      <c r="F693" s="21" t="b">
        <f>IF(AND(A693&lt;&gt;0,B693=0,C693=0),VLOOKUP(A693,'3 - LISTA DE ESPÉCIES'!A:H,2,FALSE()),IF(AND(A693=0,B693&lt;&gt;0,C693=0),VLOOKUP(B693,'3 - LISTA DE ESPÉCIES'!B:H,6,FALSE()),IF(AND(A693=0,B693=0,C693&lt;&gt;0),VLOOKUP(C693,'3 - LISTA DE ESPÉCIES'!C:H,5,FALSE()))))</f>
        <v>0</v>
      </c>
      <c r="G693" s="21" t="b">
        <f>IF(AND(A693&lt;&gt;0,B693=0,C693=0),VLOOKUP(A693,'3 - LISTA DE ESPÉCIES'!A:H,3,FALSE()),IF(AND(A693=0,B693&lt;&gt;0,C693=0),VLOOKUP(B693,'3 - LISTA DE ESPÉCIES'!B:H,7,FALSE()),IF(AND(A693=0,B693=0,C693&lt;&gt;0),VLOOKUP(C693,'3 - LISTA DE ESPÉCIES'!C:H,6,FALSE()))))</f>
        <v>0</v>
      </c>
      <c r="H693" s="21" t="b">
        <f>IF(AND(A693&lt;&gt;0,B693=0,C693=0),VLOOKUP(A693,'3 - LISTA DE ESPÉCIES'!A:H,4,FALSE()),IF(AND(A693=0,B693&lt;&gt;0,C693=0),VLOOKUP(B693,'3 - LISTA DE ESPÉCIES'!B:H,3,FALSE()),IF(AND(A693=0,B693=0,C693&lt;&gt;0),VLOOKUP(C693,'3 - LISTA DE ESPÉCIES'!C:H,2,FALSE()))))</f>
        <v>0</v>
      </c>
      <c r="I693" s="21" t="b">
        <f>IF(AND(A693&lt;&gt;0,B693=0,C693=0),VLOOKUP(A693,'3 - LISTA DE ESPÉCIES'!A:H,5,FALSE()),IF(AND(A693=0,B693&lt;&gt;0,C693=0),VLOOKUP(B693,'3 - LISTA DE ESPÉCIES'!B:H,4,FALSE()),IF(AND(A693=0,B693=0,C693&lt;&gt;0),VLOOKUP(C693,'3 - LISTA DE ESPÉCIES'!C:H,3,FALSE()))))</f>
        <v>0</v>
      </c>
      <c r="J693" s="23"/>
      <c r="K693" s="23"/>
      <c r="L693" s="20"/>
      <c r="M693" s="20"/>
    </row>
    <row r="694" spans="1:13" x14ac:dyDescent="0.25">
      <c r="A694" s="20"/>
      <c r="B694" s="20"/>
      <c r="C694" s="20"/>
      <c r="E694" s="21" t="b">
        <f>IF(AND(A694&lt;&gt;0,B694=0,C694=0),VLOOKUP(A694,'3 - LISTA DE ESPÉCIES'!A:H,1,FALSE()),IF(AND(A694=0,B694&lt;&gt;0,C694=0),VLOOKUP(B694,'3 - LISTA DE ESPÉCIES'!B:H,5,FALSE()),IF(AND(A694=0,B694=0,C694&lt;&gt;0),VLOOKUP(C694,'3 - LISTA DE ESPÉCIES'!C:H,4,FALSE()))))</f>
        <v>0</v>
      </c>
      <c r="F694" s="21" t="b">
        <f>IF(AND(A694&lt;&gt;0,B694=0,C694=0),VLOOKUP(A694,'3 - LISTA DE ESPÉCIES'!A:H,2,FALSE()),IF(AND(A694=0,B694&lt;&gt;0,C694=0),VLOOKUP(B694,'3 - LISTA DE ESPÉCIES'!B:H,6,FALSE()),IF(AND(A694=0,B694=0,C694&lt;&gt;0),VLOOKUP(C694,'3 - LISTA DE ESPÉCIES'!C:H,5,FALSE()))))</f>
        <v>0</v>
      </c>
      <c r="G694" s="21" t="b">
        <f>IF(AND(A694&lt;&gt;0,B694=0,C694=0),VLOOKUP(A694,'3 - LISTA DE ESPÉCIES'!A:H,3,FALSE()),IF(AND(A694=0,B694&lt;&gt;0,C694=0),VLOOKUP(B694,'3 - LISTA DE ESPÉCIES'!B:H,7,FALSE()),IF(AND(A694=0,B694=0,C694&lt;&gt;0),VLOOKUP(C694,'3 - LISTA DE ESPÉCIES'!C:H,6,FALSE()))))</f>
        <v>0</v>
      </c>
      <c r="H694" s="21" t="b">
        <f>IF(AND(A694&lt;&gt;0,B694=0,C694=0),VLOOKUP(A694,'3 - LISTA DE ESPÉCIES'!A:H,4,FALSE()),IF(AND(A694=0,B694&lt;&gt;0,C694=0),VLOOKUP(B694,'3 - LISTA DE ESPÉCIES'!B:H,3,FALSE()),IF(AND(A694=0,B694=0,C694&lt;&gt;0),VLOOKUP(C694,'3 - LISTA DE ESPÉCIES'!C:H,2,FALSE()))))</f>
        <v>0</v>
      </c>
      <c r="I694" s="21" t="b">
        <f>IF(AND(A694&lt;&gt;0,B694=0,C694=0),VLOOKUP(A694,'3 - LISTA DE ESPÉCIES'!A:H,5,FALSE()),IF(AND(A694=0,B694&lt;&gt;0,C694=0),VLOOKUP(B694,'3 - LISTA DE ESPÉCIES'!B:H,4,FALSE()),IF(AND(A694=0,B694=0,C694&lt;&gt;0),VLOOKUP(C694,'3 - LISTA DE ESPÉCIES'!C:H,3,FALSE()))))</f>
        <v>0</v>
      </c>
      <c r="J694" s="23"/>
      <c r="K694" s="23"/>
      <c r="L694" s="20"/>
      <c r="M694" s="20"/>
    </row>
    <row r="695" spans="1:13" x14ac:dyDescent="0.25">
      <c r="A695" s="20"/>
      <c r="B695" s="20"/>
      <c r="C695" s="20"/>
      <c r="E695" s="21" t="b">
        <f>IF(AND(A695&lt;&gt;0,B695=0,C695=0),VLOOKUP(A695,'3 - LISTA DE ESPÉCIES'!A:H,1,FALSE()),IF(AND(A695=0,B695&lt;&gt;0,C695=0),VLOOKUP(B695,'3 - LISTA DE ESPÉCIES'!B:H,5,FALSE()),IF(AND(A695=0,B695=0,C695&lt;&gt;0),VLOOKUP(C695,'3 - LISTA DE ESPÉCIES'!C:H,4,FALSE()))))</f>
        <v>0</v>
      </c>
      <c r="F695" s="21" t="b">
        <f>IF(AND(A695&lt;&gt;0,B695=0,C695=0),VLOOKUP(A695,'3 - LISTA DE ESPÉCIES'!A:H,2,FALSE()),IF(AND(A695=0,B695&lt;&gt;0,C695=0),VLOOKUP(B695,'3 - LISTA DE ESPÉCIES'!B:H,6,FALSE()),IF(AND(A695=0,B695=0,C695&lt;&gt;0),VLOOKUP(C695,'3 - LISTA DE ESPÉCIES'!C:H,5,FALSE()))))</f>
        <v>0</v>
      </c>
      <c r="G695" s="21" t="b">
        <f>IF(AND(A695&lt;&gt;0,B695=0,C695=0),VLOOKUP(A695,'3 - LISTA DE ESPÉCIES'!A:H,3,FALSE()),IF(AND(A695=0,B695&lt;&gt;0,C695=0),VLOOKUP(B695,'3 - LISTA DE ESPÉCIES'!B:H,7,FALSE()),IF(AND(A695=0,B695=0,C695&lt;&gt;0),VLOOKUP(C695,'3 - LISTA DE ESPÉCIES'!C:H,6,FALSE()))))</f>
        <v>0</v>
      </c>
      <c r="H695" s="21" t="b">
        <f>IF(AND(A695&lt;&gt;0,B695=0,C695=0),VLOOKUP(A695,'3 - LISTA DE ESPÉCIES'!A:H,4,FALSE()),IF(AND(A695=0,B695&lt;&gt;0,C695=0),VLOOKUP(B695,'3 - LISTA DE ESPÉCIES'!B:H,3,FALSE()),IF(AND(A695=0,B695=0,C695&lt;&gt;0),VLOOKUP(C695,'3 - LISTA DE ESPÉCIES'!C:H,2,FALSE()))))</f>
        <v>0</v>
      </c>
      <c r="I695" s="21" t="b">
        <f>IF(AND(A695&lt;&gt;0,B695=0,C695=0),VLOOKUP(A695,'3 - LISTA DE ESPÉCIES'!A:H,5,FALSE()),IF(AND(A695=0,B695&lt;&gt;0,C695=0),VLOOKUP(B695,'3 - LISTA DE ESPÉCIES'!B:H,4,FALSE()),IF(AND(A695=0,B695=0,C695&lt;&gt;0),VLOOKUP(C695,'3 - LISTA DE ESPÉCIES'!C:H,3,FALSE()))))</f>
        <v>0</v>
      </c>
      <c r="J695" s="23"/>
      <c r="K695" s="23"/>
      <c r="L695" s="20"/>
      <c r="M695" s="20"/>
    </row>
    <row r="696" spans="1:13" x14ac:dyDescent="0.25">
      <c r="A696" s="20"/>
      <c r="B696" s="20"/>
      <c r="C696" s="20"/>
      <c r="E696" s="21" t="b">
        <f>IF(AND(A696&lt;&gt;0,B696=0,C696=0),VLOOKUP(A696,'3 - LISTA DE ESPÉCIES'!A:H,1,FALSE()),IF(AND(A696=0,B696&lt;&gt;0,C696=0),VLOOKUP(B696,'3 - LISTA DE ESPÉCIES'!B:H,5,FALSE()),IF(AND(A696=0,B696=0,C696&lt;&gt;0),VLOOKUP(C696,'3 - LISTA DE ESPÉCIES'!C:H,4,FALSE()))))</f>
        <v>0</v>
      </c>
      <c r="F696" s="21" t="b">
        <f>IF(AND(A696&lt;&gt;0,B696=0,C696=0),VLOOKUP(A696,'3 - LISTA DE ESPÉCIES'!A:H,2,FALSE()),IF(AND(A696=0,B696&lt;&gt;0,C696=0),VLOOKUP(B696,'3 - LISTA DE ESPÉCIES'!B:H,6,FALSE()),IF(AND(A696=0,B696=0,C696&lt;&gt;0),VLOOKUP(C696,'3 - LISTA DE ESPÉCIES'!C:H,5,FALSE()))))</f>
        <v>0</v>
      </c>
      <c r="G696" s="21" t="b">
        <f>IF(AND(A696&lt;&gt;0,B696=0,C696=0),VLOOKUP(A696,'3 - LISTA DE ESPÉCIES'!A:H,3,FALSE()),IF(AND(A696=0,B696&lt;&gt;0,C696=0),VLOOKUP(B696,'3 - LISTA DE ESPÉCIES'!B:H,7,FALSE()),IF(AND(A696=0,B696=0,C696&lt;&gt;0),VLOOKUP(C696,'3 - LISTA DE ESPÉCIES'!C:H,6,FALSE()))))</f>
        <v>0</v>
      </c>
      <c r="H696" s="21" t="b">
        <f>IF(AND(A696&lt;&gt;0,B696=0,C696=0),VLOOKUP(A696,'3 - LISTA DE ESPÉCIES'!A:H,4,FALSE()),IF(AND(A696=0,B696&lt;&gt;0,C696=0),VLOOKUP(B696,'3 - LISTA DE ESPÉCIES'!B:H,3,FALSE()),IF(AND(A696=0,B696=0,C696&lt;&gt;0),VLOOKUP(C696,'3 - LISTA DE ESPÉCIES'!C:H,2,FALSE()))))</f>
        <v>0</v>
      </c>
      <c r="I696" s="21" t="b">
        <f>IF(AND(A696&lt;&gt;0,B696=0,C696=0),VLOOKUP(A696,'3 - LISTA DE ESPÉCIES'!A:H,5,FALSE()),IF(AND(A696=0,B696&lt;&gt;0,C696=0),VLOOKUP(B696,'3 - LISTA DE ESPÉCIES'!B:H,4,FALSE()),IF(AND(A696=0,B696=0,C696&lt;&gt;0),VLOOKUP(C696,'3 - LISTA DE ESPÉCIES'!C:H,3,FALSE()))))</f>
        <v>0</v>
      </c>
      <c r="J696" s="23"/>
      <c r="K696" s="23"/>
      <c r="L696" s="20"/>
      <c r="M696" s="20"/>
    </row>
    <row r="697" spans="1:13" x14ac:dyDescent="0.25">
      <c r="A697" s="20"/>
      <c r="B697" s="20"/>
      <c r="C697" s="20"/>
      <c r="E697" s="21" t="b">
        <f>IF(AND(A697&lt;&gt;0,B697=0,C697=0),VLOOKUP(A697,'3 - LISTA DE ESPÉCIES'!A:H,1,FALSE()),IF(AND(A697=0,B697&lt;&gt;0,C697=0),VLOOKUP(B697,'3 - LISTA DE ESPÉCIES'!B:H,5,FALSE()),IF(AND(A697=0,B697=0,C697&lt;&gt;0),VLOOKUP(C697,'3 - LISTA DE ESPÉCIES'!C:H,4,FALSE()))))</f>
        <v>0</v>
      </c>
      <c r="F697" s="21" t="b">
        <f>IF(AND(A697&lt;&gt;0,B697=0,C697=0),VLOOKUP(A697,'3 - LISTA DE ESPÉCIES'!A:H,2,FALSE()),IF(AND(A697=0,B697&lt;&gt;0,C697=0),VLOOKUP(B697,'3 - LISTA DE ESPÉCIES'!B:H,6,FALSE()),IF(AND(A697=0,B697=0,C697&lt;&gt;0),VLOOKUP(C697,'3 - LISTA DE ESPÉCIES'!C:H,5,FALSE()))))</f>
        <v>0</v>
      </c>
      <c r="G697" s="21" t="b">
        <f>IF(AND(A697&lt;&gt;0,B697=0,C697=0),VLOOKUP(A697,'3 - LISTA DE ESPÉCIES'!A:H,3,FALSE()),IF(AND(A697=0,B697&lt;&gt;0,C697=0),VLOOKUP(B697,'3 - LISTA DE ESPÉCIES'!B:H,7,FALSE()),IF(AND(A697=0,B697=0,C697&lt;&gt;0),VLOOKUP(C697,'3 - LISTA DE ESPÉCIES'!C:H,6,FALSE()))))</f>
        <v>0</v>
      </c>
      <c r="H697" s="21" t="b">
        <f>IF(AND(A697&lt;&gt;0,B697=0,C697=0),VLOOKUP(A697,'3 - LISTA DE ESPÉCIES'!A:H,4,FALSE()),IF(AND(A697=0,B697&lt;&gt;0,C697=0),VLOOKUP(B697,'3 - LISTA DE ESPÉCIES'!B:H,3,FALSE()),IF(AND(A697=0,B697=0,C697&lt;&gt;0),VLOOKUP(C697,'3 - LISTA DE ESPÉCIES'!C:H,2,FALSE()))))</f>
        <v>0</v>
      </c>
      <c r="I697" s="21" t="b">
        <f>IF(AND(A697&lt;&gt;0,B697=0,C697=0),VLOOKUP(A697,'3 - LISTA DE ESPÉCIES'!A:H,5,FALSE()),IF(AND(A697=0,B697&lt;&gt;0,C697=0),VLOOKUP(B697,'3 - LISTA DE ESPÉCIES'!B:H,4,FALSE()),IF(AND(A697=0,B697=0,C697&lt;&gt;0),VLOOKUP(C697,'3 - LISTA DE ESPÉCIES'!C:H,3,FALSE()))))</f>
        <v>0</v>
      </c>
      <c r="J697" s="23"/>
      <c r="K697" s="23"/>
      <c r="L697" s="20"/>
      <c r="M697" s="20"/>
    </row>
    <row r="698" spans="1:13" x14ac:dyDescent="0.25">
      <c r="A698" s="20"/>
      <c r="B698" s="20"/>
      <c r="C698" s="20"/>
      <c r="E698" s="21" t="b">
        <f>IF(AND(A698&lt;&gt;0,B698=0,C698=0),VLOOKUP(A698,'3 - LISTA DE ESPÉCIES'!A:H,1,FALSE()),IF(AND(A698=0,B698&lt;&gt;0,C698=0),VLOOKUP(B698,'3 - LISTA DE ESPÉCIES'!B:H,5,FALSE()),IF(AND(A698=0,B698=0,C698&lt;&gt;0),VLOOKUP(C698,'3 - LISTA DE ESPÉCIES'!C:H,4,FALSE()))))</f>
        <v>0</v>
      </c>
      <c r="F698" s="21" t="b">
        <f>IF(AND(A698&lt;&gt;0,B698=0,C698=0),VLOOKUP(A698,'3 - LISTA DE ESPÉCIES'!A:H,2,FALSE()),IF(AND(A698=0,B698&lt;&gt;0,C698=0),VLOOKUP(B698,'3 - LISTA DE ESPÉCIES'!B:H,6,FALSE()),IF(AND(A698=0,B698=0,C698&lt;&gt;0),VLOOKUP(C698,'3 - LISTA DE ESPÉCIES'!C:H,5,FALSE()))))</f>
        <v>0</v>
      </c>
      <c r="G698" s="21" t="b">
        <f>IF(AND(A698&lt;&gt;0,B698=0,C698=0),VLOOKUP(A698,'3 - LISTA DE ESPÉCIES'!A:H,3,FALSE()),IF(AND(A698=0,B698&lt;&gt;0,C698=0),VLOOKUP(B698,'3 - LISTA DE ESPÉCIES'!B:H,7,FALSE()),IF(AND(A698=0,B698=0,C698&lt;&gt;0),VLOOKUP(C698,'3 - LISTA DE ESPÉCIES'!C:H,6,FALSE()))))</f>
        <v>0</v>
      </c>
      <c r="H698" s="21" t="b">
        <f>IF(AND(A698&lt;&gt;0,B698=0,C698=0),VLOOKUP(A698,'3 - LISTA DE ESPÉCIES'!A:H,4,FALSE()),IF(AND(A698=0,B698&lt;&gt;0,C698=0),VLOOKUP(B698,'3 - LISTA DE ESPÉCIES'!B:H,3,FALSE()),IF(AND(A698=0,B698=0,C698&lt;&gt;0),VLOOKUP(C698,'3 - LISTA DE ESPÉCIES'!C:H,2,FALSE()))))</f>
        <v>0</v>
      </c>
      <c r="I698" s="21" t="b">
        <f>IF(AND(A698&lt;&gt;0,B698=0,C698=0),VLOOKUP(A698,'3 - LISTA DE ESPÉCIES'!A:H,5,FALSE()),IF(AND(A698=0,B698&lt;&gt;0,C698=0),VLOOKUP(B698,'3 - LISTA DE ESPÉCIES'!B:H,4,FALSE()),IF(AND(A698=0,B698=0,C698&lt;&gt;0),VLOOKUP(C698,'3 - LISTA DE ESPÉCIES'!C:H,3,FALSE()))))</f>
        <v>0</v>
      </c>
      <c r="J698" s="23"/>
      <c r="K698" s="23"/>
      <c r="L698" s="20"/>
      <c r="M698" s="20"/>
    </row>
    <row r="699" spans="1:13" x14ac:dyDescent="0.25">
      <c r="A699" s="20"/>
      <c r="B699" s="20"/>
      <c r="C699" s="20"/>
      <c r="E699" s="21" t="b">
        <f>IF(AND(A699&lt;&gt;0,B699=0,C699=0),VLOOKUP(A699,'3 - LISTA DE ESPÉCIES'!A:H,1,FALSE()),IF(AND(A699=0,B699&lt;&gt;0,C699=0),VLOOKUP(B699,'3 - LISTA DE ESPÉCIES'!B:H,5,FALSE()),IF(AND(A699=0,B699=0,C699&lt;&gt;0),VLOOKUP(C699,'3 - LISTA DE ESPÉCIES'!C:H,4,FALSE()))))</f>
        <v>0</v>
      </c>
      <c r="F699" s="21" t="b">
        <f>IF(AND(A699&lt;&gt;0,B699=0,C699=0),VLOOKUP(A699,'3 - LISTA DE ESPÉCIES'!A:H,2,FALSE()),IF(AND(A699=0,B699&lt;&gt;0,C699=0),VLOOKUP(B699,'3 - LISTA DE ESPÉCIES'!B:H,6,FALSE()),IF(AND(A699=0,B699=0,C699&lt;&gt;0),VLOOKUP(C699,'3 - LISTA DE ESPÉCIES'!C:H,5,FALSE()))))</f>
        <v>0</v>
      </c>
      <c r="G699" s="21" t="b">
        <f>IF(AND(A699&lt;&gt;0,B699=0,C699=0),VLOOKUP(A699,'3 - LISTA DE ESPÉCIES'!A:H,3,FALSE()),IF(AND(A699=0,B699&lt;&gt;0,C699=0),VLOOKUP(B699,'3 - LISTA DE ESPÉCIES'!B:H,7,FALSE()),IF(AND(A699=0,B699=0,C699&lt;&gt;0),VLOOKUP(C699,'3 - LISTA DE ESPÉCIES'!C:H,6,FALSE()))))</f>
        <v>0</v>
      </c>
      <c r="H699" s="21" t="b">
        <f>IF(AND(A699&lt;&gt;0,B699=0,C699=0),VLOOKUP(A699,'3 - LISTA DE ESPÉCIES'!A:H,4,FALSE()),IF(AND(A699=0,B699&lt;&gt;0,C699=0),VLOOKUP(B699,'3 - LISTA DE ESPÉCIES'!B:H,3,FALSE()),IF(AND(A699=0,B699=0,C699&lt;&gt;0),VLOOKUP(C699,'3 - LISTA DE ESPÉCIES'!C:H,2,FALSE()))))</f>
        <v>0</v>
      </c>
      <c r="I699" s="21" t="b">
        <f>IF(AND(A699&lt;&gt;0,B699=0,C699=0),VLOOKUP(A699,'3 - LISTA DE ESPÉCIES'!A:H,5,FALSE()),IF(AND(A699=0,B699&lt;&gt;0,C699=0),VLOOKUP(B699,'3 - LISTA DE ESPÉCIES'!B:H,4,FALSE()),IF(AND(A699=0,B699=0,C699&lt;&gt;0),VLOOKUP(C699,'3 - LISTA DE ESPÉCIES'!C:H,3,FALSE()))))</f>
        <v>0</v>
      </c>
      <c r="J699" s="23"/>
      <c r="K699" s="23"/>
      <c r="L699" s="20"/>
      <c r="M699" s="20"/>
    </row>
    <row r="700" spans="1:13" x14ac:dyDescent="0.25">
      <c r="A700" s="20"/>
      <c r="B700" s="20"/>
      <c r="C700" s="20"/>
      <c r="E700" s="21" t="b">
        <f>IF(AND(A700&lt;&gt;0,B700=0,C700=0),VLOOKUP(A700,'3 - LISTA DE ESPÉCIES'!A:H,1,FALSE()),IF(AND(A700=0,B700&lt;&gt;0,C700=0),VLOOKUP(B700,'3 - LISTA DE ESPÉCIES'!B:H,5,FALSE()),IF(AND(A700=0,B700=0,C700&lt;&gt;0),VLOOKUP(C700,'3 - LISTA DE ESPÉCIES'!C:H,4,FALSE()))))</f>
        <v>0</v>
      </c>
      <c r="F700" s="21" t="b">
        <f>IF(AND(A700&lt;&gt;0,B700=0,C700=0),VLOOKUP(A700,'3 - LISTA DE ESPÉCIES'!A:H,2,FALSE()),IF(AND(A700=0,B700&lt;&gt;0,C700=0),VLOOKUP(B700,'3 - LISTA DE ESPÉCIES'!B:H,6,FALSE()),IF(AND(A700=0,B700=0,C700&lt;&gt;0),VLOOKUP(C700,'3 - LISTA DE ESPÉCIES'!C:H,5,FALSE()))))</f>
        <v>0</v>
      </c>
      <c r="G700" s="21" t="b">
        <f>IF(AND(A700&lt;&gt;0,B700=0,C700=0),VLOOKUP(A700,'3 - LISTA DE ESPÉCIES'!A:H,3,FALSE()),IF(AND(A700=0,B700&lt;&gt;0,C700=0),VLOOKUP(B700,'3 - LISTA DE ESPÉCIES'!B:H,7,FALSE()),IF(AND(A700=0,B700=0,C700&lt;&gt;0),VLOOKUP(C700,'3 - LISTA DE ESPÉCIES'!C:H,6,FALSE()))))</f>
        <v>0</v>
      </c>
      <c r="H700" s="21" t="b">
        <f>IF(AND(A700&lt;&gt;0,B700=0,C700=0),VLOOKUP(A700,'3 - LISTA DE ESPÉCIES'!A:H,4,FALSE()),IF(AND(A700=0,B700&lt;&gt;0,C700=0),VLOOKUP(B700,'3 - LISTA DE ESPÉCIES'!B:H,3,FALSE()),IF(AND(A700=0,B700=0,C700&lt;&gt;0),VLOOKUP(C700,'3 - LISTA DE ESPÉCIES'!C:H,2,FALSE()))))</f>
        <v>0</v>
      </c>
      <c r="I700" s="21" t="b">
        <f>IF(AND(A700&lt;&gt;0,B700=0,C700=0),VLOOKUP(A700,'3 - LISTA DE ESPÉCIES'!A:H,5,FALSE()),IF(AND(A700=0,B700&lt;&gt;0,C700=0),VLOOKUP(B700,'3 - LISTA DE ESPÉCIES'!B:H,4,FALSE()),IF(AND(A700=0,B700=0,C700&lt;&gt;0),VLOOKUP(C700,'3 - LISTA DE ESPÉCIES'!C:H,3,FALSE()))))</f>
        <v>0</v>
      </c>
      <c r="J700" s="23"/>
      <c r="K700" s="23"/>
      <c r="L700" s="20"/>
      <c r="M700" s="20"/>
    </row>
    <row r="701" spans="1:13" x14ac:dyDescent="0.25">
      <c r="A701" s="20"/>
      <c r="B701" s="20"/>
      <c r="C701" s="20"/>
      <c r="E701" s="21" t="b">
        <f>IF(AND(A701&lt;&gt;0,B701=0,C701=0),VLOOKUP(A701,'3 - LISTA DE ESPÉCIES'!A:H,1,FALSE()),IF(AND(A701=0,B701&lt;&gt;0,C701=0),VLOOKUP(B701,'3 - LISTA DE ESPÉCIES'!B:H,5,FALSE()),IF(AND(A701=0,B701=0,C701&lt;&gt;0),VLOOKUP(C701,'3 - LISTA DE ESPÉCIES'!C:H,4,FALSE()))))</f>
        <v>0</v>
      </c>
      <c r="F701" s="21" t="b">
        <f>IF(AND(A701&lt;&gt;0,B701=0,C701=0),VLOOKUP(A701,'3 - LISTA DE ESPÉCIES'!A:H,2,FALSE()),IF(AND(A701=0,B701&lt;&gt;0,C701=0),VLOOKUP(B701,'3 - LISTA DE ESPÉCIES'!B:H,6,FALSE()),IF(AND(A701=0,B701=0,C701&lt;&gt;0),VLOOKUP(C701,'3 - LISTA DE ESPÉCIES'!C:H,5,FALSE()))))</f>
        <v>0</v>
      </c>
      <c r="G701" s="21" t="b">
        <f>IF(AND(A701&lt;&gt;0,B701=0,C701=0),VLOOKUP(A701,'3 - LISTA DE ESPÉCIES'!A:H,3,FALSE()),IF(AND(A701=0,B701&lt;&gt;0,C701=0),VLOOKUP(B701,'3 - LISTA DE ESPÉCIES'!B:H,7,FALSE()),IF(AND(A701=0,B701=0,C701&lt;&gt;0),VLOOKUP(C701,'3 - LISTA DE ESPÉCIES'!C:H,6,FALSE()))))</f>
        <v>0</v>
      </c>
      <c r="H701" s="21" t="b">
        <f>IF(AND(A701&lt;&gt;0,B701=0,C701=0),VLOOKUP(A701,'3 - LISTA DE ESPÉCIES'!A:H,4,FALSE()),IF(AND(A701=0,B701&lt;&gt;0,C701=0),VLOOKUP(B701,'3 - LISTA DE ESPÉCIES'!B:H,3,FALSE()),IF(AND(A701=0,B701=0,C701&lt;&gt;0),VLOOKUP(C701,'3 - LISTA DE ESPÉCIES'!C:H,2,FALSE()))))</f>
        <v>0</v>
      </c>
      <c r="I701" s="21" t="b">
        <f>IF(AND(A701&lt;&gt;0,B701=0,C701=0),VLOOKUP(A701,'3 - LISTA DE ESPÉCIES'!A:H,5,FALSE()),IF(AND(A701=0,B701&lt;&gt;0,C701=0),VLOOKUP(B701,'3 - LISTA DE ESPÉCIES'!B:H,4,FALSE()),IF(AND(A701=0,B701=0,C701&lt;&gt;0),VLOOKUP(C701,'3 - LISTA DE ESPÉCIES'!C:H,3,FALSE()))))</f>
        <v>0</v>
      </c>
      <c r="J701" s="23"/>
      <c r="K701" s="23"/>
      <c r="L701" s="20"/>
      <c r="M701" s="20"/>
    </row>
    <row r="702" spans="1:13" x14ac:dyDescent="0.25">
      <c r="A702" s="20"/>
      <c r="B702" s="20"/>
      <c r="C702" s="20"/>
      <c r="E702" s="21" t="b">
        <f>IF(AND(A702&lt;&gt;0,B702=0,C702=0),VLOOKUP(A702,'3 - LISTA DE ESPÉCIES'!A:H,1,FALSE()),IF(AND(A702=0,B702&lt;&gt;0,C702=0),VLOOKUP(B702,'3 - LISTA DE ESPÉCIES'!B:H,5,FALSE()),IF(AND(A702=0,B702=0,C702&lt;&gt;0),VLOOKUP(C702,'3 - LISTA DE ESPÉCIES'!C:H,4,FALSE()))))</f>
        <v>0</v>
      </c>
      <c r="F702" s="21" t="b">
        <f>IF(AND(A702&lt;&gt;0,B702=0,C702=0),VLOOKUP(A702,'3 - LISTA DE ESPÉCIES'!A:H,2,FALSE()),IF(AND(A702=0,B702&lt;&gt;0,C702=0),VLOOKUP(B702,'3 - LISTA DE ESPÉCIES'!B:H,6,FALSE()),IF(AND(A702=0,B702=0,C702&lt;&gt;0),VLOOKUP(C702,'3 - LISTA DE ESPÉCIES'!C:H,5,FALSE()))))</f>
        <v>0</v>
      </c>
      <c r="G702" s="21" t="b">
        <f>IF(AND(A702&lt;&gt;0,B702=0,C702=0),VLOOKUP(A702,'3 - LISTA DE ESPÉCIES'!A:H,3,FALSE()),IF(AND(A702=0,B702&lt;&gt;0,C702=0),VLOOKUP(B702,'3 - LISTA DE ESPÉCIES'!B:H,7,FALSE()),IF(AND(A702=0,B702=0,C702&lt;&gt;0),VLOOKUP(C702,'3 - LISTA DE ESPÉCIES'!C:H,6,FALSE()))))</f>
        <v>0</v>
      </c>
      <c r="H702" s="21" t="b">
        <f>IF(AND(A702&lt;&gt;0,B702=0,C702=0),VLOOKUP(A702,'3 - LISTA DE ESPÉCIES'!A:H,4,FALSE()),IF(AND(A702=0,B702&lt;&gt;0,C702=0),VLOOKUP(B702,'3 - LISTA DE ESPÉCIES'!B:H,3,FALSE()),IF(AND(A702=0,B702=0,C702&lt;&gt;0),VLOOKUP(C702,'3 - LISTA DE ESPÉCIES'!C:H,2,FALSE()))))</f>
        <v>0</v>
      </c>
      <c r="I702" s="21" t="b">
        <f>IF(AND(A702&lt;&gt;0,B702=0,C702=0),VLOOKUP(A702,'3 - LISTA DE ESPÉCIES'!A:H,5,FALSE()),IF(AND(A702=0,B702&lt;&gt;0,C702=0),VLOOKUP(B702,'3 - LISTA DE ESPÉCIES'!B:H,4,FALSE()),IF(AND(A702=0,B702=0,C702&lt;&gt;0),VLOOKUP(C702,'3 - LISTA DE ESPÉCIES'!C:H,3,FALSE()))))</f>
        <v>0</v>
      </c>
      <c r="J702" s="23"/>
      <c r="K702" s="23"/>
      <c r="L702" s="20"/>
      <c r="M702" s="20"/>
    </row>
    <row r="703" spans="1:13" x14ac:dyDescent="0.25">
      <c r="A703" s="20"/>
      <c r="B703" s="20"/>
      <c r="C703" s="20"/>
      <c r="E703" s="21" t="b">
        <f>IF(AND(A703&lt;&gt;0,B703=0,C703=0),VLOOKUP(A703,'3 - LISTA DE ESPÉCIES'!A:H,1,FALSE()),IF(AND(A703=0,B703&lt;&gt;0,C703=0),VLOOKUP(B703,'3 - LISTA DE ESPÉCIES'!B:H,5,FALSE()),IF(AND(A703=0,B703=0,C703&lt;&gt;0),VLOOKUP(C703,'3 - LISTA DE ESPÉCIES'!C:H,4,FALSE()))))</f>
        <v>0</v>
      </c>
      <c r="F703" s="21" t="b">
        <f>IF(AND(A703&lt;&gt;0,B703=0,C703=0),VLOOKUP(A703,'3 - LISTA DE ESPÉCIES'!A:H,2,FALSE()),IF(AND(A703=0,B703&lt;&gt;0,C703=0),VLOOKUP(B703,'3 - LISTA DE ESPÉCIES'!B:H,6,FALSE()),IF(AND(A703=0,B703=0,C703&lt;&gt;0),VLOOKUP(C703,'3 - LISTA DE ESPÉCIES'!C:H,5,FALSE()))))</f>
        <v>0</v>
      </c>
      <c r="G703" s="21" t="b">
        <f>IF(AND(A703&lt;&gt;0,B703=0,C703=0),VLOOKUP(A703,'3 - LISTA DE ESPÉCIES'!A:H,3,FALSE()),IF(AND(A703=0,B703&lt;&gt;0,C703=0),VLOOKUP(B703,'3 - LISTA DE ESPÉCIES'!B:H,7,FALSE()),IF(AND(A703=0,B703=0,C703&lt;&gt;0),VLOOKUP(C703,'3 - LISTA DE ESPÉCIES'!C:H,6,FALSE()))))</f>
        <v>0</v>
      </c>
      <c r="H703" s="21" t="b">
        <f>IF(AND(A703&lt;&gt;0,B703=0,C703=0),VLOOKUP(A703,'3 - LISTA DE ESPÉCIES'!A:H,4,FALSE()),IF(AND(A703=0,B703&lt;&gt;0,C703=0),VLOOKUP(B703,'3 - LISTA DE ESPÉCIES'!B:H,3,FALSE()),IF(AND(A703=0,B703=0,C703&lt;&gt;0),VLOOKUP(C703,'3 - LISTA DE ESPÉCIES'!C:H,2,FALSE()))))</f>
        <v>0</v>
      </c>
      <c r="I703" s="21" t="b">
        <f>IF(AND(A703&lt;&gt;0,B703=0,C703=0),VLOOKUP(A703,'3 - LISTA DE ESPÉCIES'!A:H,5,FALSE()),IF(AND(A703=0,B703&lt;&gt;0,C703=0),VLOOKUP(B703,'3 - LISTA DE ESPÉCIES'!B:H,4,FALSE()),IF(AND(A703=0,B703=0,C703&lt;&gt;0),VLOOKUP(C703,'3 - LISTA DE ESPÉCIES'!C:H,3,FALSE()))))</f>
        <v>0</v>
      </c>
      <c r="J703" s="23"/>
      <c r="K703" s="23"/>
      <c r="L703" s="20"/>
      <c r="M703" s="20"/>
    </row>
    <row r="704" spans="1:13" x14ac:dyDescent="0.25">
      <c r="A704" s="20"/>
      <c r="B704" s="20"/>
      <c r="C704" s="20"/>
      <c r="E704" s="21" t="b">
        <f>IF(AND(A704&lt;&gt;0,B704=0,C704=0),VLOOKUP(A704,'3 - LISTA DE ESPÉCIES'!A:H,1,FALSE()),IF(AND(A704=0,B704&lt;&gt;0,C704=0),VLOOKUP(B704,'3 - LISTA DE ESPÉCIES'!B:H,5,FALSE()),IF(AND(A704=0,B704=0,C704&lt;&gt;0),VLOOKUP(C704,'3 - LISTA DE ESPÉCIES'!C:H,4,FALSE()))))</f>
        <v>0</v>
      </c>
      <c r="F704" s="21" t="b">
        <f>IF(AND(A704&lt;&gt;0,B704=0,C704=0),VLOOKUP(A704,'3 - LISTA DE ESPÉCIES'!A:H,2,FALSE()),IF(AND(A704=0,B704&lt;&gt;0,C704=0),VLOOKUP(B704,'3 - LISTA DE ESPÉCIES'!B:H,6,FALSE()),IF(AND(A704=0,B704=0,C704&lt;&gt;0),VLOOKUP(C704,'3 - LISTA DE ESPÉCIES'!C:H,5,FALSE()))))</f>
        <v>0</v>
      </c>
      <c r="G704" s="21" t="b">
        <f>IF(AND(A704&lt;&gt;0,B704=0,C704=0),VLOOKUP(A704,'3 - LISTA DE ESPÉCIES'!A:H,3,FALSE()),IF(AND(A704=0,B704&lt;&gt;0,C704=0),VLOOKUP(B704,'3 - LISTA DE ESPÉCIES'!B:H,7,FALSE()),IF(AND(A704=0,B704=0,C704&lt;&gt;0),VLOOKUP(C704,'3 - LISTA DE ESPÉCIES'!C:H,6,FALSE()))))</f>
        <v>0</v>
      </c>
      <c r="H704" s="21" t="b">
        <f>IF(AND(A704&lt;&gt;0,B704=0,C704=0),VLOOKUP(A704,'3 - LISTA DE ESPÉCIES'!A:H,4,FALSE()),IF(AND(A704=0,B704&lt;&gt;0,C704=0),VLOOKUP(B704,'3 - LISTA DE ESPÉCIES'!B:H,3,FALSE()),IF(AND(A704=0,B704=0,C704&lt;&gt;0),VLOOKUP(C704,'3 - LISTA DE ESPÉCIES'!C:H,2,FALSE()))))</f>
        <v>0</v>
      </c>
      <c r="I704" s="21" t="b">
        <f>IF(AND(A704&lt;&gt;0,B704=0,C704=0),VLOOKUP(A704,'3 - LISTA DE ESPÉCIES'!A:H,5,FALSE()),IF(AND(A704=0,B704&lt;&gt;0,C704=0),VLOOKUP(B704,'3 - LISTA DE ESPÉCIES'!B:H,4,FALSE()),IF(AND(A704=0,B704=0,C704&lt;&gt;0),VLOOKUP(C704,'3 - LISTA DE ESPÉCIES'!C:H,3,FALSE()))))</f>
        <v>0</v>
      </c>
      <c r="J704" s="23"/>
      <c r="K704" s="23"/>
      <c r="L704" s="20"/>
      <c r="M704" s="20"/>
    </row>
    <row r="705" spans="1:13" x14ac:dyDescent="0.25">
      <c r="A705" s="20"/>
      <c r="B705" s="20"/>
      <c r="C705" s="20"/>
      <c r="E705" s="21" t="b">
        <f>IF(AND(A705&lt;&gt;0,B705=0,C705=0),VLOOKUP(A705,'3 - LISTA DE ESPÉCIES'!A:H,1,FALSE()),IF(AND(A705=0,B705&lt;&gt;0,C705=0),VLOOKUP(B705,'3 - LISTA DE ESPÉCIES'!B:H,5,FALSE()),IF(AND(A705=0,B705=0,C705&lt;&gt;0),VLOOKUP(C705,'3 - LISTA DE ESPÉCIES'!C:H,4,FALSE()))))</f>
        <v>0</v>
      </c>
      <c r="F705" s="21" t="b">
        <f>IF(AND(A705&lt;&gt;0,B705=0,C705=0),VLOOKUP(A705,'3 - LISTA DE ESPÉCIES'!A:H,2,FALSE()),IF(AND(A705=0,B705&lt;&gt;0,C705=0),VLOOKUP(B705,'3 - LISTA DE ESPÉCIES'!B:H,6,FALSE()),IF(AND(A705=0,B705=0,C705&lt;&gt;0),VLOOKUP(C705,'3 - LISTA DE ESPÉCIES'!C:H,5,FALSE()))))</f>
        <v>0</v>
      </c>
      <c r="G705" s="21" t="b">
        <f>IF(AND(A705&lt;&gt;0,B705=0,C705=0),VLOOKUP(A705,'3 - LISTA DE ESPÉCIES'!A:H,3,FALSE()),IF(AND(A705=0,B705&lt;&gt;0,C705=0),VLOOKUP(B705,'3 - LISTA DE ESPÉCIES'!B:H,7,FALSE()),IF(AND(A705=0,B705=0,C705&lt;&gt;0),VLOOKUP(C705,'3 - LISTA DE ESPÉCIES'!C:H,6,FALSE()))))</f>
        <v>0</v>
      </c>
      <c r="H705" s="21" t="b">
        <f>IF(AND(A705&lt;&gt;0,B705=0,C705=0),VLOOKUP(A705,'3 - LISTA DE ESPÉCIES'!A:H,4,FALSE()),IF(AND(A705=0,B705&lt;&gt;0,C705=0),VLOOKUP(B705,'3 - LISTA DE ESPÉCIES'!B:H,3,FALSE()),IF(AND(A705=0,B705=0,C705&lt;&gt;0),VLOOKUP(C705,'3 - LISTA DE ESPÉCIES'!C:H,2,FALSE()))))</f>
        <v>0</v>
      </c>
      <c r="I705" s="21" t="b">
        <f>IF(AND(A705&lt;&gt;0,B705=0,C705=0),VLOOKUP(A705,'3 - LISTA DE ESPÉCIES'!A:H,5,FALSE()),IF(AND(A705=0,B705&lt;&gt;0,C705=0),VLOOKUP(B705,'3 - LISTA DE ESPÉCIES'!B:H,4,FALSE()),IF(AND(A705=0,B705=0,C705&lt;&gt;0),VLOOKUP(C705,'3 - LISTA DE ESPÉCIES'!C:H,3,FALSE()))))</f>
        <v>0</v>
      </c>
      <c r="J705" s="23"/>
      <c r="K705" s="23"/>
      <c r="L705" s="20"/>
      <c r="M705" s="20"/>
    </row>
    <row r="706" spans="1:13" x14ac:dyDescent="0.25">
      <c r="A706" s="20"/>
      <c r="B706" s="20"/>
      <c r="C706" s="20"/>
      <c r="E706" s="21" t="b">
        <f>IF(AND(A706&lt;&gt;0,B706=0,C706=0),VLOOKUP(A706,'3 - LISTA DE ESPÉCIES'!A:H,1,FALSE()),IF(AND(A706=0,B706&lt;&gt;0,C706=0),VLOOKUP(B706,'3 - LISTA DE ESPÉCIES'!B:H,5,FALSE()),IF(AND(A706=0,B706=0,C706&lt;&gt;0),VLOOKUP(C706,'3 - LISTA DE ESPÉCIES'!C:H,4,FALSE()))))</f>
        <v>0</v>
      </c>
      <c r="F706" s="21" t="b">
        <f>IF(AND(A706&lt;&gt;0,B706=0,C706=0),VLOOKUP(A706,'3 - LISTA DE ESPÉCIES'!A:H,2,FALSE()),IF(AND(A706=0,B706&lt;&gt;0,C706=0),VLOOKUP(B706,'3 - LISTA DE ESPÉCIES'!B:H,6,FALSE()),IF(AND(A706=0,B706=0,C706&lt;&gt;0),VLOOKUP(C706,'3 - LISTA DE ESPÉCIES'!C:H,5,FALSE()))))</f>
        <v>0</v>
      </c>
      <c r="G706" s="21" t="b">
        <f>IF(AND(A706&lt;&gt;0,B706=0,C706=0),VLOOKUP(A706,'3 - LISTA DE ESPÉCIES'!A:H,3,FALSE()),IF(AND(A706=0,B706&lt;&gt;0,C706=0),VLOOKUP(B706,'3 - LISTA DE ESPÉCIES'!B:H,7,FALSE()),IF(AND(A706=0,B706=0,C706&lt;&gt;0),VLOOKUP(C706,'3 - LISTA DE ESPÉCIES'!C:H,6,FALSE()))))</f>
        <v>0</v>
      </c>
      <c r="H706" s="21" t="b">
        <f>IF(AND(A706&lt;&gt;0,B706=0,C706=0),VLOOKUP(A706,'3 - LISTA DE ESPÉCIES'!A:H,4,FALSE()),IF(AND(A706=0,B706&lt;&gt;0,C706=0),VLOOKUP(B706,'3 - LISTA DE ESPÉCIES'!B:H,3,FALSE()),IF(AND(A706=0,B706=0,C706&lt;&gt;0),VLOOKUP(C706,'3 - LISTA DE ESPÉCIES'!C:H,2,FALSE()))))</f>
        <v>0</v>
      </c>
      <c r="I706" s="21" t="b">
        <f>IF(AND(A706&lt;&gt;0,B706=0,C706=0),VLOOKUP(A706,'3 - LISTA DE ESPÉCIES'!A:H,5,FALSE()),IF(AND(A706=0,B706&lt;&gt;0,C706=0),VLOOKUP(B706,'3 - LISTA DE ESPÉCIES'!B:H,4,FALSE()),IF(AND(A706=0,B706=0,C706&lt;&gt;0),VLOOKUP(C706,'3 - LISTA DE ESPÉCIES'!C:H,3,FALSE()))))</f>
        <v>0</v>
      </c>
      <c r="J706" s="23"/>
      <c r="K706" s="23"/>
      <c r="L706" s="20"/>
      <c r="M706" s="20"/>
    </row>
    <row r="707" spans="1:13" x14ac:dyDescent="0.25">
      <c r="A707" s="20"/>
      <c r="B707" s="20"/>
      <c r="C707" s="20"/>
      <c r="E707" s="21" t="b">
        <f>IF(AND(A707&lt;&gt;0,B707=0,C707=0),VLOOKUP(A707,'3 - LISTA DE ESPÉCIES'!A:H,1,FALSE()),IF(AND(A707=0,B707&lt;&gt;0,C707=0),VLOOKUP(B707,'3 - LISTA DE ESPÉCIES'!B:H,5,FALSE()),IF(AND(A707=0,B707=0,C707&lt;&gt;0),VLOOKUP(C707,'3 - LISTA DE ESPÉCIES'!C:H,4,FALSE()))))</f>
        <v>0</v>
      </c>
      <c r="F707" s="21" t="b">
        <f>IF(AND(A707&lt;&gt;0,B707=0,C707=0),VLOOKUP(A707,'3 - LISTA DE ESPÉCIES'!A:H,2,FALSE()),IF(AND(A707=0,B707&lt;&gt;0,C707=0),VLOOKUP(B707,'3 - LISTA DE ESPÉCIES'!B:H,6,FALSE()),IF(AND(A707=0,B707=0,C707&lt;&gt;0),VLOOKUP(C707,'3 - LISTA DE ESPÉCIES'!C:H,5,FALSE()))))</f>
        <v>0</v>
      </c>
      <c r="G707" s="21" t="b">
        <f>IF(AND(A707&lt;&gt;0,B707=0,C707=0),VLOOKUP(A707,'3 - LISTA DE ESPÉCIES'!A:H,3,FALSE()),IF(AND(A707=0,B707&lt;&gt;0,C707=0),VLOOKUP(B707,'3 - LISTA DE ESPÉCIES'!B:H,7,FALSE()),IF(AND(A707=0,B707=0,C707&lt;&gt;0),VLOOKUP(C707,'3 - LISTA DE ESPÉCIES'!C:H,6,FALSE()))))</f>
        <v>0</v>
      </c>
      <c r="H707" s="21" t="b">
        <f>IF(AND(A707&lt;&gt;0,B707=0,C707=0),VLOOKUP(A707,'3 - LISTA DE ESPÉCIES'!A:H,4,FALSE()),IF(AND(A707=0,B707&lt;&gt;0,C707=0),VLOOKUP(B707,'3 - LISTA DE ESPÉCIES'!B:H,3,FALSE()),IF(AND(A707=0,B707=0,C707&lt;&gt;0),VLOOKUP(C707,'3 - LISTA DE ESPÉCIES'!C:H,2,FALSE()))))</f>
        <v>0</v>
      </c>
      <c r="I707" s="21" t="b">
        <f>IF(AND(A707&lt;&gt;0,B707=0,C707=0),VLOOKUP(A707,'3 - LISTA DE ESPÉCIES'!A:H,5,FALSE()),IF(AND(A707=0,B707&lt;&gt;0,C707=0),VLOOKUP(B707,'3 - LISTA DE ESPÉCIES'!B:H,4,FALSE()),IF(AND(A707=0,B707=0,C707&lt;&gt;0),VLOOKUP(C707,'3 - LISTA DE ESPÉCIES'!C:H,3,FALSE()))))</f>
        <v>0</v>
      </c>
      <c r="J707" s="23"/>
      <c r="K707" s="23"/>
      <c r="L707" s="20"/>
      <c r="M707" s="20"/>
    </row>
    <row r="708" spans="1:13" x14ac:dyDescent="0.25">
      <c r="A708" s="20"/>
      <c r="B708" s="20"/>
      <c r="C708" s="20"/>
      <c r="E708" s="21" t="b">
        <f>IF(AND(A708&lt;&gt;0,B708=0,C708=0),VLOOKUP(A708,'3 - LISTA DE ESPÉCIES'!A:H,1,FALSE()),IF(AND(A708=0,B708&lt;&gt;0,C708=0),VLOOKUP(B708,'3 - LISTA DE ESPÉCIES'!B:H,5,FALSE()),IF(AND(A708=0,B708=0,C708&lt;&gt;0),VLOOKUP(C708,'3 - LISTA DE ESPÉCIES'!C:H,4,FALSE()))))</f>
        <v>0</v>
      </c>
      <c r="F708" s="21" t="b">
        <f>IF(AND(A708&lt;&gt;0,B708=0,C708=0),VLOOKUP(A708,'3 - LISTA DE ESPÉCIES'!A:H,2,FALSE()),IF(AND(A708=0,B708&lt;&gt;0,C708=0),VLOOKUP(B708,'3 - LISTA DE ESPÉCIES'!B:H,6,FALSE()),IF(AND(A708=0,B708=0,C708&lt;&gt;0),VLOOKUP(C708,'3 - LISTA DE ESPÉCIES'!C:H,5,FALSE()))))</f>
        <v>0</v>
      </c>
      <c r="G708" s="21" t="b">
        <f>IF(AND(A708&lt;&gt;0,B708=0,C708=0),VLOOKUP(A708,'3 - LISTA DE ESPÉCIES'!A:H,3,FALSE()),IF(AND(A708=0,B708&lt;&gt;0,C708=0),VLOOKUP(B708,'3 - LISTA DE ESPÉCIES'!B:H,7,FALSE()),IF(AND(A708=0,B708=0,C708&lt;&gt;0),VLOOKUP(C708,'3 - LISTA DE ESPÉCIES'!C:H,6,FALSE()))))</f>
        <v>0</v>
      </c>
      <c r="H708" s="21" t="b">
        <f>IF(AND(A708&lt;&gt;0,B708=0,C708=0),VLOOKUP(A708,'3 - LISTA DE ESPÉCIES'!A:H,4,FALSE()),IF(AND(A708=0,B708&lt;&gt;0,C708=0),VLOOKUP(B708,'3 - LISTA DE ESPÉCIES'!B:H,3,FALSE()),IF(AND(A708=0,B708=0,C708&lt;&gt;0),VLOOKUP(C708,'3 - LISTA DE ESPÉCIES'!C:H,2,FALSE()))))</f>
        <v>0</v>
      </c>
      <c r="I708" s="21" t="b">
        <f>IF(AND(A708&lt;&gt;0,B708=0,C708=0),VLOOKUP(A708,'3 - LISTA DE ESPÉCIES'!A:H,5,FALSE()),IF(AND(A708=0,B708&lt;&gt;0,C708=0),VLOOKUP(B708,'3 - LISTA DE ESPÉCIES'!B:H,4,FALSE()),IF(AND(A708=0,B708=0,C708&lt;&gt;0),VLOOKUP(C708,'3 - LISTA DE ESPÉCIES'!C:H,3,FALSE()))))</f>
        <v>0</v>
      </c>
      <c r="J708" s="23"/>
      <c r="K708" s="23"/>
      <c r="L708" s="20"/>
      <c r="M708" s="20"/>
    </row>
    <row r="709" spans="1:13" x14ac:dyDescent="0.25">
      <c r="A709" s="20"/>
      <c r="B709" s="20"/>
      <c r="C709" s="20"/>
      <c r="E709" s="21" t="b">
        <f>IF(AND(A709&lt;&gt;0,B709=0,C709=0),VLOOKUP(A709,'3 - LISTA DE ESPÉCIES'!A:H,1,FALSE()),IF(AND(A709=0,B709&lt;&gt;0,C709=0),VLOOKUP(B709,'3 - LISTA DE ESPÉCIES'!B:H,5,FALSE()),IF(AND(A709=0,B709=0,C709&lt;&gt;0),VLOOKUP(C709,'3 - LISTA DE ESPÉCIES'!C:H,4,FALSE()))))</f>
        <v>0</v>
      </c>
      <c r="F709" s="21" t="b">
        <f>IF(AND(A709&lt;&gt;0,B709=0,C709=0),VLOOKUP(A709,'3 - LISTA DE ESPÉCIES'!A:H,2,FALSE()),IF(AND(A709=0,B709&lt;&gt;0,C709=0),VLOOKUP(B709,'3 - LISTA DE ESPÉCIES'!B:H,6,FALSE()),IF(AND(A709=0,B709=0,C709&lt;&gt;0),VLOOKUP(C709,'3 - LISTA DE ESPÉCIES'!C:H,5,FALSE()))))</f>
        <v>0</v>
      </c>
      <c r="G709" s="21" t="b">
        <f>IF(AND(A709&lt;&gt;0,B709=0,C709=0),VLOOKUP(A709,'3 - LISTA DE ESPÉCIES'!A:H,3,FALSE()),IF(AND(A709=0,B709&lt;&gt;0,C709=0),VLOOKUP(B709,'3 - LISTA DE ESPÉCIES'!B:H,7,FALSE()),IF(AND(A709=0,B709=0,C709&lt;&gt;0),VLOOKUP(C709,'3 - LISTA DE ESPÉCIES'!C:H,6,FALSE()))))</f>
        <v>0</v>
      </c>
      <c r="H709" s="21" t="b">
        <f>IF(AND(A709&lt;&gt;0,B709=0,C709=0),VLOOKUP(A709,'3 - LISTA DE ESPÉCIES'!A:H,4,FALSE()),IF(AND(A709=0,B709&lt;&gt;0,C709=0),VLOOKUP(B709,'3 - LISTA DE ESPÉCIES'!B:H,3,FALSE()),IF(AND(A709=0,B709=0,C709&lt;&gt;0),VLOOKUP(C709,'3 - LISTA DE ESPÉCIES'!C:H,2,FALSE()))))</f>
        <v>0</v>
      </c>
      <c r="I709" s="21" t="b">
        <f>IF(AND(A709&lt;&gt;0,B709=0,C709=0),VLOOKUP(A709,'3 - LISTA DE ESPÉCIES'!A:H,5,FALSE()),IF(AND(A709=0,B709&lt;&gt;0,C709=0),VLOOKUP(B709,'3 - LISTA DE ESPÉCIES'!B:H,4,FALSE()),IF(AND(A709=0,B709=0,C709&lt;&gt;0),VLOOKUP(C709,'3 - LISTA DE ESPÉCIES'!C:H,3,FALSE()))))</f>
        <v>0</v>
      </c>
      <c r="J709" s="23"/>
      <c r="K709" s="23"/>
      <c r="L709" s="20"/>
      <c r="M709" s="20"/>
    </row>
    <row r="710" spans="1:13" x14ac:dyDescent="0.25">
      <c r="A710" s="20"/>
      <c r="B710" s="20"/>
      <c r="C710" s="20"/>
      <c r="E710" s="21" t="b">
        <f>IF(AND(A710&lt;&gt;0,B710=0,C710=0),VLOOKUP(A710,'3 - LISTA DE ESPÉCIES'!A:H,1,FALSE()),IF(AND(A710=0,B710&lt;&gt;0,C710=0),VLOOKUP(B710,'3 - LISTA DE ESPÉCIES'!B:H,5,FALSE()),IF(AND(A710=0,B710=0,C710&lt;&gt;0),VLOOKUP(C710,'3 - LISTA DE ESPÉCIES'!C:H,4,FALSE()))))</f>
        <v>0</v>
      </c>
      <c r="F710" s="21" t="b">
        <f>IF(AND(A710&lt;&gt;0,B710=0,C710=0),VLOOKUP(A710,'3 - LISTA DE ESPÉCIES'!A:H,2,FALSE()),IF(AND(A710=0,B710&lt;&gt;0,C710=0),VLOOKUP(B710,'3 - LISTA DE ESPÉCIES'!B:H,6,FALSE()),IF(AND(A710=0,B710=0,C710&lt;&gt;0),VLOOKUP(C710,'3 - LISTA DE ESPÉCIES'!C:H,5,FALSE()))))</f>
        <v>0</v>
      </c>
      <c r="G710" s="21" t="b">
        <f>IF(AND(A710&lt;&gt;0,B710=0,C710=0),VLOOKUP(A710,'3 - LISTA DE ESPÉCIES'!A:H,3,FALSE()),IF(AND(A710=0,B710&lt;&gt;0,C710=0),VLOOKUP(B710,'3 - LISTA DE ESPÉCIES'!B:H,7,FALSE()),IF(AND(A710=0,B710=0,C710&lt;&gt;0),VLOOKUP(C710,'3 - LISTA DE ESPÉCIES'!C:H,6,FALSE()))))</f>
        <v>0</v>
      </c>
      <c r="H710" s="21" t="b">
        <f>IF(AND(A710&lt;&gt;0,B710=0,C710=0),VLOOKUP(A710,'3 - LISTA DE ESPÉCIES'!A:H,4,FALSE()),IF(AND(A710=0,B710&lt;&gt;0,C710=0),VLOOKUP(B710,'3 - LISTA DE ESPÉCIES'!B:H,3,FALSE()),IF(AND(A710=0,B710=0,C710&lt;&gt;0),VLOOKUP(C710,'3 - LISTA DE ESPÉCIES'!C:H,2,FALSE()))))</f>
        <v>0</v>
      </c>
      <c r="I710" s="21" t="b">
        <f>IF(AND(A710&lt;&gt;0,B710=0,C710=0),VLOOKUP(A710,'3 - LISTA DE ESPÉCIES'!A:H,5,FALSE()),IF(AND(A710=0,B710&lt;&gt;0,C710=0),VLOOKUP(B710,'3 - LISTA DE ESPÉCIES'!B:H,4,FALSE()),IF(AND(A710=0,B710=0,C710&lt;&gt;0),VLOOKUP(C710,'3 - LISTA DE ESPÉCIES'!C:H,3,FALSE()))))</f>
        <v>0</v>
      </c>
      <c r="J710" s="23"/>
      <c r="K710" s="23"/>
      <c r="L710" s="20"/>
      <c r="M710" s="20"/>
    </row>
    <row r="711" spans="1:13" x14ac:dyDescent="0.25">
      <c r="A711" s="20"/>
      <c r="B711" s="20"/>
      <c r="C711" s="20"/>
      <c r="E711" s="21" t="b">
        <f>IF(AND(A711&lt;&gt;0,B711=0,C711=0),VLOOKUP(A711,'3 - LISTA DE ESPÉCIES'!A:H,1,FALSE()),IF(AND(A711=0,B711&lt;&gt;0,C711=0),VLOOKUP(B711,'3 - LISTA DE ESPÉCIES'!B:H,5,FALSE()),IF(AND(A711=0,B711=0,C711&lt;&gt;0),VLOOKUP(C711,'3 - LISTA DE ESPÉCIES'!C:H,4,FALSE()))))</f>
        <v>0</v>
      </c>
      <c r="F711" s="21" t="b">
        <f>IF(AND(A711&lt;&gt;0,B711=0,C711=0),VLOOKUP(A711,'3 - LISTA DE ESPÉCIES'!A:H,2,FALSE()),IF(AND(A711=0,B711&lt;&gt;0,C711=0),VLOOKUP(B711,'3 - LISTA DE ESPÉCIES'!B:H,6,FALSE()),IF(AND(A711=0,B711=0,C711&lt;&gt;0),VLOOKUP(C711,'3 - LISTA DE ESPÉCIES'!C:H,5,FALSE()))))</f>
        <v>0</v>
      </c>
      <c r="G711" s="21" t="b">
        <f>IF(AND(A711&lt;&gt;0,B711=0,C711=0),VLOOKUP(A711,'3 - LISTA DE ESPÉCIES'!A:H,3,FALSE()),IF(AND(A711=0,B711&lt;&gt;0,C711=0),VLOOKUP(B711,'3 - LISTA DE ESPÉCIES'!B:H,7,FALSE()),IF(AND(A711=0,B711=0,C711&lt;&gt;0),VLOOKUP(C711,'3 - LISTA DE ESPÉCIES'!C:H,6,FALSE()))))</f>
        <v>0</v>
      </c>
      <c r="H711" s="21" t="b">
        <f>IF(AND(A711&lt;&gt;0,B711=0,C711=0),VLOOKUP(A711,'3 - LISTA DE ESPÉCIES'!A:H,4,FALSE()),IF(AND(A711=0,B711&lt;&gt;0,C711=0),VLOOKUP(B711,'3 - LISTA DE ESPÉCIES'!B:H,3,FALSE()),IF(AND(A711=0,B711=0,C711&lt;&gt;0),VLOOKUP(C711,'3 - LISTA DE ESPÉCIES'!C:H,2,FALSE()))))</f>
        <v>0</v>
      </c>
      <c r="I711" s="21" t="b">
        <f>IF(AND(A711&lt;&gt;0,B711=0,C711=0),VLOOKUP(A711,'3 - LISTA DE ESPÉCIES'!A:H,5,FALSE()),IF(AND(A711=0,B711&lt;&gt;0,C711=0),VLOOKUP(B711,'3 - LISTA DE ESPÉCIES'!B:H,4,FALSE()),IF(AND(A711=0,B711=0,C711&lt;&gt;0),VLOOKUP(C711,'3 - LISTA DE ESPÉCIES'!C:H,3,FALSE()))))</f>
        <v>0</v>
      </c>
      <c r="J711" s="23"/>
      <c r="K711" s="23"/>
      <c r="L711" s="20"/>
      <c r="M711" s="20"/>
    </row>
    <row r="712" spans="1:13" x14ac:dyDescent="0.25">
      <c r="A712" s="20"/>
      <c r="B712" s="20"/>
      <c r="C712" s="20"/>
      <c r="E712" s="21" t="b">
        <f>IF(AND(A712&lt;&gt;0,B712=0,C712=0),VLOOKUP(A712,'3 - LISTA DE ESPÉCIES'!A:H,1,FALSE()),IF(AND(A712=0,B712&lt;&gt;0,C712=0),VLOOKUP(B712,'3 - LISTA DE ESPÉCIES'!B:H,5,FALSE()),IF(AND(A712=0,B712=0,C712&lt;&gt;0),VLOOKUP(C712,'3 - LISTA DE ESPÉCIES'!C:H,4,FALSE()))))</f>
        <v>0</v>
      </c>
      <c r="F712" s="21" t="b">
        <f>IF(AND(A712&lt;&gt;0,B712=0,C712=0),VLOOKUP(A712,'3 - LISTA DE ESPÉCIES'!A:H,2,FALSE()),IF(AND(A712=0,B712&lt;&gt;0,C712=0),VLOOKUP(B712,'3 - LISTA DE ESPÉCIES'!B:H,6,FALSE()),IF(AND(A712=0,B712=0,C712&lt;&gt;0),VLOOKUP(C712,'3 - LISTA DE ESPÉCIES'!C:H,5,FALSE()))))</f>
        <v>0</v>
      </c>
      <c r="G712" s="21" t="b">
        <f>IF(AND(A712&lt;&gt;0,B712=0,C712=0),VLOOKUP(A712,'3 - LISTA DE ESPÉCIES'!A:H,3,FALSE()),IF(AND(A712=0,B712&lt;&gt;0,C712=0),VLOOKUP(B712,'3 - LISTA DE ESPÉCIES'!B:H,7,FALSE()),IF(AND(A712=0,B712=0,C712&lt;&gt;0),VLOOKUP(C712,'3 - LISTA DE ESPÉCIES'!C:H,6,FALSE()))))</f>
        <v>0</v>
      </c>
      <c r="H712" s="21" t="b">
        <f>IF(AND(A712&lt;&gt;0,B712=0,C712=0),VLOOKUP(A712,'3 - LISTA DE ESPÉCIES'!A:H,4,FALSE()),IF(AND(A712=0,B712&lt;&gt;0,C712=0),VLOOKUP(B712,'3 - LISTA DE ESPÉCIES'!B:H,3,FALSE()),IF(AND(A712=0,B712=0,C712&lt;&gt;0),VLOOKUP(C712,'3 - LISTA DE ESPÉCIES'!C:H,2,FALSE()))))</f>
        <v>0</v>
      </c>
      <c r="I712" s="21" t="b">
        <f>IF(AND(A712&lt;&gt;0,B712=0,C712=0),VLOOKUP(A712,'3 - LISTA DE ESPÉCIES'!A:H,5,FALSE()),IF(AND(A712=0,B712&lt;&gt;0,C712=0),VLOOKUP(B712,'3 - LISTA DE ESPÉCIES'!B:H,4,FALSE()),IF(AND(A712=0,B712=0,C712&lt;&gt;0),VLOOKUP(C712,'3 - LISTA DE ESPÉCIES'!C:H,3,FALSE()))))</f>
        <v>0</v>
      </c>
      <c r="J712" s="23"/>
      <c r="K712" s="23"/>
      <c r="L712" s="20"/>
      <c r="M712" s="20"/>
    </row>
    <row r="713" spans="1:13" x14ac:dyDescent="0.25">
      <c r="A713" s="20"/>
      <c r="B713" s="20"/>
      <c r="C713" s="20"/>
      <c r="E713" s="21" t="b">
        <f>IF(AND(A713&lt;&gt;0,B713=0,C713=0),VLOOKUP(A713,'3 - LISTA DE ESPÉCIES'!A:H,1,FALSE()),IF(AND(A713=0,B713&lt;&gt;0,C713=0),VLOOKUP(B713,'3 - LISTA DE ESPÉCIES'!B:H,5,FALSE()),IF(AND(A713=0,B713=0,C713&lt;&gt;0),VLOOKUP(C713,'3 - LISTA DE ESPÉCIES'!C:H,4,FALSE()))))</f>
        <v>0</v>
      </c>
      <c r="F713" s="21" t="b">
        <f>IF(AND(A713&lt;&gt;0,B713=0,C713=0),VLOOKUP(A713,'3 - LISTA DE ESPÉCIES'!A:H,2,FALSE()),IF(AND(A713=0,B713&lt;&gt;0,C713=0),VLOOKUP(B713,'3 - LISTA DE ESPÉCIES'!B:H,6,FALSE()),IF(AND(A713=0,B713=0,C713&lt;&gt;0),VLOOKUP(C713,'3 - LISTA DE ESPÉCIES'!C:H,5,FALSE()))))</f>
        <v>0</v>
      </c>
      <c r="G713" s="21" t="b">
        <f>IF(AND(A713&lt;&gt;0,B713=0,C713=0),VLOOKUP(A713,'3 - LISTA DE ESPÉCIES'!A:H,3,FALSE()),IF(AND(A713=0,B713&lt;&gt;0,C713=0),VLOOKUP(B713,'3 - LISTA DE ESPÉCIES'!B:H,7,FALSE()),IF(AND(A713=0,B713=0,C713&lt;&gt;0),VLOOKUP(C713,'3 - LISTA DE ESPÉCIES'!C:H,6,FALSE()))))</f>
        <v>0</v>
      </c>
      <c r="H713" s="21" t="b">
        <f>IF(AND(A713&lt;&gt;0,B713=0,C713=0),VLOOKUP(A713,'3 - LISTA DE ESPÉCIES'!A:H,4,FALSE()),IF(AND(A713=0,B713&lt;&gt;0,C713=0),VLOOKUP(B713,'3 - LISTA DE ESPÉCIES'!B:H,3,FALSE()),IF(AND(A713=0,B713=0,C713&lt;&gt;0),VLOOKUP(C713,'3 - LISTA DE ESPÉCIES'!C:H,2,FALSE()))))</f>
        <v>0</v>
      </c>
      <c r="I713" s="21" t="b">
        <f>IF(AND(A713&lt;&gt;0,B713=0,C713=0),VLOOKUP(A713,'3 - LISTA DE ESPÉCIES'!A:H,5,FALSE()),IF(AND(A713=0,B713&lt;&gt;0,C713=0),VLOOKUP(B713,'3 - LISTA DE ESPÉCIES'!B:H,4,FALSE()),IF(AND(A713=0,B713=0,C713&lt;&gt;0),VLOOKUP(C713,'3 - LISTA DE ESPÉCIES'!C:H,3,FALSE()))))</f>
        <v>0</v>
      </c>
      <c r="J713" s="23"/>
      <c r="K713" s="23"/>
      <c r="L713" s="20"/>
      <c r="M713" s="20"/>
    </row>
    <row r="714" spans="1:13" x14ac:dyDescent="0.25">
      <c r="A714" s="20"/>
      <c r="B714" s="20"/>
      <c r="C714" s="20"/>
      <c r="E714" s="21" t="b">
        <f>IF(AND(A714&lt;&gt;0,B714=0,C714=0),VLOOKUP(A714,'3 - LISTA DE ESPÉCIES'!A:H,1,FALSE()),IF(AND(A714=0,B714&lt;&gt;0,C714=0),VLOOKUP(B714,'3 - LISTA DE ESPÉCIES'!B:H,5,FALSE()),IF(AND(A714=0,B714=0,C714&lt;&gt;0),VLOOKUP(C714,'3 - LISTA DE ESPÉCIES'!C:H,4,FALSE()))))</f>
        <v>0</v>
      </c>
      <c r="F714" s="21" t="b">
        <f>IF(AND(A714&lt;&gt;0,B714=0,C714=0),VLOOKUP(A714,'3 - LISTA DE ESPÉCIES'!A:H,2,FALSE()),IF(AND(A714=0,B714&lt;&gt;0,C714=0),VLOOKUP(B714,'3 - LISTA DE ESPÉCIES'!B:H,6,FALSE()),IF(AND(A714=0,B714=0,C714&lt;&gt;0),VLOOKUP(C714,'3 - LISTA DE ESPÉCIES'!C:H,5,FALSE()))))</f>
        <v>0</v>
      </c>
      <c r="G714" s="21" t="b">
        <f>IF(AND(A714&lt;&gt;0,B714=0,C714=0),VLOOKUP(A714,'3 - LISTA DE ESPÉCIES'!A:H,3,FALSE()),IF(AND(A714=0,B714&lt;&gt;0,C714=0),VLOOKUP(B714,'3 - LISTA DE ESPÉCIES'!B:H,7,FALSE()),IF(AND(A714=0,B714=0,C714&lt;&gt;0),VLOOKUP(C714,'3 - LISTA DE ESPÉCIES'!C:H,6,FALSE()))))</f>
        <v>0</v>
      </c>
      <c r="H714" s="21" t="b">
        <f>IF(AND(A714&lt;&gt;0,B714=0,C714=0),VLOOKUP(A714,'3 - LISTA DE ESPÉCIES'!A:H,4,FALSE()),IF(AND(A714=0,B714&lt;&gt;0,C714=0),VLOOKUP(B714,'3 - LISTA DE ESPÉCIES'!B:H,3,FALSE()),IF(AND(A714=0,B714=0,C714&lt;&gt;0),VLOOKUP(C714,'3 - LISTA DE ESPÉCIES'!C:H,2,FALSE()))))</f>
        <v>0</v>
      </c>
      <c r="I714" s="21" t="b">
        <f>IF(AND(A714&lt;&gt;0,B714=0,C714=0),VLOOKUP(A714,'3 - LISTA DE ESPÉCIES'!A:H,5,FALSE()),IF(AND(A714=0,B714&lt;&gt;0,C714=0),VLOOKUP(B714,'3 - LISTA DE ESPÉCIES'!B:H,4,FALSE()),IF(AND(A714=0,B714=0,C714&lt;&gt;0),VLOOKUP(C714,'3 - LISTA DE ESPÉCIES'!C:H,3,FALSE()))))</f>
        <v>0</v>
      </c>
      <c r="J714" s="23"/>
      <c r="K714" s="23"/>
      <c r="L714" s="20"/>
      <c r="M714" s="20"/>
    </row>
    <row r="715" spans="1:13" x14ac:dyDescent="0.25">
      <c r="A715" s="20"/>
      <c r="B715" s="20"/>
      <c r="C715" s="20"/>
      <c r="E715" s="21" t="b">
        <f>IF(AND(A715&lt;&gt;0,B715=0,C715=0),VLOOKUP(A715,'3 - LISTA DE ESPÉCIES'!A:H,1,FALSE()),IF(AND(A715=0,B715&lt;&gt;0,C715=0),VLOOKUP(B715,'3 - LISTA DE ESPÉCIES'!B:H,5,FALSE()),IF(AND(A715=0,B715=0,C715&lt;&gt;0),VLOOKUP(C715,'3 - LISTA DE ESPÉCIES'!C:H,4,FALSE()))))</f>
        <v>0</v>
      </c>
      <c r="F715" s="21" t="b">
        <f>IF(AND(A715&lt;&gt;0,B715=0,C715=0),VLOOKUP(A715,'3 - LISTA DE ESPÉCIES'!A:H,2,FALSE()),IF(AND(A715=0,B715&lt;&gt;0,C715=0),VLOOKUP(B715,'3 - LISTA DE ESPÉCIES'!B:H,6,FALSE()),IF(AND(A715=0,B715=0,C715&lt;&gt;0),VLOOKUP(C715,'3 - LISTA DE ESPÉCIES'!C:H,5,FALSE()))))</f>
        <v>0</v>
      </c>
      <c r="G715" s="21" t="b">
        <f>IF(AND(A715&lt;&gt;0,B715=0,C715=0),VLOOKUP(A715,'3 - LISTA DE ESPÉCIES'!A:H,3,FALSE()),IF(AND(A715=0,B715&lt;&gt;0,C715=0),VLOOKUP(B715,'3 - LISTA DE ESPÉCIES'!B:H,7,FALSE()),IF(AND(A715=0,B715=0,C715&lt;&gt;0),VLOOKUP(C715,'3 - LISTA DE ESPÉCIES'!C:H,6,FALSE()))))</f>
        <v>0</v>
      </c>
      <c r="H715" s="21" t="b">
        <f>IF(AND(A715&lt;&gt;0,B715=0,C715=0),VLOOKUP(A715,'3 - LISTA DE ESPÉCIES'!A:H,4,FALSE()),IF(AND(A715=0,B715&lt;&gt;0,C715=0),VLOOKUP(B715,'3 - LISTA DE ESPÉCIES'!B:H,3,FALSE()),IF(AND(A715=0,B715=0,C715&lt;&gt;0),VLOOKUP(C715,'3 - LISTA DE ESPÉCIES'!C:H,2,FALSE()))))</f>
        <v>0</v>
      </c>
      <c r="I715" s="21" t="b">
        <f>IF(AND(A715&lt;&gt;0,B715=0,C715=0),VLOOKUP(A715,'3 - LISTA DE ESPÉCIES'!A:H,5,FALSE()),IF(AND(A715=0,B715&lt;&gt;0,C715=0),VLOOKUP(B715,'3 - LISTA DE ESPÉCIES'!B:H,4,FALSE()),IF(AND(A715=0,B715=0,C715&lt;&gt;0),VLOOKUP(C715,'3 - LISTA DE ESPÉCIES'!C:H,3,FALSE()))))</f>
        <v>0</v>
      </c>
      <c r="J715" s="23"/>
      <c r="K715" s="23"/>
      <c r="L715" s="20"/>
      <c r="M715" s="20"/>
    </row>
    <row r="716" spans="1:13" x14ac:dyDescent="0.25">
      <c r="A716" s="20"/>
      <c r="B716" s="20"/>
      <c r="C716" s="20"/>
      <c r="E716" s="21" t="b">
        <f>IF(AND(A716&lt;&gt;0,B716=0,C716=0),VLOOKUP(A716,'3 - LISTA DE ESPÉCIES'!A:H,1,FALSE()),IF(AND(A716=0,B716&lt;&gt;0,C716=0),VLOOKUP(B716,'3 - LISTA DE ESPÉCIES'!B:H,5,FALSE()),IF(AND(A716=0,B716=0,C716&lt;&gt;0),VLOOKUP(C716,'3 - LISTA DE ESPÉCIES'!C:H,4,FALSE()))))</f>
        <v>0</v>
      </c>
      <c r="F716" s="21" t="b">
        <f>IF(AND(A716&lt;&gt;0,B716=0,C716=0),VLOOKUP(A716,'3 - LISTA DE ESPÉCIES'!A:H,2,FALSE()),IF(AND(A716=0,B716&lt;&gt;0,C716=0),VLOOKUP(B716,'3 - LISTA DE ESPÉCIES'!B:H,6,FALSE()),IF(AND(A716=0,B716=0,C716&lt;&gt;0),VLOOKUP(C716,'3 - LISTA DE ESPÉCIES'!C:H,5,FALSE()))))</f>
        <v>0</v>
      </c>
      <c r="G716" s="21" t="b">
        <f>IF(AND(A716&lt;&gt;0,B716=0,C716=0),VLOOKUP(A716,'3 - LISTA DE ESPÉCIES'!A:H,3,FALSE()),IF(AND(A716=0,B716&lt;&gt;0,C716=0),VLOOKUP(B716,'3 - LISTA DE ESPÉCIES'!B:H,7,FALSE()),IF(AND(A716=0,B716=0,C716&lt;&gt;0),VLOOKUP(C716,'3 - LISTA DE ESPÉCIES'!C:H,6,FALSE()))))</f>
        <v>0</v>
      </c>
      <c r="H716" s="21" t="b">
        <f>IF(AND(A716&lt;&gt;0,B716=0,C716=0),VLOOKUP(A716,'3 - LISTA DE ESPÉCIES'!A:H,4,FALSE()),IF(AND(A716=0,B716&lt;&gt;0,C716=0),VLOOKUP(B716,'3 - LISTA DE ESPÉCIES'!B:H,3,FALSE()),IF(AND(A716=0,B716=0,C716&lt;&gt;0),VLOOKUP(C716,'3 - LISTA DE ESPÉCIES'!C:H,2,FALSE()))))</f>
        <v>0</v>
      </c>
      <c r="I716" s="21" t="b">
        <f>IF(AND(A716&lt;&gt;0,B716=0,C716=0),VLOOKUP(A716,'3 - LISTA DE ESPÉCIES'!A:H,5,FALSE()),IF(AND(A716=0,B716&lt;&gt;0,C716=0),VLOOKUP(B716,'3 - LISTA DE ESPÉCIES'!B:H,4,FALSE()),IF(AND(A716=0,B716=0,C716&lt;&gt;0),VLOOKUP(C716,'3 - LISTA DE ESPÉCIES'!C:H,3,FALSE()))))</f>
        <v>0</v>
      </c>
      <c r="J716" s="23"/>
      <c r="K716" s="23"/>
      <c r="L716" s="20"/>
      <c r="M716" s="20"/>
    </row>
    <row r="717" spans="1:13" x14ac:dyDescent="0.25">
      <c r="A717" s="20"/>
      <c r="B717" s="20"/>
      <c r="C717" s="20"/>
      <c r="E717" s="21" t="b">
        <f>IF(AND(A717&lt;&gt;0,B717=0,C717=0),VLOOKUP(A717,'3 - LISTA DE ESPÉCIES'!A:H,1,FALSE()),IF(AND(A717=0,B717&lt;&gt;0,C717=0),VLOOKUP(B717,'3 - LISTA DE ESPÉCIES'!B:H,5,FALSE()),IF(AND(A717=0,B717=0,C717&lt;&gt;0),VLOOKUP(C717,'3 - LISTA DE ESPÉCIES'!C:H,4,FALSE()))))</f>
        <v>0</v>
      </c>
      <c r="F717" s="21" t="b">
        <f>IF(AND(A717&lt;&gt;0,B717=0,C717=0),VLOOKUP(A717,'3 - LISTA DE ESPÉCIES'!A:H,2,FALSE()),IF(AND(A717=0,B717&lt;&gt;0,C717=0),VLOOKUP(B717,'3 - LISTA DE ESPÉCIES'!B:H,6,FALSE()),IF(AND(A717=0,B717=0,C717&lt;&gt;0),VLOOKUP(C717,'3 - LISTA DE ESPÉCIES'!C:H,5,FALSE()))))</f>
        <v>0</v>
      </c>
      <c r="G717" s="21" t="b">
        <f>IF(AND(A717&lt;&gt;0,B717=0,C717=0),VLOOKUP(A717,'3 - LISTA DE ESPÉCIES'!A:H,3,FALSE()),IF(AND(A717=0,B717&lt;&gt;0,C717=0),VLOOKUP(B717,'3 - LISTA DE ESPÉCIES'!B:H,7,FALSE()),IF(AND(A717=0,B717=0,C717&lt;&gt;0),VLOOKUP(C717,'3 - LISTA DE ESPÉCIES'!C:H,6,FALSE()))))</f>
        <v>0</v>
      </c>
      <c r="H717" s="21" t="b">
        <f>IF(AND(A717&lt;&gt;0,B717=0,C717=0),VLOOKUP(A717,'3 - LISTA DE ESPÉCIES'!A:H,4,FALSE()),IF(AND(A717=0,B717&lt;&gt;0,C717=0),VLOOKUP(B717,'3 - LISTA DE ESPÉCIES'!B:H,3,FALSE()),IF(AND(A717=0,B717=0,C717&lt;&gt;0),VLOOKUP(C717,'3 - LISTA DE ESPÉCIES'!C:H,2,FALSE()))))</f>
        <v>0</v>
      </c>
      <c r="I717" s="21" t="b">
        <f>IF(AND(A717&lt;&gt;0,B717=0,C717=0),VLOOKUP(A717,'3 - LISTA DE ESPÉCIES'!A:H,5,FALSE()),IF(AND(A717=0,B717&lt;&gt;0,C717=0),VLOOKUP(B717,'3 - LISTA DE ESPÉCIES'!B:H,4,FALSE()),IF(AND(A717=0,B717=0,C717&lt;&gt;0),VLOOKUP(C717,'3 - LISTA DE ESPÉCIES'!C:H,3,FALSE()))))</f>
        <v>0</v>
      </c>
      <c r="J717" s="23"/>
      <c r="K717" s="23"/>
      <c r="L717" s="20"/>
      <c r="M717" s="20"/>
    </row>
    <row r="718" spans="1:13" x14ac:dyDescent="0.25">
      <c r="A718" s="20"/>
      <c r="B718" s="20"/>
      <c r="C718" s="20"/>
      <c r="E718" s="21" t="b">
        <f>IF(AND(A718&lt;&gt;0,B718=0,C718=0),VLOOKUP(A718,'3 - LISTA DE ESPÉCIES'!A:H,1,FALSE()),IF(AND(A718=0,B718&lt;&gt;0,C718=0),VLOOKUP(B718,'3 - LISTA DE ESPÉCIES'!B:H,5,FALSE()),IF(AND(A718=0,B718=0,C718&lt;&gt;0),VLOOKUP(C718,'3 - LISTA DE ESPÉCIES'!C:H,4,FALSE()))))</f>
        <v>0</v>
      </c>
      <c r="F718" s="21" t="b">
        <f>IF(AND(A718&lt;&gt;0,B718=0,C718=0),VLOOKUP(A718,'3 - LISTA DE ESPÉCIES'!A:H,2,FALSE()),IF(AND(A718=0,B718&lt;&gt;0,C718=0),VLOOKUP(B718,'3 - LISTA DE ESPÉCIES'!B:H,6,FALSE()),IF(AND(A718=0,B718=0,C718&lt;&gt;0),VLOOKUP(C718,'3 - LISTA DE ESPÉCIES'!C:H,5,FALSE()))))</f>
        <v>0</v>
      </c>
      <c r="G718" s="21" t="b">
        <f>IF(AND(A718&lt;&gt;0,B718=0,C718=0),VLOOKUP(A718,'3 - LISTA DE ESPÉCIES'!A:H,3,FALSE()),IF(AND(A718=0,B718&lt;&gt;0,C718=0),VLOOKUP(B718,'3 - LISTA DE ESPÉCIES'!B:H,7,FALSE()),IF(AND(A718=0,B718=0,C718&lt;&gt;0),VLOOKUP(C718,'3 - LISTA DE ESPÉCIES'!C:H,6,FALSE()))))</f>
        <v>0</v>
      </c>
      <c r="H718" s="21" t="b">
        <f>IF(AND(A718&lt;&gt;0,B718=0,C718=0),VLOOKUP(A718,'3 - LISTA DE ESPÉCIES'!A:H,4,FALSE()),IF(AND(A718=0,B718&lt;&gt;0,C718=0),VLOOKUP(B718,'3 - LISTA DE ESPÉCIES'!B:H,3,FALSE()),IF(AND(A718=0,B718=0,C718&lt;&gt;0),VLOOKUP(C718,'3 - LISTA DE ESPÉCIES'!C:H,2,FALSE()))))</f>
        <v>0</v>
      </c>
      <c r="I718" s="21" t="b">
        <f>IF(AND(A718&lt;&gt;0,B718=0,C718=0),VLOOKUP(A718,'3 - LISTA DE ESPÉCIES'!A:H,5,FALSE()),IF(AND(A718=0,B718&lt;&gt;0,C718=0),VLOOKUP(B718,'3 - LISTA DE ESPÉCIES'!B:H,4,FALSE()),IF(AND(A718=0,B718=0,C718&lt;&gt;0),VLOOKUP(C718,'3 - LISTA DE ESPÉCIES'!C:H,3,FALSE()))))</f>
        <v>0</v>
      </c>
      <c r="J718" s="23"/>
      <c r="K718" s="23"/>
      <c r="L718" s="20"/>
      <c r="M718" s="20"/>
    </row>
    <row r="719" spans="1:13" x14ac:dyDescent="0.25">
      <c r="A719" s="20"/>
      <c r="B719" s="20"/>
      <c r="C719" s="20"/>
      <c r="E719" s="21" t="b">
        <f>IF(AND(A719&lt;&gt;0,B719=0,C719=0),VLOOKUP(A719,'3 - LISTA DE ESPÉCIES'!A:H,1,FALSE()),IF(AND(A719=0,B719&lt;&gt;0,C719=0),VLOOKUP(B719,'3 - LISTA DE ESPÉCIES'!B:H,5,FALSE()),IF(AND(A719=0,B719=0,C719&lt;&gt;0),VLOOKUP(C719,'3 - LISTA DE ESPÉCIES'!C:H,4,FALSE()))))</f>
        <v>0</v>
      </c>
      <c r="F719" s="21" t="b">
        <f>IF(AND(A719&lt;&gt;0,B719=0,C719=0),VLOOKUP(A719,'3 - LISTA DE ESPÉCIES'!A:H,2,FALSE()),IF(AND(A719=0,B719&lt;&gt;0,C719=0),VLOOKUP(B719,'3 - LISTA DE ESPÉCIES'!B:H,6,FALSE()),IF(AND(A719=0,B719=0,C719&lt;&gt;0),VLOOKUP(C719,'3 - LISTA DE ESPÉCIES'!C:H,5,FALSE()))))</f>
        <v>0</v>
      </c>
      <c r="G719" s="21" t="b">
        <f>IF(AND(A719&lt;&gt;0,B719=0,C719=0),VLOOKUP(A719,'3 - LISTA DE ESPÉCIES'!A:H,3,FALSE()),IF(AND(A719=0,B719&lt;&gt;0,C719=0),VLOOKUP(B719,'3 - LISTA DE ESPÉCIES'!B:H,7,FALSE()),IF(AND(A719=0,B719=0,C719&lt;&gt;0),VLOOKUP(C719,'3 - LISTA DE ESPÉCIES'!C:H,6,FALSE()))))</f>
        <v>0</v>
      </c>
      <c r="H719" s="21" t="b">
        <f>IF(AND(A719&lt;&gt;0,B719=0,C719=0),VLOOKUP(A719,'3 - LISTA DE ESPÉCIES'!A:H,4,FALSE()),IF(AND(A719=0,B719&lt;&gt;0,C719=0),VLOOKUP(B719,'3 - LISTA DE ESPÉCIES'!B:H,3,FALSE()),IF(AND(A719=0,B719=0,C719&lt;&gt;0),VLOOKUP(C719,'3 - LISTA DE ESPÉCIES'!C:H,2,FALSE()))))</f>
        <v>0</v>
      </c>
      <c r="I719" s="21" t="b">
        <f>IF(AND(A719&lt;&gt;0,B719=0,C719=0),VLOOKUP(A719,'3 - LISTA DE ESPÉCIES'!A:H,5,FALSE()),IF(AND(A719=0,B719&lt;&gt;0,C719=0),VLOOKUP(B719,'3 - LISTA DE ESPÉCIES'!B:H,4,FALSE()),IF(AND(A719=0,B719=0,C719&lt;&gt;0),VLOOKUP(C719,'3 - LISTA DE ESPÉCIES'!C:H,3,FALSE()))))</f>
        <v>0</v>
      </c>
      <c r="J719" s="23"/>
      <c r="K719" s="23"/>
      <c r="L719" s="20"/>
      <c r="M719" s="20"/>
    </row>
    <row r="720" spans="1:13" x14ac:dyDescent="0.25">
      <c r="A720" s="20"/>
      <c r="B720" s="20"/>
      <c r="C720" s="20"/>
      <c r="E720" s="21" t="b">
        <f>IF(AND(A720&lt;&gt;0,B720=0,C720=0),VLOOKUP(A720,'3 - LISTA DE ESPÉCIES'!A:H,1,FALSE()),IF(AND(A720=0,B720&lt;&gt;0,C720=0),VLOOKUP(B720,'3 - LISTA DE ESPÉCIES'!B:H,5,FALSE()),IF(AND(A720=0,B720=0,C720&lt;&gt;0),VLOOKUP(C720,'3 - LISTA DE ESPÉCIES'!C:H,4,FALSE()))))</f>
        <v>0</v>
      </c>
      <c r="F720" s="21" t="b">
        <f>IF(AND(A720&lt;&gt;0,B720=0,C720=0),VLOOKUP(A720,'3 - LISTA DE ESPÉCIES'!A:H,2,FALSE()),IF(AND(A720=0,B720&lt;&gt;0,C720=0),VLOOKUP(B720,'3 - LISTA DE ESPÉCIES'!B:H,6,FALSE()),IF(AND(A720=0,B720=0,C720&lt;&gt;0),VLOOKUP(C720,'3 - LISTA DE ESPÉCIES'!C:H,5,FALSE()))))</f>
        <v>0</v>
      </c>
      <c r="G720" s="21" t="b">
        <f>IF(AND(A720&lt;&gt;0,B720=0,C720=0),VLOOKUP(A720,'3 - LISTA DE ESPÉCIES'!A:H,3,FALSE()),IF(AND(A720=0,B720&lt;&gt;0,C720=0),VLOOKUP(B720,'3 - LISTA DE ESPÉCIES'!B:H,7,FALSE()),IF(AND(A720=0,B720=0,C720&lt;&gt;0),VLOOKUP(C720,'3 - LISTA DE ESPÉCIES'!C:H,6,FALSE()))))</f>
        <v>0</v>
      </c>
      <c r="H720" s="21" t="b">
        <f>IF(AND(A720&lt;&gt;0,B720=0,C720=0),VLOOKUP(A720,'3 - LISTA DE ESPÉCIES'!A:H,4,FALSE()),IF(AND(A720=0,B720&lt;&gt;0,C720=0),VLOOKUP(B720,'3 - LISTA DE ESPÉCIES'!B:H,3,FALSE()),IF(AND(A720=0,B720=0,C720&lt;&gt;0),VLOOKUP(C720,'3 - LISTA DE ESPÉCIES'!C:H,2,FALSE()))))</f>
        <v>0</v>
      </c>
      <c r="I720" s="21" t="b">
        <f>IF(AND(A720&lt;&gt;0,B720=0,C720=0),VLOOKUP(A720,'3 - LISTA DE ESPÉCIES'!A:H,5,FALSE()),IF(AND(A720=0,B720&lt;&gt;0,C720=0),VLOOKUP(B720,'3 - LISTA DE ESPÉCIES'!B:H,4,FALSE()),IF(AND(A720=0,B720=0,C720&lt;&gt;0),VLOOKUP(C720,'3 - LISTA DE ESPÉCIES'!C:H,3,FALSE()))))</f>
        <v>0</v>
      </c>
      <c r="J720" s="23"/>
      <c r="K720" s="23"/>
      <c r="L720" s="20"/>
      <c r="M720" s="20"/>
    </row>
    <row r="721" spans="1:13" x14ac:dyDescent="0.25">
      <c r="A721" s="20"/>
      <c r="B721" s="20"/>
      <c r="C721" s="20"/>
      <c r="E721" s="21" t="b">
        <f>IF(AND(A721&lt;&gt;0,B721=0,C721=0),VLOOKUP(A721,'3 - LISTA DE ESPÉCIES'!A:H,1,FALSE()),IF(AND(A721=0,B721&lt;&gt;0,C721=0),VLOOKUP(B721,'3 - LISTA DE ESPÉCIES'!B:H,5,FALSE()),IF(AND(A721=0,B721=0,C721&lt;&gt;0),VLOOKUP(C721,'3 - LISTA DE ESPÉCIES'!C:H,4,FALSE()))))</f>
        <v>0</v>
      </c>
      <c r="F721" s="21" t="b">
        <f>IF(AND(A721&lt;&gt;0,B721=0,C721=0),VLOOKUP(A721,'3 - LISTA DE ESPÉCIES'!A:H,2,FALSE()),IF(AND(A721=0,B721&lt;&gt;0,C721=0),VLOOKUP(B721,'3 - LISTA DE ESPÉCIES'!B:H,6,FALSE()),IF(AND(A721=0,B721=0,C721&lt;&gt;0),VLOOKUP(C721,'3 - LISTA DE ESPÉCIES'!C:H,5,FALSE()))))</f>
        <v>0</v>
      </c>
      <c r="G721" s="21" t="b">
        <f>IF(AND(A721&lt;&gt;0,B721=0,C721=0),VLOOKUP(A721,'3 - LISTA DE ESPÉCIES'!A:H,3,FALSE()),IF(AND(A721=0,B721&lt;&gt;0,C721=0),VLOOKUP(B721,'3 - LISTA DE ESPÉCIES'!B:H,7,FALSE()),IF(AND(A721=0,B721=0,C721&lt;&gt;0),VLOOKUP(C721,'3 - LISTA DE ESPÉCIES'!C:H,6,FALSE()))))</f>
        <v>0</v>
      </c>
      <c r="H721" s="21" t="b">
        <f>IF(AND(A721&lt;&gt;0,B721=0,C721=0),VLOOKUP(A721,'3 - LISTA DE ESPÉCIES'!A:H,4,FALSE()),IF(AND(A721=0,B721&lt;&gt;0,C721=0),VLOOKUP(B721,'3 - LISTA DE ESPÉCIES'!B:H,3,FALSE()),IF(AND(A721=0,B721=0,C721&lt;&gt;0),VLOOKUP(C721,'3 - LISTA DE ESPÉCIES'!C:H,2,FALSE()))))</f>
        <v>0</v>
      </c>
      <c r="I721" s="21" t="b">
        <f>IF(AND(A721&lt;&gt;0,B721=0,C721=0),VLOOKUP(A721,'3 - LISTA DE ESPÉCIES'!A:H,5,FALSE()),IF(AND(A721=0,B721&lt;&gt;0,C721=0),VLOOKUP(B721,'3 - LISTA DE ESPÉCIES'!B:H,4,FALSE()),IF(AND(A721=0,B721=0,C721&lt;&gt;0),VLOOKUP(C721,'3 - LISTA DE ESPÉCIES'!C:H,3,FALSE()))))</f>
        <v>0</v>
      </c>
      <c r="J721" s="23"/>
      <c r="K721" s="23"/>
      <c r="L721" s="20"/>
      <c r="M721" s="20"/>
    </row>
    <row r="722" spans="1:13" x14ac:dyDescent="0.25">
      <c r="A722" s="20"/>
      <c r="B722" s="20"/>
      <c r="C722" s="20"/>
      <c r="E722" s="21" t="b">
        <f>IF(AND(A722&lt;&gt;0,B722=0,C722=0),VLOOKUP(A722,'3 - LISTA DE ESPÉCIES'!A:H,1,FALSE()),IF(AND(A722=0,B722&lt;&gt;0,C722=0),VLOOKUP(B722,'3 - LISTA DE ESPÉCIES'!B:H,5,FALSE()),IF(AND(A722=0,B722=0,C722&lt;&gt;0),VLOOKUP(C722,'3 - LISTA DE ESPÉCIES'!C:H,4,FALSE()))))</f>
        <v>0</v>
      </c>
      <c r="F722" s="21" t="b">
        <f>IF(AND(A722&lt;&gt;0,B722=0,C722=0),VLOOKUP(A722,'3 - LISTA DE ESPÉCIES'!A:H,2,FALSE()),IF(AND(A722=0,B722&lt;&gt;0,C722=0),VLOOKUP(B722,'3 - LISTA DE ESPÉCIES'!B:H,6,FALSE()),IF(AND(A722=0,B722=0,C722&lt;&gt;0),VLOOKUP(C722,'3 - LISTA DE ESPÉCIES'!C:H,5,FALSE()))))</f>
        <v>0</v>
      </c>
      <c r="G722" s="21" t="b">
        <f>IF(AND(A722&lt;&gt;0,B722=0,C722=0),VLOOKUP(A722,'3 - LISTA DE ESPÉCIES'!A:H,3,FALSE()),IF(AND(A722=0,B722&lt;&gt;0,C722=0),VLOOKUP(B722,'3 - LISTA DE ESPÉCIES'!B:H,7,FALSE()),IF(AND(A722=0,B722=0,C722&lt;&gt;0),VLOOKUP(C722,'3 - LISTA DE ESPÉCIES'!C:H,6,FALSE()))))</f>
        <v>0</v>
      </c>
      <c r="H722" s="21" t="b">
        <f>IF(AND(A722&lt;&gt;0,B722=0,C722=0),VLOOKUP(A722,'3 - LISTA DE ESPÉCIES'!A:H,4,FALSE()),IF(AND(A722=0,B722&lt;&gt;0,C722=0),VLOOKUP(B722,'3 - LISTA DE ESPÉCIES'!B:H,3,FALSE()),IF(AND(A722=0,B722=0,C722&lt;&gt;0),VLOOKUP(C722,'3 - LISTA DE ESPÉCIES'!C:H,2,FALSE()))))</f>
        <v>0</v>
      </c>
      <c r="I722" s="21" t="b">
        <f>IF(AND(A722&lt;&gt;0,B722=0,C722=0),VLOOKUP(A722,'3 - LISTA DE ESPÉCIES'!A:H,5,FALSE()),IF(AND(A722=0,B722&lt;&gt;0,C722=0),VLOOKUP(B722,'3 - LISTA DE ESPÉCIES'!B:H,4,FALSE()),IF(AND(A722=0,B722=0,C722&lt;&gt;0),VLOOKUP(C722,'3 - LISTA DE ESPÉCIES'!C:H,3,FALSE()))))</f>
        <v>0</v>
      </c>
      <c r="J722" s="23"/>
      <c r="K722" s="23"/>
      <c r="L722" s="20"/>
      <c r="M722" s="20"/>
    </row>
    <row r="723" spans="1:13" x14ac:dyDescent="0.25">
      <c r="A723" s="20"/>
      <c r="B723" s="20"/>
      <c r="C723" s="20"/>
      <c r="E723" s="21" t="b">
        <f>IF(AND(A723&lt;&gt;0,B723=0,C723=0),VLOOKUP(A723,'3 - LISTA DE ESPÉCIES'!A:H,1,FALSE()),IF(AND(A723=0,B723&lt;&gt;0,C723=0),VLOOKUP(B723,'3 - LISTA DE ESPÉCIES'!B:H,5,FALSE()),IF(AND(A723=0,B723=0,C723&lt;&gt;0),VLOOKUP(C723,'3 - LISTA DE ESPÉCIES'!C:H,4,FALSE()))))</f>
        <v>0</v>
      </c>
      <c r="F723" s="21" t="b">
        <f>IF(AND(A723&lt;&gt;0,B723=0,C723=0),VLOOKUP(A723,'3 - LISTA DE ESPÉCIES'!A:H,2,FALSE()),IF(AND(A723=0,B723&lt;&gt;0,C723=0),VLOOKUP(B723,'3 - LISTA DE ESPÉCIES'!B:H,6,FALSE()),IF(AND(A723=0,B723=0,C723&lt;&gt;0),VLOOKUP(C723,'3 - LISTA DE ESPÉCIES'!C:H,5,FALSE()))))</f>
        <v>0</v>
      </c>
      <c r="G723" s="21" t="b">
        <f>IF(AND(A723&lt;&gt;0,B723=0,C723=0),VLOOKUP(A723,'3 - LISTA DE ESPÉCIES'!A:H,3,FALSE()),IF(AND(A723=0,B723&lt;&gt;0,C723=0),VLOOKUP(B723,'3 - LISTA DE ESPÉCIES'!B:H,7,FALSE()),IF(AND(A723=0,B723=0,C723&lt;&gt;0),VLOOKUP(C723,'3 - LISTA DE ESPÉCIES'!C:H,6,FALSE()))))</f>
        <v>0</v>
      </c>
      <c r="H723" s="21" t="b">
        <f>IF(AND(A723&lt;&gt;0,B723=0,C723=0),VLOOKUP(A723,'3 - LISTA DE ESPÉCIES'!A:H,4,FALSE()),IF(AND(A723=0,B723&lt;&gt;0,C723=0),VLOOKUP(B723,'3 - LISTA DE ESPÉCIES'!B:H,3,FALSE()),IF(AND(A723=0,B723=0,C723&lt;&gt;0),VLOOKUP(C723,'3 - LISTA DE ESPÉCIES'!C:H,2,FALSE()))))</f>
        <v>0</v>
      </c>
      <c r="I723" s="21" t="b">
        <f>IF(AND(A723&lt;&gt;0,B723=0,C723=0),VLOOKUP(A723,'3 - LISTA DE ESPÉCIES'!A:H,5,FALSE()),IF(AND(A723=0,B723&lt;&gt;0,C723=0),VLOOKUP(B723,'3 - LISTA DE ESPÉCIES'!B:H,4,FALSE()),IF(AND(A723=0,B723=0,C723&lt;&gt;0),VLOOKUP(C723,'3 - LISTA DE ESPÉCIES'!C:H,3,FALSE()))))</f>
        <v>0</v>
      </c>
      <c r="J723" s="23"/>
      <c r="K723" s="23"/>
      <c r="L723" s="20"/>
      <c r="M723" s="20"/>
    </row>
    <row r="724" spans="1:13" x14ac:dyDescent="0.25">
      <c r="A724" s="20"/>
      <c r="B724" s="20"/>
      <c r="C724" s="20"/>
      <c r="E724" s="21" t="b">
        <f>IF(AND(A724&lt;&gt;0,B724=0,C724=0),VLOOKUP(A724,'3 - LISTA DE ESPÉCIES'!A:H,1,FALSE()),IF(AND(A724=0,B724&lt;&gt;0,C724=0),VLOOKUP(B724,'3 - LISTA DE ESPÉCIES'!B:H,5,FALSE()),IF(AND(A724=0,B724=0,C724&lt;&gt;0),VLOOKUP(C724,'3 - LISTA DE ESPÉCIES'!C:H,4,FALSE()))))</f>
        <v>0</v>
      </c>
      <c r="F724" s="21" t="b">
        <f>IF(AND(A724&lt;&gt;0,B724=0,C724=0),VLOOKUP(A724,'3 - LISTA DE ESPÉCIES'!A:H,2,FALSE()),IF(AND(A724=0,B724&lt;&gt;0,C724=0),VLOOKUP(B724,'3 - LISTA DE ESPÉCIES'!B:H,6,FALSE()),IF(AND(A724=0,B724=0,C724&lt;&gt;0),VLOOKUP(C724,'3 - LISTA DE ESPÉCIES'!C:H,5,FALSE()))))</f>
        <v>0</v>
      </c>
      <c r="G724" s="21" t="b">
        <f>IF(AND(A724&lt;&gt;0,B724=0,C724=0),VLOOKUP(A724,'3 - LISTA DE ESPÉCIES'!A:H,3,FALSE()),IF(AND(A724=0,B724&lt;&gt;0,C724=0),VLOOKUP(B724,'3 - LISTA DE ESPÉCIES'!B:H,7,FALSE()),IF(AND(A724=0,B724=0,C724&lt;&gt;0),VLOOKUP(C724,'3 - LISTA DE ESPÉCIES'!C:H,6,FALSE()))))</f>
        <v>0</v>
      </c>
      <c r="H724" s="21" t="b">
        <f>IF(AND(A724&lt;&gt;0,B724=0,C724=0),VLOOKUP(A724,'3 - LISTA DE ESPÉCIES'!A:H,4,FALSE()),IF(AND(A724=0,B724&lt;&gt;0,C724=0),VLOOKUP(B724,'3 - LISTA DE ESPÉCIES'!B:H,3,FALSE()),IF(AND(A724=0,B724=0,C724&lt;&gt;0),VLOOKUP(C724,'3 - LISTA DE ESPÉCIES'!C:H,2,FALSE()))))</f>
        <v>0</v>
      </c>
      <c r="I724" s="21" t="b">
        <f>IF(AND(A724&lt;&gt;0,B724=0,C724=0),VLOOKUP(A724,'3 - LISTA DE ESPÉCIES'!A:H,5,FALSE()),IF(AND(A724=0,B724&lt;&gt;0,C724=0),VLOOKUP(B724,'3 - LISTA DE ESPÉCIES'!B:H,4,FALSE()),IF(AND(A724=0,B724=0,C724&lt;&gt;0),VLOOKUP(C724,'3 - LISTA DE ESPÉCIES'!C:H,3,FALSE()))))</f>
        <v>0</v>
      </c>
      <c r="J724" s="23"/>
      <c r="K724" s="23"/>
      <c r="L724" s="20"/>
      <c r="M724" s="20"/>
    </row>
    <row r="725" spans="1:13" x14ac:dyDescent="0.25">
      <c r="A725" s="20"/>
      <c r="B725" s="20"/>
      <c r="C725" s="20"/>
      <c r="E725" s="21" t="b">
        <f>IF(AND(A725&lt;&gt;0,B725=0,C725=0),VLOOKUP(A725,'3 - LISTA DE ESPÉCIES'!A:H,1,FALSE()),IF(AND(A725=0,B725&lt;&gt;0,C725=0),VLOOKUP(B725,'3 - LISTA DE ESPÉCIES'!B:H,5,FALSE()),IF(AND(A725=0,B725=0,C725&lt;&gt;0),VLOOKUP(C725,'3 - LISTA DE ESPÉCIES'!C:H,4,FALSE()))))</f>
        <v>0</v>
      </c>
      <c r="F725" s="21" t="b">
        <f>IF(AND(A725&lt;&gt;0,B725=0,C725=0),VLOOKUP(A725,'3 - LISTA DE ESPÉCIES'!A:H,2,FALSE()),IF(AND(A725=0,B725&lt;&gt;0,C725=0),VLOOKUP(B725,'3 - LISTA DE ESPÉCIES'!B:H,6,FALSE()),IF(AND(A725=0,B725=0,C725&lt;&gt;0),VLOOKUP(C725,'3 - LISTA DE ESPÉCIES'!C:H,5,FALSE()))))</f>
        <v>0</v>
      </c>
      <c r="G725" s="21" t="b">
        <f>IF(AND(A725&lt;&gt;0,B725=0,C725=0),VLOOKUP(A725,'3 - LISTA DE ESPÉCIES'!A:H,3,FALSE()),IF(AND(A725=0,B725&lt;&gt;0,C725=0),VLOOKUP(B725,'3 - LISTA DE ESPÉCIES'!B:H,7,FALSE()),IF(AND(A725=0,B725=0,C725&lt;&gt;0),VLOOKUP(C725,'3 - LISTA DE ESPÉCIES'!C:H,6,FALSE()))))</f>
        <v>0</v>
      </c>
      <c r="H725" s="21" t="b">
        <f>IF(AND(A725&lt;&gt;0,B725=0,C725=0),VLOOKUP(A725,'3 - LISTA DE ESPÉCIES'!A:H,4,FALSE()),IF(AND(A725=0,B725&lt;&gt;0,C725=0),VLOOKUP(B725,'3 - LISTA DE ESPÉCIES'!B:H,3,FALSE()),IF(AND(A725=0,B725=0,C725&lt;&gt;0),VLOOKUP(C725,'3 - LISTA DE ESPÉCIES'!C:H,2,FALSE()))))</f>
        <v>0</v>
      </c>
      <c r="I725" s="21" t="b">
        <f>IF(AND(A725&lt;&gt;0,B725=0,C725=0),VLOOKUP(A725,'3 - LISTA DE ESPÉCIES'!A:H,5,FALSE()),IF(AND(A725=0,B725&lt;&gt;0,C725=0),VLOOKUP(B725,'3 - LISTA DE ESPÉCIES'!B:H,4,FALSE()),IF(AND(A725=0,B725=0,C725&lt;&gt;0),VLOOKUP(C725,'3 - LISTA DE ESPÉCIES'!C:H,3,FALSE()))))</f>
        <v>0</v>
      </c>
      <c r="J725" s="23"/>
      <c r="K725" s="23"/>
      <c r="L725" s="20"/>
      <c r="M725" s="20"/>
    </row>
    <row r="726" spans="1:13" x14ac:dyDescent="0.25">
      <c r="A726" s="20"/>
      <c r="B726" s="20"/>
      <c r="C726" s="20"/>
      <c r="E726" s="21" t="b">
        <f>IF(AND(A726&lt;&gt;0,B726=0,C726=0),VLOOKUP(A726,'3 - LISTA DE ESPÉCIES'!A:H,1,FALSE()),IF(AND(A726=0,B726&lt;&gt;0,C726=0),VLOOKUP(B726,'3 - LISTA DE ESPÉCIES'!B:H,5,FALSE()),IF(AND(A726=0,B726=0,C726&lt;&gt;0),VLOOKUP(C726,'3 - LISTA DE ESPÉCIES'!C:H,4,FALSE()))))</f>
        <v>0</v>
      </c>
      <c r="F726" s="21" t="b">
        <f>IF(AND(A726&lt;&gt;0,B726=0,C726=0),VLOOKUP(A726,'3 - LISTA DE ESPÉCIES'!A:H,2,FALSE()),IF(AND(A726=0,B726&lt;&gt;0,C726=0),VLOOKUP(B726,'3 - LISTA DE ESPÉCIES'!B:H,6,FALSE()),IF(AND(A726=0,B726=0,C726&lt;&gt;0),VLOOKUP(C726,'3 - LISTA DE ESPÉCIES'!C:H,5,FALSE()))))</f>
        <v>0</v>
      </c>
      <c r="G726" s="21" t="b">
        <f>IF(AND(A726&lt;&gt;0,B726=0,C726=0),VLOOKUP(A726,'3 - LISTA DE ESPÉCIES'!A:H,3,FALSE()),IF(AND(A726=0,B726&lt;&gt;0,C726=0),VLOOKUP(B726,'3 - LISTA DE ESPÉCIES'!B:H,7,FALSE()),IF(AND(A726=0,B726=0,C726&lt;&gt;0),VLOOKUP(C726,'3 - LISTA DE ESPÉCIES'!C:H,6,FALSE()))))</f>
        <v>0</v>
      </c>
      <c r="H726" s="21" t="b">
        <f>IF(AND(A726&lt;&gt;0,B726=0,C726=0),VLOOKUP(A726,'3 - LISTA DE ESPÉCIES'!A:H,4,FALSE()),IF(AND(A726=0,B726&lt;&gt;0,C726=0),VLOOKUP(B726,'3 - LISTA DE ESPÉCIES'!B:H,3,FALSE()),IF(AND(A726=0,B726=0,C726&lt;&gt;0),VLOOKUP(C726,'3 - LISTA DE ESPÉCIES'!C:H,2,FALSE()))))</f>
        <v>0</v>
      </c>
      <c r="I726" s="21" t="b">
        <f>IF(AND(A726&lt;&gt;0,B726=0,C726=0),VLOOKUP(A726,'3 - LISTA DE ESPÉCIES'!A:H,5,FALSE()),IF(AND(A726=0,B726&lt;&gt;0,C726=0),VLOOKUP(B726,'3 - LISTA DE ESPÉCIES'!B:H,4,FALSE()),IF(AND(A726=0,B726=0,C726&lt;&gt;0),VLOOKUP(C726,'3 - LISTA DE ESPÉCIES'!C:H,3,FALSE()))))</f>
        <v>0</v>
      </c>
      <c r="J726" s="23"/>
      <c r="K726" s="23"/>
      <c r="L726" s="20"/>
      <c r="M726" s="20"/>
    </row>
    <row r="727" spans="1:13" x14ac:dyDescent="0.25">
      <c r="A727" s="20"/>
      <c r="B727" s="20"/>
      <c r="C727" s="20"/>
      <c r="E727" s="21" t="b">
        <f>IF(AND(A727&lt;&gt;0,B727=0,C727=0),VLOOKUP(A727,'3 - LISTA DE ESPÉCIES'!A:H,1,FALSE()),IF(AND(A727=0,B727&lt;&gt;0,C727=0),VLOOKUP(B727,'3 - LISTA DE ESPÉCIES'!B:H,5,FALSE()),IF(AND(A727=0,B727=0,C727&lt;&gt;0),VLOOKUP(C727,'3 - LISTA DE ESPÉCIES'!C:H,4,FALSE()))))</f>
        <v>0</v>
      </c>
      <c r="F727" s="21" t="b">
        <f>IF(AND(A727&lt;&gt;0,B727=0,C727=0),VLOOKUP(A727,'3 - LISTA DE ESPÉCIES'!A:H,2,FALSE()),IF(AND(A727=0,B727&lt;&gt;0,C727=0),VLOOKUP(B727,'3 - LISTA DE ESPÉCIES'!B:H,6,FALSE()),IF(AND(A727=0,B727=0,C727&lt;&gt;0),VLOOKUP(C727,'3 - LISTA DE ESPÉCIES'!C:H,5,FALSE()))))</f>
        <v>0</v>
      </c>
      <c r="G727" s="21" t="b">
        <f>IF(AND(A727&lt;&gt;0,B727=0,C727=0),VLOOKUP(A727,'3 - LISTA DE ESPÉCIES'!A:H,3,FALSE()),IF(AND(A727=0,B727&lt;&gt;0,C727=0),VLOOKUP(B727,'3 - LISTA DE ESPÉCIES'!B:H,7,FALSE()),IF(AND(A727=0,B727=0,C727&lt;&gt;0),VLOOKUP(C727,'3 - LISTA DE ESPÉCIES'!C:H,6,FALSE()))))</f>
        <v>0</v>
      </c>
      <c r="H727" s="21" t="b">
        <f>IF(AND(A727&lt;&gt;0,B727=0,C727=0),VLOOKUP(A727,'3 - LISTA DE ESPÉCIES'!A:H,4,FALSE()),IF(AND(A727=0,B727&lt;&gt;0,C727=0),VLOOKUP(B727,'3 - LISTA DE ESPÉCIES'!B:H,3,FALSE()),IF(AND(A727=0,B727=0,C727&lt;&gt;0),VLOOKUP(C727,'3 - LISTA DE ESPÉCIES'!C:H,2,FALSE()))))</f>
        <v>0</v>
      </c>
      <c r="I727" s="21" t="b">
        <f>IF(AND(A727&lt;&gt;0,B727=0,C727=0),VLOOKUP(A727,'3 - LISTA DE ESPÉCIES'!A:H,5,FALSE()),IF(AND(A727=0,B727&lt;&gt;0,C727=0),VLOOKUP(B727,'3 - LISTA DE ESPÉCIES'!B:H,4,FALSE()),IF(AND(A727=0,B727=0,C727&lt;&gt;0),VLOOKUP(C727,'3 - LISTA DE ESPÉCIES'!C:H,3,FALSE()))))</f>
        <v>0</v>
      </c>
      <c r="J727" s="23"/>
      <c r="K727" s="23"/>
      <c r="L727" s="20"/>
      <c r="M727" s="20"/>
    </row>
    <row r="728" spans="1:13" x14ac:dyDescent="0.25">
      <c r="A728" s="20"/>
      <c r="B728" s="20"/>
      <c r="C728" s="20"/>
      <c r="E728" s="21" t="b">
        <f>IF(AND(A728&lt;&gt;0,B728=0,C728=0),VLOOKUP(A728,'3 - LISTA DE ESPÉCIES'!A:H,1,FALSE()),IF(AND(A728=0,B728&lt;&gt;0,C728=0),VLOOKUP(B728,'3 - LISTA DE ESPÉCIES'!B:H,5,FALSE()),IF(AND(A728=0,B728=0,C728&lt;&gt;0),VLOOKUP(C728,'3 - LISTA DE ESPÉCIES'!C:H,4,FALSE()))))</f>
        <v>0</v>
      </c>
      <c r="F728" s="21" t="b">
        <f>IF(AND(A728&lt;&gt;0,B728=0,C728=0),VLOOKUP(A728,'3 - LISTA DE ESPÉCIES'!A:H,2,FALSE()),IF(AND(A728=0,B728&lt;&gt;0,C728=0),VLOOKUP(B728,'3 - LISTA DE ESPÉCIES'!B:H,6,FALSE()),IF(AND(A728=0,B728=0,C728&lt;&gt;0),VLOOKUP(C728,'3 - LISTA DE ESPÉCIES'!C:H,5,FALSE()))))</f>
        <v>0</v>
      </c>
      <c r="G728" s="21" t="b">
        <f>IF(AND(A728&lt;&gt;0,B728=0,C728=0),VLOOKUP(A728,'3 - LISTA DE ESPÉCIES'!A:H,3,FALSE()),IF(AND(A728=0,B728&lt;&gt;0,C728=0),VLOOKUP(B728,'3 - LISTA DE ESPÉCIES'!B:H,7,FALSE()),IF(AND(A728=0,B728=0,C728&lt;&gt;0),VLOOKUP(C728,'3 - LISTA DE ESPÉCIES'!C:H,6,FALSE()))))</f>
        <v>0</v>
      </c>
      <c r="H728" s="21" t="b">
        <f>IF(AND(A728&lt;&gt;0,B728=0,C728=0),VLOOKUP(A728,'3 - LISTA DE ESPÉCIES'!A:H,4,FALSE()),IF(AND(A728=0,B728&lt;&gt;0,C728=0),VLOOKUP(B728,'3 - LISTA DE ESPÉCIES'!B:H,3,FALSE()),IF(AND(A728=0,B728=0,C728&lt;&gt;0),VLOOKUP(C728,'3 - LISTA DE ESPÉCIES'!C:H,2,FALSE()))))</f>
        <v>0</v>
      </c>
      <c r="I728" s="21" t="b">
        <f>IF(AND(A728&lt;&gt;0,B728=0,C728=0),VLOOKUP(A728,'3 - LISTA DE ESPÉCIES'!A:H,5,FALSE()),IF(AND(A728=0,B728&lt;&gt;0,C728=0),VLOOKUP(B728,'3 - LISTA DE ESPÉCIES'!B:H,4,FALSE()),IF(AND(A728=0,B728=0,C728&lt;&gt;0),VLOOKUP(C728,'3 - LISTA DE ESPÉCIES'!C:H,3,FALSE()))))</f>
        <v>0</v>
      </c>
      <c r="J728" s="23"/>
      <c r="K728" s="23"/>
      <c r="L728" s="20"/>
      <c r="M728" s="20"/>
    </row>
    <row r="729" spans="1:13" x14ac:dyDescent="0.25">
      <c r="A729" s="20"/>
      <c r="B729" s="20"/>
      <c r="C729" s="20"/>
      <c r="E729" s="21" t="b">
        <f>IF(AND(A729&lt;&gt;0,B729=0,C729=0),VLOOKUP(A729,'3 - LISTA DE ESPÉCIES'!A:H,1,FALSE()),IF(AND(A729=0,B729&lt;&gt;0,C729=0),VLOOKUP(B729,'3 - LISTA DE ESPÉCIES'!B:H,5,FALSE()),IF(AND(A729=0,B729=0,C729&lt;&gt;0),VLOOKUP(C729,'3 - LISTA DE ESPÉCIES'!C:H,4,FALSE()))))</f>
        <v>0</v>
      </c>
      <c r="F729" s="21" t="b">
        <f>IF(AND(A729&lt;&gt;0,B729=0,C729=0),VLOOKUP(A729,'3 - LISTA DE ESPÉCIES'!A:H,2,FALSE()),IF(AND(A729=0,B729&lt;&gt;0,C729=0),VLOOKUP(B729,'3 - LISTA DE ESPÉCIES'!B:H,6,FALSE()),IF(AND(A729=0,B729=0,C729&lt;&gt;0),VLOOKUP(C729,'3 - LISTA DE ESPÉCIES'!C:H,5,FALSE()))))</f>
        <v>0</v>
      </c>
      <c r="G729" s="21" t="b">
        <f>IF(AND(A729&lt;&gt;0,B729=0,C729=0),VLOOKUP(A729,'3 - LISTA DE ESPÉCIES'!A:H,3,FALSE()),IF(AND(A729=0,B729&lt;&gt;0,C729=0),VLOOKUP(B729,'3 - LISTA DE ESPÉCIES'!B:H,7,FALSE()),IF(AND(A729=0,B729=0,C729&lt;&gt;0),VLOOKUP(C729,'3 - LISTA DE ESPÉCIES'!C:H,6,FALSE()))))</f>
        <v>0</v>
      </c>
      <c r="H729" s="21" t="b">
        <f>IF(AND(A729&lt;&gt;0,B729=0,C729=0),VLOOKUP(A729,'3 - LISTA DE ESPÉCIES'!A:H,4,FALSE()),IF(AND(A729=0,B729&lt;&gt;0,C729=0),VLOOKUP(B729,'3 - LISTA DE ESPÉCIES'!B:H,3,FALSE()),IF(AND(A729=0,B729=0,C729&lt;&gt;0),VLOOKUP(C729,'3 - LISTA DE ESPÉCIES'!C:H,2,FALSE()))))</f>
        <v>0</v>
      </c>
      <c r="I729" s="21" t="b">
        <f>IF(AND(A729&lt;&gt;0,B729=0,C729=0),VLOOKUP(A729,'3 - LISTA DE ESPÉCIES'!A:H,5,FALSE()),IF(AND(A729=0,B729&lt;&gt;0,C729=0),VLOOKUP(B729,'3 - LISTA DE ESPÉCIES'!B:H,4,FALSE()),IF(AND(A729=0,B729=0,C729&lt;&gt;0),VLOOKUP(C729,'3 - LISTA DE ESPÉCIES'!C:H,3,FALSE()))))</f>
        <v>0</v>
      </c>
      <c r="J729" s="23"/>
      <c r="K729" s="23"/>
      <c r="L729" s="20"/>
      <c r="M729" s="20"/>
    </row>
    <row r="730" spans="1:13" x14ac:dyDescent="0.25">
      <c r="A730" s="20"/>
      <c r="B730" s="20"/>
      <c r="C730" s="20"/>
      <c r="E730" s="21" t="b">
        <f>IF(AND(A730&lt;&gt;0,B730=0,C730=0),VLOOKUP(A730,'3 - LISTA DE ESPÉCIES'!A:H,1,FALSE()),IF(AND(A730=0,B730&lt;&gt;0,C730=0),VLOOKUP(B730,'3 - LISTA DE ESPÉCIES'!B:H,5,FALSE()),IF(AND(A730=0,B730=0,C730&lt;&gt;0),VLOOKUP(C730,'3 - LISTA DE ESPÉCIES'!C:H,4,FALSE()))))</f>
        <v>0</v>
      </c>
      <c r="F730" s="21" t="b">
        <f>IF(AND(A730&lt;&gt;0,B730=0,C730=0),VLOOKUP(A730,'3 - LISTA DE ESPÉCIES'!A:H,2,FALSE()),IF(AND(A730=0,B730&lt;&gt;0,C730=0),VLOOKUP(B730,'3 - LISTA DE ESPÉCIES'!B:H,6,FALSE()),IF(AND(A730=0,B730=0,C730&lt;&gt;0),VLOOKUP(C730,'3 - LISTA DE ESPÉCIES'!C:H,5,FALSE()))))</f>
        <v>0</v>
      </c>
      <c r="G730" s="21" t="b">
        <f>IF(AND(A730&lt;&gt;0,B730=0,C730=0),VLOOKUP(A730,'3 - LISTA DE ESPÉCIES'!A:H,3,FALSE()),IF(AND(A730=0,B730&lt;&gt;0,C730=0),VLOOKUP(B730,'3 - LISTA DE ESPÉCIES'!B:H,7,FALSE()),IF(AND(A730=0,B730=0,C730&lt;&gt;0),VLOOKUP(C730,'3 - LISTA DE ESPÉCIES'!C:H,6,FALSE()))))</f>
        <v>0</v>
      </c>
      <c r="H730" s="21" t="b">
        <f>IF(AND(A730&lt;&gt;0,B730=0,C730=0),VLOOKUP(A730,'3 - LISTA DE ESPÉCIES'!A:H,4,FALSE()),IF(AND(A730=0,B730&lt;&gt;0,C730=0),VLOOKUP(B730,'3 - LISTA DE ESPÉCIES'!B:H,3,FALSE()),IF(AND(A730=0,B730=0,C730&lt;&gt;0),VLOOKUP(C730,'3 - LISTA DE ESPÉCIES'!C:H,2,FALSE()))))</f>
        <v>0</v>
      </c>
      <c r="I730" s="21" t="b">
        <f>IF(AND(A730&lt;&gt;0,B730=0,C730=0),VLOOKUP(A730,'3 - LISTA DE ESPÉCIES'!A:H,5,FALSE()),IF(AND(A730=0,B730&lt;&gt;0,C730=0),VLOOKUP(B730,'3 - LISTA DE ESPÉCIES'!B:H,4,FALSE()),IF(AND(A730=0,B730=0,C730&lt;&gt;0),VLOOKUP(C730,'3 - LISTA DE ESPÉCIES'!C:H,3,FALSE()))))</f>
        <v>0</v>
      </c>
      <c r="J730" s="23"/>
      <c r="K730" s="23"/>
      <c r="L730" s="20"/>
      <c r="M730" s="20"/>
    </row>
    <row r="731" spans="1:13" x14ac:dyDescent="0.25">
      <c r="A731" s="20"/>
      <c r="B731" s="20"/>
      <c r="C731" s="20"/>
      <c r="E731" s="21" t="b">
        <f>IF(AND(A731&lt;&gt;0,B731=0,C731=0),VLOOKUP(A731,'3 - LISTA DE ESPÉCIES'!A:H,1,FALSE()),IF(AND(A731=0,B731&lt;&gt;0,C731=0),VLOOKUP(B731,'3 - LISTA DE ESPÉCIES'!B:H,5,FALSE()),IF(AND(A731=0,B731=0,C731&lt;&gt;0),VLOOKUP(C731,'3 - LISTA DE ESPÉCIES'!C:H,4,FALSE()))))</f>
        <v>0</v>
      </c>
      <c r="F731" s="21" t="b">
        <f>IF(AND(A731&lt;&gt;0,B731=0,C731=0),VLOOKUP(A731,'3 - LISTA DE ESPÉCIES'!A:H,2,FALSE()),IF(AND(A731=0,B731&lt;&gt;0,C731=0),VLOOKUP(B731,'3 - LISTA DE ESPÉCIES'!B:H,6,FALSE()),IF(AND(A731=0,B731=0,C731&lt;&gt;0),VLOOKUP(C731,'3 - LISTA DE ESPÉCIES'!C:H,5,FALSE()))))</f>
        <v>0</v>
      </c>
      <c r="G731" s="21" t="b">
        <f>IF(AND(A731&lt;&gt;0,B731=0,C731=0),VLOOKUP(A731,'3 - LISTA DE ESPÉCIES'!A:H,3,FALSE()),IF(AND(A731=0,B731&lt;&gt;0,C731=0),VLOOKUP(B731,'3 - LISTA DE ESPÉCIES'!B:H,7,FALSE()),IF(AND(A731=0,B731=0,C731&lt;&gt;0),VLOOKUP(C731,'3 - LISTA DE ESPÉCIES'!C:H,6,FALSE()))))</f>
        <v>0</v>
      </c>
      <c r="H731" s="21" t="b">
        <f>IF(AND(A731&lt;&gt;0,B731=0,C731=0),VLOOKUP(A731,'3 - LISTA DE ESPÉCIES'!A:H,4,FALSE()),IF(AND(A731=0,B731&lt;&gt;0,C731=0),VLOOKUP(B731,'3 - LISTA DE ESPÉCIES'!B:H,3,FALSE()),IF(AND(A731=0,B731=0,C731&lt;&gt;0),VLOOKUP(C731,'3 - LISTA DE ESPÉCIES'!C:H,2,FALSE()))))</f>
        <v>0</v>
      </c>
      <c r="I731" s="21" t="b">
        <f>IF(AND(A731&lt;&gt;0,B731=0,C731=0),VLOOKUP(A731,'3 - LISTA DE ESPÉCIES'!A:H,5,FALSE()),IF(AND(A731=0,B731&lt;&gt;0,C731=0),VLOOKUP(B731,'3 - LISTA DE ESPÉCIES'!B:H,4,FALSE()),IF(AND(A731=0,B731=0,C731&lt;&gt;0),VLOOKUP(C731,'3 - LISTA DE ESPÉCIES'!C:H,3,FALSE()))))</f>
        <v>0</v>
      </c>
      <c r="J731" s="23"/>
      <c r="K731" s="23"/>
      <c r="L731" s="20"/>
      <c r="M731" s="20"/>
    </row>
    <row r="732" spans="1:13" x14ac:dyDescent="0.25">
      <c r="A732" s="20"/>
      <c r="B732" s="20"/>
      <c r="C732" s="20"/>
      <c r="E732" s="21" t="b">
        <f>IF(AND(A732&lt;&gt;0,B732=0,C732=0),VLOOKUP(A732,'3 - LISTA DE ESPÉCIES'!A:H,1,FALSE()),IF(AND(A732=0,B732&lt;&gt;0,C732=0),VLOOKUP(B732,'3 - LISTA DE ESPÉCIES'!B:H,5,FALSE()),IF(AND(A732=0,B732=0,C732&lt;&gt;0),VLOOKUP(C732,'3 - LISTA DE ESPÉCIES'!C:H,4,FALSE()))))</f>
        <v>0</v>
      </c>
      <c r="F732" s="21" t="b">
        <f>IF(AND(A732&lt;&gt;0,B732=0,C732=0),VLOOKUP(A732,'3 - LISTA DE ESPÉCIES'!A:H,2,FALSE()),IF(AND(A732=0,B732&lt;&gt;0,C732=0),VLOOKUP(B732,'3 - LISTA DE ESPÉCIES'!B:H,6,FALSE()),IF(AND(A732=0,B732=0,C732&lt;&gt;0),VLOOKUP(C732,'3 - LISTA DE ESPÉCIES'!C:H,5,FALSE()))))</f>
        <v>0</v>
      </c>
      <c r="G732" s="21" t="b">
        <f>IF(AND(A732&lt;&gt;0,B732=0,C732=0),VLOOKUP(A732,'3 - LISTA DE ESPÉCIES'!A:H,3,FALSE()),IF(AND(A732=0,B732&lt;&gt;0,C732=0),VLOOKUP(B732,'3 - LISTA DE ESPÉCIES'!B:H,7,FALSE()),IF(AND(A732=0,B732=0,C732&lt;&gt;0),VLOOKUP(C732,'3 - LISTA DE ESPÉCIES'!C:H,6,FALSE()))))</f>
        <v>0</v>
      </c>
      <c r="H732" s="21" t="b">
        <f>IF(AND(A732&lt;&gt;0,B732=0,C732=0),VLOOKUP(A732,'3 - LISTA DE ESPÉCIES'!A:H,4,FALSE()),IF(AND(A732=0,B732&lt;&gt;0,C732=0),VLOOKUP(B732,'3 - LISTA DE ESPÉCIES'!B:H,3,FALSE()),IF(AND(A732=0,B732=0,C732&lt;&gt;0),VLOOKUP(C732,'3 - LISTA DE ESPÉCIES'!C:H,2,FALSE()))))</f>
        <v>0</v>
      </c>
      <c r="I732" s="21" t="b">
        <f>IF(AND(A732&lt;&gt;0,B732=0,C732=0),VLOOKUP(A732,'3 - LISTA DE ESPÉCIES'!A:H,5,FALSE()),IF(AND(A732=0,B732&lt;&gt;0,C732=0),VLOOKUP(B732,'3 - LISTA DE ESPÉCIES'!B:H,4,FALSE()),IF(AND(A732=0,B732=0,C732&lt;&gt;0),VLOOKUP(C732,'3 - LISTA DE ESPÉCIES'!C:H,3,FALSE()))))</f>
        <v>0</v>
      </c>
      <c r="J732" s="23"/>
      <c r="K732" s="23"/>
      <c r="L732" s="20"/>
      <c r="M732" s="20"/>
    </row>
    <row r="733" spans="1:13" x14ac:dyDescent="0.25">
      <c r="A733" s="20"/>
      <c r="B733" s="20"/>
      <c r="C733" s="20"/>
      <c r="E733" s="21" t="b">
        <f>IF(AND(A733&lt;&gt;0,B733=0,C733=0),VLOOKUP(A733,'3 - LISTA DE ESPÉCIES'!A:H,1,FALSE()),IF(AND(A733=0,B733&lt;&gt;0,C733=0),VLOOKUP(B733,'3 - LISTA DE ESPÉCIES'!B:H,5,FALSE()),IF(AND(A733=0,B733=0,C733&lt;&gt;0),VLOOKUP(C733,'3 - LISTA DE ESPÉCIES'!C:H,4,FALSE()))))</f>
        <v>0</v>
      </c>
      <c r="F733" s="21" t="b">
        <f>IF(AND(A733&lt;&gt;0,B733=0,C733=0),VLOOKUP(A733,'3 - LISTA DE ESPÉCIES'!A:H,2,FALSE()),IF(AND(A733=0,B733&lt;&gt;0,C733=0),VLOOKUP(B733,'3 - LISTA DE ESPÉCIES'!B:H,6,FALSE()),IF(AND(A733=0,B733=0,C733&lt;&gt;0),VLOOKUP(C733,'3 - LISTA DE ESPÉCIES'!C:H,5,FALSE()))))</f>
        <v>0</v>
      </c>
      <c r="G733" s="21" t="b">
        <f>IF(AND(A733&lt;&gt;0,B733=0,C733=0),VLOOKUP(A733,'3 - LISTA DE ESPÉCIES'!A:H,3,FALSE()),IF(AND(A733=0,B733&lt;&gt;0,C733=0),VLOOKUP(B733,'3 - LISTA DE ESPÉCIES'!B:H,7,FALSE()),IF(AND(A733=0,B733=0,C733&lt;&gt;0),VLOOKUP(C733,'3 - LISTA DE ESPÉCIES'!C:H,6,FALSE()))))</f>
        <v>0</v>
      </c>
      <c r="H733" s="21" t="b">
        <f>IF(AND(A733&lt;&gt;0,B733=0,C733=0),VLOOKUP(A733,'3 - LISTA DE ESPÉCIES'!A:H,4,FALSE()),IF(AND(A733=0,B733&lt;&gt;0,C733=0),VLOOKUP(B733,'3 - LISTA DE ESPÉCIES'!B:H,3,FALSE()),IF(AND(A733=0,B733=0,C733&lt;&gt;0),VLOOKUP(C733,'3 - LISTA DE ESPÉCIES'!C:H,2,FALSE()))))</f>
        <v>0</v>
      </c>
      <c r="I733" s="21" t="b">
        <f>IF(AND(A733&lt;&gt;0,B733=0,C733=0),VLOOKUP(A733,'3 - LISTA DE ESPÉCIES'!A:H,5,FALSE()),IF(AND(A733=0,B733&lt;&gt;0,C733=0),VLOOKUP(B733,'3 - LISTA DE ESPÉCIES'!B:H,4,FALSE()),IF(AND(A733=0,B733=0,C733&lt;&gt;0),VLOOKUP(C733,'3 - LISTA DE ESPÉCIES'!C:H,3,FALSE()))))</f>
        <v>0</v>
      </c>
      <c r="J733" s="23"/>
      <c r="K733" s="23"/>
      <c r="L733" s="20"/>
      <c r="M733" s="20"/>
    </row>
    <row r="734" spans="1:13" x14ac:dyDescent="0.25">
      <c r="A734" s="20"/>
      <c r="B734" s="20"/>
      <c r="C734" s="20"/>
      <c r="E734" s="21" t="b">
        <f>IF(AND(A734&lt;&gt;0,B734=0,C734=0),VLOOKUP(A734,'3 - LISTA DE ESPÉCIES'!A:H,1,FALSE()),IF(AND(A734=0,B734&lt;&gt;0,C734=0),VLOOKUP(B734,'3 - LISTA DE ESPÉCIES'!B:H,5,FALSE()),IF(AND(A734=0,B734=0,C734&lt;&gt;0),VLOOKUP(C734,'3 - LISTA DE ESPÉCIES'!C:H,4,FALSE()))))</f>
        <v>0</v>
      </c>
      <c r="F734" s="21" t="b">
        <f>IF(AND(A734&lt;&gt;0,B734=0,C734=0),VLOOKUP(A734,'3 - LISTA DE ESPÉCIES'!A:H,2,FALSE()),IF(AND(A734=0,B734&lt;&gt;0,C734=0),VLOOKUP(B734,'3 - LISTA DE ESPÉCIES'!B:H,6,FALSE()),IF(AND(A734=0,B734=0,C734&lt;&gt;0),VLOOKUP(C734,'3 - LISTA DE ESPÉCIES'!C:H,5,FALSE()))))</f>
        <v>0</v>
      </c>
      <c r="G734" s="21" t="b">
        <f>IF(AND(A734&lt;&gt;0,B734=0,C734=0),VLOOKUP(A734,'3 - LISTA DE ESPÉCIES'!A:H,3,FALSE()),IF(AND(A734=0,B734&lt;&gt;0,C734=0),VLOOKUP(B734,'3 - LISTA DE ESPÉCIES'!B:H,7,FALSE()),IF(AND(A734=0,B734=0,C734&lt;&gt;0),VLOOKUP(C734,'3 - LISTA DE ESPÉCIES'!C:H,6,FALSE()))))</f>
        <v>0</v>
      </c>
      <c r="H734" s="21" t="b">
        <f>IF(AND(A734&lt;&gt;0,B734=0,C734=0),VLOOKUP(A734,'3 - LISTA DE ESPÉCIES'!A:H,4,FALSE()),IF(AND(A734=0,B734&lt;&gt;0,C734=0),VLOOKUP(B734,'3 - LISTA DE ESPÉCIES'!B:H,3,FALSE()),IF(AND(A734=0,B734=0,C734&lt;&gt;0),VLOOKUP(C734,'3 - LISTA DE ESPÉCIES'!C:H,2,FALSE()))))</f>
        <v>0</v>
      </c>
      <c r="I734" s="21" t="b">
        <f>IF(AND(A734&lt;&gt;0,B734=0,C734=0),VLOOKUP(A734,'3 - LISTA DE ESPÉCIES'!A:H,5,FALSE()),IF(AND(A734=0,B734&lt;&gt;0,C734=0),VLOOKUP(B734,'3 - LISTA DE ESPÉCIES'!B:H,4,FALSE()),IF(AND(A734=0,B734=0,C734&lt;&gt;0),VLOOKUP(C734,'3 - LISTA DE ESPÉCIES'!C:H,3,FALSE()))))</f>
        <v>0</v>
      </c>
      <c r="J734" s="23"/>
      <c r="K734" s="23"/>
      <c r="L734" s="20"/>
      <c r="M734" s="20"/>
    </row>
    <row r="735" spans="1:13" x14ac:dyDescent="0.25">
      <c r="A735" s="20"/>
      <c r="B735" s="20"/>
      <c r="C735" s="20"/>
      <c r="E735" s="21" t="b">
        <f>IF(AND(A735&lt;&gt;0,B735=0,C735=0),VLOOKUP(A735,'3 - LISTA DE ESPÉCIES'!A:H,1,FALSE()),IF(AND(A735=0,B735&lt;&gt;0,C735=0),VLOOKUP(B735,'3 - LISTA DE ESPÉCIES'!B:H,5,FALSE()),IF(AND(A735=0,B735=0,C735&lt;&gt;0),VLOOKUP(C735,'3 - LISTA DE ESPÉCIES'!C:H,4,FALSE()))))</f>
        <v>0</v>
      </c>
      <c r="F735" s="21" t="b">
        <f>IF(AND(A735&lt;&gt;0,B735=0,C735=0),VLOOKUP(A735,'3 - LISTA DE ESPÉCIES'!A:H,2,FALSE()),IF(AND(A735=0,B735&lt;&gt;0,C735=0),VLOOKUP(B735,'3 - LISTA DE ESPÉCIES'!B:H,6,FALSE()),IF(AND(A735=0,B735=0,C735&lt;&gt;0),VLOOKUP(C735,'3 - LISTA DE ESPÉCIES'!C:H,5,FALSE()))))</f>
        <v>0</v>
      </c>
      <c r="G735" s="21" t="b">
        <f>IF(AND(A735&lt;&gt;0,B735=0,C735=0),VLOOKUP(A735,'3 - LISTA DE ESPÉCIES'!A:H,3,FALSE()),IF(AND(A735=0,B735&lt;&gt;0,C735=0),VLOOKUP(B735,'3 - LISTA DE ESPÉCIES'!B:H,7,FALSE()),IF(AND(A735=0,B735=0,C735&lt;&gt;0),VLOOKUP(C735,'3 - LISTA DE ESPÉCIES'!C:H,6,FALSE()))))</f>
        <v>0</v>
      </c>
      <c r="H735" s="21" t="b">
        <f>IF(AND(A735&lt;&gt;0,B735=0,C735=0),VLOOKUP(A735,'3 - LISTA DE ESPÉCIES'!A:H,4,FALSE()),IF(AND(A735=0,B735&lt;&gt;0,C735=0),VLOOKUP(B735,'3 - LISTA DE ESPÉCIES'!B:H,3,FALSE()),IF(AND(A735=0,B735=0,C735&lt;&gt;0),VLOOKUP(C735,'3 - LISTA DE ESPÉCIES'!C:H,2,FALSE()))))</f>
        <v>0</v>
      </c>
      <c r="I735" s="21" t="b">
        <f>IF(AND(A735&lt;&gt;0,B735=0,C735=0),VLOOKUP(A735,'3 - LISTA DE ESPÉCIES'!A:H,5,FALSE()),IF(AND(A735=0,B735&lt;&gt;0,C735=0),VLOOKUP(B735,'3 - LISTA DE ESPÉCIES'!B:H,4,FALSE()),IF(AND(A735=0,B735=0,C735&lt;&gt;0),VLOOKUP(C735,'3 - LISTA DE ESPÉCIES'!C:H,3,FALSE()))))</f>
        <v>0</v>
      </c>
      <c r="J735" s="23"/>
      <c r="K735" s="23"/>
      <c r="L735" s="20"/>
      <c r="M735" s="20"/>
    </row>
    <row r="736" spans="1:13" x14ac:dyDescent="0.25">
      <c r="A736" s="20"/>
      <c r="B736" s="20"/>
      <c r="C736" s="20"/>
      <c r="E736" s="21" t="b">
        <f>IF(AND(A736&lt;&gt;0,B736=0,C736=0),VLOOKUP(A736,'3 - LISTA DE ESPÉCIES'!A:H,1,FALSE()),IF(AND(A736=0,B736&lt;&gt;0,C736=0),VLOOKUP(B736,'3 - LISTA DE ESPÉCIES'!B:H,5,FALSE()),IF(AND(A736=0,B736=0,C736&lt;&gt;0),VLOOKUP(C736,'3 - LISTA DE ESPÉCIES'!C:H,4,FALSE()))))</f>
        <v>0</v>
      </c>
      <c r="F736" s="21" t="b">
        <f>IF(AND(A736&lt;&gt;0,B736=0,C736=0),VLOOKUP(A736,'3 - LISTA DE ESPÉCIES'!A:H,2,FALSE()),IF(AND(A736=0,B736&lt;&gt;0,C736=0),VLOOKUP(B736,'3 - LISTA DE ESPÉCIES'!B:H,6,FALSE()),IF(AND(A736=0,B736=0,C736&lt;&gt;0),VLOOKUP(C736,'3 - LISTA DE ESPÉCIES'!C:H,5,FALSE()))))</f>
        <v>0</v>
      </c>
      <c r="G736" s="21" t="b">
        <f>IF(AND(A736&lt;&gt;0,B736=0,C736=0),VLOOKUP(A736,'3 - LISTA DE ESPÉCIES'!A:H,3,FALSE()),IF(AND(A736=0,B736&lt;&gt;0,C736=0),VLOOKUP(B736,'3 - LISTA DE ESPÉCIES'!B:H,7,FALSE()),IF(AND(A736=0,B736=0,C736&lt;&gt;0),VLOOKUP(C736,'3 - LISTA DE ESPÉCIES'!C:H,6,FALSE()))))</f>
        <v>0</v>
      </c>
      <c r="H736" s="21" t="b">
        <f>IF(AND(A736&lt;&gt;0,B736=0,C736=0),VLOOKUP(A736,'3 - LISTA DE ESPÉCIES'!A:H,4,FALSE()),IF(AND(A736=0,B736&lt;&gt;0,C736=0),VLOOKUP(B736,'3 - LISTA DE ESPÉCIES'!B:H,3,FALSE()),IF(AND(A736=0,B736=0,C736&lt;&gt;0),VLOOKUP(C736,'3 - LISTA DE ESPÉCIES'!C:H,2,FALSE()))))</f>
        <v>0</v>
      </c>
      <c r="I736" s="21" t="b">
        <f>IF(AND(A736&lt;&gt;0,B736=0,C736=0),VLOOKUP(A736,'3 - LISTA DE ESPÉCIES'!A:H,5,FALSE()),IF(AND(A736=0,B736&lt;&gt;0,C736=0),VLOOKUP(B736,'3 - LISTA DE ESPÉCIES'!B:H,4,FALSE()),IF(AND(A736=0,B736=0,C736&lt;&gt;0),VLOOKUP(C736,'3 - LISTA DE ESPÉCIES'!C:H,3,FALSE()))))</f>
        <v>0</v>
      </c>
      <c r="J736" s="23"/>
      <c r="K736" s="23"/>
      <c r="L736" s="20"/>
      <c r="M736" s="20"/>
    </row>
    <row r="737" spans="1:13" x14ac:dyDescent="0.25">
      <c r="A737" s="20"/>
      <c r="B737" s="20"/>
      <c r="C737" s="20"/>
      <c r="E737" s="21" t="b">
        <f>IF(AND(A737&lt;&gt;0,B737=0,C737=0),VLOOKUP(A737,'3 - LISTA DE ESPÉCIES'!A:H,1,FALSE()),IF(AND(A737=0,B737&lt;&gt;0,C737=0),VLOOKUP(B737,'3 - LISTA DE ESPÉCIES'!B:H,5,FALSE()),IF(AND(A737=0,B737=0,C737&lt;&gt;0),VLOOKUP(C737,'3 - LISTA DE ESPÉCIES'!C:H,4,FALSE()))))</f>
        <v>0</v>
      </c>
      <c r="F737" s="21" t="b">
        <f>IF(AND(A737&lt;&gt;0,B737=0,C737=0),VLOOKUP(A737,'3 - LISTA DE ESPÉCIES'!A:H,2,FALSE()),IF(AND(A737=0,B737&lt;&gt;0,C737=0),VLOOKUP(B737,'3 - LISTA DE ESPÉCIES'!B:H,6,FALSE()),IF(AND(A737=0,B737=0,C737&lt;&gt;0),VLOOKUP(C737,'3 - LISTA DE ESPÉCIES'!C:H,5,FALSE()))))</f>
        <v>0</v>
      </c>
      <c r="G737" s="21" t="b">
        <f>IF(AND(A737&lt;&gt;0,B737=0,C737=0),VLOOKUP(A737,'3 - LISTA DE ESPÉCIES'!A:H,3,FALSE()),IF(AND(A737=0,B737&lt;&gt;0,C737=0),VLOOKUP(B737,'3 - LISTA DE ESPÉCIES'!B:H,7,FALSE()),IF(AND(A737=0,B737=0,C737&lt;&gt;0),VLOOKUP(C737,'3 - LISTA DE ESPÉCIES'!C:H,6,FALSE()))))</f>
        <v>0</v>
      </c>
      <c r="H737" s="21" t="b">
        <f>IF(AND(A737&lt;&gt;0,B737=0,C737=0),VLOOKUP(A737,'3 - LISTA DE ESPÉCIES'!A:H,4,FALSE()),IF(AND(A737=0,B737&lt;&gt;0,C737=0),VLOOKUP(B737,'3 - LISTA DE ESPÉCIES'!B:H,3,FALSE()),IF(AND(A737=0,B737=0,C737&lt;&gt;0),VLOOKUP(C737,'3 - LISTA DE ESPÉCIES'!C:H,2,FALSE()))))</f>
        <v>0</v>
      </c>
      <c r="I737" s="21" t="b">
        <f>IF(AND(A737&lt;&gt;0,B737=0,C737=0),VLOOKUP(A737,'3 - LISTA DE ESPÉCIES'!A:H,5,FALSE()),IF(AND(A737=0,B737&lt;&gt;0,C737=0),VLOOKUP(B737,'3 - LISTA DE ESPÉCIES'!B:H,4,FALSE()),IF(AND(A737=0,B737=0,C737&lt;&gt;0),VLOOKUP(C737,'3 - LISTA DE ESPÉCIES'!C:H,3,FALSE()))))</f>
        <v>0</v>
      </c>
      <c r="J737" s="23"/>
      <c r="K737" s="23"/>
      <c r="L737" s="20"/>
      <c r="M737" s="20"/>
    </row>
    <row r="738" spans="1:13" x14ac:dyDescent="0.25">
      <c r="A738" s="20"/>
      <c r="B738" s="20"/>
      <c r="C738" s="20"/>
      <c r="E738" s="21" t="b">
        <f>IF(AND(A738&lt;&gt;0,B738=0,C738=0),VLOOKUP(A738,'3 - LISTA DE ESPÉCIES'!A:H,1,FALSE()),IF(AND(A738=0,B738&lt;&gt;0,C738=0),VLOOKUP(B738,'3 - LISTA DE ESPÉCIES'!B:H,5,FALSE()),IF(AND(A738=0,B738=0,C738&lt;&gt;0),VLOOKUP(C738,'3 - LISTA DE ESPÉCIES'!C:H,4,FALSE()))))</f>
        <v>0</v>
      </c>
      <c r="F738" s="21" t="b">
        <f>IF(AND(A738&lt;&gt;0,B738=0,C738=0),VLOOKUP(A738,'3 - LISTA DE ESPÉCIES'!A:H,2,FALSE()),IF(AND(A738=0,B738&lt;&gt;0,C738=0),VLOOKUP(B738,'3 - LISTA DE ESPÉCIES'!B:H,6,FALSE()),IF(AND(A738=0,B738=0,C738&lt;&gt;0),VLOOKUP(C738,'3 - LISTA DE ESPÉCIES'!C:H,5,FALSE()))))</f>
        <v>0</v>
      </c>
      <c r="G738" s="21" t="b">
        <f>IF(AND(A738&lt;&gt;0,B738=0,C738=0),VLOOKUP(A738,'3 - LISTA DE ESPÉCIES'!A:H,3,FALSE()),IF(AND(A738=0,B738&lt;&gt;0,C738=0),VLOOKUP(B738,'3 - LISTA DE ESPÉCIES'!B:H,7,FALSE()),IF(AND(A738=0,B738=0,C738&lt;&gt;0),VLOOKUP(C738,'3 - LISTA DE ESPÉCIES'!C:H,6,FALSE()))))</f>
        <v>0</v>
      </c>
      <c r="H738" s="21" t="b">
        <f>IF(AND(A738&lt;&gt;0,B738=0,C738=0),VLOOKUP(A738,'3 - LISTA DE ESPÉCIES'!A:H,4,FALSE()),IF(AND(A738=0,B738&lt;&gt;0,C738=0),VLOOKUP(B738,'3 - LISTA DE ESPÉCIES'!B:H,3,FALSE()),IF(AND(A738=0,B738=0,C738&lt;&gt;0),VLOOKUP(C738,'3 - LISTA DE ESPÉCIES'!C:H,2,FALSE()))))</f>
        <v>0</v>
      </c>
      <c r="I738" s="21" t="b">
        <f>IF(AND(A738&lt;&gt;0,B738=0,C738=0),VLOOKUP(A738,'3 - LISTA DE ESPÉCIES'!A:H,5,FALSE()),IF(AND(A738=0,B738&lt;&gt;0,C738=0),VLOOKUP(B738,'3 - LISTA DE ESPÉCIES'!B:H,4,FALSE()),IF(AND(A738=0,B738=0,C738&lt;&gt;0),VLOOKUP(C738,'3 - LISTA DE ESPÉCIES'!C:H,3,FALSE()))))</f>
        <v>0</v>
      </c>
      <c r="J738" s="23"/>
      <c r="K738" s="23"/>
      <c r="L738" s="20"/>
      <c r="M738" s="20"/>
    </row>
    <row r="739" spans="1:13" x14ac:dyDescent="0.25">
      <c r="A739" s="20"/>
      <c r="B739" s="20"/>
      <c r="C739" s="20"/>
      <c r="E739" s="21" t="b">
        <f>IF(AND(A739&lt;&gt;0,B739=0,C739=0),VLOOKUP(A739,'3 - LISTA DE ESPÉCIES'!A:H,1,FALSE()),IF(AND(A739=0,B739&lt;&gt;0,C739=0),VLOOKUP(B739,'3 - LISTA DE ESPÉCIES'!B:H,5,FALSE()),IF(AND(A739=0,B739=0,C739&lt;&gt;0),VLOOKUP(C739,'3 - LISTA DE ESPÉCIES'!C:H,4,FALSE()))))</f>
        <v>0</v>
      </c>
      <c r="F739" s="21" t="b">
        <f>IF(AND(A739&lt;&gt;0,B739=0,C739=0),VLOOKUP(A739,'3 - LISTA DE ESPÉCIES'!A:H,2,FALSE()),IF(AND(A739=0,B739&lt;&gt;0,C739=0),VLOOKUP(B739,'3 - LISTA DE ESPÉCIES'!B:H,6,FALSE()),IF(AND(A739=0,B739=0,C739&lt;&gt;0),VLOOKUP(C739,'3 - LISTA DE ESPÉCIES'!C:H,5,FALSE()))))</f>
        <v>0</v>
      </c>
      <c r="G739" s="21" t="b">
        <f>IF(AND(A739&lt;&gt;0,B739=0,C739=0),VLOOKUP(A739,'3 - LISTA DE ESPÉCIES'!A:H,3,FALSE()),IF(AND(A739=0,B739&lt;&gt;0,C739=0),VLOOKUP(B739,'3 - LISTA DE ESPÉCIES'!B:H,7,FALSE()),IF(AND(A739=0,B739=0,C739&lt;&gt;0),VLOOKUP(C739,'3 - LISTA DE ESPÉCIES'!C:H,6,FALSE()))))</f>
        <v>0</v>
      </c>
      <c r="H739" s="21" t="b">
        <f>IF(AND(A739&lt;&gt;0,B739=0,C739=0),VLOOKUP(A739,'3 - LISTA DE ESPÉCIES'!A:H,4,FALSE()),IF(AND(A739=0,B739&lt;&gt;0,C739=0),VLOOKUP(B739,'3 - LISTA DE ESPÉCIES'!B:H,3,FALSE()),IF(AND(A739=0,B739=0,C739&lt;&gt;0),VLOOKUP(C739,'3 - LISTA DE ESPÉCIES'!C:H,2,FALSE()))))</f>
        <v>0</v>
      </c>
      <c r="I739" s="21" t="b">
        <f>IF(AND(A739&lt;&gt;0,B739=0,C739=0),VLOOKUP(A739,'3 - LISTA DE ESPÉCIES'!A:H,5,FALSE()),IF(AND(A739=0,B739&lt;&gt;0,C739=0),VLOOKUP(B739,'3 - LISTA DE ESPÉCIES'!B:H,4,FALSE()),IF(AND(A739=0,B739=0,C739&lt;&gt;0),VLOOKUP(C739,'3 - LISTA DE ESPÉCIES'!C:H,3,FALSE()))))</f>
        <v>0</v>
      </c>
      <c r="J739" s="23"/>
      <c r="K739" s="23"/>
      <c r="L739" s="20"/>
      <c r="M739" s="20"/>
    </row>
    <row r="740" spans="1:13" x14ac:dyDescent="0.25">
      <c r="A740" s="20"/>
      <c r="B740" s="20"/>
      <c r="C740" s="20"/>
      <c r="E740" s="21" t="b">
        <f>IF(AND(A740&lt;&gt;0,B740=0,C740=0),VLOOKUP(A740,'3 - LISTA DE ESPÉCIES'!A:H,1,FALSE()),IF(AND(A740=0,B740&lt;&gt;0,C740=0),VLOOKUP(B740,'3 - LISTA DE ESPÉCIES'!B:H,5,FALSE()),IF(AND(A740=0,B740=0,C740&lt;&gt;0),VLOOKUP(C740,'3 - LISTA DE ESPÉCIES'!C:H,4,FALSE()))))</f>
        <v>0</v>
      </c>
      <c r="F740" s="21" t="b">
        <f>IF(AND(A740&lt;&gt;0,B740=0,C740=0),VLOOKUP(A740,'3 - LISTA DE ESPÉCIES'!A:H,2,FALSE()),IF(AND(A740=0,B740&lt;&gt;0,C740=0),VLOOKUP(B740,'3 - LISTA DE ESPÉCIES'!B:H,6,FALSE()),IF(AND(A740=0,B740=0,C740&lt;&gt;0),VLOOKUP(C740,'3 - LISTA DE ESPÉCIES'!C:H,5,FALSE()))))</f>
        <v>0</v>
      </c>
      <c r="G740" s="21" t="b">
        <f>IF(AND(A740&lt;&gt;0,B740=0,C740=0),VLOOKUP(A740,'3 - LISTA DE ESPÉCIES'!A:H,3,FALSE()),IF(AND(A740=0,B740&lt;&gt;0,C740=0),VLOOKUP(B740,'3 - LISTA DE ESPÉCIES'!B:H,7,FALSE()),IF(AND(A740=0,B740=0,C740&lt;&gt;0),VLOOKUP(C740,'3 - LISTA DE ESPÉCIES'!C:H,6,FALSE()))))</f>
        <v>0</v>
      </c>
      <c r="H740" s="21" t="b">
        <f>IF(AND(A740&lt;&gt;0,B740=0,C740=0),VLOOKUP(A740,'3 - LISTA DE ESPÉCIES'!A:H,4,FALSE()),IF(AND(A740=0,B740&lt;&gt;0,C740=0),VLOOKUP(B740,'3 - LISTA DE ESPÉCIES'!B:H,3,FALSE()),IF(AND(A740=0,B740=0,C740&lt;&gt;0),VLOOKUP(C740,'3 - LISTA DE ESPÉCIES'!C:H,2,FALSE()))))</f>
        <v>0</v>
      </c>
      <c r="I740" s="21" t="b">
        <f>IF(AND(A740&lt;&gt;0,B740=0,C740=0),VLOOKUP(A740,'3 - LISTA DE ESPÉCIES'!A:H,5,FALSE()),IF(AND(A740=0,B740&lt;&gt;0,C740=0),VLOOKUP(B740,'3 - LISTA DE ESPÉCIES'!B:H,4,FALSE()),IF(AND(A740=0,B740=0,C740&lt;&gt;0),VLOOKUP(C740,'3 - LISTA DE ESPÉCIES'!C:H,3,FALSE()))))</f>
        <v>0</v>
      </c>
      <c r="J740" s="23"/>
      <c r="K740" s="23"/>
      <c r="L740" s="20"/>
      <c r="M740" s="20"/>
    </row>
    <row r="741" spans="1:13" x14ac:dyDescent="0.25">
      <c r="A741" s="20"/>
      <c r="B741" s="20"/>
      <c r="C741" s="20"/>
      <c r="E741" s="21" t="b">
        <f>IF(AND(A741&lt;&gt;0,B741=0,C741=0),VLOOKUP(A741,'3 - LISTA DE ESPÉCIES'!A:H,1,FALSE()),IF(AND(A741=0,B741&lt;&gt;0,C741=0),VLOOKUP(B741,'3 - LISTA DE ESPÉCIES'!B:H,5,FALSE()),IF(AND(A741=0,B741=0,C741&lt;&gt;0),VLOOKUP(C741,'3 - LISTA DE ESPÉCIES'!C:H,4,FALSE()))))</f>
        <v>0</v>
      </c>
      <c r="F741" s="21" t="b">
        <f>IF(AND(A741&lt;&gt;0,B741=0,C741=0),VLOOKUP(A741,'3 - LISTA DE ESPÉCIES'!A:H,2,FALSE()),IF(AND(A741=0,B741&lt;&gt;0,C741=0),VLOOKUP(B741,'3 - LISTA DE ESPÉCIES'!B:H,6,FALSE()),IF(AND(A741=0,B741=0,C741&lt;&gt;0),VLOOKUP(C741,'3 - LISTA DE ESPÉCIES'!C:H,5,FALSE()))))</f>
        <v>0</v>
      </c>
      <c r="G741" s="21" t="b">
        <f>IF(AND(A741&lt;&gt;0,B741=0,C741=0),VLOOKUP(A741,'3 - LISTA DE ESPÉCIES'!A:H,3,FALSE()),IF(AND(A741=0,B741&lt;&gt;0,C741=0),VLOOKUP(B741,'3 - LISTA DE ESPÉCIES'!B:H,7,FALSE()),IF(AND(A741=0,B741=0,C741&lt;&gt;0),VLOOKUP(C741,'3 - LISTA DE ESPÉCIES'!C:H,6,FALSE()))))</f>
        <v>0</v>
      </c>
      <c r="H741" s="21" t="b">
        <f>IF(AND(A741&lt;&gt;0,B741=0,C741=0),VLOOKUP(A741,'3 - LISTA DE ESPÉCIES'!A:H,4,FALSE()),IF(AND(A741=0,B741&lt;&gt;0,C741=0),VLOOKUP(B741,'3 - LISTA DE ESPÉCIES'!B:H,3,FALSE()),IF(AND(A741=0,B741=0,C741&lt;&gt;0),VLOOKUP(C741,'3 - LISTA DE ESPÉCIES'!C:H,2,FALSE()))))</f>
        <v>0</v>
      </c>
      <c r="I741" s="21" t="b">
        <f>IF(AND(A741&lt;&gt;0,B741=0,C741=0),VLOOKUP(A741,'3 - LISTA DE ESPÉCIES'!A:H,5,FALSE()),IF(AND(A741=0,B741&lt;&gt;0,C741=0),VLOOKUP(B741,'3 - LISTA DE ESPÉCIES'!B:H,4,FALSE()),IF(AND(A741=0,B741=0,C741&lt;&gt;0),VLOOKUP(C741,'3 - LISTA DE ESPÉCIES'!C:H,3,FALSE()))))</f>
        <v>0</v>
      </c>
      <c r="J741" s="23"/>
      <c r="K741" s="23"/>
      <c r="L741" s="20"/>
      <c r="M741" s="20"/>
    </row>
    <row r="742" spans="1:13" x14ac:dyDescent="0.25">
      <c r="A742" s="20"/>
      <c r="B742" s="20"/>
      <c r="C742" s="20"/>
      <c r="E742" s="21" t="b">
        <f>IF(AND(A742&lt;&gt;0,B742=0,C742=0),VLOOKUP(A742,'3 - LISTA DE ESPÉCIES'!A:H,1,FALSE()),IF(AND(A742=0,B742&lt;&gt;0,C742=0),VLOOKUP(B742,'3 - LISTA DE ESPÉCIES'!B:H,5,FALSE()),IF(AND(A742=0,B742=0,C742&lt;&gt;0),VLOOKUP(C742,'3 - LISTA DE ESPÉCIES'!C:H,4,FALSE()))))</f>
        <v>0</v>
      </c>
      <c r="F742" s="21" t="b">
        <f>IF(AND(A742&lt;&gt;0,B742=0,C742=0),VLOOKUP(A742,'3 - LISTA DE ESPÉCIES'!A:H,2,FALSE()),IF(AND(A742=0,B742&lt;&gt;0,C742=0),VLOOKUP(B742,'3 - LISTA DE ESPÉCIES'!B:H,6,FALSE()),IF(AND(A742=0,B742=0,C742&lt;&gt;0),VLOOKUP(C742,'3 - LISTA DE ESPÉCIES'!C:H,5,FALSE()))))</f>
        <v>0</v>
      </c>
      <c r="G742" s="21" t="b">
        <f>IF(AND(A742&lt;&gt;0,B742=0,C742=0),VLOOKUP(A742,'3 - LISTA DE ESPÉCIES'!A:H,3,FALSE()),IF(AND(A742=0,B742&lt;&gt;0,C742=0),VLOOKUP(B742,'3 - LISTA DE ESPÉCIES'!B:H,7,FALSE()),IF(AND(A742=0,B742=0,C742&lt;&gt;0),VLOOKUP(C742,'3 - LISTA DE ESPÉCIES'!C:H,6,FALSE()))))</f>
        <v>0</v>
      </c>
      <c r="H742" s="21" t="b">
        <f>IF(AND(A742&lt;&gt;0,B742=0,C742=0),VLOOKUP(A742,'3 - LISTA DE ESPÉCIES'!A:H,4,FALSE()),IF(AND(A742=0,B742&lt;&gt;0,C742=0),VLOOKUP(B742,'3 - LISTA DE ESPÉCIES'!B:H,3,FALSE()),IF(AND(A742=0,B742=0,C742&lt;&gt;0),VLOOKUP(C742,'3 - LISTA DE ESPÉCIES'!C:H,2,FALSE()))))</f>
        <v>0</v>
      </c>
      <c r="I742" s="21" t="b">
        <f>IF(AND(A742&lt;&gt;0,B742=0,C742=0),VLOOKUP(A742,'3 - LISTA DE ESPÉCIES'!A:H,5,FALSE()),IF(AND(A742=0,B742&lt;&gt;0,C742=0),VLOOKUP(B742,'3 - LISTA DE ESPÉCIES'!B:H,4,FALSE()),IF(AND(A742=0,B742=0,C742&lt;&gt;0),VLOOKUP(C742,'3 - LISTA DE ESPÉCIES'!C:H,3,FALSE()))))</f>
        <v>0</v>
      </c>
      <c r="J742" s="23"/>
      <c r="K742" s="23"/>
      <c r="L742" s="20"/>
      <c r="M742" s="20"/>
    </row>
    <row r="743" spans="1:13" x14ac:dyDescent="0.25">
      <c r="A743" s="20"/>
      <c r="B743" s="20"/>
      <c r="C743" s="20"/>
      <c r="E743" s="21" t="b">
        <f>IF(AND(A743&lt;&gt;0,B743=0,C743=0),VLOOKUP(A743,'3 - LISTA DE ESPÉCIES'!A:H,1,FALSE()),IF(AND(A743=0,B743&lt;&gt;0,C743=0),VLOOKUP(B743,'3 - LISTA DE ESPÉCIES'!B:H,5,FALSE()),IF(AND(A743=0,B743=0,C743&lt;&gt;0),VLOOKUP(C743,'3 - LISTA DE ESPÉCIES'!C:H,4,FALSE()))))</f>
        <v>0</v>
      </c>
      <c r="F743" s="21" t="b">
        <f>IF(AND(A743&lt;&gt;0,B743=0,C743=0),VLOOKUP(A743,'3 - LISTA DE ESPÉCIES'!A:H,2,FALSE()),IF(AND(A743=0,B743&lt;&gt;0,C743=0),VLOOKUP(B743,'3 - LISTA DE ESPÉCIES'!B:H,6,FALSE()),IF(AND(A743=0,B743=0,C743&lt;&gt;0),VLOOKUP(C743,'3 - LISTA DE ESPÉCIES'!C:H,5,FALSE()))))</f>
        <v>0</v>
      </c>
      <c r="G743" s="21" t="b">
        <f>IF(AND(A743&lt;&gt;0,B743=0,C743=0),VLOOKUP(A743,'3 - LISTA DE ESPÉCIES'!A:H,3,FALSE()),IF(AND(A743=0,B743&lt;&gt;0,C743=0),VLOOKUP(B743,'3 - LISTA DE ESPÉCIES'!B:H,7,FALSE()),IF(AND(A743=0,B743=0,C743&lt;&gt;0),VLOOKUP(C743,'3 - LISTA DE ESPÉCIES'!C:H,6,FALSE()))))</f>
        <v>0</v>
      </c>
      <c r="H743" s="21" t="b">
        <f>IF(AND(A743&lt;&gt;0,B743=0,C743=0),VLOOKUP(A743,'3 - LISTA DE ESPÉCIES'!A:H,4,FALSE()),IF(AND(A743=0,B743&lt;&gt;0,C743=0),VLOOKUP(B743,'3 - LISTA DE ESPÉCIES'!B:H,3,FALSE()),IF(AND(A743=0,B743=0,C743&lt;&gt;0),VLOOKUP(C743,'3 - LISTA DE ESPÉCIES'!C:H,2,FALSE()))))</f>
        <v>0</v>
      </c>
      <c r="I743" s="21" t="b">
        <f>IF(AND(A743&lt;&gt;0,B743=0,C743=0),VLOOKUP(A743,'3 - LISTA DE ESPÉCIES'!A:H,5,FALSE()),IF(AND(A743=0,B743&lt;&gt;0,C743=0),VLOOKUP(B743,'3 - LISTA DE ESPÉCIES'!B:H,4,FALSE()),IF(AND(A743=0,B743=0,C743&lt;&gt;0),VLOOKUP(C743,'3 - LISTA DE ESPÉCIES'!C:H,3,FALSE()))))</f>
        <v>0</v>
      </c>
      <c r="J743" s="23"/>
      <c r="K743" s="23"/>
      <c r="L743" s="20"/>
      <c r="M743" s="20"/>
    </row>
    <row r="744" spans="1:13" x14ac:dyDescent="0.25">
      <c r="A744" s="20"/>
      <c r="B744" s="20"/>
      <c r="C744" s="20"/>
      <c r="E744" s="21" t="b">
        <f>IF(AND(A744&lt;&gt;0,B744=0,C744=0),VLOOKUP(A744,'3 - LISTA DE ESPÉCIES'!A:H,1,FALSE()),IF(AND(A744=0,B744&lt;&gt;0,C744=0),VLOOKUP(B744,'3 - LISTA DE ESPÉCIES'!B:H,5,FALSE()),IF(AND(A744=0,B744=0,C744&lt;&gt;0),VLOOKUP(C744,'3 - LISTA DE ESPÉCIES'!C:H,4,FALSE()))))</f>
        <v>0</v>
      </c>
      <c r="F744" s="21" t="b">
        <f>IF(AND(A744&lt;&gt;0,B744=0,C744=0),VLOOKUP(A744,'3 - LISTA DE ESPÉCIES'!A:H,2,FALSE()),IF(AND(A744=0,B744&lt;&gt;0,C744=0),VLOOKUP(B744,'3 - LISTA DE ESPÉCIES'!B:H,6,FALSE()),IF(AND(A744=0,B744=0,C744&lt;&gt;0),VLOOKUP(C744,'3 - LISTA DE ESPÉCIES'!C:H,5,FALSE()))))</f>
        <v>0</v>
      </c>
      <c r="G744" s="21" t="b">
        <f>IF(AND(A744&lt;&gt;0,B744=0,C744=0),VLOOKUP(A744,'3 - LISTA DE ESPÉCIES'!A:H,3,FALSE()),IF(AND(A744=0,B744&lt;&gt;0,C744=0),VLOOKUP(B744,'3 - LISTA DE ESPÉCIES'!B:H,7,FALSE()),IF(AND(A744=0,B744=0,C744&lt;&gt;0),VLOOKUP(C744,'3 - LISTA DE ESPÉCIES'!C:H,6,FALSE()))))</f>
        <v>0</v>
      </c>
      <c r="H744" s="21" t="b">
        <f>IF(AND(A744&lt;&gt;0,B744=0,C744=0),VLOOKUP(A744,'3 - LISTA DE ESPÉCIES'!A:H,4,FALSE()),IF(AND(A744=0,B744&lt;&gt;0,C744=0),VLOOKUP(B744,'3 - LISTA DE ESPÉCIES'!B:H,3,FALSE()),IF(AND(A744=0,B744=0,C744&lt;&gt;0),VLOOKUP(C744,'3 - LISTA DE ESPÉCIES'!C:H,2,FALSE()))))</f>
        <v>0</v>
      </c>
      <c r="I744" s="21" t="b">
        <f>IF(AND(A744&lt;&gt;0,B744=0,C744=0),VLOOKUP(A744,'3 - LISTA DE ESPÉCIES'!A:H,5,FALSE()),IF(AND(A744=0,B744&lt;&gt;0,C744=0),VLOOKUP(B744,'3 - LISTA DE ESPÉCIES'!B:H,4,FALSE()),IF(AND(A744=0,B744=0,C744&lt;&gt;0),VLOOKUP(C744,'3 - LISTA DE ESPÉCIES'!C:H,3,FALSE()))))</f>
        <v>0</v>
      </c>
      <c r="J744" s="23"/>
      <c r="K744" s="23"/>
      <c r="L744" s="20"/>
      <c r="M744" s="20"/>
    </row>
    <row r="745" spans="1:13" x14ac:dyDescent="0.25">
      <c r="A745" s="20"/>
      <c r="B745" s="20"/>
      <c r="C745" s="20"/>
      <c r="E745" s="21" t="b">
        <f>IF(AND(A745&lt;&gt;0,B745=0,C745=0),VLOOKUP(A745,'3 - LISTA DE ESPÉCIES'!A:H,1,FALSE()),IF(AND(A745=0,B745&lt;&gt;0,C745=0),VLOOKUP(B745,'3 - LISTA DE ESPÉCIES'!B:H,5,FALSE()),IF(AND(A745=0,B745=0,C745&lt;&gt;0),VLOOKUP(C745,'3 - LISTA DE ESPÉCIES'!C:H,4,FALSE()))))</f>
        <v>0</v>
      </c>
      <c r="F745" s="21" t="b">
        <f>IF(AND(A745&lt;&gt;0,B745=0,C745=0),VLOOKUP(A745,'3 - LISTA DE ESPÉCIES'!A:H,2,FALSE()),IF(AND(A745=0,B745&lt;&gt;0,C745=0),VLOOKUP(B745,'3 - LISTA DE ESPÉCIES'!B:H,6,FALSE()),IF(AND(A745=0,B745=0,C745&lt;&gt;0),VLOOKUP(C745,'3 - LISTA DE ESPÉCIES'!C:H,5,FALSE()))))</f>
        <v>0</v>
      </c>
      <c r="G745" s="21" t="b">
        <f>IF(AND(A745&lt;&gt;0,B745=0,C745=0),VLOOKUP(A745,'3 - LISTA DE ESPÉCIES'!A:H,3,FALSE()),IF(AND(A745=0,B745&lt;&gt;0,C745=0),VLOOKUP(B745,'3 - LISTA DE ESPÉCIES'!B:H,7,FALSE()),IF(AND(A745=0,B745=0,C745&lt;&gt;0),VLOOKUP(C745,'3 - LISTA DE ESPÉCIES'!C:H,6,FALSE()))))</f>
        <v>0</v>
      </c>
      <c r="H745" s="21" t="b">
        <f>IF(AND(A745&lt;&gt;0,B745=0,C745=0),VLOOKUP(A745,'3 - LISTA DE ESPÉCIES'!A:H,4,FALSE()),IF(AND(A745=0,B745&lt;&gt;0,C745=0),VLOOKUP(B745,'3 - LISTA DE ESPÉCIES'!B:H,3,FALSE()),IF(AND(A745=0,B745=0,C745&lt;&gt;0),VLOOKUP(C745,'3 - LISTA DE ESPÉCIES'!C:H,2,FALSE()))))</f>
        <v>0</v>
      </c>
      <c r="I745" s="21" t="b">
        <f>IF(AND(A745&lt;&gt;0,B745=0,C745=0),VLOOKUP(A745,'3 - LISTA DE ESPÉCIES'!A:H,5,FALSE()),IF(AND(A745=0,B745&lt;&gt;0,C745=0),VLOOKUP(B745,'3 - LISTA DE ESPÉCIES'!B:H,4,FALSE()),IF(AND(A745=0,B745=0,C745&lt;&gt;0),VLOOKUP(C745,'3 - LISTA DE ESPÉCIES'!C:H,3,FALSE()))))</f>
        <v>0</v>
      </c>
      <c r="J745" s="23"/>
      <c r="K745" s="23"/>
      <c r="L745" s="20"/>
      <c r="M745" s="20"/>
    </row>
    <row r="746" spans="1:13" x14ac:dyDescent="0.25">
      <c r="A746" s="20"/>
      <c r="B746" s="20"/>
      <c r="C746" s="20"/>
      <c r="E746" s="21" t="b">
        <f>IF(AND(A746&lt;&gt;0,B746=0,C746=0),VLOOKUP(A746,'3 - LISTA DE ESPÉCIES'!A:H,1,FALSE()),IF(AND(A746=0,B746&lt;&gt;0,C746=0),VLOOKUP(B746,'3 - LISTA DE ESPÉCIES'!B:H,5,FALSE()),IF(AND(A746=0,B746=0,C746&lt;&gt;0),VLOOKUP(C746,'3 - LISTA DE ESPÉCIES'!C:H,4,FALSE()))))</f>
        <v>0</v>
      </c>
      <c r="F746" s="21" t="b">
        <f>IF(AND(A746&lt;&gt;0,B746=0,C746=0),VLOOKUP(A746,'3 - LISTA DE ESPÉCIES'!A:H,2,FALSE()),IF(AND(A746=0,B746&lt;&gt;0,C746=0),VLOOKUP(B746,'3 - LISTA DE ESPÉCIES'!B:H,6,FALSE()),IF(AND(A746=0,B746=0,C746&lt;&gt;0),VLOOKUP(C746,'3 - LISTA DE ESPÉCIES'!C:H,5,FALSE()))))</f>
        <v>0</v>
      </c>
      <c r="G746" s="21" t="b">
        <f>IF(AND(A746&lt;&gt;0,B746=0,C746=0),VLOOKUP(A746,'3 - LISTA DE ESPÉCIES'!A:H,3,FALSE()),IF(AND(A746=0,B746&lt;&gt;0,C746=0),VLOOKUP(B746,'3 - LISTA DE ESPÉCIES'!B:H,7,FALSE()),IF(AND(A746=0,B746=0,C746&lt;&gt;0),VLOOKUP(C746,'3 - LISTA DE ESPÉCIES'!C:H,6,FALSE()))))</f>
        <v>0</v>
      </c>
      <c r="H746" s="21" t="b">
        <f>IF(AND(A746&lt;&gt;0,B746=0,C746=0),VLOOKUP(A746,'3 - LISTA DE ESPÉCIES'!A:H,4,FALSE()),IF(AND(A746=0,B746&lt;&gt;0,C746=0),VLOOKUP(B746,'3 - LISTA DE ESPÉCIES'!B:H,3,FALSE()),IF(AND(A746=0,B746=0,C746&lt;&gt;0),VLOOKUP(C746,'3 - LISTA DE ESPÉCIES'!C:H,2,FALSE()))))</f>
        <v>0</v>
      </c>
      <c r="I746" s="21" t="b">
        <f>IF(AND(A746&lt;&gt;0,B746=0,C746=0),VLOOKUP(A746,'3 - LISTA DE ESPÉCIES'!A:H,5,FALSE()),IF(AND(A746=0,B746&lt;&gt;0,C746=0),VLOOKUP(B746,'3 - LISTA DE ESPÉCIES'!B:H,4,FALSE()),IF(AND(A746=0,B746=0,C746&lt;&gt;0),VLOOKUP(C746,'3 - LISTA DE ESPÉCIES'!C:H,3,FALSE()))))</f>
        <v>0</v>
      </c>
      <c r="J746" s="23"/>
      <c r="K746" s="23"/>
      <c r="L746" s="20"/>
      <c r="M746" s="20"/>
    </row>
    <row r="747" spans="1:13" x14ac:dyDescent="0.25">
      <c r="A747" s="20"/>
      <c r="B747" s="20"/>
      <c r="C747" s="20"/>
      <c r="E747" s="21" t="b">
        <f>IF(AND(A747&lt;&gt;0,B747=0,C747=0),VLOOKUP(A747,'3 - LISTA DE ESPÉCIES'!A:H,1,FALSE()),IF(AND(A747=0,B747&lt;&gt;0,C747=0),VLOOKUP(B747,'3 - LISTA DE ESPÉCIES'!B:H,5,FALSE()),IF(AND(A747=0,B747=0,C747&lt;&gt;0),VLOOKUP(C747,'3 - LISTA DE ESPÉCIES'!C:H,4,FALSE()))))</f>
        <v>0</v>
      </c>
      <c r="F747" s="21" t="b">
        <f>IF(AND(A747&lt;&gt;0,B747=0,C747=0),VLOOKUP(A747,'3 - LISTA DE ESPÉCIES'!A:H,2,FALSE()),IF(AND(A747=0,B747&lt;&gt;0,C747=0),VLOOKUP(B747,'3 - LISTA DE ESPÉCIES'!B:H,6,FALSE()),IF(AND(A747=0,B747=0,C747&lt;&gt;0),VLOOKUP(C747,'3 - LISTA DE ESPÉCIES'!C:H,5,FALSE()))))</f>
        <v>0</v>
      </c>
      <c r="G747" s="21" t="b">
        <f>IF(AND(A747&lt;&gt;0,B747=0,C747=0),VLOOKUP(A747,'3 - LISTA DE ESPÉCIES'!A:H,3,FALSE()),IF(AND(A747=0,B747&lt;&gt;0,C747=0),VLOOKUP(B747,'3 - LISTA DE ESPÉCIES'!B:H,7,FALSE()),IF(AND(A747=0,B747=0,C747&lt;&gt;0),VLOOKUP(C747,'3 - LISTA DE ESPÉCIES'!C:H,6,FALSE()))))</f>
        <v>0</v>
      </c>
      <c r="H747" s="21" t="b">
        <f>IF(AND(A747&lt;&gt;0,B747=0,C747=0),VLOOKUP(A747,'3 - LISTA DE ESPÉCIES'!A:H,4,FALSE()),IF(AND(A747=0,B747&lt;&gt;0,C747=0),VLOOKUP(B747,'3 - LISTA DE ESPÉCIES'!B:H,3,FALSE()),IF(AND(A747=0,B747=0,C747&lt;&gt;0),VLOOKUP(C747,'3 - LISTA DE ESPÉCIES'!C:H,2,FALSE()))))</f>
        <v>0</v>
      </c>
      <c r="I747" s="21" t="b">
        <f>IF(AND(A747&lt;&gt;0,B747=0,C747=0),VLOOKUP(A747,'3 - LISTA DE ESPÉCIES'!A:H,5,FALSE()),IF(AND(A747=0,B747&lt;&gt;0,C747=0),VLOOKUP(B747,'3 - LISTA DE ESPÉCIES'!B:H,4,FALSE()),IF(AND(A747=0,B747=0,C747&lt;&gt;0),VLOOKUP(C747,'3 - LISTA DE ESPÉCIES'!C:H,3,FALSE()))))</f>
        <v>0</v>
      </c>
      <c r="J747" s="23"/>
      <c r="K747" s="23"/>
      <c r="L747" s="20"/>
      <c r="M747" s="20"/>
    </row>
    <row r="748" spans="1:13" x14ac:dyDescent="0.25">
      <c r="A748" s="20"/>
      <c r="B748" s="20"/>
      <c r="C748" s="20"/>
      <c r="E748" s="21" t="b">
        <f>IF(AND(A748&lt;&gt;0,B748=0,C748=0),VLOOKUP(A748,'3 - LISTA DE ESPÉCIES'!A:H,1,FALSE()),IF(AND(A748=0,B748&lt;&gt;0,C748=0),VLOOKUP(B748,'3 - LISTA DE ESPÉCIES'!B:H,5,FALSE()),IF(AND(A748=0,B748=0,C748&lt;&gt;0),VLOOKUP(C748,'3 - LISTA DE ESPÉCIES'!C:H,4,FALSE()))))</f>
        <v>0</v>
      </c>
      <c r="F748" s="21" t="b">
        <f>IF(AND(A748&lt;&gt;0,B748=0,C748=0),VLOOKUP(A748,'3 - LISTA DE ESPÉCIES'!A:H,2,FALSE()),IF(AND(A748=0,B748&lt;&gt;0,C748=0),VLOOKUP(B748,'3 - LISTA DE ESPÉCIES'!B:H,6,FALSE()),IF(AND(A748=0,B748=0,C748&lt;&gt;0),VLOOKUP(C748,'3 - LISTA DE ESPÉCIES'!C:H,5,FALSE()))))</f>
        <v>0</v>
      </c>
      <c r="G748" s="21" t="b">
        <f>IF(AND(A748&lt;&gt;0,B748=0,C748=0),VLOOKUP(A748,'3 - LISTA DE ESPÉCIES'!A:H,3,FALSE()),IF(AND(A748=0,B748&lt;&gt;0,C748=0),VLOOKUP(B748,'3 - LISTA DE ESPÉCIES'!B:H,7,FALSE()),IF(AND(A748=0,B748=0,C748&lt;&gt;0),VLOOKUP(C748,'3 - LISTA DE ESPÉCIES'!C:H,6,FALSE()))))</f>
        <v>0</v>
      </c>
      <c r="H748" s="21" t="b">
        <f>IF(AND(A748&lt;&gt;0,B748=0,C748=0),VLOOKUP(A748,'3 - LISTA DE ESPÉCIES'!A:H,4,FALSE()),IF(AND(A748=0,B748&lt;&gt;0,C748=0),VLOOKUP(B748,'3 - LISTA DE ESPÉCIES'!B:H,3,FALSE()),IF(AND(A748=0,B748=0,C748&lt;&gt;0),VLOOKUP(C748,'3 - LISTA DE ESPÉCIES'!C:H,2,FALSE()))))</f>
        <v>0</v>
      </c>
      <c r="I748" s="21" t="b">
        <f>IF(AND(A748&lt;&gt;0,B748=0,C748=0),VLOOKUP(A748,'3 - LISTA DE ESPÉCIES'!A:H,5,FALSE()),IF(AND(A748=0,B748&lt;&gt;0,C748=0),VLOOKUP(B748,'3 - LISTA DE ESPÉCIES'!B:H,4,FALSE()),IF(AND(A748=0,B748=0,C748&lt;&gt;0),VLOOKUP(C748,'3 - LISTA DE ESPÉCIES'!C:H,3,FALSE()))))</f>
        <v>0</v>
      </c>
      <c r="J748" s="23"/>
      <c r="K748" s="23"/>
      <c r="L748" s="20"/>
      <c r="M748" s="20"/>
    </row>
    <row r="749" spans="1:13" x14ac:dyDescent="0.25">
      <c r="A749" s="20"/>
      <c r="B749" s="20"/>
      <c r="C749" s="20"/>
      <c r="E749" s="21" t="b">
        <f>IF(AND(A749&lt;&gt;0,B749=0,C749=0),VLOOKUP(A749,'3 - LISTA DE ESPÉCIES'!A:H,1,FALSE()),IF(AND(A749=0,B749&lt;&gt;0,C749=0),VLOOKUP(B749,'3 - LISTA DE ESPÉCIES'!B:H,5,FALSE()),IF(AND(A749=0,B749=0,C749&lt;&gt;0),VLOOKUP(C749,'3 - LISTA DE ESPÉCIES'!C:H,4,FALSE()))))</f>
        <v>0</v>
      </c>
      <c r="F749" s="21" t="b">
        <f>IF(AND(A749&lt;&gt;0,B749=0,C749=0),VLOOKUP(A749,'3 - LISTA DE ESPÉCIES'!A:H,2,FALSE()),IF(AND(A749=0,B749&lt;&gt;0,C749=0),VLOOKUP(B749,'3 - LISTA DE ESPÉCIES'!B:H,6,FALSE()),IF(AND(A749=0,B749=0,C749&lt;&gt;0),VLOOKUP(C749,'3 - LISTA DE ESPÉCIES'!C:H,5,FALSE()))))</f>
        <v>0</v>
      </c>
      <c r="G749" s="21" t="b">
        <f>IF(AND(A749&lt;&gt;0,B749=0,C749=0),VLOOKUP(A749,'3 - LISTA DE ESPÉCIES'!A:H,3,FALSE()),IF(AND(A749=0,B749&lt;&gt;0,C749=0),VLOOKUP(B749,'3 - LISTA DE ESPÉCIES'!B:H,7,FALSE()),IF(AND(A749=0,B749=0,C749&lt;&gt;0),VLOOKUP(C749,'3 - LISTA DE ESPÉCIES'!C:H,6,FALSE()))))</f>
        <v>0</v>
      </c>
      <c r="H749" s="21" t="b">
        <f>IF(AND(A749&lt;&gt;0,B749=0,C749=0),VLOOKUP(A749,'3 - LISTA DE ESPÉCIES'!A:H,4,FALSE()),IF(AND(A749=0,B749&lt;&gt;0,C749=0),VLOOKUP(B749,'3 - LISTA DE ESPÉCIES'!B:H,3,FALSE()),IF(AND(A749=0,B749=0,C749&lt;&gt;0),VLOOKUP(C749,'3 - LISTA DE ESPÉCIES'!C:H,2,FALSE()))))</f>
        <v>0</v>
      </c>
      <c r="I749" s="21" t="b">
        <f>IF(AND(A749&lt;&gt;0,B749=0,C749=0),VLOOKUP(A749,'3 - LISTA DE ESPÉCIES'!A:H,5,FALSE()),IF(AND(A749=0,B749&lt;&gt;0,C749=0),VLOOKUP(B749,'3 - LISTA DE ESPÉCIES'!B:H,4,FALSE()),IF(AND(A749=0,B749=0,C749&lt;&gt;0),VLOOKUP(C749,'3 - LISTA DE ESPÉCIES'!C:H,3,FALSE()))))</f>
        <v>0</v>
      </c>
      <c r="J749" s="23"/>
      <c r="K749" s="23"/>
      <c r="L749" s="20"/>
      <c r="M749" s="20"/>
    </row>
    <row r="750" spans="1:13" x14ac:dyDescent="0.25">
      <c r="A750" s="20"/>
      <c r="B750" s="20"/>
      <c r="C750" s="20"/>
      <c r="E750" s="21" t="b">
        <f>IF(AND(A750&lt;&gt;0,B750=0,C750=0),VLOOKUP(A750,'3 - LISTA DE ESPÉCIES'!A:H,1,FALSE()),IF(AND(A750=0,B750&lt;&gt;0,C750=0),VLOOKUP(B750,'3 - LISTA DE ESPÉCIES'!B:H,5,FALSE()),IF(AND(A750=0,B750=0,C750&lt;&gt;0),VLOOKUP(C750,'3 - LISTA DE ESPÉCIES'!C:H,4,FALSE()))))</f>
        <v>0</v>
      </c>
      <c r="F750" s="21" t="b">
        <f>IF(AND(A750&lt;&gt;0,B750=0,C750=0),VLOOKUP(A750,'3 - LISTA DE ESPÉCIES'!A:H,2,FALSE()),IF(AND(A750=0,B750&lt;&gt;0,C750=0),VLOOKUP(B750,'3 - LISTA DE ESPÉCIES'!B:H,6,FALSE()),IF(AND(A750=0,B750=0,C750&lt;&gt;0),VLOOKUP(C750,'3 - LISTA DE ESPÉCIES'!C:H,5,FALSE()))))</f>
        <v>0</v>
      </c>
      <c r="G750" s="21" t="b">
        <f>IF(AND(A750&lt;&gt;0,B750=0,C750=0),VLOOKUP(A750,'3 - LISTA DE ESPÉCIES'!A:H,3,FALSE()),IF(AND(A750=0,B750&lt;&gt;0,C750=0),VLOOKUP(B750,'3 - LISTA DE ESPÉCIES'!B:H,7,FALSE()),IF(AND(A750=0,B750=0,C750&lt;&gt;0),VLOOKUP(C750,'3 - LISTA DE ESPÉCIES'!C:H,6,FALSE()))))</f>
        <v>0</v>
      </c>
      <c r="H750" s="21" t="b">
        <f>IF(AND(A750&lt;&gt;0,B750=0,C750=0),VLOOKUP(A750,'3 - LISTA DE ESPÉCIES'!A:H,4,FALSE()),IF(AND(A750=0,B750&lt;&gt;0,C750=0),VLOOKUP(B750,'3 - LISTA DE ESPÉCIES'!B:H,3,FALSE()),IF(AND(A750=0,B750=0,C750&lt;&gt;0),VLOOKUP(C750,'3 - LISTA DE ESPÉCIES'!C:H,2,FALSE()))))</f>
        <v>0</v>
      </c>
      <c r="I750" s="21" t="b">
        <f>IF(AND(A750&lt;&gt;0,B750=0,C750=0),VLOOKUP(A750,'3 - LISTA DE ESPÉCIES'!A:H,5,FALSE()),IF(AND(A750=0,B750&lt;&gt;0,C750=0),VLOOKUP(B750,'3 - LISTA DE ESPÉCIES'!B:H,4,FALSE()),IF(AND(A750=0,B750=0,C750&lt;&gt;0),VLOOKUP(C750,'3 - LISTA DE ESPÉCIES'!C:H,3,FALSE()))))</f>
        <v>0</v>
      </c>
      <c r="J750" s="23"/>
      <c r="K750" s="23"/>
      <c r="L750" s="20"/>
      <c r="M750" s="20"/>
    </row>
    <row r="751" spans="1:13" x14ac:dyDescent="0.25">
      <c r="A751" s="20"/>
      <c r="B751" s="20"/>
      <c r="C751" s="20"/>
      <c r="E751" s="21" t="b">
        <f>IF(AND(A751&lt;&gt;0,B751=0,C751=0),VLOOKUP(A751,'3 - LISTA DE ESPÉCIES'!A:H,1,FALSE()),IF(AND(A751=0,B751&lt;&gt;0,C751=0),VLOOKUP(B751,'3 - LISTA DE ESPÉCIES'!B:H,5,FALSE()),IF(AND(A751=0,B751=0,C751&lt;&gt;0),VLOOKUP(C751,'3 - LISTA DE ESPÉCIES'!C:H,4,FALSE()))))</f>
        <v>0</v>
      </c>
      <c r="F751" s="21" t="b">
        <f>IF(AND(A751&lt;&gt;0,B751=0,C751=0),VLOOKUP(A751,'3 - LISTA DE ESPÉCIES'!A:H,2,FALSE()),IF(AND(A751=0,B751&lt;&gt;0,C751=0),VLOOKUP(B751,'3 - LISTA DE ESPÉCIES'!B:H,6,FALSE()),IF(AND(A751=0,B751=0,C751&lt;&gt;0),VLOOKUP(C751,'3 - LISTA DE ESPÉCIES'!C:H,5,FALSE()))))</f>
        <v>0</v>
      </c>
      <c r="G751" s="21" t="b">
        <f>IF(AND(A751&lt;&gt;0,B751=0,C751=0),VLOOKUP(A751,'3 - LISTA DE ESPÉCIES'!A:H,3,FALSE()),IF(AND(A751=0,B751&lt;&gt;0,C751=0),VLOOKUP(B751,'3 - LISTA DE ESPÉCIES'!B:H,7,FALSE()),IF(AND(A751=0,B751=0,C751&lt;&gt;0),VLOOKUP(C751,'3 - LISTA DE ESPÉCIES'!C:H,6,FALSE()))))</f>
        <v>0</v>
      </c>
      <c r="H751" s="21" t="b">
        <f>IF(AND(A751&lt;&gt;0,B751=0,C751=0),VLOOKUP(A751,'3 - LISTA DE ESPÉCIES'!A:H,4,FALSE()),IF(AND(A751=0,B751&lt;&gt;0,C751=0),VLOOKUP(B751,'3 - LISTA DE ESPÉCIES'!B:H,3,FALSE()),IF(AND(A751=0,B751=0,C751&lt;&gt;0),VLOOKUP(C751,'3 - LISTA DE ESPÉCIES'!C:H,2,FALSE()))))</f>
        <v>0</v>
      </c>
      <c r="I751" s="21" t="b">
        <f>IF(AND(A751&lt;&gt;0,B751=0,C751=0),VLOOKUP(A751,'3 - LISTA DE ESPÉCIES'!A:H,5,FALSE()),IF(AND(A751=0,B751&lt;&gt;0,C751=0),VLOOKUP(B751,'3 - LISTA DE ESPÉCIES'!B:H,4,FALSE()),IF(AND(A751=0,B751=0,C751&lt;&gt;0),VLOOKUP(C751,'3 - LISTA DE ESPÉCIES'!C:H,3,FALSE()))))</f>
        <v>0</v>
      </c>
      <c r="J751" s="23"/>
      <c r="K751" s="23"/>
      <c r="L751" s="20"/>
      <c r="M751" s="20"/>
    </row>
    <row r="752" spans="1:13" x14ac:dyDescent="0.25">
      <c r="A752" s="20"/>
      <c r="B752" s="20"/>
      <c r="C752" s="20"/>
      <c r="E752" s="21" t="b">
        <f>IF(AND(A752&lt;&gt;0,B752=0,C752=0),VLOOKUP(A752,'3 - LISTA DE ESPÉCIES'!A:H,1,FALSE()),IF(AND(A752=0,B752&lt;&gt;0,C752=0),VLOOKUP(B752,'3 - LISTA DE ESPÉCIES'!B:H,5,FALSE()),IF(AND(A752=0,B752=0,C752&lt;&gt;0),VLOOKUP(C752,'3 - LISTA DE ESPÉCIES'!C:H,4,FALSE()))))</f>
        <v>0</v>
      </c>
      <c r="F752" s="21" t="b">
        <f>IF(AND(A752&lt;&gt;0,B752=0,C752=0),VLOOKUP(A752,'3 - LISTA DE ESPÉCIES'!A:H,2,FALSE()),IF(AND(A752=0,B752&lt;&gt;0,C752=0),VLOOKUP(B752,'3 - LISTA DE ESPÉCIES'!B:H,6,FALSE()),IF(AND(A752=0,B752=0,C752&lt;&gt;0),VLOOKUP(C752,'3 - LISTA DE ESPÉCIES'!C:H,5,FALSE()))))</f>
        <v>0</v>
      </c>
      <c r="G752" s="21" t="b">
        <f>IF(AND(A752&lt;&gt;0,B752=0,C752=0),VLOOKUP(A752,'3 - LISTA DE ESPÉCIES'!A:H,3,FALSE()),IF(AND(A752=0,B752&lt;&gt;0,C752=0),VLOOKUP(B752,'3 - LISTA DE ESPÉCIES'!B:H,7,FALSE()),IF(AND(A752=0,B752=0,C752&lt;&gt;0),VLOOKUP(C752,'3 - LISTA DE ESPÉCIES'!C:H,6,FALSE()))))</f>
        <v>0</v>
      </c>
      <c r="H752" s="21" t="b">
        <f>IF(AND(A752&lt;&gt;0,B752=0,C752=0),VLOOKUP(A752,'3 - LISTA DE ESPÉCIES'!A:H,4,FALSE()),IF(AND(A752=0,B752&lt;&gt;0,C752=0),VLOOKUP(B752,'3 - LISTA DE ESPÉCIES'!B:H,3,FALSE()),IF(AND(A752=0,B752=0,C752&lt;&gt;0),VLOOKUP(C752,'3 - LISTA DE ESPÉCIES'!C:H,2,FALSE()))))</f>
        <v>0</v>
      </c>
      <c r="I752" s="21" t="b">
        <f>IF(AND(A752&lt;&gt;0,B752=0,C752=0),VLOOKUP(A752,'3 - LISTA DE ESPÉCIES'!A:H,5,FALSE()),IF(AND(A752=0,B752&lt;&gt;0,C752=0),VLOOKUP(B752,'3 - LISTA DE ESPÉCIES'!B:H,4,FALSE()),IF(AND(A752=0,B752=0,C752&lt;&gt;0),VLOOKUP(C752,'3 - LISTA DE ESPÉCIES'!C:H,3,FALSE()))))</f>
        <v>0</v>
      </c>
      <c r="J752" s="23"/>
      <c r="K752" s="23"/>
      <c r="L752" s="20"/>
      <c r="M752" s="20"/>
    </row>
    <row r="753" spans="1:13" x14ac:dyDescent="0.25">
      <c r="A753" s="20"/>
      <c r="B753" s="20"/>
      <c r="C753" s="20"/>
      <c r="E753" s="21" t="b">
        <f>IF(AND(A753&lt;&gt;0,B753=0,C753=0),VLOOKUP(A753,'3 - LISTA DE ESPÉCIES'!A:H,1,FALSE()),IF(AND(A753=0,B753&lt;&gt;0,C753=0),VLOOKUP(B753,'3 - LISTA DE ESPÉCIES'!B:H,5,FALSE()),IF(AND(A753=0,B753=0,C753&lt;&gt;0),VLOOKUP(C753,'3 - LISTA DE ESPÉCIES'!C:H,4,FALSE()))))</f>
        <v>0</v>
      </c>
      <c r="F753" s="21" t="b">
        <f>IF(AND(A753&lt;&gt;0,B753=0,C753=0),VLOOKUP(A753,'3 - LISTA DE ESPÉCIES'!A:H,2,FALSE()),IF(AND(A753=0,B753&lt;&gt;0,C753=0),VLOOKUP(B753,'3 - LISTA DE ESPÉCIES'!B:H,6,FALSE()),IF(AND(A753=0,B753=0,C753&lt;&gt;0),VLOOKUP(C753,'3 - LISTA DE ESPÉCIES'!C:H,5,FALSE()))))</f>
        <v>0</v>
      </c>
      <c r="G753" s="21" t="b">
        <f>IF(AND(A753&lt;&gt;0,B753=0,C753=0),VLOOKUP(A753,'3 - LISTA DE ESPÉCIES'!A:H,3,FALSE()),IF(AND(A753=0,B753&lt;&gt;0,C753=0),VLOOKUP(B753,'3 - LISTA DE ESPÉCIES'!B:H,7,FALSE()),IF(AND(A753=0,B753=0,C753&lt;&gt;0),VLOOKUP(C753,'3 - LISTA DE ESPÉCIES'!C:H,6,FALSE()))))</f>
        <v>0</v>
      </c>
      <c r="H753" s="21" t="b">
        <f>IF(AND(A753&lt;&gt;0,B753=0,C753=0),VLOOKUP(A753,'3 - LISTA DE ESPÉCIES'!A:H,4,FALSE()),IF(AND(A753=0,B753&lt;&gt;0,C753=0),VLOOKUP(B753,'3 - LISTA DE ESPÉCIES'!B:H,3,FALSE()),IF(AND(A753=0,B753=0,C753&lt;&gt;0),VLOOKUP(C753,'3 - LISTA DE ESPÉCIES'!C:H,2,FALSE()))))</f>
        <v>0</v>
      </c>
      <c r="I753" s="21" t="b">
        <f>IF(AND(A753&lt;&gt;0,B753=0,C753=0),VLOOKUP(A753,'3 - LISTA DE ESPÉCIES'!A:H,5,FALSE()),IF(AND(A753=0,B753&lt;&gt;0,C753=0),VLOOKUP(B753,'3 - LISTA DE ESPÉCIES'!B:H,4,FALSE()),IF(AND(A753=0,B753=0,C753&lt;&gt;0),VLOOKUP(C753,'3 - LISTA DE ESPÉCIES'!C:H,3,FALSE()))))</f>
        <v>0</v>
      </c>
      <c r="J753" s="23"/>
      <c r="K753" s="23"/>
      <c r="L753" s="20"/>
      <c r="M753" s="20"/>
    </row>
    <row r="754" spans="1:13" x14ac:dyDescent="0.25">
      <c r="A754" s="20"/>
      <c r="B754" s="20"/>
      <c r="C754" s="20"/>
      <c r="E754" s="21" t="b">
        <f>IF(AND(A754&lt;&gt;0,B754=0,C754=0),VLOOKUP(A754,'3 - LISTA DE ESPÉCIES'!A:H,1,FALSE()),IF(AND(A754=0,B754&lt;&gt;0,C754=0),VLOOKUP(B754,'3 - LISTA DE ESPÉCIES'!B:H,5,FALSE()),IF(AND(A754=0,B754=0,C754&lt;&gt;0),VLOOKUP(C754,'3 - LISTA DE ESPÉCIES'!C:H,4,FALSE()))))</f>
        <v>0</v>
      </c>
      <c r="F754" s="21" t="b">
        <f>IF(AND(A754&lt;&gt;0,B754=0,C754=0),VLOOKUP(A754,'3 - LISTA DE ESPÉCIES'!A:H,2,FALSE()),IF(AND(A754=0,B754&lt;&gt;0,C754=0),VLOOKUP(B754,'3 - LISTA DE ESPÉCIES'!B:H,6,FALSE()),IF(AND(A754=0,B754=0,C754&lt;&gt;0),VLOOKUP(C754,'3 - LISTA DE ESPÉCIES'!C:H,5,FALSE()))))</f>
        <v>0</v>
      </c>
      <c r="G754" s="21" t="b">
        <f>IF(AND(A754&lt;&gt;0,B754=0,C754=0),VLOOKUP(A754,'3 - LISTA DE ESPÉCIES'!A:H,3,FALSE()),IF(AND(A754=0,B754&lt;&gt;0,C754=0),VLOOKUP(B754,'3 - LISTA DE ESPÉCIES'!B:H,7,FALSE()),IF(AND(A754=0,B754=0,C754&lt;&gt;0),VLOOKUP(C754,'3 - LISTA DE ESPÉCIES'!C:H,6,FALSE()))))</f>
        <v>0</v>
      </c>
      <c r="H754" s="21" t="b">
        <f>IF(AND(A754&lt;&gt;0,B754=0,C754=0),VLOOKUP(A754,'3 - LISTA DE ESPÉCIES'!A:H,4,FALSE()),IF(AND(A754=0,B754&lt;&gt;0,C754=0),VLOOKUP(B754,'3 - LISTA DE ESPÉCIES'!B:H,3,FALSE()),IF(AND(A754=0,B754=0,C754&lt;&gt;0),VLOOKUP(C754,'3 - LISTA DE ESPÉCIES'!C:H,2,FALSE()))))</f>
        <v>0</v>
      </c>
      <c r="I754" s="21" t="b">
        <f>IF(AND(A754&lt;&gt;0,B754=0,C754=0),VLOOKUP(A754,'3 - LISTA DE ESPÉCIES'!A:H,5,FALSE()),IF(AND(A754=0,B754&lt;&gt;0,C754=0),VLOOKUP(B754,'3 - LISTA DE ESPÉCIES'!B:H,4,FALSE()),IF(AND(A754=0,B754=0,C754&lt;&gt;0),VLOOKUP(C754,'3 - LISTA DE ESPÉCIES'!C:H,3,FALSE()))))</f>
        <v>0</v>
      </c>
      <c r="J754" s="23"/>
      <c r="K754" s="23"/>
      <c r="L754" s="20"/>
      <c r="M754" s="20"/>
    </row>
    <row r="755" spans="1:13" x14ac:dyDescent="0.25">
      <c r="A755" s="20"/>
      <c r="B755" s="20"/>
      <c r="C755" s="20"/>
      <c r="E755" s="21" t="b">
        <f>IF(AND(A755&lt;&gt;0,B755=0,C755=0),VLOOKUP(A755,'3 - LISTA DE ESPÉCIES'!A:H,1,FALSE()),IF(AND(A755=0,B755&lt;&gt;0,C755=0),VLOOKUP(B755,'3 - LISTA DE ESPÉCIES'!B:H,5,FALSE()),IF(AND(A755=0,B755=0,C755&lt;&gt;0),VLOOKUP(C755,'3 - LISTA DE ESPÉCIES'!C:H,4,FALSE()))))</f>
        <v>0</v>
      </c>
      <c r="F755" s="21" t="b">
        <f>IF(AND(A755&lt;&gt;0,B755=0,C755=0),VLOOKUP(A755,'3 - LISTA DE ESPÉCIES'!A:H,2,FALSE()),IF(AND(A755=0,B755&lt;&gt;0,C755=0),VLOOKUP(B755,'3 - LISTA DE ESPÉCIES'!B:H,6,FALSE()),IF(AND(A755=0,B755=0,C755&lt;&gt;0),VLOOKUP(C755,'3 - LISTA DE ESPÉCIES'!C:H,5,FALSE()))))</f>
        <v>0</v>
      </c>
      <c r="G755" s="21" t="b">
        <f>IF(AND(A755&lt;&gt;0,B755=0,C755=0),VLOOKUP(A755,'3 - LISTA DE ESPÉCIES'!A:H,3,FALSE()),IF(AND(A755=0,B755&lt;&gt;0,C755=0),VLOOKUP(B755,'3 - LISTA DE ESPÉCIES'!B:H,7,FALSE()),IF(AND(A755=0,B755=0,C755&lt;&gt;0),VLOOKUP(C755,'3 - LISTA DE ESPÉCIES'!C:H,6,FALSE()))))</f>
        <v>0</v>
      </c>
      <c r="H755" s="21" t="b">
        <f>IF(AND(A755&lt;&gt;0,B755=0,C755=0),VLOOKUP(A755,'3 - LISTA DE ESPÉCIES'!A:H,4,FALSE()),IF(AND(A755=0,B755&lt;&gt;0,C755=0),VLOOKUP(B755,'3 - LISTA DE ESPÉCIES'!B:H,3,FALSE()),IF(AND(A755=0,B755=0,C755&lt;&gt;0),VLOOKUP(C755,'3 - LISTA DE ESPÉCIES'!C:H,2,FALSE()))))</f>
        <v>0</v>
      </c>
      <c r="I755" s="21" t="b">
        <f>IF(AND(A755&lt;&gt;0,B755=0,C755=0),VLOOKUP(A755,'3 - LISTA DE ESPÉCIES'!A:H,5,FALSE()),IF(AND(A755=0,B755&lt;&gt;0,C755=0),VLOOKUP(B755,'3 - LISTA DE ESPÉCIES'!B:H,4,FALSE()),IF(AND(A755=0,B755=0,C755&lt;&gt;0),VLOOKUP(C755,'3 - LISTA DE ESPÉCIES'!C:H,3,FALSE()))))</f>
        <v>0</v>
      </c>
      <c r="J755" s="23"/>
      <c r="K755" s="23"/>
      <c r="L755" s="20"/>
      <c r="M755" s="20"/>
    </row>
    <row r="756" spans="1:13" x14ac:dyDescent="0.25">
      <c r="A756" s="20"/>
      <c r="B756" s="20"/>
      <c r="C756" s="20"/>
      <c r="E756" s="21" t="b">
        <f>IF(AND(A756&lt;&gt;0,B756=0,C756=0),VLOOKUP(A756,'3 - LISTA DE ESPÉCIES'!A:H,1,FALSE()),IF(AND(A756=0,B756&lt;&gt;0,C756=0),VLOOKUP(B756,'3 - LISTA DE ESPÉCIES'!B:H,5,FALSE()),IF(AND(A756=0,B756=0,C756&lt;&gt;0),VLOOKUP(C756,'3 - LISTA DE ESPÉCIES'!C:H,4,FALSE()))))</f>
        <v>0</v>
      </c>
      <c r="F756" s="21" t="b">
        <f>IF(AND(A756&lt;&gt;0,B756=0,C756=0),VLOOKUP(A756,'3 - LISTA DE ESPÉCIES'!A:H,2,FALSE()),IF(AND(A756=0,B756&lt;&gt;0,C756=0),VLOOKUP(B756,'3 - LISTA DE ESPÉCIES'!B:H,6,FALSE()),IF(AND(A756=0,B756=0,C756&lt;&gt;0),VLOOKUP(C756,'3 - LISTA DE ESPÉCIES'!C:H,5,FALSE()))))</f>
        <v>0</v>
      </c>
      <c r="G756" s="21" t="b">
        <f>IF(AND(A756&lt;&gt;0,B756=0,C756=0),VLOOKUP(A756,'3 - LISTA DE ESPÉCIES'!A:H,3,FALSE()),IF(AND(A756=0,B756&lt;&gt;0,C756=0),VLOOKUP(B756,'3 - LISTA DE ESPÉCIES'!B:H,7,FALSE()),IF(AND(A756=0,B756=0,C756&lt;&gt;0),VLOOKUP(C756,'3 - LISTA DE ESPÉCIES'!C:H,6,FALSE()))))</f>
        <v>0</v>
      </c>
      <c r="H756" s="21" t="b">
        <f>IF(AND(A756&lt;&gt;0,B756=0,C756=0),VLOOKUP(A756,'3 - LISTA DE ESPÉCIES'!A:H,4,FALSE()),IF(AND(A756=0,B756&lt;&gt;0,C756=0),VLOOKUP(B756,'3 - LISTA DE ESPÉCIES'!B:H,3,FALSE()),IF(AND(A756=0,B756=0,C756&lt;&gt;0),VLOOKUP(C756,'3 - LISTA DE ESPÉCIES'!C:H,2,FALSE()))))</f>
        <v>0</v>
      </c>
      <c r="I756" s="21" t="b">
        <f>IF(AND(A756&lt;&gt;0,B756=0,C756=0),VLOOKUP(A756,'3 - LISTA DE ESPÉCIES'!A:H,5,FALSE()),IF(AND(A756=0,B756&lt;&gt;0,C756=0),VLOOKUP(B756,'3 - LISTA DE ESPÉCIES'!B:H,4,FALSE()),IF(AND(A756=0,B756=0,C756&lt;&gt;0),VLOOKUP(C756,'3 - LISTA DE ESPÉCIES'!C:H,3,FALSE()))))</f>
        <v>0</v>
      </c>
      <c r="J756" s="23"/>
      <c r="K756" s="23"/>
      <c r="L756" s="20"/>
      <c r="M756" s="20"/>
    </row>
    <row r="757" spans="1:13" x14ac:dyDescent="0.25">
      <c r="A757" s="20"/>
      <c r="B757" s="20"/>
      <c r="C757" s="20"/>
      <c r="E757" s="21" t="b">
        <f>IF(AND(A757&lt;&gt;0,B757=0,C757=0),VLOOKUP(A757,'3 - LISTA DE ESPÉCIES'!A:H,1,FALSE()),IF(AND(A757=0,B757&lt;&gt;0,C757=0),VLOOKUP(B757,'3 - LISTA DE ESPÉCIES'!B:H,5,FALSE()),IF(AND(A757=0,B757=0,C757&lt;&gt;0),VLOOKUP(C757,'3 - LISTA DE ESPÉCIES'!C:H,4,FALSE()))))</f>
        <v>0</v>
      </c>
      <c r="F757" s="21" t="b">
        <f>IF(AND(A757&lt;&gt;0,B757=0,C757=0),VLOOKUP(A757,'3 - LISTA DE ESPÉCIES'!A:H,2,FALSE()),IF(AND(A757=0,B757&lt;&gt;0,C757=0),VLOOKUP(B757,'3 - LISTA DE ESPÉCIES'!B:H,6,FALSE()),IF(AND(A757=0,B757=0,C757&lt;&gt;0),VLOOKUP(C757,'3 - LISTA DE ESPÉCIES'!C:H,5,FALSE()))))</f>
        <v>0</v>
      </c>
      <c r="G757" s="21" t="b">
        <f>IF(AND(A757&lt;&gt;0,B757=0,C757=0),VLOOKUP(A757,'3 - LISTA DE ESPÉCIES'!A:H,3,FALSE()),IF(AND(A757=0,B757&lt;&gt;0,C757=0),VLOOKUP(B757,'3 - LISTA DE ESPÉCIES'!B:H,7,FALSE()),IF(AND(A757=0,B757=0,C757&lt;&gt;0),VLOOKUP(C757,'3 - LISTA DE ESPÉCIES'!C:H,6,FALSE()))))</f>
        <v>0</v>
      </c>
      <c r="H757" s="21" t="b">
        <f>IF(AND(A757&lt;&gt;0,B757=0,C757=0),VLOOKUP(A757,'3 - LISTA DE ESPÉCIES'!A:H,4,FALSE()),IF(AND(A757=0,B757&lt;&gt;0,C757=0),VLOOKUP(B757,'3 - LISTA DE ESPÉCIES'!B:H,3,FALSE()),IF(AND(A757=0,B757=0,C757&lt;&gt;0),VLOOKUP(C757,'3 - LISTA DE ESPÉCIES'!C:H,2,FALSE()))))</f>
        <v>0</v>
      </c>
      <c r="I757" s="21" t="b">
        <f>IF(AND(A757&lt;&gt;0,B757=0,C757=0),VLOOKUP(A757,'3 - LISTA DE ESPÉCIES'!A:H,5,FALSE()),IF(AND(A757=0,B757&lt;&gt;0,C757=0),VLOOKUP(B757,'3 - LISTA DE ESPÉCIES'!B:H,4,FALSE()),IF(AND(A757=0,B757=0,C757&lt;&gt;0),VLOOKUP(C757,'3 - LISTA DE ESPÉCIES'!C:H,3,FALSE()))))</f>
        <v>0</v>
      </c>
      <c r="J757" s="23"/>
      <c r="K757" s="23"/>
      <c r="L757" s="20"/>
      <c r="M757" s="20"/>
    </row>
    <row r="758" spans="1:13" x14ac:dyDescent="0.25">
      <c r="A758" s="20"/>
      <c r="B758" s="20"/>
      <c r="C758" s="20"/>
      <c r="E758" s="21" t="b">
        <f>IF(AND(A758&lt;&gt;0,B758=0,C758=0),VLOOKUP(A758,'3 - LISTA DE ESPÉCIES'!A:H,1,FALSE()),IF(AND(A758=0,B758&lt;&gt;0,C758=0),VLOOKUP(B758,'3 - LISTA DE ESPÉCIES'!B:H,5,FALSE()),IF(AND(A758=0,B758=0,C758&lt;&gt;0),VLOOKUP(C758,'3 - LISTA DE ESPÉCIES'!C:H,4,FALSE()))))</f>
        <v>0</v>
      </c>
      <c r="F758" s="21" t="b">
        <f>IF(AND(A758&lt;&gt;0,B758=0,C758=0),VLOOKUP(A758,'3 - LISTA DE ESPÉCIES'!A:H,2,FALSE()),IF(AND(A758=0,B758&lt;&gt;0,C758=0),VLOOKUP(B758,'3 - LISTA DE ESPÉCIES'!B:H,6,FALSE()),IF(AND(A758=0,B758=0,C758&lt;&gt;0),VLOOKUP(C758,'3 - LISTA DE ESPÉCIES'!C:H,5,FALSE()))))</f>
        <v>0</v>
      </c>
      <c r="G758" s="21" t="b">
        <f>IF(AND(A758&lt;&gt;0,B758=0,C758=0),VLOOKUP(A758,'3 - LISTA DE ESPÉCIES'!A:H,3,FALSE()),IF(AND(A758=0,B758&lt;&gt;0,C758=0),VLOOKUP(B758,'3 - LISTA DE ESPÉCIES'!B:H,7,FALSE()),IF(AND(A758=0,B758=0,C758&lt;&gt;0),VLOOKUP(C758,'3 - LISTA DE ESPÉCIES'!C:H,6,FALSE()))))</f>
        <v>0</v>
      </c>
      <c r="H758" s="21" t="b">
        <f>IF(AND(A758&lt;&gt;0,B758=0,C758=0),VLOOKUP(A758,'3 - LISTA DE ESPÉCIES'!A:H,4,FALSE()),IF(AND(A758=0,B758&lt;&gt;0,C758=0),VLOOKUP(B758,'3 - LISTA DE ESPÉCIES'!B:H,3,FALSE()),IF(AND(A758=0,B758=0,C758&lt;&gt;0),VLOOKUP(C758,'3 - LISTA DE ESPÉCIES'!C:H,2,FALSE()))))</f>
        <v>0</v>
      </c>
      <c r="I758" s="21" t="b">
        <f>IF(AND(A758&lt;&gt;0,B758=0,C758=0),VLOOKUP(A758,'3 - LISTA DE ESPÉCIES'!A:H,5,FALSE()),IF(AND(A758=0,B758&lt;&gt;0,C758=0),VLOOKUP(B758,'3 - LISTA DE ESPÉCIES'!B:H,4,FALSE()),IF(AND(A758=0,B758=0,C758&lt;&gt;0),VLOOKUP(C758,'3 - LISTA DE ESPÉCIES'!C:H,3,FALSE()))))</f>
        <v>0</v>
      </c>
      <c r="J758" s="23"/>
      <c r="K758" s="23"/>
      <c r="L758" s="20"/>
      <c r="M758" s="20"/>
    </row>
    <row r="759" spans="1:13" x14ac:dyDescent="0.25">
      <c r="A759" s="20"/>
      <c r="B759" s="20"/>
      <c r="C759" s="20"/>
      <c r="E759" s="21" t="b">
        <f>IF(AND(A759&lt;&gt;0,B759=0,C759=0),VLOOKUP(A759,'3 - LISTA DE ESPÉCIES'!A:H,1,FALSE()),IF(AND(A759=0,B759&lt;&gt;0,C759=0),VLOOKUP(B759,'3 - LISTA DE ESPÉCIES'!B:H,5,FALSE()),IF(AND(A759=0,B759=0,C759&lt;&gt;0),VLOOKUP(C759,'3 - LISTA DE ESPÉCIES'!C:H,4,FALSE()))))</f>
        <v>0</v>
      </c>
      <c r="F759" s="21" t="b">
        <f>IF(AND(A759&lt;&gt;0,B759=0,C759=0),VLOOKUP(A759,'3 - LISTA DE ESPÉCIES'!A:H,2,FALSE()),IF(AND(A759=0,B759&lt;&gt;0,C759=0),VLOOKUP(B759,'3 - LISTA DE ESPÉCIES'!B:H,6,FALSE()),IF(AND(A759=0,B759=0,C759&lt;&gt;0),VLOOKUP(C759,'3 - LISTA DE ESPÉCIES'!C:H,5,FALSE()))))</f>
        <v>0</v>
      </c>
      <c r="G759" s="21" t="b">
        <f>IF(AND(A759&lt;&gt;0,B759=0,C759=0),VLOOKUP(A759,'3 - LISTA DE ESPÉCIES'!A:H,3,FALSE()),IF(AND(A759=0,B759&lt;&gt;0,C759=0),VLOOKUP(B759,'3 - LISTA DE ESPÉCIES'!B:H,7,FALSE()),IF(AND(A759=0,B759=0,C759&lt;&gt;0),VLOOKUP(C759,'3 - LISTA DE ESPÉCIES'!C:H,6,FALSE()))))</f>
        <v>0</v>
      </c>
      <c r="H759" s="21" t="b">
        <f>IF(AND(A759&lt;&gt;0,B759=0,C759=0),VLOOKUP(A759,'3 - LISTA DE ESPÉCIES'!A:H,4,FALSE()),IF(AND(A759=0,B759&lt;&gt;0,C759=0),VLOOKUP(B759,'3 - LISTA DE ESPÉCIES'!B:H,3,FALSE()),IF(AND(A759=0,B759=0,C759&lt;&gt;0),VLOOKUP(C759,'3 - LISTA DE ESPÉCIES'!C:H,2,FALSE()))))</f>
        <v>0</v>
      </c>
      <c r="I759" s="21" t="b">
        <f>IF(AND(A759&lt;&gt;0,B759=0,C759=0),VLOOKUP(A759,'3 - LISTA DE ESPÉCIES'!A:H,5,FALSE()),IF(AND(A759=0,B759&lt;&gt;0,C759=0),VLOOKUP(B759,'3 - LISTA DE ESPÉCIES'!B:H,4,FALSE()),IF(AND(A759=0,B759=0,C759&lt;&gt;0),VLOOKUP(C759,'3 - LISTA DE ESPÉCIES'!C:H,3,FALSE()))))</f>
        <v>0</v>
      </c>
      <c r="J759" s="23"/>
      <c r="K759" s="23"/>
      <c r="L759" s="20"/>
      <c r="M759" s="20"/>
    </row>
    <row r="760" spans="1:13" x14ac:dyDescent="0.25">
      <c r="A760" s="20"/>
      <c r="B760" s="20"/>
      <c r="C760" s="20"/>
      <c r="E760" s="21" t="b">
        <f>IF(AND(A760&lt;&gt;0,B760=0,C760=0),VLOOKUP(A760,'3 - LISTA DE ESPÉCIES'!A:H,1,FALSE()),IF(AND(A760=0,B760&lt;&gt;0,C760=0),VLOOKUP(B760,'3 - LISTA DE ESPÉCIES'!B:H,5,FALSE()),IF(AND(A760=0,B760=0,C760&lt;&gt;0),VLOOKUP(C760,'3 - LISTA DE ESPÉCIES'!C:H,4,FALSE()))))</f>
        <v>0</v>
      </c>
      <c r="F760" s="21" t="b">
        <f>IF(AND(A760&lt;&gt;0,B760=0,C760=0),VLOOKUP(A760,'3 - LISTA DE ESPÉCIES'!A:H,2,FALSE()),IF(AND(A760=0,B760&lt;&gt;0,C760=0),VLOOKUP(B760,'3 - LISTA DE ESPÉCIES'!B:H,6,FALSE()),IF(AND(A760=0,B760=0,C760&lt;&gt;0),VLOOKUP(C760,'3 - LISTA DE ESPÉCIES'!C:H,5,FALSE()))))</f>
        <v>0</v>
      </c>
      <c r="G760" s="21" t="b">
        <f>IF(AND(A760&lt;&gt;0,B760=0,C760=0),VLOOKUP(A760,'3 - LISTA DE ESPÉCIES'!A:H,3,FALSE()),IF(AND(A760=0,B760&lt;&gt;0,C760=0),VLOOKUP(B760,'3 - LISTA DE ESPÉCIES'!B:H,7,FALSE()),IF(AND(A760=0,B760=0,C760&lt;&gt;0),VLOOKUP(C760,'3 - LISTA DE ESPÉCIES'!C:H,6,FALSE()))))</f>
        <v>0</v>
      </c>
      <c r="H760" s="21" t="b">
        <f>IF(AND(A760&lt;&gt;0,B760=0,C760=0),VLOOKUP(A760,'3 - LISTA DE ESPÉCIES'!A:H,4,FALSE()),IF(AND(A760=0,B760&lt;&gt;0,C760=0),VLOOKUP(B760,'3 - LISTA DE ESPÉCIES'!B:H,3,FALSE()),IF(AND(A760=0,B760=0,C760&lt;&gt;0),VLOOKUP(C760,'3 - LISTA DE ESPÉCIES'!C:H,2,FALSE()))))</f>
        <v>0</v>
      </c>
      <c r="I760" s="21" t="b">
        <f>IF(AND(A760&lt;&gt;0,B760=0,C760=0),VLOOKUP(A760,'3 - LISTA DE ESPÉCIES'!A:H,5,FALSE()),IF(AND(A760=0,B760&lt;&gt;0,C760=0),VLOOKUP(B760,'3 - LISTA DE ESPÉCIES'!B:H,4,FALSE()),IF(AND(A760=0,B760=0,C760&lt;&gt;0),VLOOKUP(C760,'3 - LISTA DE ESPÉCIES'!C:H,3,FALSE()))))</f>
        <v>0</v>
      </c>
      <c r="J760" s="23"/>
      <c r="K760" s="23"/>
      <c r="L760" s="20"/>
      <c r="M760" s="20"/>
    </row>
    <row r="761" spans="1:13" x14ac:dyDescent="0.25">
      <c r="A761" s="20"/>
      <c r="B761" s="20"/>
      <c r="C761" s="20"/>
      <c r="E761" s="21" t="b">
        <f>IF(AND(A761&lt;&gt;0,B761=0,C761=0),VLOOKUP(A761,'3 - LISTA DE ESPÉCIES'!A:H,1,FALSE()),IF(AND(A761=0,B761&lt;&gt;0,C761=0),VLOOKUP(B761,'3 - LISTA DE ESPÉCIES'!B:H,5,FALSE()),IF(AND(A761=0,B761=0,C761&lt;&gt;0),VLOOKUP(C761,'3 - LISTA DE ESPÉCIES'!C:H,4,FALSE()))))</f>
        <v>0</v>
      </c>
      <c r="F761" s="21" t="b">
        <f>IF(AND(A761&lt;&gt;0,B761=0,C761=0),VLOOKUP(A761,'3 - LISTA DE ESPÉCIES'!A:H,2,FALSE()),IF(AND(A761=0,B761&lt;&gt;0,C761=0),VLOOKUP(B761,'3 - LISTA DE ESPÉCIES'!B:H,6,FALSE()),IF(AND(A761=0,B761=0,C761&lt;&gt;0),VLOOKUP(C761,'3 - LISTA DE ESPÉCIES'!C:H,5,FALSE()))))</f>
        <v>0</v>
      </c>
      <c r="G761" s="21" t="b">
        <f>IF(AND(A761&lt;&gt;0,B761=0,C761=0),VLOOKUP(A761,'3 - LISTA DE ESPÉCIES'!A:H,3,FALSE()),IF(AND(A761=0,B761&lt;&gt;0,C761=0),VLOOKUP(B761,'3 - LISTA DE ESPÉCIES'!B:H,7,FALSE()),IF(AND(A761=0,B761=0,C761&lt;&gt;0),VLOOKUP(C761,'3 - LISTA DE ESPÉCIES'!C:H,6,FALSE()))))</f>
        <v>0</v>
      </c>
      <c r="H761" s="21" t="b">
        <f>IF(AND(A761&lt;&gt;0,B761=0,C761=0),VLOOKUP(A761,'3 - LISTA DE ESPÉCIES'!A:H,4,FALSE()),IF(AND(A761=0,B761&lt;&gt;0,C761=0),VLOOKUP(B761,'3 - LISTA DE ESPÉCIES'!B:H,3,FALSE()),IF(AND(A761=0,B761=0,C761&lt;&gt;0),VLOOKUP(C761,'3 - LISTA DE ESPÉCIES'!C:H,2,FALSE()))))</f>
        <v>0</v>
      </c>
      <c r="I761" s="21" t="b">
        <f>IF(AND(A761&lt;&gt;0,B761=0,C761=0),VLOOKUP(A761,'3 - LISTA DE ESPÉCIES'!A:H,5,FALSE()),IF(AND(A761=0,B761&lt;&gt;0,C761=0),VLOOKUP(B761,'3 - LISTA DE ESPÉCIES'!B:H,4,FALSE()),IF(AND(A761=0,B761=0,C761&lt;&gt;0),VLOOKUP(C761,'3 - LISTA DE ESPÉCIES'!C:H,3,FALSE()))))</f>
        <v>0</v>
      </c>
      <c r="J761" s="23"/>
      <c r="K761" s="23"/>
      <c r="L761" s="20"/>
      <c r="M761" s="20"/>
    </row>
    <row r="762" spans="1:13" x14ac:dyDescent="0.25">
      <c r="A762" s="20"/>
      <c r="B762" s="20"/>
      <c r="C762" s="20"/>
      <c r="E762" s="21" t="b">
        <f>IF(AND(A762&lt;&gt;0,B762=0,C762=0),VLOOKUP(A762,'3 - LISTA DE ESPÉCIES'!A:H,1,FALSE()),IF(AND(A762=0,B762&lt;&gt;0,C762=0),VLOOKUP(B762,'3 - LISTA DE ESPÉCIES'!B:H,5,FALSE()),IF(AND(A762=0,B762=0,C762&lt;&gt;0),VLOOKUP(C762,'3 - LISTA DE ESPÉCIES'!C:H,4,FALSE()))))</f>
        <v>0</v>
      </c>
      <c r="F762" s="21" t="b">
        <f>IF(AND(A762&lt;&gt;0,B762=0,C762=0),VLOOKUP(A762,'3 - LISTA DE ESPÉCIES'!A:H,2,FALSE()),IF(AND(A762=0,B762&lt;&gt;0,C762=0),VLOOKUP(B762,'3 - LISTA DE ESPÉCIES'!B:H,6,FALSE()),IF(AND(A762=0,B762=0,C762&lt;&gt;0),VLOOKUP(C762,'3 - LISTA DE ESPÉCIES'!C:H,5,FALSE()))))</f>
        <v>0</v>
      </c>
      <c r="G762" s="21" t="b">
        <f>IF(AND(A762&lt;&gt;0,B762=0,C762=0),VLOOKUP(A762,'3 - LISTA DE ESPÉCIES'!A:H,3,FALSE()),IF(AND(A762=0,B762&lt;&gt;0,C762=0),VLOOKUP(B762,'3 - LISTA DE ESPÉCIES'!B:H,7,FALSE()),IF(AND(A762=0,B762=0,C762&lt;&gt;0),VLOOKUP(C762,'3 - LISTA DE ESPÉCIES'!C:H,6,FALSE()))))</f>
        <v>0</v>
      </c>
      <c r="H762" s="21" t="b">
        <f>IF(AND(A762&lt;&gt;0,B762=0,C762=0),VLOOKUP(A762,'3 - LISTA DE ESPÉCIES'!A:H,4,FALSE()),IF(AND(A762=0,B762&lt;&gt;0,C762=0),VLOOKUP(B762,'3 - LISTA DE ESPÉCIES'!B:H,3,FALSE()),IF(AND(A762=0,B762=0,C762&lt;&gt;0),VLOOKUP(C762,'3 - LISTA DE ESPÉCIES'!C:H,2,FALSE()))))</f>
        <v>0</v>
      </c>
      <c r="I762" s="21" t="b">
        <f>IF(AND(A762&lt;&gt;0,B762=0,C762=0),VLOOKUP(A762,'3 - LISTA DE ESPÉCIES'!A:H,5,FALSE()),IF(AND(A762=0,B762&lt;&gt;0,C762=0),VLOOKUP(B762,'3 - LISTA DE ESPÉCIES'!B:H,4,FALSE()),IF(AND(A762=0,B762=0,C762&lt;&gt;0),VLOOKUP(C762,'3 - LISTA DE ESPÉCIES'!C:H,3,FALSE()))))</f>
        <v>0</v>
      </c>
      <c r="J762" s="23"/>
      <c r="K762" s="23"/>
      <c r="L762" s="20"/>
      <c r="M762" s="20"/>
    </row>
    <row r="763" spans="1:13" x14ac:dyDescent="0.25">
      <c r="A763" s="20"/>
      <c r="B763" s="20"/>
      <c r="C763" s="20"/>
      <c r="E763" s="21" t="b">
        <f>IF(AND(A763&lt;&gt;0,B763=0,C763=0),VLOOKUP(A763,'3 - LISTA DE ESPÉCIES'!A:H,1,FALSE()),IF(AND(A763=0,B763&lt;&gt;0,C763=0),VLOOKUP(B763,'3 - LISTA DE ESPÉCIES'!B:H,5,FALSE()),IF(AND(A763=0,B763=0,C763&lt;&gt;0),VLOOKUP(C763,'3 - LISTA DE ESPÉCIES'!C:H,4,FALSE()))))</f>
        <v>0</v>
      </c>
      <c r="F763" s="21" t="b">
        <f>IF(AND(A763&lt;&gt;0,B763=0,C763=0),VLOOKUP(A763,'3 - LISTA DE ESPÉCIES'!A:H,2,FALSE()),IF(AND(A763=0,B763&lt;&gt;0,C763=0),VLOOKUP(B763,'3 - LISTA DE ESPÉCIES'!B:H,6,FALSE()),IF(AND(A763=0,B763=0,C763&lt;&gt;0),VLOOKUP(C763,'3 - LISTA DE ESPÉCIES'!C:H,5,FALSE()))))</f>
        <v>0</v>
      </c>
      <c r="G763" s="21" t="b">
        <f>IF(AND(A763&lt;&gt;0,B763=0,C763=0),VLOOKUP(A763,'3 - LISTA DE ESPÉCIES'!A:H,3,FALSE()),IF(AND(A763=0,B763&lt;&gt;0,C763=0),VLOOKUP(B763,'3 - LISTA DE ESPÉCIES'!B:H,7,FALSE()),IF(AND(A763=0,B763=0,C763&lt;&gt;0),VLOOKUP(C763,'3 - LISTA DE ESPÉCIES'!C:H,6,FALSE()))))</f>
        <v>0</v>
      </c>
      <c r="H763" s="21" t="b">
        <f>IF(AND(A763&lt;&gt;0,B763=0,C763=0),VLOOKUP(A763,'3 - LISTA DE ESPÉCIES'!A:H,4,FALSE()),IF(AND(A763=0,B763&lt;&gt;0,C763=0),VLOOKUP(B763,'3 - LISTA DE ESPÉCIES'!B:H,3,FALSE()),IF(AND(A763=0,B763=0,C763&lt;&gt;0),VLOOKUP(C763,'3 - LISTA DE ESPÉCIES'!C:H,2,FALSE()))))</f>
        <v>0</v>
      </c>
      <c r="I763" s="21" t="b">
        <f>IF(AND(A763&lt;&gt;0,B763=0,C763=0),VLOOKUP(A763,'3 - LISTA DE ESPÉCIES'!A:H,5,FALSE()),IF(AND(A763=0,B763&lt;&gt;0,C763=0),VLOOKUP(B763,'3 - LISTA DE ESPÉCIES'!B:H,4,FALSE()),IF(AND(A763=0,B763=0,C763&lt;&gt;0),VLOOKUP(C763,'3 - LISTA DE ESPÉCIES'!C:H,3,FALSE()))))</f>
        <v>0</v>
      </c>
      <c r="J763" s="23"/>
      <c r="K763" s="23"/>
      <c r="L763" s="20"/>
      <c r="M763" s="20"/>
    </row>
    <row r="764" spans="1:13" x14ac:dyDescent="0.25">
      <c r="A764" s="20"/>
      <c r="B764" s="20"/>
      <c r="C764" s="20"/>
      <c r="E764" s="21" t="b">
        <f>IF(AND(A764&lt;&gt;0,B764=0,C764=0),VLOOKUP(A764,'3 - LISTA DE ESPÉCIES'!A:H,1,FALSE()),IF(AND(A764=0,B764&lt;&gt;0,C764=0),VLOOKUP(B764,'3 - LISTA DE ESPÉCIES'!B:H,5,FALSE()),IF(AND(A764=0,B764=0,C764&lt;&gt;0),VLOOKUP(C764,'3 - LISTA DE ESPÉCIES'!C:H,4,FALSE()))))</f>
        <v>0</v>
      </c>
      <c r="F764" s="21" t="b">
        <f>IF(AND(A764&lt;&gt;0,B764=0,C764=0),VLOOKUP(A764,'3 - LISTA DE ESPÉCIES'!A:H,2,FALSE()),IF(AND(A764=0,B764&lt;&gt;0,C764=0),VLOOKUP(B764,'3 - LISTA DE ESPÉCIES'!B:H,6,FALSE()),IF(AND(A764=0,B764=0,C764&lt;&gt;0),VLOOKUP(C764,'3 - LISTA DE ESPÉCIES'!C:H,5,FALSE()))))</f>
        <v>0</v>
      </c>
      <c r="G764" s="21" t="b">
        <f>IF(AND(A764&lt;&gt;0,B764=0,C764=0),VLOOKUP(A764,'3 - LISTA DE ESPÉCIES'!A:H,3,FALSE()),IF(AND(A764=0,B764&lt;&gt;0,C764=0),VLOOKUP(B764,'3 - LISTA DE ESPÉCIES'!B:H,7,FALSE()),IF(AND(A764=0,B764=0,C764&lt;&gt;0),VLOOKUP(C764,'3 - LISTA DE ESPÉCIES'!C:H,6,FALSE()))))</f>
        <v>0</v>
      </c>
      <c r="H764" s="21" t="b">
        <f>IF(AND(A764&lt;&gt;0,B764=0,C764=0),VLOOKUP(A764,'3 - LISTA DE ESPÉCIES'!A:H,4,FALSE()),IF(AND(A764=0,B764&lt;&gt;0,C764=0),VLOOKUP(B764,'3 - LISTA DE ESPÉCIES'!B:H,3,FALSE()),IF(AND(A764=0,B764=0,C764&lt;&gt;0),VLOOKUP(C764,'3 - LISTA DE ESPÉCIES'!C:H,2,FALSE()))))</f>
        <v>0</v>
      </c>
      <c r="I764" s="21" t="b">
        <f>IF(AND(A764&lt;&gt;0,B764=0,C764=0),VLOOKUP(A764,'3 - LISTA DE ESPÉCIES'!A:H,5,FALSE()),IF(AND(A764=0,B764&lt;&gt;0,C764=0),VLOOKUP(B764,'3 - LISTA DE ESPÉCIES'!B:H,4,FALSE()),IF(AND(A764=0,B764=0,C764&lt;&gt;0),VLOOKUP(C764,'3 - LISTA DE ESPÉCIES'!C:H,3,FALSE()))))</f>
        <v>0</v>
      </c>
      <c r="J764" s="23"/>
      <c r="K764" s="23"/>
      <c r="L764" s="20"/>
      <c r="M764" s="20"/>
    </row>
    <row r="765" spans="1:13" x14ac:dyDescent="0.25">
      <c r="A765" s="20"/>
      <c r="B765" s="20"/>
      <c r="C765" s="20"/>
      <c r="E765" s="21" t="b">
        <f>IF(AND(A765&lt;&gt;0,B765=0,C765=0),VLOOKUP(A765,'3 - LISTA DE ESPÉCIES'!A:H,1,FALSE()),IF(AND(A765=0,B765&lt;&gt;0,C765=0),VLOOKUP(B765,'3 - LISTA DE ESPÉCIES'!B:H,5,FALSE()),IF(AND(A765=0,B765=0,C765&lt;&gt;0),VLOOKUP(C765,'3 - LISTA DE ESPÉCIES'!C:H,4,FALSE()))))</f>
        <v>0</v>
      </c>
      <c r="F765" s="21" t="b">
        <f>IF(AND(A765&lt;&gt;0,B765=0,C765=0),VLOOKUP(A765,'3 - LISTA DE ESPÉCIES'!A:H,2,FALSE()),IF(AND(A765=0,B765&lt;&gt;0,C765=0),VLOOKUP(B765,'3 - LISTA DE ESPÉCIES'!B:H,6,FALSE()),IF(AND(A765=0,B765=0,C765&lt;&gt;0),VLOOKUP(C765,'3 - LISTA DE ESPÉCIES'!C:H,5,FALSE()))))</f>
        <v>0</v>
      </c>
      <c r="G765" s="21" t="b">
        <f>IF(AND(A765&lt;&gt;0,B765=0,C765=0),VLOOKUP(A765,'3 - LISTA DE ESPÉCIES'!A:H,3,FALSE()),IF(AND(A765=0,B765&lt;&gt;0,C765=0),VLOOKUP(B765,'3 - LISTA DE ESPÉCIES'!B:H,7,FALSE()),IF(AND(A765=0,B765=0,C765&lt;&gt;0),VLOOKUP(C765,'3 - LISTA DE ESPÉCIES'!C:H,6,FALSE()))))</f>
        <v>0</v>
      </c>
      <c r="H765" s="21" t="b">
        <f>IF(AND(A765&lt;&gt;0,B765=0,C765=0),VLOOKUP(A765,'3 - LISTA DE ESPÉCIES'!A:H,4,FALSE()),IF(AND(A765=0,B765&lt;&gt;0,C765=0),VLOOKUP(B765,'3 - LISTA DE ESPÉCIES'!B:H,3,FALSE()),IF(AND(A765=0,B765=0,C765&lt;&gt;0),VLOOKUP(C765,'3 - LISTA DE ESPÉCIES'!C:H,2,FALSE()))))</f>
        <v>0</v>
      </c>
      <c r="I765" s="21" t="b">
        <f>IF(AND(A765&lt;&gt;0,B765=0,C765=0),VLOOKUP(A765,'3 - LISTA DE ESPÉCIES'!A:H,5,FALSE()),IF(AND(A765=0,B765&lt;&gt;0,C765=0),VLOOKUP(B765,'3 - LISTA DE ESPÉCIES'!B:H,4,FALSE()),IF(AND(A765=0,B765=0,C765&lt;&gt;0),VLOOKUP(C765,'3 - LISTA DE ESPÉCIES'!C:H,3,FALSE()))))</f>
        <v>0</v>
      </c>
      <c r="J765" s="23"/>
      <c r="K765" s="23"/>
      <c r="L765" s="20"/>
      <c r="M765" s="20"/>
    </row>
    <row r="766" spans="1:13" x14ac:dyDescent="0.25">
      <c r="A766" s="20"/>
      <c r="B766" s="20"/>
      <c r="C766" s="20"/>
      <c r="E766" s="21" t="b">
        <f>IF(AND(A766&lt;&gt;0,B766=0,C766=0),VLOOKUP(A766,'3 - LISTA DE ESPÉCIES'!A:H,1,FALSE()),IF(AND(A766=0,B766&lt;&gt;0,C766=0),VLOOKUP(B766,'3 - LISTA DE ESPÉCIES'!B:H,5,FALSE()),IF(AND(A766=0,B766=0,C766&lt;&gt;0),VLOOKUP(C766,'3 - LISTA DE ESPÉCIES'!C:H,4,FALSE()))))</f>
        <v>0</v>
      </c>
      <c r="F766" s="21" t="b">
        <f>IF(AND(A766&lt;&gt;0,B766=0,C766=0),VLOOKUP(A766,'3 - LISTA DE ESPÉCIES'!A:H,2,FALSE()),IF(AND(A766=0,B766&lt;&gt;0,C766=0),VLOOKUP(B766,'3 - LISTA DE ESPÉCIES'!B:H,6,FALSE()),IF(AND(A766=0,B766=0,C766&lt;&gt;0),VLOOKUP(C766,'3 - LISTA DE ESPÉCIES'!C:H,5,FALSE()))))</f>
        <v>0</v>
      </c>
      <c r="G766" s="21" t="b">
        <f>IF(AND(A766&lt;&gt;0,B766=0,C766=0),VLOOKUP(A766,'3 - LISTA DE ESPÉCIES'!A:H,3,FALSE()),IF(AND(A766=0,B766&lt;&gt;0,C766=0),VLOOKUP(B766,'3 - LISTA DE ESPÉCIES'!B:H,7,FALSE()),IF(AND(A766=0,B766=0,C766&lt;&gt;0),VLOOKUP(C766,'3 - LISTA DE ESPÉCIES'!C:H,6,FALSE()))))</f>
        <v>0</v>
      </c>
      <c r="H766" s="21" t="b">
        <f>IF(AND(A766&lt;&gt;0,B766=0,C766=0),VLOOKUP(A766,'3 - LISTA DE ESPÉCIES'!A:H,4,FALSE()),IF(AND(A766=0,B766&lt;&gt;0,C766=0),VLOOKUP(B766,'3 - LISTA DE ESPÉCIES'!B:H,3,FALSE()),IF(AND(A766=0,B766=0,C766&lt;&gt;0),VLOOKUP(C766,'3 - LISTA DE ESPÉCIES'!C:H,2,FALSE()))))</f>
        <v>0</v>
      </c>
      <c r="I766" s="21" t="b">
        <f>IF(AND(A766&lt;&gt;0,B766=0,C766=0),VLOOKUP(A766,'3 - LISTA DE ESPÉCIES'!A:H,5,FALSE()),IF(AND(A766=0,B766&lt;&gt;0,C766=0),VLOOKUP(B766,'3 - LISTA DE ESPÉCIES'!B:H,4,FALSE()),IF(AND(A766=0,B766=0,C766&lt;&gt;0),VLOOKUP(C766,'3 - LISTA DE ESPÉCIES'!C:H,3,FALSE()))))</f>
        <v>0</v>
      </c>
      <c r="J766" s="23"/>
      <c r="K766" s="23"/>
      <c r="L766" s="20"/>
      <c r="M766" s="20"/>
    </row>
    <row r="767" spans="1:13" x14ac:dyDescent="0.25">
      <c r="A767" s="20"/>
      <c r="B767" s="20"/>
      <c r="C767" s="20"/>
      <c r="E767" s="21" t="b">
        <f>IF(AND(A767&lt;&gt;0,B767=0,C767=0),VLOOKUP(A767,'3 - LISTA DE ESPÉCIES'!A:H,1,FALSE()),IF(AND(A767=0,B767&lt;&gt;0,C767=0),VLOOKUP(B767,'3 - LISTA DE ESPÉCIES'!B:H,5,FALSE()),IF(AND(A767=0,B767=0,C767&lt;&gt;0),VLOOKUP(C767,'3 - LISTA DE ESPÉCIES'!C:H,4,FALSE()))))</f>
        <v>0</v>
      </c>
      <c r="F767" s="21" t="b">
        <f>IF(AND(A767&lt;&gt;0,B767=0,C767=0),VLOOKUP(A767,'3 - LISTA DE ESPÉCIES'!A:H,2,FALSE()),IF(AND(A767=0,B767&lt;&gt;0,C767=0),VLOOKUP(B767,'3 - LISTA DE ESPÉCIES'!B:H,6,FALSE()),IF(AND(A767=0,B767=0,C767&lt;&gt;0),VLOOKUP(C767,'3 - LISTA DE ESPÉCIES'!C:H,5,FALSE()))))</f>
        <v>0</v>
      </c>
      <c r="G767" s="21" t="b">
        <f>IF(AND(A767&lt;&gt;0,B767=0,C767=0),VLOOKUP(A767,'3 - LISTA DE ESPÉCIES'!A:H,3,FALSE()),IF(AND(A767=0,B767&lt;&gt;0,C767=0),VLOOKUP(B767,'3 - LISTA DE ESPÉCIES'!B:H,7,FALSE()),IF(AND(A767=0,B767=0,C767&lt;&gt;0),VLOOKUP(C767,'3 - LISTA DE ESPÉCIES'!C:H,6,FALSE()))))</f>
        <v>0</v>
      </c>
      <c r="H767" s="21" t="b">
        <f>IF(AND(A767&lt;&gt;0,B767=0,C767=0),VLOOKUP(A767,'3 - LISTA DE ESPÉCIES'!A:H,4,FALSE()),IF(AND(A767=0,B767&lt;&gt;0,C767=0),VLOOKUP(B767,'3 - LISTA DE ESPÉCIES'!B:H,3,FALSE()),IF(AND(A767=0,B767=0,C767&lt;&gt;0),VLOOKUP(C767,'3 - LISTA DE ESPÉCIES'!C:H,2,FALSE()))))</f>
        <v>0</v>
      </c>
      <c r="I767" s="21" t="b">
        <f>IF(AND(A767&lt;&gt;0,B767=0,C767=0),VLOOKUP(A767,'3 - LISTA DE ESPÉCIES'!A:H,5,FALSE()),IF(AND(A767=0,B767&lt;&gt;0,C767=0),VLOOKUP(B767,'3 - LISTA DE ESPÉCIES'!B:H,4,FALSE()),IF(AND(A767=0,B767=0,C767&lt;&gt;0),VLOOKUP(C767,'3 - LISTA DE ESPÉCIES'!C:H,3,FALSE()))))</f>
        <v>0</v>
      </c>
      <c r="J767" s="23"/>
      <c r="K767" s="23"/>
      <c r="L767" s="20"/>
      <c r="M767" s="20"/>
    </row>
    <row r="768" spans="1:13" x14ac:dyDescent="0.25">
      <c r="A768" s="20"/>
      <c r="B768" s="20"/>
      <c r="C768" s="20"/>
      <c r="E768" s="21" t="b">
        <f>IF(AND(A768&lt;&gt;0,B768=0,C768=0),VLOOKUP(A768,'3 - LISTA DE ESPÉCIES'!A:H,1,FALSE()),IF(AND(A768=0,B768&lt;&gt;0,C768=0),VLOOKUP(B768,'3 - LISTA DE ESPÉCIES'!B:H,5,FALSE()),IF(AND(A768=0,B768=0,C768&lt;&gt;0),VLOOKUP(C768,'3 - LISTA DE ESPÉCIES'!C:H,4,FALSE()))))</f>
        <v>0</v>
      </c>
      <c r="F768" s="21" t="b">
        <f>IF(AND(A768&lt;&gt;0,B768=0,C768=0),VLOOKUP(A768,'3 - LISTA DE ESPÉCIES'!A:H,2,FALSE()),IF(AND(A768=0,B768&lt;&gt;0,C768=0),VLOOKUP(B768,'3 - LISTA DE ESPÉCIES'!B:H,6,FALSE()),IF(AND(A768=0,B768=0,C768&lt;&gt;0),VLOOKUP(C768,'3 - LISTA DE ESPÉCIES'!C:H,5,FALSE()))))</f>
        <v>0</v>
      </c>
      <c r="G768" s="21" t="b">
        <f>IF(AND(A768&lt;&gt;0,B768=0,C768=0),VLOOKUP(A768,'3 - LISTA DE ESPÉCIES'!A:H,3,FALSE()),IF(AND(A768=0,B768&lt;&gt;0,C768=0),VLOOKUP(B768,'3 - LISTA DE ESPÉCIES'!B:H,7,FALSE()),IF(AND(A768=0,B768=0,C768&lt;&gt;0),VLOOKUP(C768,'3 - LISTA DE ESPÉCIES'!C:H,6,FALSE()))))</f>
        <v>0</v>
      </c>
      <c r="H768" s="21" t="b">
        <f>IF(AND(A768&lt;&gt;0,B768=0,C768=0),VLOOKUP(A768,'3 - LISTA DE ESPÉCIES'!A:H,4,FALSE()),IF(AND(A768=0,B768&lt;&gt;0,C768=0),VLOOKUP(B768,'3 - LISTA DE ESPÉCIES'!B:H,3,FALSE()),IF(AND(A768=0,B768=0,C768&lt;&gt;0),VLOOKUP(C768,'3 - LISTA DE ESPÉCIES'!C:H,2,FALSE()))))</f>
        <v>0</v>
      </c>
      <c r="I768" s="21" t="b">
        <f>IF(AND(A768&lt;&gt;0,B768=0,C768=0),VLOOKUP(A768,'3 - LISTA DE ESPÉCIES'!A:H,5,FALSE()),IF(AND(A768=0,B768&lt;&gt;0,C768=0),VLOOKUP(B768,'3 - LISTA DE ESPÉCIES'!B:H,4,FALSE()),IF(AND(A768=0,B768=0,C768&lt;&gt;0),VLOOKUP(C768,'3 - LISTA DE ESPÉCIES'!C:H,3,FALSE()))))</f>
        <v>0</v>
      </c>
      <c r="J768" s="23"/>
      <c r="K768" s="23"/>
      <c r="L768" s="20"/>
      <c r="M768" s="20"/>
    </row>
    <row r="769" spans="1:13" x14ac:dyDescent="0.25">
      <c r="A769" s="20"/>
      <c r="B769" s="20"/>
      <c r="C769" s="20"/>
      <c r="E769" s="21" t="b">
        <f>IF(AND(A769&lt;&gt;0,B769=0,C769=0),VLOOKUP(A769,'3 - LISTA DE ESPÉCIES'!A:H,1,FALSE()),IF(AND(A769=0,B769&lt;&gt;0,C769=0),VLOOKUP(B769,'3 - LISTA DE ESPÉCIES'!B:H,5,FALSE()),IF(AND(A769=0,B769=0,C769&lt;&gt;0),VLOOKUP(C769,'3 - LISTA DE ESPÉCIES'!C:H,4,FALSE()))))</f>
        <v>0</v>
      </c>
      <c r="F769" s="21" t="b">
        <f>IF(AND(A769&lt;&gt;0,B769=0,C769=0),VLOOKUP(A769,'3 - LISTA DE ESPÉCIES'!A:H,2,FALSE()),IF(AND(A769=0,B769&lt;&gt;0,C769=0),VLOOKUP(B769,'3 - LISTA DE ESPÉCIES'!B:H,6,FALSE()),IF(AND(A769=0,B769=0,C769&lt;&gt;0),VLOOKUP(C769,'3 - LISTA DE ESPÉCIES'!C:H,5,FALSE()))))</f>
        <v>0</v>
      </c>
      <c r="G769" s="21" t="b">
        <f>IF(AND(A769&lt;&gt;0,B769=0,C769=0),VLOOKUP(A769,'3 - LISTA DE ESPÉCIES'!A:H,3,FALSE()),IF(AND(A769=0,B769&lt;&gt;0,C769=0),VLOOKUP(B769,'3 - LISTA DE ESPÉCIES'!B:H,7,FALSE()),IF(AND(A769=0,B769=0,C769&lt;&gt;0),VLOOKUP(C769,'3 - LISTA DE ESPÉCIES'!C:H,6,FALSE()))))</f>
        <v>0</v>
      </c>
      <c r="H769" s="21" t="b">
        <f>IF(AND(A769&lt;&gt;0,B769=0,C769=0),VLOOKUP(A769,'3 - LISTA DE ESPÉCIES'!A:H,4,FALSE()),IF(AND(A769=0,B769&lt;&gt;0,C769=0),VLOOKUP(B769,'3 - LISTA DE ESPÉCIES'!B:H,3,FALSE()),IF(AND(A769=0,B769=0,C769&lt;&gt;0),VLOOKUP(C769,'3 - LISTA DE ESPÉCIES'!C:H,2,FALSE()))))</f>
        <v>0</v>
      </c>
      <c r="I769" s="21" t="b">
        <f>IF(AND(A769&lt;&gt;0,B769=0,C769=0),VLOOKUP(A769,'3 - LISTA DE ESPÉCIES'!A:H,5,FALSE()),IF(AND(A769=0,B769&lt;&gt;0,C769=0),VLOOKUP(B769,'3 - LISTA DE ESPÉCIES'!B:H,4,FALSE()),IF(AND(A769=0,B769=0,C769&lt;&gt;0),VLOOKUP(C769,'3 - LISTA DE ESPÉCIES'!C:H,3,FALSE()))))</f>
        <v>0</v>
      </c>
      <c r="J769" s="23"/>
      <c r="K769" s="23"/>
      <c r="L769" s="20"/>
      <c r="M769" s="20"/>
    </row>
    <row r="770" spans="1:13" x14ac:dyDescent="0.25">
      <c r="A770" s="20"/>
      <c r="B770" s="20"/>
      <c r="C770" s="20"/>
      <c r="E770" s="21" t="b">
        <f>IF(AND(A770&lt;&gt;0,B770=0,C770=0),VLOOKUP(A770,'3 - LISTA DE ESPÉCIES'!A:H,1,FALSE()),IF(AND(A770=0,B770&lt;&gt;0,C770=0),VLOOKUP(B770,'3 - LISTA DE ESPÉCIES'!B:H,5,FALSE()),IF(AND(A770=0,B770=0,C770&lt;&gt;0),VLOOKUP(C770,'3 - LISTA DE ESPÉCIES'!C:H,4,FALSE()))))</f>
        <v>0</v>
      </c>
      <c r="F770" s="21" t="b">
        <f>IF(AND(A770&lt;&gt;0,B770=0,C770=0),VLOOKUP(A770,'3 - LISTA DE ESPÉCIES'!A:H,2,FALSE()),IF(AND(A770=0,B770&lt;&gt;0,C770=0),VLOOKUP(B770,'3 - LISTA DE ESPÉCIES'!B:H,6,FALSE()),IF(AND(A770=0,B770=0,C770&lt;&gt;0),VLOOKUP(C770,'3 - LISTA DE ESPÉCIES'!C:H,5,FALSE()))))</f>
        <v>0</v>
      </c>
      <c r="G770" s="21" t="b">
        <f>IF(AND(A770&lt;&gt;0,B770=0,C770=0),VLOOKUP(A770,'3 - LISTA DE ESPÉCIES'!A:H,3,FALSE()),IF(AND(A770=0,B770&lt;&gt;0,C770=0),VLOOKUP(B770,'3 - LISTA DE ESPÉCIES'!B:H,7,FALSE()),IF(AND(A770=0,B770=0,C770&lt;&gt;0),VLOOKUP(C770,'3 - LISTA DE ESPÉCIES'!C:H,6,FALSE()))))</f>
        <v>0</v>
      </c>
      <c r="H770" s="21" t="b">
        <f>IF(AND(A770&lt;&gt;0,B770=0,C770=0),VLOOKUP(A770,'3 - LISTA DE ESPÉCIES'!A:H,4,FALSE()),IF(AND(A770=0,B770&lt;&gt;0,C770=0),VLOOKUP(B770,'3 - LISTA DE ESPÉCIES'!B:H,3,FALSE()),IF(AND(A770=0,B770=0,C770&lt;&gt;0),VLOOKUP(C770,'3 - LISTA DE ESPÉCIES'!C:H,2,FALSE()))))</f>
        <v>0</v>
      </c>
      <c r="I770" s="21" t="b">
        <f>IF(AND(A770&lt;&gt;0,B770=0,C770=0),VLOOKUP(A770,'3 - LISTA DE ESPÉCIES'!A:H,5,FALSE()),IF(AND(A770=0,B770&lt;&gt;0,C770=0),VLOOKUP(B770,'3 - LISTA DE ESPÉCIES'!B:H,4,FALSE()),IF(AND(A770=0,B770=0,C770&lt;&gt;0),VLOOKUP(C770,'3 - LISTA DE ESPÉCIES'!C:H,3,FALSE()))))</f>
        <v>0</v>
      </c>
      <c r="J770" s="23"/>
      <c r="K770" s="23"/>
      <c r="L770" s="20"/>
      <c r="M770" s="20"/>
    </row>
    <row r="771" spans="1:13" x14ac:dyDescent="0.25">
      <c r="A771" s="20"/>
      <c r="B771" s="20"/>
      <c r="C771" s="20"/>
      <c r="E771" s="21" t="b">
        <f>IF(AND(A771&lt;&gt;0,B771=0,C771=0),VLOOKUP(A771,'3 - LISTA DE ESPÉCIES'!A:H,1,FALSE()),IF(AND(A771=0,B771&lt;&gt;0,C771=0),VLOOKUP(B771,'3 - LISTA DE ESPÉCIES'!B:H,5,FALSE()),IF(AND(A771=0,B771=0,C771&lt;&gt;0),VLOOKUP(C771,'3 - LISTA DE ESPÉCIES'!C:H,4,FALSE()))))</f>
        <v>0</v>
      </c>
      <c r="F771" s="21" t="b">
        <f>IF(AND(A771&lt;&gt;0,B771=0,C771=0),VLOOKUP(A771,'3 - LISTA DE ESPÉCIES'!A:H,2,FALSE()),IF(AND(A771=0,B771&lt;&gt;0,C771=0),VLOOKUP(B771,'3 - LISTA DE ESPÉCIES'!B:H,6,FALSE()),IF(AND(A771=0,B771=0,C771&lt;&gt;0),VLOOKUP(C771,'3 - LISTA DE ESPÉCIES'!C:H,5,FALSE()))))</f>
        <v>0</v>
      </c>
      <c r="G771" s="21" t="b">
        <f>IF(AND(A771&lt;&gt;0,B771=0,C771=0),VLOOKUP(A771,'3 - LISTA DE ESPÉCIES'!A:H,3,FALSE()),IF(AND(A771=0,B771&lt;&gt;0,C771=0),VLOOKUP(B771,'3 - LISTA DE ESPÉCIES'!B:H,7,FALSE()),IF(AND(A771=0,B771=0,C771&lt;&gt;0),VLOOKUP(C771,'3 - LISTA DE ESPÉCIES'!C:H,6,FALSE()))))</f>
        <v>0</v>
      </c>
      <c r="H771" s="21" t="b">
        <f>IF(AND(A771&lt;&gt;0,B771=0,C771=0),VLOOKUP(A771,'3 - LISTA DE ESPÉCIES'!A:H,4,FALSE()),IF(AND(A771=0,B771&lt;&gt;0,C771=0),VLOOKUP(B771,'3 - LISTA DE ESPÉCIES'!B:H,3,FALSE()),IF(AND(A771=0,B771=0,C771&lt;&gt;0),VLOOKUP(C771,'3 - LISTA DE ESPÉCIES'!C:H,2,FALSE()))))</f>
        <v>0</v>
      </c>
      <c r="I771" s="21" t="b">
        <f>IF(AND(A771&lt;&gt;0,B771=0,C771=0),VLOOKUP(A771,'3 - LISTA DE ESPÉCIES'!A:H,5,FALSE()),IF(AND(A771=0,B771&lt;&gt;0,C771=0),VLOOKUP(B771,'3 - LISTA DE ESPÉCIES'!B:H,4,FALSE()),IF(AND(A771=0,B771=0,C771&lt;&gt;0),VLOOKUP(C771,'3 - LISTA DE ESPÉCIES'!C:H,3,FALSE()))))</f>
        <v>0</v>
      </c>
      <c r="J771" s="23"/>
      <c r="K771" s="23"/>
      <c r="L771" s="20"/>
      <c r="M771" s="20"/>
    </row>
    <row r="772" spans="1:13" x14ac:dyDescent="0.25">
      <c r="A772" s="20"/>
      <c r="B772" s="20"/>
      <c r="C772" s="20"/>
      <c r="E772" s="21" t="b">
        <f>IF(AND(A772&lt;&gt;0,B772=0,C772=0),VLOOKUP(A772,'3 - LISTA DE ESPÉCIES'!A:H,1,FALSE()),IF(AND(A772=0,B772&lt;&gt;0,C772=0),VLOOKUP(B772,'3 - LISTA DE ESPÉCIES'!B:H,5,FALSE()),IF(AND(A772=0,B772=0,C772&lt;&gt;0),VLOOKUP(C772,'3 - LISTA DE ESPÉCIES'!C:H,4,FALSE()))))</f>
        <v>0</v>
      </c>
      <c r="F772" s="21" t="b">
        <f>IF(AND(A772&lt;&gt;0,B772=0,C772=0),VLOOKUP(A772,'3 - LISTA DE ESPÉCIES'!A:H,2,FALSE()),IF(AND(A772=0,B772&lt;&gt;0,C772=0),VLOOKUP(B772,'3 - LISTA DE ESPÉCIES'!B:H,6,FALSE()),IF(AND(A772=0,B772=0,C772&lt;&gt;0),VLOOKUP(C772,'3 - LISTA DE ESPÉCIES'!C:H,5,FALSE()))))</f>
        <v>0</v>
      </c>
      <c r="G772" s="21" t="b">
        <f>IF(AND(A772&lt;&gt;0,B772=0,C772=0),VLOOKUP(A772,'3 - LISTA DE ESPÉCIES'!A:H,3,FALSE()),IF(AND(A772=0,B772&lt;&gt;0,C772=0),VLOOKUP(B772,'3 - LISTA DE ESPÉCIES'!B:H,7,FALSE()),IF(AND(A772=0,B772=0,C772&lt;&gt;0),VLOOKUP(C772,'3 - LISTA DE ESPÉCIES'!C:H,6,FALSE()))))</f>
        <v>0</v>
      </c>
      <c r="H772" s="21" t="b">
        <f>IF(AND(A772&lt;&gt;0,B772=0,C772=0),VLOOKUP(A772,'3 - LISTA DE ESPÉCIES'!A:H,4,FALSE()),IF(AND(A772=0,B772&lt;&gt;0,C772=0),VLOOKUP(B772,'3 - LISTA DE ESPÉCIES'!B:H,3,FALSE()),IF(AND(A772=0,B772=0,C772&lt;&gt;0),VLOOKUP(C772,'3 - LISTA DE ESPÉCIES'!C:H,2,FALSE()))))</f>
        <v>0</v>
      </c>
      <c r="I772" s="21" t="b">
        <f>IF(AND(A772&lt;&gt;0,B772=0,C772=0),VLOOKUP(A772,'3 - LISTA DE ESPÉCIES'!A:H,5,FALSE()),IF(AND(A772=0,B772&lt;&gt;0,C772=0),VLOOKUP(B772,'3 - LISTA DE ESPÉCIES'!B:H,4,FALSE()),IF(AND(A772=0,B772=0,C772&lt;&gt;0),VLOOKUP(C772,'3 - LISTA DE ESPÉCIES'!C:H,3,FALSE()))))</f>
        <v>0</v>
      </c>
      <c r="J772" s="23"/>
      <c r="K772" s="23"/>
      <c r="L772" s="20"/>
      <c r="M772" s="20"/>
    </row>
    <row r="773" spans="1:13" x14ac:dyDescent="0.25">
      <c r="A773" s="20"/>
      <c r="B773" s="20"/>
      <c r="C773" s="20"/>
      <c r="E773" s="21" t="b">
        <f>IF(AND(A773&lt;&gt;0,B773=0,C773=0),VLOOKUP(A773,'3 - LISTA DE ESPÉCIES'!A:H,1,FALSE()),IF(AND(A773=0,B773&lt;&gt;0,C773=0),VLOOKUP(B773,'3 - LISTA DE ESPÉCIES'!B:H,5,FALSE()),IF(AND(A773=0,B773=0,C773&lt;&gt;0),VLOOKUP(C773,'3 - LISTA DE ESPÉCIES'!C:H,4,FALSE()))))</f>
        <v>0</v>
      </c>
      <c r="F773" s="21" t="b">
        <f>IF(AND(A773&lt;&gt;0,B773=0,C773=0),VLOOKUP(A773,'3 - LISTA DE ESPÉCIES'!A:H,2,FALSE()),IF(AND(A773=0,B773&lt;&gt;0,C773=0),VLOOKUP(B773,'3 - LISTA DE ESPÉCIES'!B:H,6,FALSE()),IF(AND(A773=0,B773=0,C773&lt;&gt;0),VLOOKUP(C773,'3 - LISTA DE ESPÉCIES'!C:H,5,FALSE()))))</f>
        <v>0</v>
      </c>
      <c r="G773" s="21" t="b">
        <f>IF(AND(A773&lt;&gt;0,B773=0,C773=0),VLOOKUP(A773,'3 - LISTA DE ESPÉCIES'!A:H,3,FALSE()),IF(AND(A773=0,B773&lt;&gt;0,C773=0),VLOOKUP(B773,'3 - LISTA DE ESPÉCIES'!B:H,7,FALSE()),IF(AND(A773=0,B773=0,C773&lt;&gt;0),VLOOKUP(C773,'3 - LISTA DE ESPÉCIES'!C:H,6,FALSE()))))</f>
        <v>0</v>
      </c>
      <c r="H773" s="21" t="b">
        <f>IF(AND(A773&lt;&gt;0,B773=0,C773=0),VLOOKUP(A773,'3 - LISTA DE ESPÉCIES'!A:H,4,FALSE()),IF(AND(A773=0,B773&lt;&gt;0,C773=0),VLOOKUP(B773,'3 - LISTA DE ESPÉCIES'!B:H,3,FALSE()),IF(AND(A773=0,B773=0,C773&lt;&gt;0),VLOOKUP(C773,'3 - LISTA DE ESPÉCIES'!C:H,2,FALSE()))))</f>
        <v>0</v>
      </c>
      <c r="I773" s="21" t="b">
        <f>IF(AND(A773&lt;&gt;0,B773=0,C773=0),VLOOKUP(A773,'3 - LISTA DE ESPÉCIES'!A:H,5,FALSE()),IF(AND(A773=0,B773&lt;&gt;0,C773=0),VLOOKUP(B773,'3 - LISTA DE ESPÉCIES'!B:H,4,FALSE()),IF(AND(A773=0,B773=0,C773&lt;&gt;0),VLOOKUP(C773,'3 - LISTA DE ESPÉCIES'!C:H,3,FALSE()))))</f>
        <v>0</v>
      </c>
      <c r="J773" s="23"/>
      <c r="K773" s="23"/>
      <c r="L773" s="20"/>
      <c r="M773" s="20"/>
    </row>
    <row r="774" spans="1:13" x14ac:dyDescent="0.25">
      <c r="A774" s="20"/>
      <c r="B774" s="20"/>
      <c r="C774" s="20"/>
      <c r="E774" s="21" t="b">
        <f>IF(AND(A774&lt;&gt;0,B774=0,C774=0),VLOOKUP(A774,'3 - LISTA DE ESPÉCIES'!A:H,1,FALSE()),IF(AND(A774=0,B774&lt;&gt;0,C774=0),VLOOKUP(B774,'3 - LISTA DE ESPÉCIES'!B:H,5,FALSE()),IF(AND(A774=0,B774=0,C774&lt;&gt;0),VLOOKUP(C774,'3 - LISTA DE ESPÉCIES'!C:H,4,FALSE()))))</f>
        <v>0</v>
      </c>
      <c r="F774" s="21" t="b">
        <f>IF(AND(A774&lt;&gt;0,B774=0,C774=0),VLOOKUP(A774,'3 - LISTA DE ESPÉCIES'!A:H,2,FALSE()),IF(AND(A774=0,B774&lt;&gt;0,C774=0),VLOOKUP(B774,'3 - LISTA DE ESPÉCIES'!B:H,6,FALSE()),IF(AND(A774=0,B774=0,C774&lt;&gt;0),VLOOKUP(C774,'3 - LISTA DE ESPÉCIES'!C:H,5,FALSE()))))</f>
        <v>0</v>
      </c>
      <c r="G774" s="21" t="b">
        <f>IF(AND(A774&lt;&gt;0,B774=0,C774=0),VLOOKUP(A774,'3 - LISTA DE ESPÉCIES'!A:H,3,FALSE()),IF(AND(A774=0,B774&lt;&gt;0,C774=0),VLOOKUP(B774,'3 - LISTA DE ESPÉCIES'!B:H,7,FALSE()),IF(AND(A774=0,B774=0,C774&lt;&gt;0),VLOOKUP(C774,'3 - LISTA DE ESPÉCIES'!C:H,6,FALSE()))))</f>
        <v>0</v>
      </c>
      <c r="H774" s="21" t="b">
        <f>IF(AND(A774&lt;&gt;0,B774=0,C774=0),VLOOKUP(A774,'3 - LISTA DE ESPÉCIES'!A:H,4,FALSE()),IF(AND(A774=0,B774&lt;&gt;0,C774=0),VLOOKUP(B774,'3 - LISTA DE ESPÉCIES'!B:H,3,FALSE()),IF(AND(A774=0,B774=0,C774&lt;&gt;0),VLOOKUP(C774,'3 - LISTA DE ESPÉCIES'!C:H,2,FALSE()))))</f>
        <v>0</v>
      </c>
      <c r="I774" s="21" t="b">
        <f>IF(AND(A774&lt;&gt;0,B774=0,C774=0),VLOOKUP(A774,'3 - LISTA DE ESPÉCIES'!A:H,5,FALSE()),IF(AND(A774=0,B774&lt;&gt;0,C774=0),VLOOKUP(B774,'3 - LISTA DE ESPÉCIES'!B:H,4,FALSE()),IF(AND(A774=0,B774=0,C774&lt;&gt;0),VLOOKUP(C774,'3 - LISTA DE ESPÉCIES'!C:H,3,FALSE()))))</f>
        <v>0</v>
      </c>
      <c r="J774" s="23"/>
      <c r="K774" s="23"/>
      <c r="L774" s="20"/>
      <c r="M774" s="20"/>
    </row>
    <row r="775" spans="1:13" x14ac:dyDescent="0.25">
      <c r="A775" s="20"/>
      <c r="B775" s="20"/>
      <c r="C775" s="20"/>
      <c r="E775" s="21" t="b">
        <f>IF(AND(A775&lt;&gt;0,B775=0,C775=0),VLOOKUP(A775,'3 - LISTA DE ESPÉCIES'!A:H,1,FALSE()),IF(AND(A775=0,B775&lt;&gt;0,C775=0),VLOOKUP(B775,'3 - LISTA DE ESPÉCIES'!B:H,5,FALSE()),IF(AND(A775=0,B775=0,C775&lt;&gt;0),VLOOKUP(C775,'3 - LISTA DE ESPÉCIES'!C:H,4,FALSE()))))</f>
        <v>0</v>
      </c>
      <c r="F775" s="21" t="b">
        <f>IF(AND(A775&lt;&gt;0,B775=0,C775=0),VLOOKUP(A775,'3 - LISTA DE ESPÉCIES'!A:H,2,FALSE()),IF(AND(A775=0,B775&lt;&gt;0,C775=0),VLOOKUP(B775,'3 - LISTA DE ESPÉCIES'!B:H,6,FALSE()),IF(AND(A775=0,B775=0,C775&lt;&gt;0),VLOOKUP(C775,'3 - LISTA DE ESPÉCIES'!C:H,5,FALSE()))))</f>
        <v>0</v>
      </c>
      <c r="G775" s="21" t="b">
        <f>IF(AND(A775&lt;&gt;0,B775=0,C775=0),VLOOKUP(A775,'3 - LISTA DE ESPÉCIES'!A:H,3,FALSE()),IF(AND(A775=0,B775&lt;&gt;0,C775=0),VLOOKUP(B775,'3 - LISTA DE ESPÉCIES'!B:H,7,FALSE()),IF(AND(A775=0,B775=0,C775&lt;&gt;0),VLOOKUP(C775,'3 - LISTA DE ESPÉCIES'!C:H,6,FALSE()))))</f>
        <v>0</v>
      </c>
      <c r="H775" s="21" t="b">
        <f>IF(AND(A775&lt;&gt;0,B775=0,C775=0),VLOOKUP(A775,'3 - LISTA DE ESPÉCIES'!A:H,4,FALSE()),IF(AND(A775=0,B775&lt;&gt;0,C775=0),VLOOKUP(B775,'3 - LISTA DE ESPÉCIES'!B:H,3,FALSE()),IF(AND(A775=0,B775=0,C775&lt;&gt;0),VLOOKUP(C775,'3 - LISTA DE ESPÉCIES'!C:H,2,FALSE()))))</f>
        <v>0</v>
      </c>
      <c r="I775" s="21" t="b">
        <f>IF(AND(A775&lt;&gt;0,B775=0,C775=0),VLOOKUP(A775,'3 - LISTA DE ESPÉCIES'!A:H,5,FALSE()),IF(AND(A775=0,B775&lt;&gt;0,C775=0),VLOOKUP(B775,'3 - LISTA DE ESPÉCIES'!B:H,4,FALSE()),IF(AND(A775=0,B775=0,C775&lt;&gt;0),VLOOKUP(C775,'3 - LISTA DE ESPÉCIES'!C:H,3,FALSE()))))</f>
        <v>0</v>
      </c>
      <c r="J775" s="23"/>
      <c r="K775" s="23"/>
      <c r="L775" s="20"/>
      <c r="M775" s="20"/>
    </row>
    <row r="776" spans="1:13" x14ac:dyDescent="0.25">
      <c r="A776" s="20"/>
      <c r="B776" s="20"/>
      <c r="C776" s="20"/>
      <c r="E776" s="21" t="b">
        <f>IF(AND(A776&lt;&gt;0,B776=0,C776=0),VLOOKUP(A776,'3 - LISTA DE ESPÉCIES'!A:H,1,FALSE()),IF(AND(A776=0,B776&lt;&gt;0,C776=0),VLOOKUP(B776,'3 - LISTA DE ESPÉCIES'!B:H,5,FALSE()),IF(AND(A776=0,B776=0,C776&lt;&gt;0),VLOOKUP(C776,'3 - LISTA DE ESPÉCIES'!C:H,4,FALSE()))))</f>
        <v>0</v>
      </c>
      <c r="F776" s="21" t="b">
        <f>IF(AND(A776&lt;&gt;0,B776=0,C776=0),VLOOKUP(A776,'3 - LISTA DE ESPÉCIES'!A:H,2,FALSE()),IF(AND(A776=0,B776&lt;&gt;0,C776=0),VLOOKUP(B776,'3 - LISTA DE ESPÉCIES'!B:H,6,FALSE()),IF(AND(A776=0,B776=0,C776&lt;&gt;0),VLOOKUP(C776,'3 - LISTA DE ESPÉCIES'!C:H,5,FALSE()))))</f>
        <v>0</v>
      </c>
      <c r="G776" s="21" t="b">
        <f>IF(AND(A776&lt;&gt;0,B776=0,C776=0),VLOOKUP(A776,'3 - LISTA DE ESPÉCIES'!A:H,3,FALSE()),IF(AND(A776=0,B776&lt;&gt;0,C776=0),VLOOKUP(B776,'3 - LISTA DE ESPÉCIES'!B:H,7,FALSE()),IF(AND(A776=0,B776=0,C776&lt;&gt;0),VLOOKUP(C776,'3 - LISTA DE ESPÉCIES'!C:H,6,FALSE()))))</f>
        <v>0</v>
      </c>
      <c r="H776" s="21" t="b">
        <f>IF(AND(A776&lt;&gt;0,B776=0,C776=0),VLOOKUP(A776,'3 - LISTA DE ESPÉCIES'!A:H,4,FALSE()),IF(AND(A776=0,B776&lt;&gt;0,C776=0),VLOOKUP(B776,'3 - LISTA DE ESPÉCIES'!B:H,3,FALSE()),IF(AND(A776=0,B776=0,C776&lt;&gt;0),VLOOKUP(C776,'3 - LISTA DE ESPÉCIES'!C:H,2,FALSE()))))</f>
        <v>0</v>
      </c>
      <c r="I776" s="21" t="b">
        <f>IF(AND(A776&lt;&gt;0,B776=0,C776=0),VLOOKUP(A776,'3 - LISTA DE ESPÉCIES'!A:H,5,FALSE()),IF(AND(A776=0,B776&lt;&gt;0,C776=0),VLOOKUP(B776,'3 - LISTA DE ESPÉCIES'!B:H,4,FALSE()),IF(AND(A776=0,B776=0,C776&lt;&gt;0),VLOOKUP(C776,'3 - LISTA DE ESPÉCIES'!C:H,3,FALSE()))))</f>
        <v>0</v>
      </c>
      <c r="J776" s="23"/>
      <c r="K776" s="23"/>
      <c r="L776" s="20"/>
      <c r="M776" s="20"/>
    </row>
    <row r="777" spans="1:13" x14ac:dyDescent="0.25">
      <c r="A777" s="20"/>
      <c r="B777" s="20"/>
      <c r="C777" s="20"/>
      <c r="E777" s="21" t="b">
        <f>IF(AND(A777&lt;&gt;0,B777=0,C777=0),VLOOKUP(A777,'3 - LISTA DE ESPÉCIES'!A:H,1,FALSE()),IF(AND(A777=0,B777&lt;&gt;0,C777=0),VLOOKUP(B777,'3 - LISTA DE ESPÉCIES'!B:H,5,FALSE()),IF(AND(A777=0,B777=0,C777&lt;&gt;0),VLOOKUP(C777,'3 - LISTA DE ESPÉCIES'!C:H,4,FALSE()))))</f>
        <v>0</v>
      </c>
      <c r="F777" s="21" t="b">
        <f>IF(AND(A777&lt;&gt;0,B777=0,C777=0),VLOOKUP(A777,'3 - LISTA DE ESPÉCIES'!A:H,2,FALSE()),IF(AND(A777=0,B777&lt;&gt;0,C777=0),VLOOKUP(B777,'3 - LISTA DE ESPÉCIES'!B:H,6,FALSE()),IF(AND(A777=0,B777=0,C777&lt;&gt;0),VLOOKUP(C777,'3 - LISTA DE ESPÉCIES'!C:H,5,FALSE()))))</f>
        <v>0</v>
      </c>
      <c r="G777" s="21" t="b">
        <f>IF(AND(A777&lt;&gt;0,B777=0,C777=0),VLOOKUP(A777,'3 - LISTA DE ESPÉCIES'!A:H,3,FALSE()),IF(AND(A777=0,B777&lt;&gt;0,C777=0),VLOOKUP(B777,'3 - LISTA DE ESPÉCIES'!B:H,7,FALSE()),IF(AND(A777=0,B777=0,C777&lt;&gt;0),VLOOKUP(C777,'3 - LISTA DE ESPÉCIES'!C:H,6,FALSE()))))</f>
        <v>0</v>
      </c>
      <c r="H777" s="21" t="b">
        <f>IF(AND(A777&lt;&gt;0,B777=0,C777=0),VLOOKUP(A777,'3 - LISTA DE ESPÉCIES'!A:H,4,FALSE()),IF(AND(A777=0,B777&lt;&gt;0,C777=0),VLOOKUP(B777,'3 - LISTA DE ESPÉCIES'!B:H,3,FALSE()),IF(AND(A777=0,B777=0,C777&lt;&gt;0),VLOOKUP(C777,'3 - LISTA DE ESPÉCIES'!C:H,2,FALSE()))))</f>
        <v>0</v>
      </c>
      <c r="I777" s="21" t="b">
        <f>IF(AND(A777&lt;&gt;0,B777=0,C777=0),VLOOKUP(A777,'3 - LISTA DE ESPÉCIES'!A:H,5,FALSE()),IF(AND(A777=0,B777&lt;&gt;0,C777=0),VLOOKUP(B777,'3 - LISTA DE ESPÉCIES'!B:H,4,FALSE()),IF(AND(A777=0,B777=0,C777&lt;&gt;0),VLOOKUP(C777,'3 - LISTA DE ESPÉCIES'!C:H,3,FALSE()))))</f>
        <v>0</v>
      </c>
      <c r="J777" s="23"/>
      <c r="K777" s="23"/>
      <c r="L777" s="20"/>
      <c r="M777" s="20"/>
    </row>
    <row r="778" spans="1:13" x14ac:dyDescent="0.25">
      <c r="A778" s="20"/>
      <c r="B778" s="20"/>
      <c r="C778" s="20"/>
      <c r="E778" s="21" t="b">
        <f>IF(AND(A778&lt;&gt;0,B778=0,C778=0),VLOOKUP(A778,'3 - LISTA DE ESPÉCIES'!A:H,1,FALSE()),IF(AND(A778=0,B778&lt;&gt;0,C778=0),VLOOKUP(B778,'3 - LISTA DE ESPÉCIES'!B:H,5,FALSE()),IF(AND(A778=0,B778=0,C778&lt;&gt;0),VLOOKUP(C778,'3 - LISTA DE ESPÉCIES'!C:H,4,FALSE()))))</f>
        <v>0</v>
      </c>
      <c r="F778" s="21" t="b">
        <f>IF(AND(A778&lt;&gt;0,B778=0,C778=0),VLOOKUP(A778,'3 - LISTA DE ESPÉCIES'!A:H,2,FALSE()),IF(AND(A778=0,B778&lt;&gt;0,C778=0),VLOOKUP(B778,'3 - LISTA DE ESPÉCIES'!B:H,6,FALSE()),IF(AND(A778=0,B778=0,C778&lt;&gt;0),VLOOKUP(C778,'3 - LISTA DE ESPÉCIES'!C:H,5,FALSE()))))</f>
        <v>0</v>
      </c>
      <c r="G778" s="21" t="b">
        <f>IF(AND(A778&lt;&gt;0,B778=0,C778=0),VLOOKUP(A778,'3 - LISTA DE ESPÉCIES'!A:H,3,FALSE()),IF(AND(A778=0,B778&lt;&gt;0,C778=0),VLOOKUP(B778,'3 - LISTA DE ESPÉCIES'!B:H,7,FALSE()),IF(AND(A778=0,B778=0,C778&lt;&gt;0),VLOOKUP(C778,'3 - LISTA DE ESPÉCIES'!C:H,6,FALSE()))))</f>
        <v>0</v>
      </c>
      <c r="H778" s="21" t="b">
        <f>IF(AND(A778&lt;&gt;0,B778=0,C778=0),VLOOKUP(A778,'3 - LISTA DE ESPÉCIES'!A:H,4,FALSE()),IF(AND(A778=0,B778&lt;&gt;0,C778=0),VLOOKUP(B778,'3 - LISTA DE ESPÉCIES'!B:H,3,FALSE()),IF(AND(A778=0,B778=0,C778&lt;&gt;0),VLOOKUP(C778,'3 - LISTA DE ESPÉCIES'!C:H,2,FALSE()))))</f>
        <v>0</v>
      </c>
      <c r="I778" s="21" t="b">
        <f>IF(AND(A778&lt;&gt;0,B778=0,C778=0),VLOOKUP(A778,'3 - LISTA DE ESPÉCIES'!A:H,5,FALSE()),IF(AND(A778=0,B778&lt;&gt;0,C778=0),VLOOKUP(B778,'3 - LISTA DE ESPÉCIES'!B:H,4,FALSE()),IF(AND(A778=0,B778=0,C778&lt;&gt;0),VLOOKUP(C778,'3 - LISTA DE ESPÉCIES'!C:H,3,FALSE()))))</f>
        <v>0</v>
      </c>
      <c r="J778" s="23"/>
      <c r="K778" s="23"/>
      <c r="L778" s="20"/>
      <c r="M778" s="20"/>
    </row>
    <row r="779" spans="1:13" x14ac:dyDescent="0.25">
      <c r="A779" s="20"/>
      <c r="B779" s="20"/>
      <c r="C779" s="20"/>
      <c r="E779" s="21" t="b">
        <f>IF(AND(A779&lt;&gt;0,B779=0,C779=0),VLOOKUP(A779,'3 - LISTA DE ESPÉCIES'!A:H,1,FALSE()),IF(AND(A779=0,B779&lt;&gt;0,C779=0),VLOOKUP(B779,'3 - LISTA DE ESPÉCIES'!B:H,5,FALSE()),IF(AND(A779=0,B779=0,C779&lt;&gt;0),VLOOKUP(C779,'3 - LISTA DE ESPÉCIES'!C:H,4,FALSE()))))</f>
        <v>0</v>
      </c>
      <c r="F779" s="21" t="b">
        <f>IF(AND(A779&lt;&gt;0,B779=0,C779=0),VLOOKUP(A779,'3 - LISTA DE ESPÉCIES'!A:H,2,FALSE()),IF(AND(A779=0,B779&lt;&gt;0,C779=0),VLOOKUP(B779,'3 - LISTA DE ESPÉCIES'!B:H,6,FALSE()),IF(AND(A779=0,B779=0,C779&lt;&gt;0),VLOOKUP(C779,'3 - LISTA DE ESPÉCIES'!C:H,5,FALSE()))))</f>
        <v>0</v>
      </c>
      <c r="G779" s="21" t="b">
        <f>IF(AND(A779&lt;&gt;0,B779=0,C779=0),VLOOKUP(A779,'3 - LISTA DE ESPÉCIES'!A:H,3,FALSE()),IF(AND(A779=0,B779&lt;&gt;0,C779=0),VLOOKUP(B779,'3 - LISTA DE ESPÉCIES'!B:H,7,FALSE()),IF(AND(A779=0,B779=0,C779&lt;&gt;0),VLOOKUP(C779,'3 - LISTA DE ESPÉCIES'!C:H,6,FALSE()))))</f>
        <v>0</v>
      </c>
      <c r="H779" s="21" t="b">
        <f>IF(AND(A779&lt;&gt;0,B779=0,C779=0),VLOOKUP(A779,'3 - LISTA DE ESPÉCIES'!A:H,4,FALSE()),IF(AND(A779=0,B779&lt;&gt;0,C779=0),VLOOKUP(B779,'3 - LISTA DE ESPÉCIES'!B:H,3,FALSE()),IF(AND(A779=0,B779=0,C779&lt;&gt;0),VLOOKUP(C779,'3 - LISTA DE ESPÉCIES'!C:H,2,FALSE()))))</f>
        <v>0</v>
      </c>
      <c r="I779" s="21" t="b">
        <f>IF(AND(A779&lt;&gt;0,B779=0,C779=0),VLOOKUP(A779,'3 - LISTA DE ESPÉCIES'!A:H,5,FALSE()),IF(AND(A779=0,B779&lt;&gt;0,C779=0),VLOOKUP(B779,'3 - LISTA DE ESPÉCIES'!B:H,4,FALSE()),IF(AND(A779=0,B779=0,C779&lt;&gt;0),VLOOKUP(C779,'3 - LISTA DE ESPÉCIES'!C:H,3,FALSE()))))</f>
        <v>0</v>
      </c>
      <c r="J779" s="23"/>
      <c r="K779" s="23"/>
      <c r="L779" s="20"/>
      <c r="M779" s="20"/>
    </row>
    <row r="780" spans="1:13" x14ac:dyDescent="0.25">
      <c r="A780" s="20"/>
      <c r="B780" s="20"/>
      <c r="C780" s="20"/>
      <c r="E780" s="21" t="b">
        <f>IF(AND(A780&lt;&gt;0,B780=0,C780=0),VLOOKUP(A780,'3 - LISTA DE ESPÉCIES'!A:H,1,FALSE()),IF(AND(A780=0,B780&lt;&gt;0,C780=0),VLOOKUP(B780,'3 - LISTA DE ESPÉCIES'!B:H,5,FALSE()),IF(AND(A780=0,B780=0,C780&lt;&gt;0),VLOOKUP(C780,'3 - LISTA DE ESPÉCIES'!C:H,4,FALSE()))))</f>
        <v>0</v>
      </c>
      <c r="F780" s="21" t="b">
        <f>IF(AND(A780&lt;&gt;0,B780=0,C780=0),VLOOKUP(A780,'3 - LISTA DE ESPÉCIES'!A:H,2,FALSE()),IF(AND(A780=0,B780&lt;&gt;0,C780=0),VLOOKUP(B780,'3 - LISTA DE ESPÉCIES'!B:H,6,FALSE()),IF(AND(A780=0,B780=0,C780&lt;&gt;0),VLOOKUP(C780,'3 - LISTA DE ESPÉCIES'!C:H,5,FALSE()))))</f>
        <v>0</v>
      </c>
      <c r="G780" s="21" t="b">
        <f>IF(AND(A780&lt;&gt;0,B780=0,C780=0),VLOOKUP(A780,'3 - LISTA DE ESPÉCIES'!A:H,3,FALSE()),IF(AND(A780=0,B780&lt;&gt;0,C780=0),VLOOKUP(B780,'3 - LISTA DE ESPÉCIES'!B:H,7,FALSE()),IF(AND(A780=0,B780=0,C780&lt;&gt;0),VLOOKUP(C780,'3 - LISTA DE ESPÉCIES'!C:H,6,FALSE()))))</f>
        <v>0</v>
      </c>
      <c r="H780" s="21" t="b">
        <f>IF(AND(A780&lt;&gt;0,B780=0,C780=0),VLOOKUP(A780,'3 - LISTA DE ESPÉCIES'!A:H,4,FALSE()),IF(AND(A780=0,B780&lt;&gt;0,C780=0),VLOOKUP(B780,'3 - LISTA DE ESPÉCIES'!B:H,3,FALSE()),IF(AND(A780=0,B780=0,C780&lt;&gt;0),VLOOKUP(C780,'3 - LISTA DE ESPÉCIES'!C:H,2,FALSE()))))</f>
        <v>0</v>
      </c>
      <c r="I780" s="21" t="b">
        <f>IF(AND(A780&lt;&gt;0,B780=0,C780=0),VLOOKUP(A780,'3 - LISTA DE ESPÉCIES'!A:H,5,FALSE()),IF(AND(A780=0,B780&lt;&gt;0,C780=0),VLOOKUP(B780,'3 - LISTA DE ESPÉCIES'!B:H,4,FALSE()),IF(AND(A780=0,B780=0,C780&lt;&gt;0),VLOOKUP(C780,'3 - LISTA DE ESPÉCIES'!C:H,3,FALSE()))))</f>
        <v>0</v>
      </c>
      <c r="J780" s="23"/>
      <c r="K780" s="23"/>
      <c r="L780" s="20"/>
      <c r="M780" s="20"/>
    </row>
    <row r="781" spans="1:13" x14ac:dyDescent="0.25">
      <c r="A781" s="20"/>
      <c r="B781" s="20"/>
      <c r="C781" s="20"/>
      <c r="E781" s="21" t="b">
        <f>IF(AND(A781&lt;&gt;0,B781=0,C781=0),VLOOKUP(A781,'3 - LISTA DE ESPÉCIES'!A:H,1,FALSE()),IF(AND(A781=0,B781&lt;&gt;0,C781=0),VLOOKUP(B781,'3 - LISTA DE ESPÉCIES'!B:H,5,FALSE()),IF(AND(A781=0,B781=0,C781&lt;&gt;0),VLOOKUP(C781,'3 - LISTA DE ESPÉCIES'!C:H,4,FALSE()))))</f>
        <v>0</v>
      </c>
      <c r="F781" s="21" t="b">
        <f>IF(AND(A781&lt;&gt;0,B781=0,C781=0),VLOOKUP(A781,'3 - LISTA DE ESPÉCIES'!A:H,2,FALSE()),IF(AND(A781=0,B781&lt;&gt;0,C781=0),VLOOKUP(B781,'3 - LISTA DE ESPÉCIES'!B:H,6,FALSE()),IF(AND(A781=0,B781=0,C781&lt;&gt;0),VLOOKUP(C781,'3 - LISTA DE ESPÉCIES'!C:H,5,FALSE()))))</f>
        <v>0</v>
      </c>
      <c r="G781" s="21" t="b">
        <f>IF(AND(A781&lt;&gt;0,B781=0,C781=0),VLOOKUP(A781,'3 - LISTA DE ESPÉCIES'!A:H,3,FALSE()),IF(AND(A781=0,B781&lt;&gt;0,C781=0),VLOOKUP(B781,'3 - LISTA DE ESPÉCIES'!B:H,7,FALSE()),IF(AND(A781=0,B781=0,C781&lt;&gt;0),VLOOKUP(C781,'3 - LISTA DE ESPÉCIES'!C:H,6,FALSE()))))</f>
        <v>0</v>
      </c>
      <c r="H781" s="21" t="b">
        <f>IF(AND(A781&lt;&gt;0,B781=0,C781=0),VLOOKUP(A781,'3 - LISTA DE ESPÉCIES'!A:H,4,FALSE()),IF(AND(A781=0,B781&lt;&gt;0,C781=0),VLOOKUP(B781,'3 - LISTA DE ESPÉCIES'!B:H,3,FALSE()),IF(AND(A781=0,B781=0,C781&lt;&gt;0),VLOOKUP(C781,'3 - LISTA DE ESPÉCIES'!C:H,2,FALSE()))))</f>
        <v>0</v>
      </c>
      <c r="I781" s="21" t="b">
        <f>IF(AND(A781&lt;&gt;0,B781=0,C781=0),VLOOKUP(A781,'3 - LISTA DE ESPÉCIES'!A:H,5,FALSE()),IF(AND(A781=0,B781&lt;&gt;0,C781=0),VLOOKUP(B781,'3 - LISTA DE ESPÉCIES'!B:H,4,FALSE()),IF(AND(A781=0,B781=0,C781&lt;&gt;0),VLOOKUP(C781,'3 - LISTA DE ESPÉCIES'!C:H,3,FALSE()))))</f>
        <v>0</v>
      </c>
      <c r="J781" s="23"/>
      <c r="K781" s="23"/>
      <c r="L781" s="20"/>
      <c r="M781" s="20"/>
    </row>
    <row r="782" spans="1:13" x14ac:dyDescent="0.25">
      <c r="A782" s="20"/>
      <c r="B782" s="20"/>
      <c r="C782" s="20"/>
      <c r="E782" s="21" t="b">
        <f>IF(AND(A782&lt;&gt;0,B782=0,C782=0),VLOOKUP(A782,'3 - LISTA DE ESPÉCIES'!A:H,1,FALSE()),IF(AND(A782=0,B782&lt;&gt;0,C782=0),VLOOKUP(B782,'3 - LISTA DE ESPÉCIES'!B:H,5,FALSE()),IF(AND(A782=0,B782=0,C782&lt;&gt;0),VLOOKUP(C782,'3 - LISTA DE ESPÉCIES'!C:H,4,FALSE()))))</f>
        <v>0</v>
      </c>
      <c r="F782" s="21" t="b">
        <f>IF(AND(A782&lt;&gt;0,B782=0,C782=0),VLOOKUP(A782,'3 - LISTA DE ESPÉCIES'!A:H,2,FALSE()),IF(AND(A782=0,B782&lt;&gt;0,C782=0),VLOOKUP(B782,'3 - LISTA DE ESPÉCIES'!B:H,6,FALSE()),IF(AND(A782=0,B782=0,C782&lt;&gt;0),VLOOKUP(C782,'3 - LISTA DE ESPÉCIES'!C:H,5,FALSE()))))</f>
        <v>0</v>
      </c>
      <c r="G782" s="21" t="b">
        <f>IF(AND(A782&lt;&gt;0,B782=0,C782=0),VLOOKUP(A782,'3 - LISTA DE ESPÉCIES'!A:H,3,FALSE()),IF(AND(A782=0,B782&lt;&gt;0,C782=0),VLOOKUP(B782,'3 - LISTA DE ESPÉCIES'!B:H,7,FALSE()),IF(AND(A782=0,B782=0,C782&lt;&gt;0),VLOOKUP(C782,'3 - LISTA DE ESPÉCIES'!C:H,6,FALSE()))))</f>
        <v>0</v>
      </c>
      <c r="H782" s="21" t="b">
        <f>IF(AND(A782&lt;&gt;0,B782=0,C782=0),VLOOKUP(A782,'3 - LISTA DE ESPÉCIES'!A:H,4,FALSE()),IF(AND(A782=0,B782&lt;&gt;0,C782=0),VLOOKUP(B782,'3 - LISTA DE ESPÉCIES'!B:H,3,FALSE()),IF(AND(A782=0,B782=0,C782&lt;&gt;0),VLOOKUP(C782,'3 - LISTA DE ESPÉCIES'!C:H,2,FALSE()))))</f>
        <v>0</v>
      </c>
      <c r="I782" s="21" t="b">
        <f>IF(AND(A782&lt;&gt;0,B782=0,C782=0),VLOOKUP(A782,'3 - LISTA DE ESPÉCIES'!A:H,5,FALSE()),IF(AND(A782=0,B782&lt;&gt;0,C782=0),VLOOKUP(B782,'3 - LISTA DE ESPÉCIES'!B:H,4,FALSE()),IF(AND(A782=0,B782=0,C782&lt;&gt;0),VLOOKUP(C782,'3 - LISTA DE ESPÉCIES'!C:H,3,FALSE()))))</f>
        <v>0</v>
      </c>
      <c r="J782" s="23"/>
      <c r="K782" s="23"/>
      <c r="L782" s="20"/>
      <c r="M782" s="20"/>
    </row>
    <row r="783" spans="1:13" x14ac:dyDescent="0.25">
      <c r="A783" s="20"/>
      <c r="B783" s="20"/>
      <c r="C783" s="20"/>
      <c r="E783" s="21" t="b">
        <f>IF(AND(A783&lt;&gt;0,B783=0,C783=0),VLOOKUP(A783,'3 - LISTA DE ESPÉCIES'!A:H,1,FALSE()),IF(AND(A783=0,B783&lt;&gt;0,C783=0),VLOOKUP(B783,'3 - LISTA DE ESPÉCIES'!B:H,5,FALSE()),IF(AND(A783=0,B783=0,C783&lt;&gt;0),VLOOKUP(C783,'3 - LISTA DE ESPÉCIES'!C:H,4,FALSE()))))</f>
        <v>0</v>
      </c>
      <c r="F783" s="21" t="b">
        <f>IF(AND(A783&lt;&gt;0,B783=0,C783=0),VLOOKUP(A783,'3 - LISTA DE ESPÉCIES'!A:H,2,FALSE()),IF(AND(A783=0,B783&lt;&gt;0,C783=0),VLOOKUP(B783,'3 - LISTA DE ESPÉCIES'!B:H,6,FALSE()),IF(AND(A783=0,B783=0,C783&lt;&gt;0),VLOOKUP(C783,'3 - LISTA DE ESPÉCIES'!C:H,5,FALSE()))))</f>
        <v>0</v>
      </c>
      <c r="G783" s="21" t="b">
        <f>IF(AND(A783&lt;&gt;0,B783=0,C783=0),VLOOKUP(A783,'3 - LISTA DE ESPÉCIES'!A:H,3,FALSE()),IF(AND(A783=0,B783&lt;&gt;0,C783=0),VLOOKUP(B783,'3 - LISTA DE ESPÉCIES'!B:H,7,FALSE()),IF(AND(A783=0,B783=0,C783&lt;&gt;0),VLOOKUP(C783,'3 - LISTA DE ESPÉCIES'!C:H,6,FALSE()))))</f>
        <v>0</v>
      </c>
      <c r="H783" s="21" t="b">
        <f>IF(AND(A783&lt;&gt;0,B783=0,C783=0),VLOOKUP(A783,'3 - LISTA DE ESPÉCIES'!A:H,4,FALSE()),IF(AND(A783=0,B783&lt;&gt;0,C783=0),VLOOKUP(B783,'3 - LISTA DE ESPÉCIES'!B:H,3,FALSE()),IF(AND(A783=0,B783=0,C783&lt;&gt;0),VLOOKUP(C783,'3 - LISTA DE ESPÉCIES'!C:H,2,FALSE()))))</f>
        <v>0</v>
      </c>
      <c r="I783" s="21" t="b">
        <f>IF(AND(A783&lt;&gt;0,B783=0,C783=0),VLOOKUP(A783,'3 - LISTA DE ESPÉCIES'!A:H,5,FALSE()),IF(AND(A783=0,B783&lt;&gt;0,C783=0),VLOOKUP(B783,'3 - LISTA DE ESPÉCIES'!B:H,4,FALSE()),IF(AND(A783=0,B783=0,C783&lt;&gt;0),VLOOKUP(C783,'3 - LISTA DE ESPÉCIES'!C:H,3,FALSE()))))</f>
        <v>0</v>
      </c>
      <c r="J783" s="23"/>
      <c r="K783" s="23"/>
      <c r="L783" s="20"/>
      <c r="M783" s="20"/>
    </row>
    <row r="784" spans="1:13" x14ac:dyDescent="0.25">
      <c r="A784" s="20"/>
      <c r="B784" s="20"/>
      <c r="C784" s="20"/>
      <c r="E784" s="21" t="b">
        <f>IF(AND(A784&lt;&gt;0,B784=0,C784=0),VLOOKUP(A784,'3 - LISTA DE ESPÉCIES'!A:H,1,FALSE()),IF(AND(A784=0,B784&lt;&gt;0,C784=0),VLOOKUP(B784,'3 - LISTA DE ESPÉCIES'!B:H,5,FALSE()),IF(AND(A784=0,B784=0,C784&lt;&gt;0),VLOOKUP(C784,'3 - LISTA DE ESPÉCIES'!C:H,4,FALSE()))))</f>
        <v>0</v>
      </c>
      <c r="F784" s="21" t="b">
        <f>IF(AND(A784&lt;&gt;0,B784=0,C784=0),VLOOKUP(A784,'3 - LISTA DE ESPÉCIES'!A:H,2,FALSE()),IF(AND(A784=0,B784&lt;&gt;0,C784=0),VLOOKUP(B784,'3 - LISTA DE ESPÉCIES'!B:H,6,FALSE()),IF(AND(A784=0,B784=0,C784&lt;&gt;0),VLOOKUP(C784,'3 - LISTA DE ESPÉCIES'!C:H,5,FALSE()))))</f>
        <v>0</v>
      </c>
      <c r="G784" s="21" t="b">
        <f>IF(AND(A784&lt;&gt;0,B784=0,C784=0),VLOOKUP(A784,'3 - LISTA DE ESPÉCIES'!A:H,3,FALSE()),IF(AND(A784=0,B784&lt;&gt;0,C784=0),VLOOKUP(B784,'3 - LISTA DE ESPÉCIES'!B:H,7,FALSE()),IF(AND(A784=0,B784=0,C784&lt;&gt;0),VLOOKUP(C784,'3 - LISTA DE ESPÉCIES'!C:H,6,FALSE()))))</f>
        <v>0</v>
      </c>
      <c r="H784" s="21" t="b">
        <f>IF(AND(A784&lt;&gt;0,B784=0,C784=0),VLOOKUP(A784,'3 - LISTA DE ESPÉCIES'!A:H,4,FALSE()),IF(AND(A784=0,B784&lt;&gt;0,C784=0),VLOOKUP(B784,'3 - LISTA DE ESPÉCIES'!B:H,3,FALSE()),IF(AND(A784=0,B784=0,C784&lt;&gt;0),VLOOKUP(C784,'3 - LISTA DE ESPÉCIES'!C:H,2,FALSE()))))</f>
        <v>0</v>
      </c>
      <c r="I784" s="21" t="b">
        <f>IF(AND(A784&lt;&gt;0,B784=0,C784=0),VLOOKUP(A784,'3 - LISTA DE ESPÉCIES'!A:H,5,FALSE()),IF(AND(A784=0,B784&lt;&gt;0,C784=0),VLOOKUP(B784,'3 - LISTA DE ESPÉCIES'!B:H,4,FALSE()),IF(AND(A784=0,B784=0,C784&lt;&gt;0),VLOOKUP(C784,'3 - LISTA DE ESPÉCIES'!C:H,3,FALSE()))))</f>
        <v>0</v>
      </c>
      <c r="J784" s="23"/>
      <c r="K784" s="23"/>
      <c r="L784" s="20"/>
      <c r="M784" s="20"/>
    </row>
    <row r="785" spans="1:13" x14ac:dyDescent="0.25">
      <c r="A785" s="20"/>
      <c r="B785" s="20"/>
      <c r="C785" s="20"/>
      <c r="E785" s="21" t="b">
        <f>IF(AND(A785&lt;&gt;0,B785=0,C785=0),VLOOKUP(A785,'3 - LISTA DE ESPÉCIES'!A:H,1,FALSE()),IF(AND(A785=0,B785&lt;&gt;0,C785=0),VLOOKUP(B785,'3 - LISTA DE ESPÉCIES'!B:H,5,FALSE()),IF(AND(A785=0,B785=0,C785&lt;&gt;0),VLOOKUP(C785,'3 - LISTA DE ESPÉCIES'!C:H,4,FALSE()))))</f>
        <v>0</v>
      </c>
      <c r="F785" s="21" t="b">
        <f>IF(AND(A785&lt;&gt;0,B785=0,C785=0),VLOOKUP(A785,'3 - LISTA DE ESPÉCIES'!A:H,2,FALSE()),IF(AND(A785=0,B785&lt;&gt;0,C785=0),VLOOKUP(B785,'3 - LISTA DE ESPÉCIES'!B:H,6,FALSE()),IF(AND(A785=0,B785=0,C785&lt;&gt;0),VLOOKUP(C785,'3 - LISTA DE ESPÉCIES'!C:H,5,FALSE()))))</f>
        <v>0</v>
      </c>
      <c r="G785" s="21" t="b">
        <f>IF(AND(A785&lt;&gt;0,B785=0,C785=0),VLOOKUP(A785,'3 - LISTA DE ESPÉCIES'!A:H,3,FALSE()),IF(AND(A785=0,B785&lt;&gt;0,C785=0),VLOOKUP(B785,'3 - LISTA DE ESPÉCIES'!B:H,7,FALSE()),IF(AND(A785=0,B785=0,C785&lt;&gt;0),VLOOKUP(C785,'3 - LISTA DE ESPÉCIES'!C:H,6,FALSE()))))</f>
        <v>0</v>
      </c>
      <c r="H785" s="21" t="b">
        <f>IF(AND(A785&lt;&gt;0,B785=0,C785=0),VLOOKUP(A785,'3 - LISTA DE ESPÉCIES'!A:H,4,FALSE()),IF(AND(A785=0,B785&lt;&gt;0,C785=0),VLOOKUP(B785,'3 - LISTA DE ESPÉCIES'!B:H,3,FALSE()),IF(AND(A785=0,B785=0,C785&lt;&gt;0),VLOOKUP(C785,'3 - LISTA DE ESPÉCIES'!C:H,2,FALSE()))))</f>
        <v>0</v>
      </c>
      <c r="I785" s="21" t="b">
        <f>IF(AND(A785&lt;&gt;0,B785=0,C785=0),VLOOKUP(A785,'3 - LISTA DE ESPÉCIES'!A:H,5,FALSE()),IF(AND(A785=0,B785&lt;&gt;0,C785=0),VLOOKUP(B785,'3 - LISTA DE ESPÉCIES'!B:H,4,FALSE()),IF(AND(A785=0,B785=0,C785&lt;&gt;0),VLOOKUP(C785,'3 - LISTA DE ESPÉCIES'!C:H,3,FALSE()))))</f>
        <v>0</v>
      </c>
      <c r="J785" s="23"/>
      <c r="K785" s="23"/>
      <c r="L785" s="20"/>
      <c r="M785" s="20"/>
    </row>
    <row r="786" spans="1:13" x14ac:dyDescent="0.25">
      <c r="A786" s="20"/>
      <c r="B786" s="20"/>
      <c r="C786" s="20"/>
      <c r="E786" s="21" t="b">
        <f>IF(AND(A786&lt;&gt;0,B786=0,C786=0),VLOOKUP(A786,'3 - LISTA DE ESPÉCIES'!A:H,1,FALSE()),IF(AND(A786=0,B786&lt;&gt;0,C786=0),VLOOKUP(B786,'3 - LISTA DE ESPÉCIES'!B:H,5,FALSE()),IF(AND(A786=0,B786=0,C786&lt;&gt;0),VLOOKUP(C786,'3 - LISTA DE ESPÉCIES'!C:H,4,FALSE()))))</f>
        <v>0</v>
      </c>
      <c r="F786" s="21" t="b">
        <f>IF(AND(A786&lt;&gt;0,B786=0,C786=0),VLOOKUP(A786,'3 - LISTA DE ESPÉCIES'!A:H,2,FALSE()),IF(AND(A786=0,B786&lt;&gt;0,C786=0),VLOOKUP(B786,'3 - LISTA DE ESPÉCIES'!B:H,6,FALSE()),IF(AND(A786=0,B786=0,C786&lt;&gt;0),VLOOKUP(C786,'3 - LISTA DE ESPÉCIES'!C:H,5,FALSE()))))</f>
        <v>0</v>
      </c>
      <c r="G786" s="21" t="b">
        <f>IF(AND(A786&lt;&gt;0,B786=0,C786=0),VLOOKUP(A786,'3 - LISTA DE ESPÉCIES'!A:H,3,FALSE()),IF(AND(A786=0,B786&lt;&gt;0,C786=0),VLOOKUP(B786,'3 - LISTA DE ESPÉCIES'!B:H,7,FALSE()),IF(AND(A786=0,B786=0,C786&lt;&gt;0),VLOOKUP(C786,'3 - LISTA DE ESPÉCIES'!C:H,6,FALSE()))))</f>
        <v>0</v>
      </c>
      <c r="H786" s="21" t="b">
        <f>IF(AND(A786&lt;&gt;0,B786=0,C786=0),VLOOKUP(A786,'3 - LISTA DE ESPÉCIES'!A:H,4,FALSE()),IF(AND(A786=0,B786&lt;&gt;0,C786=0),VLOOKUP(B786,'3 - LISTA DE ESPÉCIES'!B:H,3,FALSE()),IF(AND(A786=0,B786=0,C786&lt;&gt;0),VLOOKUP(C786,'3 - LISTA DE ESPÉCIES'!C:H,2,FALSE()))))</f>
        <v>0</v>
      </c>
      <c r="I786" s="21" t="b">
        <f>IF(AND(A786&lt;&gt;0,B786=0,C786=0),VLOOKUP(A786,'3 - LISTA DE ESPÉCIES'!A:H,5,FALSE()),IF(AND(A786=0,B786&lt;&gt;0,C786=0),VLOOKUP(B786,'3 - LISTA DE ESPÉCIES'!B:H,4,FALSE()),IF(AND(A786=0,B786=0,C786&lt;&gt;0),VLOOKUP(C786,'3 - LISTA DE ESPÉCIES'!C:H,3,FALSE()))))</f>
        <v>0</v>
      </c>
      <c r="J786" s="23"/>
      <c r="K786" s="23"/>
      <c r="L786" s="20"/>
      <c r="M786" s="20"/>
    </row>
    <row r="787" spans="1:13" x14ac:dyDescent="0.25">
      <c r="A787" s="20"/>
      <c r="B787" s="20"/>
      <c r="C787" s="20"/>
      <c r="E787" s="21" t="b">
        <f>IF(AND(A787&lt;&gt;0,B787=0,C787=0),VLOOKUP(A787,'3 - LISTA DE ESPÉCIES'!A:H,1,FALSE()),IF(AND(A787=0,B787&lt;&gt;0,C787=0),VLOOKUP(B787,'3 - LISTA DE ESPÉCIES'!B:H,5,FALSE()),IF(AND(A787=0,B787=0,C787&lt;&gt;0),VLOOKUP(C787,'3 - LISTA DE ESPÉCIES'!C:H,4,FALSE()))))</f>
        <v>0</v>
      </c>
      <c r="F787" s="21" t="b">
        <f>IF(AND(A787&lt;&gt;0,B787=0,C787=0),VLOOKUP(A787,'3 - LISTA DE ESPÉCIES'!A:H,2,FALSE()),IF(AND(A787=0,B787&lt;&gt;0,C787=0),VLOOKUP(B787,'3 - LISTA DE ESPÉCIES'!B:H,6,FALSE()),IF(AND(A787=0,B787=0,C787&lt;&gt;0),VLOOKUP(C787,'3 - LISTA DE ESPÉCIES'!C:H,5,FALSE()))))</f>
        <v>0</v>
      </c>
      <c r="G787" s="21" t="b">
        <f>IF(AND(A787&lt;&gt;0,B787=0,C787=0),VLOOKUP(A787,'3 - LISTA DE ESPÉCIES'!A:H,3,FALSE()),IF(AND(A787=0,B787&lt;&gt;0,C787=0),VLOOKUP(B787,'3 - LISTA DE ESPÉCIES'!B:H,7,FALSE()),IF(AND(A787=0,B787=0,C787&lt;&gt;0),VLOOKUP(C787,'3 - LISTA DE ESPÉCIES'!C:H,6,FALSE()))))</f>
        <v>0</v>
      </c>
      <c r="H787" s="21" t="b">
        <f>IF(AND(A787&lt;&gt;0,B787=0,C787=0),VLOOKUP(A787,'3 - LISTA DE ESPÉCIES'!A:H,4,FALSE()),IF(AND(A787=0,B787&lt;&gt;0,C787=0),VLOOKUP(B787,'3 - LISTA DE ESPÉCIES'!B:H,3,FALSE()),IF(AND(A787=0,B787=0,C787&lt;&gt;0),VLOOKUP(C787,'3 - LISTA DE ESPÉCIES'!C:H,2,FALSE()))))</f>
        <v>0</v>
      </c>
      <c r="I787" s="21" t="b">
        <f>IF(AND(A787&lt;&gt;0,B787=0,C787=0),VLOOKUP(A787,'3 - LISTA DE ESPÉCIES'!A:H,5,FALSE()),IF(AND(A787=0,B787&lt;&gt;0,C787=0),VLOOKUP(B787,'3 - LISTA DE ESPÉCIES'!B:H,4,FALSE()),IF(AND(A787=0,B787=0,C787&lt;&gt;0),VLOOKUP(C787,'3 - LISTA DE ESPÉCIES'!C:H,3,FALSE()))))</f>
        <v>0</v>
      </c>
      <c r="J787" s="23"/>
      <c r="K787" s="23"/>
      <c r="L787" s="20"/>
      <c r="M787" s="20"/>
    </row>
    <row r="788" spans="1:13" x14ac:dyDescent="0.25">
      <c r="A788" s="20"/>
      <c r="B788" s="20"/>
      <c r="C788" s="20"/>
      <c r="E788" s="21" t="b">
        <f>IF(AND(A788&lt;&gt;0,B788=0,C788=0),VLOOKUP(A788,'3 - LISTA DE ESPÉCIES'!A:H,1,FALSE()),IF(AND(A788=0,B788&lt;&gt;0,C788=0),VLOOKUP(B788,'3 - LISTA DE ESPÉCIES'!B:H,5,FALSE()),IF(AND(A788=0,B788=0,C788&lt;&gt;0),VLOOKUP(C788,'3 - LISTA DE ESPÉCIES'!C:H,4,FALSE()))))</f>
        <v>0</v>
      </c>
      <c r="F788" s="21" t="b">
        <f>IF(AND(A788&lt;&gt;0,B788=0,C788=0),VLOOKUP(A788,'3 - LISTA DE ESPÉCIES'!A:H,2,FALSE()),IF(AND(A788=0,B788&lt;&gt;0,C788=0),VLOOKUP(B788,'3 - LISTA DE ESPÉCIES'!B:H,6,FALSE()),IF(AND(A788=0,B788=0,C788&lt;&gt;0),VLOOKUP(C788,'3 - LISTA DE ESPÉCIES'!C:H,5,FALSE()))))</f>
        <v>0</v>
      </c>
      <c r="G788" s="21" t="b">
        <f>IF(AND(A788&lt;&gt;0,B788=0,C788=0),VLOOKUP(A788,'3 - LISTA DE ESPÉCIES'!A:H,3,FALSE()),IF(AND(A788=0,B788&lt;&gt;0,C788=0),VLOOKUP(B788,'3 - LISTA DE ESPÉCIES'!B:H,7,FALSE()),IF(AND(A788=0,B788=0,C788&lt;&gt;0),VLOOKUP(C788,'3 - LISTA DE ESPÉCIES'!C:H,6,FALSE()))))</f>
        <v>0</v>
      </c>
      <c r="H788" s="21" t="b">
        <f>IF(AND(A788&lt;&gt;0,B788=0,C788=0),VLOOKUP(A788,'3 - LISTA DE ESPÉCIES'!A:H,4,FALSE()),IF(AND(A788=0,B788&lt;&gt;0,C788=0),VLOOKUP(B788,'3 - LISTA DE ESPÉCIES'!B:H,3,FALSE()),IF(AND(A788=0,B788=0,C788&lt;&gt;0),VLOOKUP(C788,'3 - LISTA DE ESPÉCIES'!C:H,2,FALSE()))))</f>
        <v>0</v>
      </c>
      <c r="I788" s="21" t="b">
        <f>IF(AND(A788&lt;&gt;0,B788=0,C788=0),VLOOKUP(A788,'3 - LISTA DE ESPÉCIES'!A:H,5,FALSE()),IF(AND(A788=0,B788&lt;&gt;0,C788=0),VLOOKUP(B788,'3 - LISTA DE ESPÉCIES'!B:H,4,FALSE()),IF(AND(A788=0,B788=0,C788&lt;&gt;0),VLOOKUP(C788,'3 - LISTA DE ESPÉCIES'!C:H,3,FALSE()))))</f>
        <v>0</v>
      </c>
      <c r="J788" s="23"/>
      <c r="K788" s="23"/>
      <c r="L788" s="20"/>
      <c r="M788" s="20"/>
    </row>
    <row r="789" spans="1:13" x14ac:dyDescent="0.25">
      <c r="A789" s="20"/>
      <c r="B789" s="20"/>
      <c r="C789" s="20"/>
      <c r="E789" s="21" t="b">
        <f>IF(AND(A789&lt;&gt;0,B789=0,C789=0),VLOOKUP(A789,'3 - LISTA DE ESPÉCIES'!A:H,1,FALSE()),IF(AND(A789=0,B789&lt;&gt;0,C789=0),VLOOKUP(B789,'3 - LISTA DE ESPÉCIES'!B:H,5,FALSE()),IF(AND(A789=0,B789=0,C789&lt;&gt;0),VLOOKUP(C789,'3 - LISTA DE ESPÉCIES'!C:H,4,FALSE()))))</f>
        <v>0</v>
      </c>
      <c r="F789" s="21" t="b">
        <f>IF(AND(A789&lt;&gt;0,B789=0,C789=0),VLOOKUP(A789,'3 - LISTA DE ESPÉCIES'!A:H,2,FALSE()),IF(AND(A789=0,B789&lt;&gt;0,C789=0),VLOOKUP(B789,'3 - LISTA DE ESPÉCIES'!B:H,6,FALSE()),IF(AND(A789=0,B789=0,C789&lt;&gt;0),VLOOKUP(C789,'3 - LISTA DE ESPÉCIES'!C:H,5,FALSE()))))</f>
        <v>0</v>
      </c>
      <c r="G789" s="21" t="b">
        <f>IF(AND(A789&lt;&gt;0,B789=0,C789=0),VLOOKUP(A789,'3 - LISTA DE ESPÉCIES'!A:H,3,FALSE()),IF(AND(A789=0,B789&lt;&gt;0,C789=0),VLOOKUP(B789,'3 - LISTA DE ESPÉCIES'!B:H,7,FALSE()),IF(AND(A789=0,B789=0,C789&lt;&gt;0),VLOOKUP(C789,'3 - LISTA DE ESPÉCIES'!C:H,6,FALSE()))))</f>
        <v>0</v>
      </c>
      <c r="H789" s="21" t="b">
        <f>IF(AND(A789&lt;&gt;0,B789=0,C789=0),VLOOKUP(A789,'3 - LISTA DE ESPÉCIES'!A:H,4,FALSE()),IF(AND(A789=0,B789&lt;&gt;0,C789=0),VLOOKUP(B789,'3 - LISTA DE ESPÉCIES'!B:H,3,FALSE()),IF(AND(A789=0,B789=0,C789&lt;&gt;0),VLOOKUP(C789,'3 - LISTA DE ESPÉCIES'!C:H,2,FALSE()))))</f>
        <v>0</v>
      </c>
      <c r="I789" s="21" t="b">
        <f>IF(AND(A789&lt;&gt;0,B789=0,C789=0),VLOOKUP(A789,'3 - LISTA DE ESPÉCIES'!A:H,5,FALSE()),IF(AND(A789=0,B789&lt;&gt;0,C789=0),VLOOKUP(B789,'3 - LISTA DE ESPÉCIES'!B:H,4,FALSE()),IF(AND(A789=0,B789=0,C789&lt;&gt;0),VLOOKUP(C789,'3 - LISTA DE ESPÉCIES'!C:H,3,FALSE()))))</f>
        <v>0</v>
      </c>
      <c r="J789" s="23"/>
      <c r="K789" s="23"/>
      <c r="L789" s="20"/>
      <c r="M789" s="20"/>
    </row>
    <row r="790" spans="1:13" x14ac:dyDescent="0.25">
      <c r="A790" s="20"/>
      <c r="B790" s="20"/>
      <c r="C790" s="20"/>
      <c r="E790" s="21" t="b">
        <f>IF(AND(A790&lt;&gt;0,B790=0,C790=0),VLOOKUP(A790,'3 - LISTA DE ESPÉCIES'!A:H,1,FALSE()),IF(AND(A790=0,B790&lt;&gt;0,C790=0),VLOOKUP(B790,'3 - LISTA DE ESPÉCIES'!B:H,5,FALSE()),IF(AND(A790=0,B790=0,C790&lt;&gt;0),VLOOKUP(C790,'3 - LISTA DE ESPÉCIES'!C:H,4,FALSE()))))</f>
        <v>0</v>
      </c>
      <c r="F790" s="21" t="b">
        <f>IF(AND(A790&lt;&gt;0,B790=0,C790=0),VLOOKUP(A790,'3 - LISTA DE ESPÉCIES'!A:H,2,FALSE()),IF(AND(A790=0,B790&lt;&gt;0,C790=0),VLOOKUP(B790,'3 - LISTA DE ESPÉCIES'!B:H,6,FALSE()),IF(AND(A790=0,B790=0,C790&lt;&gt;0),VLOOKUP(C790,'3 - LISTA DE ESPÉCIES'!C:H,5,FALSE()))))</f>
        <v>0</v>
      </c>
      <c r="G790" s="21" t="b">
        <f>IF(AND(A790&lt;&gt;0,B790=0,C790=0),VLOOKUP(A790,'3 - LISTA DE ESPÉCIES'!A:H,3,FALSE()),IF(AND(A790=0,B790&lt;&gt;0,C790=0),VLOOKUP(B790,'3 - LISTA DE ESPÉCIES'!B:H,7,FALSE()),IF(AND(A790=0,B790=0,C790&lt;&gt;0),VLOOKUP(C790,'3 - LISTA DE ESPÉCIES'!C:H,6,FALSE()))))</f>
        <v>0</v>
      </c>
      <c r="H790" s="21" t="b">
        <f>IF(AND(A790&lt;&gt;0,B790=0,C790=0),VLOOKUP(A790,'3 - LISTA DE ESPÉCIES'!A:H,4,FALSE()),IF(AND(A790=0,B790&lt;&gt;0,C790=0),VLOOKUP(B790,'3 - LISTA DE ESPÉCIES'!B:H,3,FALSE()),IF(AND(A790=0,B790=0,C790&lt;&gt;0),VLOOKUP(C790,'3 - LISTA DE ESPÉCIES'!C:H,2,FALSE()))))</f>
        <v>0</v>
      </c>
      <c r="I790" s="21" t="b">
        <f>IF(AND(A790&lt;&gt;0,B790=0,C790=0),VLOOKUP(A790,'3 - LISTA DE ESPÉCIES'!A:H,5,FALSE()),IF(AND(A790=0,B790&lt;&gt;0,C790=0),VLOOKUP(B790,'3 - LISTA DE ESPÉCIES'!B:H,4,FALSE()),IF(AND(A790=0,B790=0,C790&lt;&gt;0),VLOOKUP(C790,'3 - LISTA DE ESPÉCIES'!C:H,3,FALSE()))))</f>
        <v>0</v>
      </c>
      <c r="J790" s="23"/>
      <c r="K790" s="23"/>
      <c r="L790" s="20"/>
      <c r="M790" s="20"/>
    </row>
    <row r="791" spans="1:13" x14ac:dyDescent="0.25">
      <c r="A791" s="20"/>
      <c r="B791" s="20"/>
      <c r="C791" s="20"/>
      <c r="E791" s="21" t="b">
        <f>IF(AND(A791&lt;&gt;0,B791=0,C791=0),VLOOKUP(A791,'3 - LISTA DE ESPÉCIES'!A:H,1,FALSE()),IF(AND(A791=0,B791&lt;&gt;0,C791=0),VLOOKUP(B791,'3 - LISTA DE ESPÉCIES'!B:H,5,FALSE()),IF(AND(A791=0,B791=0,C791&lt;&gt;0),VLOOKUP(C791,'3 - LISTA DE ESPÉCIES'!C:H,4,FALSE()))))</f>
        <v>0</v>
      </c>
      <c r="F791" s="21" t="b">
        <f>IF(AND(A791&lt;&gt;0,B791=0,C791=0),VLOOKUP(A791,'3 - LISTA DE ESPÉCIES'!A:H,2,FALSE()),IF(AND(A791=0,B791&lt;&gt;0,C791=0),VLOOKUP(B791,'3 - LISTA DE ESPÉCIES'!B:H,6,FALSE()),IF(AND(A791=0,B791=0,C791&lt;&gt;0),VLOOKUP(C791,'3 - LISTA DE ESPÉCIES'!C:H,5,FALSE()))))</f>
        <v>0</v>
      </c>
      <c r="G791" s="21" t="b">
        <f>IF(AND(A791&lt;&gt;0,B791=0,C791=0),VLOOKUP(A791,'3 - LISTA DE ESPÉCIES'!A:H,3,FALSE()),IF(AND(A791=0,B791&lt;&gt;0,C791=0),VLOOKUP(B791,'3 - LISTA DE ESPÉCIES'!B:H,7,FALSE()),IF(AND(A791=0,B791=0,C791&lt;&gt;0),VLOOKUP(C791,'3 - LISTA DE ESPÉCIES'!C:H,6,FALSE()))))</f>
        <v>0</v>
      </c>
      <c r="H791" s="21" t="b">
        <f>IF(AND(A791&lt;&gt;0,B791=0,C791=0),VLOOKUP(A791,'3 - LISTA DE ESPÉCIES'!A:H,4,FALSE()),IF(AND(A791=0,B791&lt;&gt;0,C791=0),VLOOKUP(B791,'3 - LISTA DE ESPÉCIES'!B:H,3,FALSE()),IF(AND(A791=0,B791=0,C791&lt;&gt;0),VLOOKUP(C791,'3 - LISTA DE ESPÉCIES'!C:H,2,FALSE()))))</f>
        <v>0</v>
      </c>
      <c r="I791" s="21" t="b">
        <f>IF(AND(A791&lt;&gt;0,B791=0,C791=0),VLOOKUP(A791,'3 - LISTA DE ESPÉCIES'!A:H,5,FALSE()),IF(AND(A791=0,B791&lt;&gt;0,C791=0),VLOOKUP(B791,'3 - LISTA DE ESPÉCIES'!B:H,4,FALSE()),IF(AND(A791=0,B791=0,C791&lt;&gt;0),VLOOKUP(C791,'3 - LISTA DE ESPÉCIES'!C:H,3,FALSE()))))</f>
        <v>0</v>
      </c>
      <c r="J791" s="23"/>
      <c r="K791" s="23"/>
      <c r="L791" s="20"/>
      <c r="M791" s="20"/>
    </row>
    <row r="792" spans="1:13" x14ac:dyDescent="0.25">
      <c r="A792" s="20"/>
      <c r="B792" s="20"/>
      <c r="C792" s="20"/>
      <c r="E792" s="21" t="b">
        <f>IF(AND(A792&lt;&gt;0,B792=0,C792=0),VLOOKUP(A792,'3 - LISTA DE ESPÉCIES'!A:H,1,FALSE()),IF(AND(A792=0,B792&lt;&gt;0,C792=0),VLOOKUP(B792,'3 - LISTA DE ESPÉCIES'!B:H,5,FALSE()),IF(AND(A792=0,B792=0,C792&lt;&gt;0),VLOOKUP(C792,'3 - LISTA DE ESPÉCIES'!C:H,4,FALSE()))))</f>
        <v>0</v>
      </c>
      <c r="F792" s="21" t="b">
        <f>IF(AND(A792&lt;&gt;0,B792=0,C792=0),VLOOKUP(A792,'3 - LISTA DE ESPÉCIES'!A:H,2,FALSE()),IF(AND(A792=0,B792&lt;&gt;0,C792=0),VLOOKUP(B792,'3 - LISTA DE ESPÉCIES'!B:H,6,FALSE()),IF(AND(A792=0,B792=0,C792&lt;&gt;0),VLOOKUP(C792,'3 - LISTA DE ESPÉCIES'!C:H,5,FALSE()))))</f>
        <v>0</v>
      </c>
      <c r="G792" s="21" t="b">
        <f>IF(AND(A792&lt;&gt;0,B792=0,C792=0),VLOOKUP(A792,'3 - LISTA DE ESPÉCIES'!A:H,3,FALSE()),IF(AND(A792=0,B792&lt;&gt;0,C792=0),VLOOKUP(B792,'3 - LISTA DE ESPÉCIES'!B:H,7,FALSE()),IF(AND(A792=0,B792=0,C792&lt;&gt;0),VLOOKUP(C792,'3 - LISTA DE ESPÉCIES'!C:H,6,FALSE()))))</f>
        <v>0</v>
      </c>
      <c r="H792" s="21" t="b">
        <f>IF(AND(A792&lt;&gt;0,B792=0,C792=0),VLOOKUP(A792,'3 - LISTA DE ESPÉCIES'!A:H,4,FALSE()),IF(AND(A792=0,B792&lt;&gt;0,C792=0),VLOOKUP(B792,'3 - LISTA DE ESPÉCIES'!B:H,3,FALSE()),IF(AND(A792=0,B792=0,C792&lt;&gt;0),VLOOKUP(C792,'3 - LISTA DE ESPÉCIES'!C:H,2,FALSE()))))</f>
        <v>0</v>
      </c>
      <c r="I792" s="21" t="b">
        <f>IF(AND(A792&lt;&gt;0,B792=0,C792=0),VLOOKUP(A792,'3 - LISTA DE ESPÉCIES'!A:H,5,FALSE()),IF(AND(A792=0,B792&lt;&gt;0,C792=0),VLOOKUP(B792,'3 - LISTA DE ESPÉCIES'!B:H,4,FALSE()),IF(AND(A792=0,B792=0,C792&lt;&gt;0),VLOOKUP(C792,'3 - LISTA DE ESPÉCIES'!C:H,3,FALSE()))))</f>
        <v>0</v>
      </c>
      <c r="J792" s="23"/>
      <c r="K792" s="23"/>
      <c r="L792" s="20"/>
      <c r="M792" s="20"/>
    </row>
    <row r="793" spans="1:13" x14ac:dyDescent="0.25">
      <c r="A793" s="20"/>
      <c r="B793" s="20"/>
      <c r="C793" s="20"/>
      <c r="E793" s="21" t="b">
        <f>IF(AND(A793&lt;&gt;0,B793=0,C793=0),VLOOKUP(A793,'3 - LISTA DE ESPÉCIES'!A:H,1,FALSE()),IF(AND(A793=0,B793&lt;&gt;0,C793=0),VLOOKUP(B793,'3 - LISTA DE ESPÉCIES'!B:H,5,FALSE()),IF(AND(A793=0,B793=0,C793&lt;&gt;0),VLOOKUP(C793,'3 - LISTA DE ESPÉCIES'!C:H,4,FALSE()))))</f>
        <v>0</v>
      </c>
      <c r="F793" s="21" t="b">
        <f>IF(AND(A793&lt;&gt;0,B793=0,C793=0),VLOOKUP(A793,'3 - LISTA DE ESPÉCIES'!A:H,2,FALSE()),IF(AND(A793=0,B793&lt;&gt;0,C793=0),VLOOKUP(B793,'3 - LISTA DE ESPÉCIES'!B:H,6,FALSE()),IF(AND(A793=0,B793=0,C793&lt;&gt;0),VLOOKUP(C793,'3 - LISTA DE ESPÉCIES'!C:H,5,FALSE()))))</f>
        <v>0</v>
      </c>
      <c r="G793" s="21" t="b">
        <f>IF(AND(A793&lt;&gt;0,B793=0,C793=0),VLOOKUP(A793,'3 - LISTA DE ESPÉCIES'!A:H,3,FALSE()),IF(AND(A793=0,B793&lt;&gt;0,C793=0),VLOOKUP(B793,'3 - LISTA DE ESPÉCIES'!B:H,7,FALSE()),IF(AND(A793=0,B793=0,C793&lt;&gt;0),VLOOKUP(C793,'3 - LISTA DE ESPÉCIES'!C:H,6,FALSE()))))</f>
        <v>0</v>
      </c>
      <c r="H793" s="21" t="b">
        <f>IF(AND(A793&lt;&gt;0,B793=0,C793=0),VLOOKUP(A793,'3 - LISTA DE ESPÉCIES'!A:H,4,FALSE()),IF(AND(A793=0,B793&lt;&gt;0,C793=0),VLOOKUP(B793,'3 - LISTA DE ESPÉCIES'!B:H,3,FALSE()),IF(AND(A793=0,B793=0,C793&lt;&gt;0),VLOOKUP(C793,'3 - LISTA DE ESPÉCIES'!C:H,2,FALSE()))))</f>
        <v>0</v>
      </c>
      <c r="I793" s="21" t="b">
        <f>IF(AND(A793&lt;&gt;0,B793=0,C793=0),VLOOKUP(A793,'3 - LISTA DE ESPÉCIES'!A:H,5,FALSE()),IF(AND(A793=0,B793&lt;&gt;0,C793=0),VLOOKUP(B793,'3 - LISTA DE ESPÉCIES'!B:H,4,FALSE()),IF(AND(A793=0,B793=0,C793&lt;&gt;0),VLOOKUP(C793,'3 - LISTA DE ESPÉCIES'!C:H,3,FALSE()))))</f>
        <v>0</v>
      </c>
      <c r="J793" s="23"/>
      <c r="K793" s="23"/>
      <c r="L793" s="20"/>
      <c r="M793" s="20"/>
    </row>
    <row r="794" spans="1:13" x14ac:dyDescent="0.25">
      <c r="A794" s="20"/>
      <c r="B794" s="20"/>
      <c r="C794" s="20"/>
      <c r="E794" s="21" t="b">
        <f>IF(AND(A794&lt;&gt;0,B794=0,C794=0),VLOOKUP(A794,'3 - LISTA DE ESPÉCIES'!A:H,1,FALSE()),IF(AND(A794=0,B794&lt;&gt;0,C794=0),VLOOKUP(B794,'3 - LISTA DE ESPÉCIES'!B:H,5,FALSE()),IF(AND(A794=0,B794=0,C794&lt;&gt;0),VLOOKUP(C794,'3 - LISTA DE ESPÉCIES'!C:H,4,FALSE()))))</f>
        <v>0</v>
      </c>
      <c r="F794" s="21" t="b">
        <f>IF(AND(A794&lt;&gt;0,B794=0,C794=0),VLOOKUP(A794,'3 - LISTA DE ESPÉCIES'!A:H,2,FALSE()),IF(AND(A794=0,B794&lt;&gt;0,C794=0),VLOOKUP(B794,'3 - LISTA DE ESPÉCIES'!B:H,6,FALSE()),IF(AND(A794=0,B794=0,C794&lt;&gt;0),VLOOKUP(C794,'3 - LISTA DE ESPÉCIES'!C:H,5,FALSE()))))</f>
        <v>0</v>
      </c>
      <c r="G794" s="21" t="b">
        <f>IF(AND(A794&lt;&gt;0,B794=0,C794=0),VLOOKUP(A794,'3 - LISTA DE ESPÉCIES'!A:H,3,FALSE()),IF(AND(A794=0,B794&lt;&gt;0,C794=0),VLOOKUP(B794,'3 - LISTA DE ESPÉCIES'!B:H,7,FALSE()),IF(AND(A794=0,B794=0,C794&lt;&gt;0),VLOOKUP(C794,'3 - LISTA DE ESPÉCIES'!C:H,6,FALSE()))))</f>
        <v>0</v>
      </c>
      <c r="H794" s="21" t="b">
        <f>IF(AND(A794&lt;&gt;0,B794=0,C794=0),VLOOKUP(A794,'3 - LISTA DE ESPÉCIES'!A:H,4,FALSE()),IF(AND(A794=0,B794&lt;&gt;0,C794=0),VLOOKUP(B794,'3 - LISTA DE ESPÉCIES'!B:H,3,FALSE()),IF(AND(A794=0,B794=0,C794&lt;&gt;0),VLOOKUP(C794,'3 - LISTA DE ESPÉCIES'!C:H,2,FALSE()))))</f>
        <v>0</v>
      </c>
      <c r="I794" s="21" t="b">
        <f>IF(AND(A794&lt;&gt;0,B794=0,C794=0),VLOOKUP(A794,'3 - LISTA DE ESPÉCIES'!A:H,5,FALSE()),IF(AND(A794=0,B794&lt;&gt;0,C794=0),VLOOKUP(B794,'3 - LISTA DE ESPÉCIES'!B:H,4,FALSE()),IF(AND(A794=0,B794=0,C794&lt;&gt;0),VLOOKUP(C794,'3 - LISTA DE ESPÉCIES'!C:H,3,FALSE()))))</f>
        <v>0</v>
      </c>
      <c r="J794" s="23"/>
      <c r="K794" s="23"/>
      <c r="L794" s="20"/>
      <c r="M794" s="20"/>
    </row>
    <row r="795" spans="1:13" x14ac:dyDescent="0.25">
      <c r="A795" s="20"/>
      <c r="B795" s="20"/>
      <c r="C795" s="20"/>
      <c r="E795" s="21" t="b">
        <f>IF(AND(A795&lt;&gt;0,B795=0,C795=0),VLOOKUP(A795,'3 - LISTA DE ESPÉCIES'!A:H,1,FALSE()),IF(AND(A795=0,B795&lt;&gt;0,C795=0),VLOOKUP(B795,'3 - LISTA DE ESPÉCIES'!B:H,5,FALSE()),IF(AND(A795=0,B795=0,C795&lt;&gt;0),VLOOKUP(C795,'3 - LISTA DE ESPÉCIES'!C:H,4,FALSE()))))</f>
        <v>0</v>
      </c>
      <c r="F795" s="21" t="b">
        <f>IF(AND(A795&lt;&gt;0,B795=0,C795=0),VLOOKUP(A795,'3 - LISTA DE ESPÉCIES'!A:H,2,FALSE()),IF(AND(A795=0,B795&lt;&gt;0,C795=0),VLOOKUP(B795,'3 - LISTA DE ESPÉCIES'!B:H,6,FALSE()),IF(AND(A795=0,B795=0,C795&lt;&gt;0),VLOOKUP(C795,'3 - LISTA DE ESPÉCIES'!C:H,5,FALSE()))))</f>
        <v>0</v>
      </c>
      <c r="G795" s="21" t="b">
        <f>IF(AND(A795&lt;&gt;0,B795=0,C795=0),VLOOKUP(A795,'3 - LISTA DE ESPÉCIES'!A:H,3,FALSE()),IF(AND(A795=0,B795&lt;&gt;0,C795=0),VLOOKUP(B795,'3 - LISTA DE ESPÉCIES'!B:H,7,FALSE()),IF(AND(A795=0,B795=0,C795&lt;&gt;0),VLOOKUP(C795,'3 - LISTA DE ESPÉCIES'!C:H,6,FALSE()))))</f>
        <v>0</v>
      </c>
      <c r="H795" s="21" t="b">
        <f>IF(AND(A795&lt;&gt;0,B795=0,C795=0),VLOOKUP(A795,'3 - LISTA DE ESPÉCIES'!A:H,4,FALSE()),IF(AND(A795=0,B795&lt;&gt;0,C795=0),VLOOKUP(B795,'3 - LISTA DE ESPÉCIES'!B:H,3,FALSE()),IF(AND(A795=0,B795=0,C795&lt;&gt;0),VLOOKUP(C795,'3 - LISTA DE ESPÉCIES'!C:H,2,FALSE()))))</f>
        <v>0</v>
      </c>
      <c r="I795" s="21" t="b">
        <f>IF(AND(A795&lt;&gt;0,B795=0,C795=0),VLOOKUP(A795,'3 - LISTA DE ESPÉCIES'!A:H,5,FALSE()),IF(AND(A795=0,B795&lt;&gt;0,C795=0),VLOOKUP(B795,'3 - LISTA DE ESPÉCIES'!B:H,4,FALSE()),IF(AND(A795=0,B795=0,C795&lt;&gt;0),VLOOKUP(C795,'3 - LISTA DE ESPÉCIES'!C:H,3,FALSE()))))</f>
        <v>0</v>
      </c>
      <c r="J795" s="23"/>
      <c r="K795" s="23"/>
      <c r="L795" s="20"/>
      <c r="M795" s="20"/>
    </row>
    <row r="796" spans="1:13" x14ac:dyDescent="0.25">
      <c r="A796" s="20"/>
      <c r="B796" s="20"/>
      <c r="C796" s="20"/>
      <c r="E796" s="21" t="b">
        <f>IF(AND(A796&lt;&gt;0,B796=0,C796=0),VLOOKUP(A796,'3 - LISTA DE ESPÉCIES'!A:H,1,FALSE()),IF(AND(A796=0,B796&lt;&gt;0,C796=0),VLOOKUP(B796,'3 - LISTA DE ESPÉCIES'!B:H,5,FALSE()),IF(AND(A796=0,B796=0,C796&lt;&gt;0),VLOOKUP(C796,'3 - LISTA DE ESPÉCIES'!C:H,4,FALSE()))))</f>
        <v>0</v>
      </c>
      <c r="F796" s="21" t="b">
        <f>IF(AND(A796&lt;&gt;0,B796=0,C796=0),VLOOKUP(A796,'3 - LISTA DE ESPÉCIES'!A:H,2,FALSE()),IF(AND(A796=0,B796&lt;&gt;0,C796=0),VLOOKUP(B796,'3 - LISTA DE ESPÉCIES'!B:H,6,FALSE()),IF(AND(A796=0,B796=0,C796&lt;&gt;0),VLOOKUP(C796,'3 - LISTA DE ESPÉCIES'!C:H,5,FALSE()))))</f>
        <v>0</v>
      </c>
      <c r="G796" s="21" t="b">
        <f>IF(AND(A796&lt;&gt;0,B796=0,C796=0),VLOOKUP(A796,'3 - LISTA DE ESPÉCIES'!A:H,3,FALSE()),IF(AND(A796=0,B796&lt;&gt;0,C796=0),VLOOKUP(B796,'3 - LISTA DE ESPÉCIES'!B:H,7,FALSE()),IF(AND(A796=0,B796=0,C796&lt;&gt;0),VLOOKUP(C796,'3 - LISTA DE ESPÉCIES'!C:H,6,FALSE()))))</f>
        <v>0</v>
      </c>
      <c r="H796" s="21" t="b">
        <f>IF(AND(A796&lt;&gt;0,B796=0,C796=0),VLOOKUP(A796,'3 - LISTA DE ESPÉCIES'!A:H,4,FALSE()),IF(AND(A796=0,B796&lt;&gt;0,C796=0),VLOOKUP(B796,'3 - LISTA DE ESPÉCIES'!B:H,3,FALSE()),IF(AND(A796=0,B796=0,C796&lt;&gt;0),VLOOKUP(C796,'3 - LISTA DE ESPÉCIES'!C:H,2,FALSE()))))</f>
        <v>0</v>
      </c>
      <c r="I796" s="21" t="b">
        <f>IF(AND(A796&lt;&gt;0,B796=0,C796=0),VLOOKUP(A796,'3 - LISTA DE ESPÉCIES'!A:H,5,FALSE()),IF(AND(A796=0,B796&lt;&gt;0,C796=0),VLOOKUP(B796,'3 - LISTA DE ESPÉCIES'!B:H,4,FALSE()),IF(AND(A796=0,B796=0,C796&lt;&gt;0),VLOOKUP(C796,'3 - LISTA DE ESPÉCIES'!C:H,3,FALSE()))))</f>
        <v>0</v>
      </c>
      <c r="J796" s="23"/>
      <c r="K796" s="23"/>
      <c r="L796" s="20"/>
      <c r="M796" s="20"/>
    </row>
    <row r="797" spans="1:13" x14ac:dyDescent="0.25">
      <c r="A797" s="20"/>
      <c r="B797" s="20"/>
      <c r="C797" s="20"/>
      <c r="E797" s="21" t="b">
        <f>IF(AND(A797&lt;&gt;0,B797=0,C797=0),VLOOKUP(A797,'3 - LISTA DE ESPÉCIES'!A:H,1,FALSE()),IF(AND(A797=0,B797&lt;&gt;0,C797=0),VLOOKUP(B797,'3 - LISTA DE ESPÉCIES'!B:H,5,FALSE()),IF(AND(A797=0,B797=0,C797&lt;&gt;0),VLOOKUP(C797,'3 - LISTA DE ESPÉCIES'!C:H,4,FALSE()))))</f>
        <v>0</v>
      </c>
      <c r="F797" s="21" t="b">
        <f>IF(AND(A797&lt;&gt;0,B797=0,C797=0),VLOOKUP(A797,'3 - LISTA DE ESPÉCIES'!A:H,2,FALSE()),IF(AND(A797=0,B797&lt;&gt;0,C797=0),VLOOKUP(B797,'3 - LISTA DE ESPÉCIES'!B:H,6,FALSE()),IF(AND(A797=0,B797=0,C797&lt;&gt;0),VLOOKUP(C797,'3 - LISTA DE ESPÉCIES'!C:H,5,FALSE()))))</f>
        <v>0</v>
      </c>
      <c r="G797" s="21" t="b">
        <f>IF(AND(A797&lt;&gt;0,B797=0,C797=0),VLOOKUP(A797,'3 - LISTA DE ESPÉCIES'!A:H,3,FALSE()),IF(AND(A797=0,B797&lt;&gt;0,C797=0),VLOOKUP(B797,'3 - LISTA DE ESPÉCIES'!B:H,7,FALSE()),IF(AND(A797=0,B797=0,C797&lt;&gt;0),VLOOKUP(C797,'3 - LISTA DE ESPÉCIES'!C:H,6,FALSE()))))</f>
        <v>0</v>
      </c>
      <c r="H797" s="21" t="b">
        <f>IF(AND(A797&lt;&gt;0,B797=0,C797=0),VLOOKUP(A797,'3 - LISTA DE ESPÉCIES'!A:H,4,FALSE()),IF(AND(A797=0,B797&lt;&gt;0,C797=0),VLOOKUP(B797,'3 - LISTA DE ESPÉCIES'!B:H,3,FALSE()),IF(AND(A797=0,B797=0,C797&lt;&gt;0),VLOOKUP(C797,'3 - LISTA DE ESPÉCIES'!C:H,2,FALSE()))))</f>
        <v>0</v>
      </c>
      <c r="I797" s="21" t="b">
        <f>IF(AND(A797&lt;&gt;0,B797=0,C797=0),VLOOKUP(A797,'3 - LISTA DE ESPÉCIES'!A:H,5,FALSE()),IF(AND(A797=0,B797&lt;&gt;0,C797=0),VLOOKUP(B797,'3 - LISTA DE ESPÉCIES'!B:H,4,FALSE()),IF(AND(A797=0,B797=0,C797&lt;&gt;0),VLOOKUP(C797,'3 - LISTA DE ESPÉCIES'!C:H,3,FALSE()))))</f>
        <v>0</v>
      </c>
      <c r="J797" s="23"/>
      <c r="K797" s="23"/>
      <c r="L797" s="20"/>
      <c r="M797" s="20"/>
    </row>
    <row r="798" spans="1:13" x14ac:dyDescent="0.25">
      <c r="A798" s="20"/>
      <c r="B798" s="20"/>
      <c r="C798" s="20"/>
      <c r="E798" s="21" t="b">
        <f>IF(AND(A798&lt;&gt;0,B798=0,C798=0),VLOOKUP(A798,'3 - LISTA DE ESPÉCIES'!A:H,1,FALSE()),IF(AND(A798=0,B798&lt;&gt;0,C798=0),VLOOKUP(B798,'3 - LISTA DE ESPÉCIES'!B:H,5,FALSE()),IF(AND(A798=0,B798=0,C798&lt;&gt;0),VLOOKUP(C798,'3 - LISTA DE ESPÉCIES'!C:H,4,FALSE()))))</f>
        <v>0</v>
      </c>
      <c r="F798" s="21" t="b">
        <f>IF(AND(A798&lt;&gt;0,B798=0,C798=0),VLOOKUP(A798,'3 - LISTA DE ESPÉCIES'!A:H,2,FALSE()),IF(AND(A798=0,B798&lt;&gt;0,C798=0),VLOOKUP(B798,'3 - LISTA DE ESPÉCIES'!B:H,6,FALSE()),IF(AND(A798=0,B798=0,C798&lt;&gt;0),VLOOKUP(C798,'3 - LISTA DE ESPÉCIES'!C:H,5,FALSE()))))</f>
        <v>0</v>
      </c>
      <c r="G798" s="21" t="b">
        <f>IF(AND(A798&lt;&gt;0,B798=0,C798=0),VLOOKUP(A798,'3 - LISTA DE ESPÉCIES'!A:H,3,FALSE()),IF(AND(A798=0,B798&lt;&gt;0,C798=0),VLOOKUP(B798,'3 - LISTA DE ESPÉCIES'!B:H,7,FALSE()),IF(AND(A798=0,B798=0,C798&lt;&gt;0),VLOOKUP(C798,'3 - LISTA DE ESPÉCIES'!C:H,6,FALSE()))))</f>
        <v>0</v>
      </c>
      <c r="H798" s="21" t="b">
        <f>IF(AND(A798&lt;&gt;0,B798=0,C798=0),VLOOKUP(A798,'3 - LISTA DE ESPÉCIES'!A:H,4,FALSE()),IF(AND(A798=0,B798&lt;&gt;0,C798=0),VLOOKUP(B798,'3 - LISTA DE ESPÉCIES'!B:H,3,FALSE()),IF(AND(A798=0,B798=0,C798&lt;&gt;0),VLOOKUP(C798,'3 - LISTA DE ESPÉCIES'!C:H,2,FALSE()))))</f>
        <v>0</v>
      </c>
      <c r="I798" s="21" t="b">
        <f>IF(AND(A798&lt;&gt;0,B798=0,C798=0),VLOOKUP(A798,'3 - LISTA DE ESPÉCIES'!A:H,5,FALSE()),IF(AND(A798=0,B798&lt;&gt;0,C798=0),VLOOKUP(B798,'3 - LISTA DE ESPÉCIES'!B:H,4,FALSE()),IF(AND(A798=0,B798=0,C798&lt;&gt;0),VLOOKUP(C798,'3 - LISTA DE ESPÉCIES'!C:H,3,FALSE()))))</f>
        <v>0</v>
      </c>
      <c r="J798" s="23"/>
      <c r="K798" s="23"/>
      <c r="L798" s="20"/>
      <c r="M798" s="20"/>
    </row>
    <row r="799" spans="1:13" x14ac:dyDescent="0.25">
      <c r="A799" s="20"/>
      <c r="B799" s="20"/>
      <c r="C799" s="20"/>
      <c r="E799" s="21" t="b">
        <f>IF(AND(A799&lt;&gt;0,B799=0,C799=0),VLOOKUP(A799,'3 - LISTA DE ESPÉCIES'!A:H,1,FALSE()),IF(AND(A799=0,B799&lt;&gt;0,C799=0),VLOOKUP(B799,'3 - LISTA DE ESPÉCIES'!B:H,5,FALSE()),IF(AND(A799=0,B799=0,C799&lt;&gt;0),VLOOKUP(C799,'3 - LISTA DE ESPÉCIES'!C:H,4,FALSE()))))</f>
        <v>0</v>
      </c>
      <c r="F799" s="21" t="b">
        <f>IF(AND(A799&lt;&gt;0,B799=0,C799=0),VLOOKUP(A799,'3 - LISTA DE ESPÉCIES'!A:H,2,FALSE()),IF(AND(A799=0,B799&lt;&gt;0,C799=0),VLOOKUP(B799,'3 - LISTA DE ESPÉCIES'!B:H,6,FALSE()),IF(AND(A799=0,B799=0,C799&lt;&gt;0),VLOOKUP(C799,'3 - LISTA DE ESPÉCIES'!C:H,5,FALSE()))))</f>
        <v>0</v>
      </c>
      <c r="G799" s="21" t="b">
        <f>IF(AND(A799&lt;&gt;0,B799=0,C799=0),VLOOKUP(A799,'3 - LISTA DE ESPÉCIES'!A:H,3,FALSE()),IF(AND(A799=0,B799&lt;&gt;0,C799=0),VLOOKUP(B799,'3 - LISTA DE ESPÉCIES'!B:H,7,FALSE()),IF(AND(A799=0,B799=0,C799&lt;&gt;0),VLOOKUP(C799,'3 - LISTA DE ESPÉCIES'!C:H,6,FALSE()))))</f>
        <v>0</v>
      </c>
      <c r="H799" s="21" t="b">
        <f>IF(AND(A799&lt;&gt;0,B799=0,C799=0),VLOOKUP(A799,'3 - LISTA DE ESPÉCIES'!A:H,4,FALSE()),IF(AND(A799=0,B799&lt;&gt;0,C799=0),VLOOKUP(B799,'3 - LISTA DE ESPÉCIES'!B:H,3,FALSE()),IF(AND(A799=0,B799=0,C799&lt;&gt;0),VLOOKUP(C799,'3 - LISTA DE ESPÉCIES'!C:H,2,FALSE()))))</f>
        <v>0</v>
      </c>
      <c r="I799" s="21" t="b">
        <f>IF(AND(A799&lt;&gt;0,B799=0,C799=0),VLOOKUP(A799,'3 - LISTA DE ESPÉCIES'!A:H,5,FALSE()),IF(AND(A799=0,B799&lt;&gt;0,C799=0),VLOOKUP(B799,'3 - LISTA DE ESPÉCIES'!B:H,4,FALSE()),IF(AND(A799=0,B799=0,C799&lt;&gt;0),VLOOKUP(C799,'3 - LISTA DE ESPÉCIES'!C:H,3,FALSE()))))</f>
        <v>0</v>
      </c>
      <c r="J799" s="23"/>
      <c r="K799" s="23"/>
      <c r="L799" s="20"/>
      <c r="M799" s="20"/>
    </row>
    <row r="800" spans="1:13" x14ac:dyDescent="0.25">
      <c r="A800" s="20"/>
      <c r="B800" s="20"/>
      <c r="C800" s="20"/>
      <c r="E800" s="21" t="b">
        <f>IF(AND(A800&lt;&gt;0,B800=0,C800=0),VLOOKUP(A800,'3 - LISTA DE ESPÉCIES'!A:H,1,FALSE()),IF(AND(A800=0,B800&lt;&gt;0,C800=0),VLOOKUP(B800,'3 - LISTA DE ESPÉCIES'!B:H,5,FALSE()),IF(AND(A800=0,B800=0,C800&lt;&gt;0),VLOOKUP(C800,'3 - LISTA DE ESPÉCIES'!C:H,4,FALSE()))))</f>
        <v>0</v>
      </c>
      <c r="F800" s="21" t="b">
        <f>IF(AND(A800&lt;&gt;0,B800=0,C800=0),VLOOKUP(A800,'3 - LISTA DE ESPÉCIES'!A:H,2,FALSE()),IF(AND(A800=0,B800&lt;&gt;0,C800=0),VLOOKUP(B800,'3 - LISTA DE ESPÉCIES'!B:H,6,FALSE()),IF(AND(A800=0,B800=0,C800&lt;&gt;0),VLOOKUP(C800,'3 - LISTA DE ESPÉCIES'!C:H,5,FALSE()))))</f>
        <v>0</v>
      </c>
      <c r="G800" s="21" t="b">
        <f>IF(AND(A800&lt;&gt;0,B800=0,C800=0),VLOOKUP(A800,'3 - LISTA DE ESPÉCIES'!A:H,3,FALSE()),IF(AND(A800=0,B800&lt;&gt;0,C800=0),VLOOKUP(B800,'3 - LISTA DE ESPÉCIES'!B:H,7,FALSE()),IF(AND(A800=0,B800=0,C800&lt;&gt;0),VLOOKUP(C800,'3 - LISTA DE ESPÉCIES'!C:H,6,FALSE()))))</f>
        <v>0</v>
      </c>
      <c r="H800" s="21" t="b">
        <f>IF(AND(A800&lt;&gt;0,B800=0,C800=0),VLOOKUP(A800,'3 - LISTA DE ESPÉCIES'!A:H,4,FALSE()),IF(AND(A800=0,B800&lt;&gt;0,C800=0),VLOOKUP(B800,'3 - LISTA DE ESPÉCIES'!B:H,3,FALSE()),IF(AND(A800=0,B800=0,C800&lt;&gt;0),VLOOKUP(C800,'3 - LISTA DE ESPÉCIES'!C:H,2,FALSE()))))</f>
        <v>0</v>
      </c>
      <c r="I800" s="21" t="b">
        <f>IF(AND(A800&lt;&gt;0,B800=0,C800=0),VLOOKUP(A800,'3 - LISTA DE ESPÉCIES'!A:H,5,FALSE()),IF(AND(A800=0,B800&lt;&gt;0,C800=0),VLOOKUP(B800,'3 - LISTA DE ESPÉCIES'!B:H,4,FALSE()),IF(AND(A800=0,B800=0,C800&lt;&gt;0),VLOOKUP(C800,'3 - LISTA DE ESPÉCIES'!C:H,3,FALSE()))))</f>
        <v>0</v>
      </c>
      <c r="J800" s="23"/>
      <c r="K800" s="23"/>
      <c r="L800" s="20"/>
      <c r="M800" s="20"/>
    </row>
    <row r="801" spans="1:13" x14ac:dyDescent="0.25">
      <c r="A801" s="20"/>
      <c r="B801" s="20"/>
      <c r="C801" s="20"/>
      <c r="E801" s="21" t="b">
        <f>IF(AND(A801&lt;&gt;0,B801=0,C801=0),VLOOKUP(A801,'3 - LISTA DE ESPÉCIES'!A:H,1,FALSE()),IF(AND(A801=0,B801&lt;&gt;0,C801=0),VLOOKUP(B801,'3 - LISTA DE ESPÉCIES'!B:H,5,FALSE()),IF(AND(A801=0,B801=0,C801&lt;&gt;0),VLOOKUP(C801,'3 - LISTA DE ESPÉCIES'!C:H,4,FALSE()))))</f>
        <v>0</v>
      </c>
      <c r="F801" s="21" t="b">
        <f>IF(AND(A801&lt;&gt;0,B801=0,C801=0),VLOOKUP(A801,'3 - LISTA DE ESPÉCIES'!A:H,2,FALSE()),IF(AND(A801=0,B801&lt;&gt;0,C801=0),VLOOKUP(B801,'3 - LISTA DE ESPÉCIES'!B:H,6,FALSE()),IF(AND(A801=0,B801=0,C801&lt;&gt;0),VLOOKUP(C801,'3 - LISTA DE ESPÉCIES'!C:H,5,FALSE()))))</f>
        <v>0</v>
      </c>
      <c r="G801" s="21" t="b">
        <f>IF(AND(A801&lt;&gt;0,B801=0,C801=0),VLOOKUP(A801,'3 - LISTA DE ESPÉCIES'!A:H,3,FALSE()),IF(AND(A801=0,B801&lt;&gt;0,C801=0),VLOOKUP(B801,'3 - LISTA DE ESPÉCIES'!B:H,7,FALSE()),IF(AND(A801=0,B801=0,C801&lt;&gt;0),VLOOKUP(C801,'3 - LISTA DE ESPÉCIES'!C:H,6,FALSE()))))</f>
        <v>0</v>
      </c>
      <c r="H801" s="21" t="b">
        <f>IF(AND(A801&lt;&gt;0,B801=0,C801=0),VLOOKUP(A801,'3 - LISTA DE ESPÉCIES'!A:H,4,FALSE()),IF(AND(A801=0,B801&lt;&gt;0,C801=0),VLOOKUP(B801,'3 - LISTA DE ESPÉCIES'!B:H,3,FALSE()),IF(AND(A801=0,B801=0,C801&lt;&gt;0),VLOOKUP(C801,'3 - LISTA DE ESPÉCIES'!C:H,2,FALSE()))))</f>
        <v>0</v>
      </c>
      <c r="I801" s="21" t="b">
        <f>IF(AND(A801&lt;&gt;0,B801=0,C801=0),VLOOKUP(A801,'3 - LISTA DE ESPÉCIES'!A:H,5,FALSE()),IF(AND(A801=0,B801&lt;&gt;0,C801=0),VLOOKUP(B801,'3 - LISTA DE ESPÉCIES'!B:H,4,FALSE()),IF(AND(A801=0,B801=0,C801&lt;&gt;0),VLOOKUP(C801,'3 - LISTA DE ESPÉCIES'!C:H,3,FALSE()))))</f>
        <v>0</v>
      </c>
      <c r="J801" s="23"/>
      <c r="K801" s="23"/>
      <c r="L801" s="20"/>
      <c r="M801" s="20"/>
    </row>
    <row r="802" spans="1:13" x14ac:dyDescent="0.25">
      <c r="A802" s="20"/>
      <c r="B802" s="20"/>
      <c r="C802" s="20"/>
      <c r="E802" s="21" t="b">
        <f>IF(AND(A802&lt;&gt;0,B802=0,C802=0),VLOOKUP(A802,'3 - LISTA DE ESPÉCIES'!A:H,1,FALSE()),IF(AND(A802=0,B802&lt;&gt;0,C802=0),VLOOKUP(B802,'3 - LISTA DE ESPÉCIES'!B:H,5,FALSE()),IF(AND(A802=0,B802=0,C802&lt;&gt;0),VLOOKUP(C802,'3 - LISTA DE ESPÉCIES'!C:H,4,FALSE()))))</f>
        <v>0</v>
      </c>
      <c r="F802" s="21" t="b">
        <f>IF(AND(A802&lt;&gt;0,B802=0,C802=0),VLOOKUP(A802,'3 - LISTA DE ESPÉCIES'!A:H,2,FALSE()),IF(AND(A802=0,B802&lt;&gt;0,C802=0),VLOOKUP(B802,'3 - LISTA DE ESPÉCIES'!B:H,6,FALSE()),IF(AND(A802=0,B802=0,C802&lt;&gt;0),VLOOKUP(C802,'3 - LISTA DE ESPÉCIES'!C:H,5,FALSE()))))</f>
        <v>0</v>
      </c>
      <c r="G802" s="21" t="b">
        <f>IF(AND(A802&lt;&gt;0,B802=0,C802=0),VLOOKUP(A802,'3 - LISTA DE ESPÉCIES'!A:H,3,FALSE()),IF(AND(A802=0,B802&lt;&gt;0,C802=0),VLOOKUP(B802,'3 - LISTA DE ESPÉCIES'!B:H,7,FALSE()),IF(AND(A802=0,B802=0,C802&lt;&gt;0),VLOOKUP(C802,'3 - LISTA DE ESPÉCIES'!C:H,6,FALSE()))))</f>
        <v>0</v>
      </c>
      <c r="H802" s="21" t="b">
        <f>IF(AND(A802&lt;&gt;0,B802=0,C802=0),VLOOKUP(A802,'3 - LISTA DE ESPÉCIES'!A:H,4,FALSE()),IF(AND(A802=0,B802&lt;&gt;0,C802=0),VLOOKUP(B802,'3 - LISTA DE ESPÉCIES'!B:H,3,FALSE()),IF(AND(A802=0,B802=0,C802&lt;&gt;0),VLOOKUP(C802,'3 - LISTA DE ESPÉCIES'!C:H,2,FALSE()))))</f>
        <v>0</v>
      </c>
      <c r="I802" s="21" t="b">
        <f>IF(AND(A802&lt;&gt;0,B802=0,C802=0),VLOOKUP(A802,'3 - LISTA DE ESPÉCIES'!A:H,5,FALSE()),IF(AND(A802=0,B802&lt;&gt;0,C802=0),VLOOKUP(B802,'3 - LISTA DE ESPÉCIES'!B:H,4,FALSE()),IF(AND(A802=0,B802=0,C802&lt;&gt;0),VLOOKUP(C802,'3 - LISTA DE ESPÉCIES'!C:H,3,FALSE()))))</f>
        <v>0</v>
      </c>
      <c r="J802" s="23"/>
      <c r="K802" s="23"/>
      <c r="L802" s="20"/>
      <c r="M802" s="20"/>
    </row>
    <row r="803" spans="1:13" x14ac:dyDescent="0.25">
      <c r="A803" s="20"/>
      <c r="B803" s="20"/>
      <c r="C803" s="20"/>
      <c r="E803" s="21" t="b">
        <f>IF(AND(A803&lt;&gt;0,B803=0,C803=0),VLOOKUP(A803,'3 - LISTA DE ESPÉCIES'!A:H,1,FALSE()),IF(AND(A803=0,B803&lt;&gt;0,C803=0),VLOOKUP(B803,'3 - LISTA DE ESPÉCIES'!B:H,5,FALSE()),IF(AND(A803=0,B803=0,C803&lt;&gt;0),VLOOKUP(C803,'3 - LISTA DE ESPÉCIES'!C:H,4,FALSE()))))</f>
        <v>0</v>
      </c>
      <c r="F803" s="21" t="b">
        <f>IF(AND(A803&lt;&gt;0,B803=0,C803=0),VLOOKUP(A803,'3 - LISTA DE ESPÉCIES'!A:H,2,FALSE()),IF(AND(A803=0,B803&lt;&gt;0,C803=0),VLOOKUP(B803,'3 - LISTA DE ESPÉCIES'!B:H,6,FALSE()),IF(AND(A803=0,B803=0,C803&lt;&gt;0),VLOOKUP(C803,'3 - LISTA DE ESPÉCIES'!C:H,5,FALSE()))))</f>
        <v>0</v>
      </c>
      <c r="G803" s="21" t="b">
        <f>IF(AND(A803&lt;&gt;0,B803=0,C803=0),VLOOKUP(A803,'3 - LISTA DE ESPÉCIES'!A:H,3,FALSE()),IF(AND(A803=0,B803&lt;&gt;0,C803=0),VLOOKUP(B803,'3 - LISTA DE ESPÉCIES'!B:H,7,FALSE()),IF(AND(A803=0,B803=0,C803&lt;&gt;0),VLOOKUP(C803,'3 - LISTA DE ESPÉCIES'!C:H,6,FALSE()))))</f>
        <v>0</v>
      </c>
      <c r="H803" s="21" t="b">
        <f>IF(AND(A803&lt;&gt;0,B803=0,C803=0),VLOOKUP(A803,'3 - LISTA DE ESPÉCIES'!A:H,4,FALSE()),IF(AND(A803=0,B803&lt;&gt;0,C803=0),VLOOKUP(B803,'3 - LISTA DE ESPÉCIES'!B:H,3,FALSE()),IF(AND(A803=0,B803=0,C803&lt;&gt;0),VLOOKUP(C803,'3 - LISTA DE ESPÉCIES'!C:H,2,FALSE()))))</f>
        <v>0</v>
      </c>
      <c r="I803" s="21" t="b">
        <f>IF(AND(A803&lt;&gt;0,B803=0,C803=0),VLOOKUP(A803,'3 - LISTA DE ESPÉCIES'!A:H,5,FALSE()),IF(AND(A803=0,B803&lt;&gt;0,C803=0),VLOOKUP(B803,'3 - LISTA DE ESPÉCIES'!B:H,4,FALSE()),IF(AND(A803=0,B803=0,C803&lt;&gt;0),VLOOKUP(C803,'3 - LISTA DE ESPÉCIES'!C:H,3,FALSE()))))</f>
        <v>0</v>
      </c>
      <c r="J803" s="23"/>
      <c r="K803" s="23"/>
      <c r="L803" s="20"/>
      <c r="M803" s="20"/>
    </row>
    <row r="804" spans="1:13" x14ac:dyDescent="0.25">
      <c r="A804" s="20"/>
      <c r="B804" s="20"/>
      <c r="C804" s="20"/>
      <c r="E804" s="21" t="b">
        <f>IF(AND(A804&lt;&gt;0,B804=0,C804=0),VLOOKUP(A804,'3 - LISTA DE ESPÉCIES'!A:H,1,FALSE()),IF(AND(A804=0,B804&lt;&gt;0,C804=0),VLOOKUP(B804,'3 - LISTA DE ESPÉCIES'!B:H,5,FALSE()),IF(AND(A804=0,B804=0,C804&lt;&gt;0),VLOOKUP(C804,'3 - LISTA DE ESPÉCIES'!C:H,4,FALSE()))))</f>
        <v>0</v>
      </c>
      <c r="F804" s="21" t="b">
        <f>IF(AND(A804&lt;&gt;0,B804=0,C804=0),VLOOKUP(A804,'3 - LISTA DE ESPÉCIES'!A:H,2,FALSE()),IF(AND(A804=0,B804&lt;&gt;0,C804=0),VLOOKUP(B804,'3 - LISTA DE ESPÉCIES'!B:H,6,FALSE()),IF(AND(A804=0,B804=0,C804&lt;&gt;0),VLOOKUP(C804,'3 - LISTA DE ESPÉCIES'!C:H,5,FALSE()))))</f>
        <v>0</v>
      </c>
      <c r="G804" s="21" t="b">
        <f>IF(AND(A804&lt;&gt;0,B804=0,C804=0),VLOOKUP(A804,'3 - LISTA DE ESPÉCIES'!A:H,3,FALSE()),IF(AND(A804=0,B804&lt;&gt;0,C804=0),VLOOKUP(B804,'3 - LISTA DE ESPÉCIES'!B:H,7,FALSE()),IF(AND(A804=0,B804=0,C804&lt;&gt;0),VLOOKUP(C804,'3 - LISTA DE ESPÉCIES'!C:H,6,FALSE()))))</f>
        <v>0</v>
      </c>
      <c r="H804" s="21" t="b">
        <f>IF(AND(A804&lt;&gt;0,B804=0,C804=0),VLOOKUP(A804,'3 - LISTA DE ESPÉCIES'!A:H,4,FALSE()),IF(AND(A804=0,B804&lt;&gt;0,C804=0),VLOOKUP(B804,'3 - LISTA DE ESPÉCIES'!B:H,3,FALSE()),IF(AND(A804=0,B804=0,C804&lt;&gt;0),VLOOKUP(C804,'3 - LISTA DE ESPÉCIES'!C:H,2,FALSE()))))</f>
        <v>0</v>
      </c>
      <c r="I804" s="21" t="b">
        <f>IF(AND(A804&lt;&gt;0,B804=0,C804=0),VLOOKUP(A804,'3 - LISTA DE ESPÉCIES'!A:H,5,FALSE()),IF(AND(A804=0,B804&lt;&gt;0,C804=0),VLOOKUP(B804,'3 - LISTA DE ESPÉCIES'!B:H,4,FALSE()),IF(AND(A804=0,B804=0,C804&lt;&gt;0),VLOOKUP(C804,'3 - LISTA DE ESPÉCIES'!C:H,3,FALSE()))))</f>
        <v>0</v>
      </c>
      <c r="J804" s="23"/>
      <c r="K804" s="23"/>
      <c r="L804" s="20"/>
      <c r="M804" s="20"/>
    </row>
    <row r="805" spans="1:13" x14ac:dyDescent="0.25">
      <c r="A805" s="20"/>
      <c r="B805" s="20"/>
      <c r="C805" s="20"/>
      <c r="E805" s="21" t="b">
        <f>IF(AND(A805&lt;&gt;0,B805=0,C805=0),VLOOKUP(A805,'3 - LISTA DE ESPÉCIES'!A:H,1,FALSE()),IF(AND(A805=0,B805&lt;&gt;0,C805=0),VLOOKUP(B805,'3 - LISTA DE ESPÉCIES'!B:H,5,FALSE()),IF(AND(A805=0,B805=0,C805&lt;&gt;0),VLOOKUP(C805,'3 - LISTA DE ESPÉCIES'!C:H,4,FALSE()))))</f>
        <v>0</v>
      </c>
      <c r="F805" s="21" t="b">
        <f>IF(AND(A805&lt;&gt;0,B805=0,C805=0),VLOOKUP(A805,'3 - LISTA DE ESPÉCIES'!A:H,2,FALSE()),IF(AND(A805=0,B805&lt;&gt;0,C805=0),VLOOKUP(B805,'3 - LISTA DE ESPÉCIES'!B:H,6,FALSE()),IF(AND(A805=0,B805=0,C805&lt;&gt;0),VLOOKUP(C805,'3 - LISTA DE ESPÉCIES'!C:H,5,FALSE()))))</f>
        <v>0</v>
      </c>
      <c r="G805" s="21" t="b">
        <f>IF(AND(A805&lt;&gt;0,B805=0,C805=0),VLOOKUP(A805,'3 - LISTA DE ESPÉCIES'!A:H,3,FALSE()),IF(AND(A805=0,B805&lt;&gt;0,C805=0),VLOOKUP(B805,'3 - LISTA DE ESPÉCIES'!B:H,7,FALSE()),IF(AND(A805=0,B805=0,C805&lt;&gt;0),VLOOKUP(C805,'3 - LISTA DE ESPÉCIES'!C:H,6,FALSE()))))</f>
        <v>0</v>
      </c>
      <c r="H805" s="21" t="b">
        <f>IF(AND(A805&lt;&gt;0,B805=0,C805=0),VLOOKUP(A805,'3 - LISTA DE ESPÉCIES'!A:H,4,FALSE()),IF(AND(A805=0,B805&lt;&gt;0,C805=0),VLOOKUP(B805,'3 - LISTA DE ESPÉCIES'!B:H,3,FALSE()),IF(AND(A805=0,B805=0,C805&lt;&gt;0),VLOOKUP(C805,'3 - LISTA DE ESPÉCIES'!C:H,2,FALSE()))))</f>
        <v>0</v>
      </c>
      <c r="I805" s="21" t="b">
        <f>IF(AND(A805&lt;&gt;0,B805=0,C805=0),VLOOKUP(A805,'3 - LISTA DE ESPÉCIES'!A:H,5,FALSE()),IF(AND(A805=0,B805&lt;&gt;0,C805=0),VLOOKUP(B805,'3 - LISTA DE ESPÉCIES'!B:H,4,FALSE()),IF(AND(A805=0,B805=0,C805&lt;&gt;0),VLOOKUP(C805,'3 - LISTA DE ESPÉCIES'!C:H,3,FALSE()))))</f>
        <v>0</v>
      </c>
      <c r="J805" s="23"/>
      <c r="K805" s="23"/>
      <c r="L805" s="20"/>
      <c r="M805" s="20"/>
    </row>
    <row r="806" spans="1:13" x14ac:dyDescent="0.25">
      <c r="A806" s="20"/>
      <c r="B806" s="20"/>
      <c r="C806" s="20"/>
      <c r="E806" s="21" t="b">
        <f>IF(AND(A806&lt;&gt;0,B806=0,C806=0),VLOOKUP(A806,'3 - LISTA DE ESPÉCIES'!A:H,1,FALSE()),IF(AND(A806=0,B806&lt;&gt;0,C806=0),VLOOKUP(B806,'3 - LISTA DE ESPÉCIES'!B:H,5,FALSE()),IF(AND(A806=0,B806=0,C806&lt;&gt;0),VLOOKUP(C806,'3 - LISTA DE ESPÉCIES'!C:H,4,FALSE()))))</f>
        <v>0</v>
      </c>
      <c r="F806" s="21" t="b">
        <f>IF(AND(A806&lt;&gt;0,B806=0,C806=0),VLOOKUP(A806,'3 - LISTA DE ESPÉCIES'!A:H,2,FALSE()),IF(AND(A806=0,B806&lt;&gt;0,C806=0),VLOOKUP(B806,'3 - LISTA DE ESPÉCIES'!B:H,6,FALSE()),IF(AND(A806=0,B806=0,C806&lt;&gt;0),VLOOKUP(C806,'3 - LISTA DE ESPÉCIES'!C:H,5,FALSE()))))</f>
        <v>0</v>
      </c>
      <c r="G806" s="21" t="b">
        <f>IF(AND(A806&lt;&gt;0,B806=0,C806=0),VLOOKUP(A806,'3 - LISTA DE ESPÉCIES'!A:H,3,FALSE()),IF(AND(A806=0,B806&lt;&gt;0,C806=0),VLOOKUP(B806,'3 - LISTA DE ESPÉCIES'!B:H,7,FALSE()),IF(AND(A806=0,B806=0,C806&lt;&gt;0),VLOOKUP(C806,'3 - LISTA DE ESPÉCIES'!C:H,6,FALSE()))))</f>
        <v>0</v>
      </c>
      <c r="H806" s="21" t="b">
        <f>IF(AND(A806&lt;&gt;0,B806=0,C806=0),VLOOKUP(A806,'3 - LISTA DE ESPÉCIES'!A:H,4,FALSE()),IF(AND(A806=0,B806&lt;&gt;0,C806=0),VLOOKUP(B806,'3 - LISTA DE ESPÉCIES'!B:H,3,FALSE()),IF(AND(A806=0,B806=0,C806&lt;&gt;0),VLOOKUP(C806,'3 - LISTA DE ESPÉCIES'!C:H,2,FALSE()))))</f>
        <v>0</v>
      </c>
      <c r="I806" s="21" t="b">
        <f>IF(AND(A806&lt;&gt;0,B806=0,C806=0),VLOOKUP(A806,'3 - LISTA DE ESPÉCIES'!A:H,5,FALSE()),IF(AND(A806=0,B806&lt;&gt;0,C806=0),VLOOKUP(B806,'3 - LISTA DE ESPÉCIES'!B:H,4,FALSE()),IF(AND(A806=0,B806=0,C806&lt;&gt;0),VLOOKUP(C806,'3 - LISTA DE ESPÉCIES'!C:H,3,FALSE()))))</f>
        <v>0</v>
      </c>
      <c r="J806" s="23"/>
      <c r="K806" s="23"/>
      <c r="L806" s="20"/>
      <c r="M806" s="20"/>
    </row>
    <row r="807" spans="1:13" x14ac:dyDescent="0.25">
      <c r="A807" s="20"/>
      <c r="B807" s="20"/>
      <c r="C807" s="20"/>
      <c r="E807" s="21" t="b">
        <f>IF(AND(A807&lt;&gt;0,B807=0,C807=0),VLOOKUP(A807,'3 - LISTA DE ESPÉCIES'!A:H,1,FALSE()),IF(AND(A807=0,B807&lt;&gt;0,C807=0),VLOOKUP(B807,'3 - LISTA DE ESPÉCIES'!B:H,5,FALSE()),IF(AND(A807=0,B807=0,C807&lt;&gt;0),VLOOKUP(C807,'3 - LISTA DE ESPÉCIES'!C:H,4,FALSE()))))</f>
        <v>0</v>
      </c>
      <c r="F807" s="21" t="b">
        <f>IF(AND(A807&lt;&gt;0,B807=0,C807=0),VLOOKUP(A807,'3 - LISTA DE ESPÉCIES'!A:H,2,FALSE()),IF(AND(A807=0,B807&lt;&gt;0,C807=0),VLOOKUP(B807,'3 - LISTA DE ESPÉCIES'!B:H,6,FALSE()),IF(AND(A807=0,B807=0,C807&lt;&gt;0),VLOOKUP(C807,'3 - LISTA DE ESPÉCIES'!C:H,5,FALSE()))))</f>
        <v>0</v>
      </c>
      <c r="G807" s="21" t="b">
        <f>IF(AND(A807&lt;&gt;0,B807=0,C807=0),VLOOKUP(A807,'3 - LISTA DE ESPÉCIES'!A:H,3,FALSE()),IF(AND(A807=0,B807&lt;&gt;0,C807=0),VLOOKUP(B807,'3 - LISTA DE ESPÉCIES'!B:H,7,FALSE()),IF(AND(A807=0,B807=0,C807&lt;&gt;0),VLOOKUP(C807,'3 - LISTA DE ESPÉCIES'!C:H,6,FALSE()))))</f>
        <v>0</v>
      </c>
      <c r="H807" s="21" t="b">
        <f>IF(AND(A807&lt;&gt;0,B807=0,C807=0),VLOOKUP(A807,'3 - LISTA DE ESPÉCIES'!A:H,4,FALSE()),IF(AND(A807=0,B807&lt;&gt;0,C807=0),VLOOKUP(B807,'3 - LISTA DE ESPÉCIES'!B:H,3,FALSE()),IF(AND(A807=0,B807=0,C807&lt;&gt;0),VLOOKUP(C807,'3 - LISTA DE ESPÉCIES'!C:H,2,FALSE()))))</f>
        <v>0</v>
      </c>
      <c r="I807" s="21" t="b">
        <f>IF(AND(A807&lt;&gt;0,B807=0,C807=0),VLOOKUP(A807,'3 - LISTA DE ESPÉCIES'!A:H,5,FALSE()),IF(AND(A807=0,B807&lt;&gt;0,C807=0),VLOOKUP(B807,'3 - LISTA DE ESPÉCIES'!B:H,4,FALSE()),IF(AND(A807=0,B807=0,C807&lt;&gt;0),VLOOKUP(C807,'3 - LISTA DE ESPÉCIES'!C:H,3,FALSE()))))</f>
        <v>0</v>
      </c>
      <c r="J807" s="23"/>
      <c r="K807" s="23"/>
      <c r="L807" s="20"/>
      <c r="M807" s="20"/>
    </row>
    <row r="808" spans="1:13" x14ac:dyDescent="0.25">
      <c r="A808" s="20"/>
      <c r="B808" s="20"/>
      <c r="C808" s="20"/>
      <c r="E808" s="21" t="b">
        <f>IF(AND(A808&lt;&gt;0,B808=0,C808=0),VLOOKUP(A808,'3 - LISTA DE ESPÉCIES'!A:H,1,FALSE()),IF(AND(A808=0,B808&lt;&gt;0,C808=0),VLOOKUP(B808,'3 - LISTA DE ESPÉCIES'!B:H,5,FALSE()),IF(AND(A808=0,B808=0,C808&lt;&gt;0),VLOOKUP(C808,'3 - LISTA DE ESPÉCIES'!C:H,4,FALSE()))))</f>
        <v>0</v>
      </c>
      <c r="F808" s="21" t="b">
        <f>IF(AND(A808&lt;&gt;0,B808=0,C808=0),VLOOKUP(A808,'3 - LISTA DE ESPÉCIES'!A:H,2,FALSE()),IF(AND(A808=0,B808&lt;&gt;0,C808=0),VLOOKUP(B808,'3 - LISTA DE ESPÉCIES'!B:H,6,FALSE()),IF(AND(A808=0,B808=0,C808&lt;&gt;0),VLOOKUP(C808,'3 - LISTA DE ESPÉCIES'!C:H,5,FALSE()))))</f>
        <v>0</v>
      </c>
      <c r="G808" s="21" t="b">
        <f>IF(AND(A808&lt;&gt;0,B808=0,C808=0),VLOOKUP(A808,'3 - LISTA DE ESPÉCIES'!A:H,3,FALSE()),IF(AND(A808=0,B808&lt;&gt;0,C808=0),VLOOKUP(B808,'3 - LISTA DE ESPÉCIES'!B:H,7,FALSE()),IF(AND(A808=0,B808=0,C808&lt;&gt;0),VLOOKUP(C808,'3 - LISTA DE ESPÉCIES'!C:H,6,FALSE()))))</f>
        <v>0</v>
      </c>
      <c r="H808" s="21" t="b">
        <f>IF(AND(A808&lt;&gt;0,B808=0,C808=0),VLOOKUP(A808,'3 - LISTA DE ESPÉCIES'!A:H,4,FALSE()),IF(AND(A808=0,B808&lt;&gt;0,C808=0),VLOOKUP(B808,'3 - LISTA DE ESPÉCIES'!B:H,3,FALSE()),IF(AND(A808=0,B808=0,C808&lt;&gt;0),VLOOKUP(C808,'3 - LISTA DE ESPÉCIES'!C:H,2,FALSE()))))</f>
        <v>0</v>
      </c>
      <c r="I808" s="21" t="b">
        <f>IF(AND(A808&lt;&gt;0,B808=0,C808=0),VLOOKUP(A808,'3 - LISTA DE ESPÉCIES'!A:H,5,FALSE()),IF(AND(A808=0,B808&lt;&gt;0,C808=0),VLOOKUP(B808,'3 - LISTA DE ESPÉCIES'!B:H,4,FALSE()),IF(AND(A808=0,B808=0,C808&lt;&gt;0),VLOOKUP(C808,'3 - LISTA DE ESPÉCIES'!C:H,3,FALSE()))))</f>
        <v>0</v>
      </c>
      <c r="J808" s="23"/>
      <c r="K808" s="23"/>
      <c r="L808" s="20"/>
      <c r="M808" s="20"/>
    </row>
    <row r="809" spans="1:13" x14ac:dyDescent="0.25">
      <c r="A809" s="20"/>
      <c r="B809" s="20"/>
      <c r="C809" s="20"/>
      <c r="E809" s="21" t="b">
        <f>IF(AND(A809&lt;&gt;0,B809=0,C809=0),VLOOKUP(A809,'3 - LISTA DE ESPÉCIES'!A:H,1,FALSE()),IF(AND(A809=0,B809&lt;&gt;0,C809=0),VLOOKUP(B809,'3 - LISTA DE ESPÉCIES'!B:H,5,FALSE()),IF(AND(A809=0,B809=0,C809&lt;&gt;0),VLOOKUP(C809,'3 - LISTA DE ESPÉCIES'!C:H,4,FALSE()))))</f>
        <v>0</v>
      </c>
      <c r="F809" s="21" t="b">
        <f>IF(AND(A809&lt;&gt;0,B809=0,C809=0),VLOOKUP(A809,'3 - LISTA DE ESPÉCIES'!A:H,2,FALSE()),IF(AND(A809=0,B809&lt;&gt;0,C809=0),VLOOKUP(B809,'3 - LISTA DE ESPÉCIES'!B:H,6,FALSE()),IF(AND(A809=0,B809=0,C809&lt;&gt;0),VLOOKUP(C809,'3 - LISTA DE ESPÉCIES'!C:H,5,FALSE()))))</f>
        <v>0</v>
      </c>
      <c r="G809" s="21" t="b">
        <f>IF(AND(A809&lt;&gt;0,B809=0,C809=0),VLOOKUP(A809,'3 - LISTA DE ESPÉCIES'!A:H,3,FALSE()),IF(AND(A809=0,B809&lt;&gt;0,C809=0),VLOOKUP(B809,'3 - LISTA DE ESPÉCIES'!B:H,7,FALSE()),IF(AND(A809=0,B809=0,C809&lt;&gt;0),VLOOKUP(C809,'3 - LISTA DE ESPÉCIES'!C:H,6,FALSE()))))</f>
        <v>0</v>
      </c>
      <c r="H809" s="21" t="b">
        <f>IF(AND(A809&lt;&gt;0,B809=0,C809=0),VLOOKUP(A809,'3 - LISTA DE ESPÉCIES'!A:H,4,FALSE()),IF(AND(A809=0,B809&lt;&gt;0,C809=0),VLOOKUP(B809,'3 - LISTA DE ESPÉCIES'!B:H,3,FALSE()),IF(AND(A809=0,B809=0,C809&lt;&gt;0),VLOOKUP(C809,'3 - LISTA DE ESPÉCIES'!C:H,2,FALSE()))))</f>
        <v>0</v>
      </c>
      <c r="I809" s="21" t="b">
        <f>IF(AND(A809&lt;&gt;0,B809=0,C809=0),VLOOKUP(A809,'3 - LISTA DE ESPÉCIES'!A:H,5,FALSE()),IF(AND(A809=0,B809&lt;&gt;0,C809=0),VLOOKUP(B809,'3 - LISTA DE ESPÉCIES'!B:H,4,FALSE()),IF(AND(A809=0,B809=0,C809&lt;&gt;0),VLOOKUP(C809,'3 - LISTA DE ESPÉCIES'!C:H,3,FALSE()))))</f>
        <v>0</v>
      </c>
      <c r="J809" s="23"/>
      <c r="K809" s="23"/>
      <c r="L809" s="20"/>
      <c r="M809" s="20"/>
    </row>
    <row r="810" spans="1:13" x14ac:dyDescent="0.25">
      <c r="A810" s="20"/>
      <c r="B810" s="20"/>
      <c r="C810" s="20"/>
      <c r="E810" s="21" t="b">
        <f>IF(AND(A810&lt;&gt;0,B810=0,C810=0),VLOOKUP(A810,'3 - LISTA DE ESPÉCIES'!A:H,1,FALSE()),IF(AND(A810=0,B810&lt;&gt;0,C810=0),VLOOKUP(B810,'3 - LISTA DE ESPÉCIES'!B:H,5,FALSE()),IF(AND(A810=0,B810=0,C810&lt;&gt;0),VLOOKUP(C810,'3 - LISTA DE ESPÉCIES'!C:H,4,FALSE()))))</f>
        <v>0</v>
      </c>
      <c r="F810" s="21" t="b">
        <f>IF(AND(A810&lt;&gt;0,B810=0,C810=0),VLOOKUP(A810,'3 - LISTA DE ESPÉCIES'!A:H,2,FALSE()),IF(AND(A810=0,B810&lt;&gt;0,C810=0),VLOOKUP(B810,'3 - LISTA DE ESPÉCIES'!B:H,6,FALSE()),IF(AND(A810=0,B810=0,C810&lt;&gt;0),VLOOKUP(C810,'3 - LISTA DE ESPÉCIES'!C:H,5,FALSE()))))</f>
        <v>0</v>
      </c>
      <c r="G810" s="21" t="b">
        <f>IF(AND(A810&lt;&gt;0,B810=0,C810=0),VLOOKUP(A810,'3 - LISTA DE ESPÉCIES'!A:H,3,FALSE()),IF(AND(A810=0,B810&lt;&gt;0,C810=0),VLOOKUP(B810,'3 - LISTA DE ESPÉCIES'!B:H,7,FALSE()),IF(AND(A810=0,B810=0,C810&lt;&gt;0),VLOOKUP(C810,'3 - LISTA DE ESPÉCIES'!C:H,6,FALSE()))))</f>
        <v>0</v>
      </c>
      <c r="H810" s="21" t="b">
        <f>IF(AND(A810&lt;&gt;0,B810=0,C810=0),VLOOKUP(A810,'3 - LISTA DE ESPÉCIES'!A:H,4,FALSE()),IF(AND(A810=0,B810&lt;&gt;0,C810=0),VLOOKUP(B810,'3 - LISTA DE ESPÉCIES'!B:H,3,FALSE()),IF(AND(A810=0,B810=0,C810&lt;&gt;0),VLOOKUP(C810,'3 - LISTA DE ESPÉCIES'!C:H,2,FALSE()))))</f>
        <v>0</v>
      </c>
      <c r="I810" s="21" t="b">
        <f>IF(AND(A810&lt;&gt;0,B810=0,C810=0),VLOOKUP(A810,'3 - LISTA DE ESPÉCIES'!A:H,5,FALSE()),IF(AND(A810=0,B810&lt;&gt;0,C810=0),VLOOKUP(B810,'3 - LISTA DE ESPÉCIES'!B:H,4,FALSE()),IF(AND(A810=0,B810=0,C810&lt;&gt;0),VLOOKUP(C810,'3 - LISTA DE ESPÉCIES'!C:H,3,FALSE()))))</f>
        <v>0</v>
      </c>
      <c r="J810" s="23"/>
      <c r="K810" s="23"/>
      <c r="L810" s="20"/>
      <c r="M810" s="20"/>
    </row>
    <row r="811" spans="1:13" x14ac:dyDescent="0.25">
      <c r="A811" s="20"/>
      <c r="B811" s="20"/>
      <c r="C811" s="20"/>
      <c r="E811" s="21" t="b">
        <f>IF(AND(A811&lt;&gt;0,B811=0,C811=0),VLOOKUP(A811,'3 - LISTA DE ESPÉCIES'!A:H,1,FALSE()),IF(AND(A811=0,B811&lt;&gt;0,C811=0),VLOOKUP(B811,'3 - LISTA DE ESPÉCIES'!B:H,5,FALSE()),IF(AND(A811=0,B811=0,C811&lt;&gt;0),VLOOKUP(C811,'3 - LISTA DE ESPÉCIES'!C:H,4,FALSE()))))</f>
        <v>0</v>
      </c>
      <c r="F811" s="21" t="b">
        <f>IF(AND(A811&lt;&gt;0,B811=0,C811=0),VLOOKUP(A811,'3 - LISTA DE ESPÉCIES'!A:H,2,FALSE()),IF(AND(A811=0,B811&lt;&gt;0,C811=0),VLOOKUP(B811,'3 - LISTA DE ESPÉCIES'!B:H,6,FALSE()),IF(AND(A811=0,B811=0,C811&lt;&gt;0),VLOOKUP(C811,'3 - LISTA DE ESPÉCIES'!C:H,5,FALSE()))))</f>
        <v>0</v>
      </c>
      <c r="G811" s="21" t="b">
        <f>IF(AND(A811&lt;&gt;0,B811=0,C811=0),VLOOKUP(A811,'3 - LISTA DE ESPÉCIES'!A:H,3,FALSE()),IF(AND(A811=0,B811&lt;&gt;0,C811=0),VLOOKUP(B811,'3 - LISTA DE ESPÉCIES'!B:H,7,FALSE()),IF(AND(A811=0,B811=0,C811&lt;&gt;0),VLOOKUP(C811,'3 - LISTA DE ESPÉCIES'!C:H,6,FALSE()))))</f>
        <v>0</v>
      </c>
      <c r="H811" s="21" t="b">
        <f>IF(AND(A811&lt;&gt;0,B811=0,C811=0),VLOOKUP(A811,'3 - LISTA DE ESPÉCIES'!A:H,4,FALSE()),IF(AND(A811=0,B811&lt;&gt;0,C811=0),VLOOKUP(B811,'3 - LISTA DE ESPÉCIES'!B:H,3,FALSE()),IF(AND(A811=0,B811=0,C811&lt;&gt;0),VLOOKUP(C811,'3 - LISTA DE ESPÉCIES'!C:H,2,FALSE()))))</f>
        <v>0</v>
      </c>
      <c r="I811" s="21" t="b">
        <f>IF(AND(A811&lt;&gt;0,B811=0,C811=0),VLOOKUP(A811,'3 - LISTA DE ESPÉCIES'!A:H,5,FALSE()),IF(AND(A811=0,B811&lt;&gt;0,C811=0),VLOOKUP(B811,'3 - LISTA DE ESPÉCIES'!B:H,4,FALSE()),IF(AND(A811=0,B811=0,C811&lt;&gt;0),VLOOKUP(C811,'3 - LISTA DE ESPÉCIES'!C:H,3,FALSE()))))</f>
        <v>0</v>
      </c>
      <c r="J811" s="23"/>
      <c r="K811" s="23"/>
      <c r="L811" s="20"/>
      <c r="M811" s="20"/>
    </row>
    <row r="812" spans="1:13" x14ac:dyDescent="0.25">
      <c r="A812" s="20"/>
      <c r="B812" s="20"/>
      <c r="C812" s="20"/>
      <c r="E812" s="21" t="b">
        <f>IF(AND(A812&lt;&gt;0,B812=0,C812=0),VLOOKUP(A812,'3 - LISTA DE ESPÉCIES'!A:H,1,FALSE()),IF(AND(A812=0,B812&lt;&gt;0,C812=0),VLOOKUP(B812,'3 - LISTA DE ESPÉCIES'!B:H,5,FALSE()),IF(AND(A812=0,B812=0,C812&lt;&gt;0),VLOOKUP(C812,'3 - LISTA DE ESPÉCIES'!C:H,4,FALSE()))))</f>
        <v>0</v>
      </c>
      <c r="F812" s="21" t="b">
        <f>IF(AND(A812&lt;&gt;0,B812=0,C812=0),VLOOKUP(A812,'3 - LISTA DE ESPÉCIES'!A:H,2,FALSE()),IF(AND(A812=0,B812&lt;&gt;0,C812=0),VLOOKUP(B812,'3 - LISTA DE ESPÉCIES'!B:H,6,FALSE()),IF(AND(A812=0,B812=0,C812&lt;&gt;0),VLOOKUP(C812,'3 - LISTA DE ESPÉCIES'!C:H,5,FALSE()))))</f>
        <v>0</v>
      </c>
      <c r="G812" s="21" t="b">
        <f>IF(AND(A812&lt;&gt;0,B812=0,C812=0),VLOOKUP(A812,'3 - LISTA DE ESPÉCIES'!A:H,3,FALSE()),IF(AND(A812=0,B812&lt;&gt;0,C812=0),VLOOKUP(B812,'3 - LISTA DE ESPÉCIES'!B:H,7,FALSE()),IF(AND(A812=0,B812=0,C812&lt;&gt;0),VLOOKUP(C812,'3 - LISTA DE ESPÉCIES'!C:H,6,FALSE()))))</f>
        <v>0</v>
      </c>
      <c r="H812" s="21" t="b">
        <f>IF(AND(A812&lt;&gt;0,B812=0,C812=0),VLOOKUP(A812,'3 - LISTA DE ESPÉCIES'!A:H,4,FALSE()),IF(AND(A812=0,B812&lt;&gt;0,C812=0),VLOOKUP(B812,'3 - LISTA DE ESPÉCIES'!B:H,3,FALSE()),IF(AND(A812=0,B812=0,C812&lt;&gt;0),VLOOKUP(C812,'3 - LISTA DE ESPÉCIES'!C:H,2,FALSE()))))</f>
        <v>0</v>
      </c>
      <c r="I812" s="21" t="b">
        <f>IF(AND(A812&lt;&gt;0,B812=0,C812=0),VLOOKUP(A812,'3 - LISTA DE ESPÉCIES'!A:H,5,FALSE()),IF(AND(A812=0,B812&lt;&gt;0,C812=0),VLOOKUP(B812,'3 - LISTA DE ESPÉCIES'!B:H,4,FALSE()),IF(AND(A812=0,B812=0,C812&lt;&gt;0),VLOOKUP(C812,'3 - LISTA DE ESPÉCIES'!C:H,3,FALSE()))))</f>
        <v>0</v>
      </c>
      <c r="J812" s="23"/>
      <c r="K812" s="23"/>
      <c r="L812" s="20"/>
      <c r="M812" s="20"/>
    </row>
    <row r="813" spans="1:13" x14ac:dyDescent="0.25">
      <c r="A813" s="20"/>
      <c r="B813" s="20"/>
      <c r="C813" s="20"/>
      <c r="E813" s="21" t="b">
        <f>IF(AND(A813&lt;&gt;0,B813=0,C813=0),VLOOKUP(A813,'3 - LISTA DE ESPÉCIES'!A:H,1,FALSE()),IF(AND(A813=0,B813&lt;&gt;0,C813=0),VLOOKUP(B813,'3 - LISTA DE ESPÉCIES'!B:H,5,FALSE()),IF(AND(A813=0,B813=0,C813&lt;&gt;0),VLOOKUP(C813,'3 - LISTA DE ESPÉCIES'!C:H,4,FALSE()))))</f>
        <v>0</v>
      </c>
      <c r="F813" s="21" t="b">
        <f>IF(AND(A813&lt;&gt;0,B813=0,C813=0),VLOOKUP(A813,'3 - LISTA DE ESPÉCIES'!A:H,2,FALSE()),IF(AND(A813=0,B813&lt;&gt;0,C813=0),VLOOKUP(B813,'3 - LISTA DE ESPÉCIES'!B:H,6,FALSE()),IF(AND(A813=0,B813=0,C813&lt;&gt;0),VLOOKUP(C813,'3 - LISTA DE ESPÉCIES'!C:H,5,FALSE()))))</f>
        <v>0</v>
      </c>
      <c r="G813" s="21" t="b">
        <f>IF(AND(A813&lt;&gt;0,B813=0,C813=0),VLOOKUP(A813,'3 - LISTA DE ESPÉCIES'!A:H,3,FALSE()),IF(AND(A813=0,B813&lt;&gt;0,C813=0),VLOOKUP(B813,'3 - LISTA DE ESPÉCIES'!B:H,7,FALSE()),IF(AND(A813=0,B813=0,C813&lt;&gt;0),VLOOKUP(C813,'3 - LISTA DE ESPÉCIES'!C:H,6,FALSE()))))</f>
        <v>0</v>
      </c>
      <c r="H813" s="21" t="b">
        <f>IF(AND(A813&lt;&gt;0,B813=0,C813=0),VLOOKUP(A813,'3 - LISTA DE ESPÉCIES'!A:H,4,FALSE()),IF(AND(A813=0,B813&lt;&gt;0,C813=0),VLOOKUP(B813,'3 - LISTA DE ESPÉCIES'!B:H,3,FALSE()),IF(AND(A813=0,B813=0,C813&lt;&gt;0),VLOOKUP(C813,'3 - LISTA DE ESPÉCIES'!C:H,2,FALSE()))))</f>
        <v>0</v>
      </c>
      <c r="I813" s="21" t="b">
        <f>IF(AND(A813&lt;&gt;0,B813=0,C813=0),VLOOKUP(A813,'3 - LISTA DE ESPÉCIES'!A:H,5,FALSE()),IF(AND(A813=0,B813&lt;&gt;0,C813=0),VLOOKUP(B813,'3 - LISTA DE ESPÉCIES'!B:H,4,FALSE()),IF(AND(A813=0,B813=0,C813&lt;&gt;0),VLOOKUP(C813,'3 - LISTA DE ESPÉCIES'!C:H,3,FALSE()))))</f>
        <v>0</v>
      </c>
      <c r="J813" s="23"/>
      <c r="K813" s="23"/>
      <c r="L813" s="20"/>
      <c r="M813" s="20"/>
    </row>
    <row r="814" spans="1:13" x14ac:dyDescent="0.25">
      <c r="A814" s="20"/>
      <c r="B814" s="20"/>
      <c r="C814" s="20"/>
      <c r="E814" s="21" t="b">
        <f>IF(AND(A814&lt;&gt;0,B814=0,C814=0),VLOOKUP(A814,'3 - LISTA DE ESPÉCIES'!A:H,1,FALSE()),IF(AND(A814=0,B814&lt;&gt;0,C814=0),VLOOKUP(B814,'3 - LISTA DE ESPÉCIES'!B:H,5,FALSE()),IF(AND(A814=0,B814=0,C814&lt;&gt;0),VLOOKUP(C814,'3 - LISTA DE ESPÉCIES'!C:H,4,FALSE()))))</f>
        <v>0</v>
      </c>
      <c r="F814" s="21" t="b">
        <f>IF(AND(A814&lt;&gt;0,B814=0,C814=0),VLOOKUP(A814,'3 - LISTA DE ESPÉCIES'!A:H,2,FALSE()),IF(AND(A814=0,B814&lt;&gt;0,C814=0),VLOOKUP(B814,'3 - LISTA DE ESPÉCIES'!B:H,6,FALSE()),IF(AND(A814=0,B814=0,C814&lt;&gt;0),VLOOKUP(C814,'3 - LISTA DE ESPÉCIES'!C:H,5,FALSE()))))</f>
        <v>0</v>
      </c>
      <c r="G814" s="21" t="b">
        <f>IF(AND(A814&lt;&gt;0,B814=0,C814=0),VLOOKUP(A814,'3 - LISTA DE ESPÉCIES'!A:H,3,FALSE()),IF(AND(A814=0,B814&lt;&gt;0,C814=0),VLOOKUP(B814,'3 - LISTA DE ESPÉCIES'!B:H,7,FALSE()),IF(AND(A814=0,B814=0,C814&lt;&gt;0),VLOOKUP(C814,'3 - LISTA DE ESPÉCIES'!C:H,6,FALSE()))))</f>
        <v>0</v>
      </c>
      <c r="H814" s="21" t="b">
        <f>IF(AND(A814&lt;&gt;0,B814=0,C814=0),VLOOKUP(A814,'3 - LISTA DE ESPÉCIES'!A:H,4,FALSE()),IF(AND(A814=0,B814&lt;&gt;0,C814=0),VLOOKUP(B814,'3 - LISTA DE ESPÉCIES'!B:H,3,FALSE()),IF(AND(A814=0,B814=0,C814&lt;&gt;0),VLOOKUP(C814,'3 - LISTA DE ESPÉCIES'!C:H,2,FALSE()))))</f>
        <v>0</v>
      </c>
      <c r="I814" s="21" t="b">
        <f>IF(AND(A814&lt;&gt;0,B814=0,C814=0),VLOOKUP(A814,'3 - LISTA DE ESPÉCIES'!A:H,5,FALSE()),IF(AND(A814=0,B814&lt;&gt;0,C814=0),VLOOKUP(B814,'3 - LISTA DE ESPÉCIES'!B:H,4,FALSE()),IF(AND(A814=0,B814=0,C814&lt;&gt;0),VLOOKUP(C814,'3 - LISTA DE ESPÉCIES'!C:H,3,FALSE()))))</f>
        <v>0</v>
      </c>
      <c r="J814" s="23"/>
      <c r="K814" s="23"/>
      <c r="L814" s="20"/>
      <c r="M814" s="20"/>
    </row>
    <row r="815" spans="1:13" x14ac:dyDescent="0.25">
      <c r="A815" s="20"/>
      <c r="B815" s="20"/>
      <c r="C815" s="20"/>
      <c r="E815" s="21" t="b">
        <f>IF(AND(A815&lt;&gt;0,B815=0,C815=0),VLOOKUP(A815,'3 - LISTA DE ESPÉCIES'!A:H,1,FALSE()),IF(AND(A815=0,B815&lt;&gt;0,C815=0),VLOOKUP(B815,'3 - LISTA DE ESPÉCIES'!B:H,5,FALSE()),IF(AND(A815=0,B815=0,C815&lt;&gt;0),VLOOKUP(C815,'3 - LISTA DE ESPÉCIES'!C:H,4,FALSE()))))</f>
        <v>0</v>
      </c>
      <c r="F815" s="21" t="b">
        <f>IF(AND(A815&lt;&gt;0,B815=0,C815=0),VLOOKUP(A815,'3 - LISTA DE ESPÉCIES'!A:H,2,FALSE()),IF(AND(A815=0,B815&lt;&gt;0,C815=0),VLOOKUP(B815,'3 - LISTA DE ESPÉCIES'!B:H,6,FALSE()),IF(AND(A815=0,B815=0,C815&lt;&gt;0),VLOOKUP(C815,'3 - LISTA DE ESPÉCIES'!C:H,5,FALSE()))))</f>
        <v>0</v>
      </c>
      <c r="G815" s="21" t="b">
        <f>IF(AND(A815&lt;&gt;0,B815=0,C815=0),VLOOKUP(A815,'3 - LISTA DE ESPÉCIES'!A:H,3,FALSE()),IF(AND(A815=0,B815&lt;&gt;0,C815=0),VLOOKUP(B815,'3 - LISTA DE ESPÉCIES'!B:H,7,FALSE()),IF(AND(A815=0,B815=0,C815&lt;&gt;0),VLOOKUP(C815,'3 - LISTA DE ESPÉCIES'!C:H,6,FALSE()))))</f>
        <v>0</v>
      </c>
      <c r="H815" s="21" t="b">
        <f>IF(AND(A815&lt;&gt;0,B815=0,C815=0),VLOOKUP(A815,'3 - LISTA DE ESPÉCIES'!A:H,4,FALSE()),IF(AND(A815=0,B815&lt;&gt;0,C815=0),VLOOKUP(B815,'3 - LISTA DE ESPÉCIES'!B:H,3,FALSE()),IF(AND(A815=0,B815=0,C815&lt;&gt;0),VLOOKUP(C815,'3 - LISTA DE ESPÉCIES'!C:H,2,FALSE()))))</f>
        <v>0</v>
      </c>
      <c r="I815" s="21" t="b">
        <f>IF(AND(A815&lt;&gt;0,B815=0,C815=0),VLOOKUP(A815,'3 - LISTA DE ESPÉCIES'!A:H,5,FALSE()),IF(AND(A815=0,B815&lt;&gt;0,C815=0),VLOOKUP(B815,'3 - LISTA DE ESPÉCIES'!B:H,4,FALSE()),IF(AND(A815=0,B815=0,C815&lt;&gt;0),VLOOKUP(C815,'3 - LISTA DE ESPÉCIES'!C:H,3,FALSE()))))</f>
        <v>0</v>
      </c>
      <c r="J815" s="23"/>
      <c r="K815" s="23"/>
      <c r="L815" s="20"/>
      <c r="M815" s="20"/>
    </row>
    <row r="816" spans="1:13" x14ac:dyDescent="0.25">
      <c r="A816" s="20"/>
      <c r="B816" s="20"/>
      <c r="C816" s="20"/>
      <c r="E816" s="21" t="b">
        <f>IF(AND(A816&lt;&gt;0,B816=0,C816=0),VLOOKUP(A816,'3 - LISTA DE ESPÉCIES'!A:H,1,FALSE()),IF(AND(A816=0,B816&lt;&gt;0,C816=0),VLOOKUP(B816,'3 - LISTA DE ESPÉCIES'!B:H,5,FALSE()),IF(AND(A816=0,B816=0,C816&lt;&gt;0),VLOOKUP(C816,'3 - LISTA DE ESPÉCIES'!C:H,4,FALSE()))))</f>
        <v>0</v>
      </c>
      <c r="F816" s="21" t="b">
        <f>IF(AND(A816&lt;&gt;0,B816=0,C816=0),VLOOKUP(A816,'3 - LISTA DE ESPÉCIES'!A:H,2,FALSE()),IF(AND(A816=0,B816&lt;&gt;0,C816=0),VLOOKUP(B816,'3 - LISTA DE ESPÉCIES'!B:H,6,FALSE()),IF(AND(A816=0,B816=0,C816&lt;&gt;0),VLOOKUP(C816,'3 - LISTA DE ESPÉCIES'!C:H,5,FALSE()))))</f>
        <v>0</v>
      </c>
      <c r="G816" s="21" t="b">
        <f>IF(AND(A816&lt;&gt;0,B816=0,C816=0),VLOOKUP(A816,'3 - LISTA DE ESPÉCIES'!A:H,3,FALSE()),IF(AND(A816=0,B816&lt;&gt;0,C816=0),VLOOKUP(B816,'3 - LISTA DE ESPÉCIES'!B:H,7,FALSE()),IF(AND(A816=0,B816=0,C816&lt;&gt;0),VLOOKUP(C816,'3 - LISTA DE ESPÉCIES'!C:H,6,FALSE()))))</f>
        <v>0</v>
      </c>
      <c r="H816" s="21" t="b">
        <f>IF(AND(A816&lt;&gt;0,B816=0,C816=0),VLOOKUP(A816,'3 - LISTA DE ESPÉCIES'!A:H,4,FALSE()),IF(AND(A816=0,B816&lt;&gt;0,C816=0),VLOOKUP(B816,'3 - LISTA DE ESPÉCIES'!B:H,3,FALSE()),IF(AND(A816=0,B816=0,C816&lt;&gt;0),VLOOKUP(C816,'3 - LISTA DE ESPÉCIES'!C:H,2,FALSE()))))</f>
        <v>0</v>
      </c>
      <c r="I816" s="21" t="b">
        <f>IF(AND(A816&lt;&gt;0,B816=0,C816=0),VLOOKUP(A816,'3 - LISTA DE ESPÉCIES'!A:H,5,FALSE()),IF(AND(A816=0,B816&lt;&gt;0,C816=0),VLOOKUP(B816,'3 - LISTA DE ESPÉCIES'!B:H,4,FALSE()),IF(AND(A816=0,B816=0,C816&lt;&gt;0),VLOOKUP(C816,'3 - LISTA DE ESPÉCIES'!C:H,3,FALSE()))))</f>
        <v>0</v>
      </c>
      <c r="J816" s="23"/>
      <c r="K816" s="23"/>
      <c r="L816" s="20"/>
      <c r="M816" s="20"/>
    </row>
    <row r="817" spans="1:13" x14ac:dyDescent="0.25">
      <c r="A817" s="20"/>
      <c r="B817" s="20"/>
      <c r="C817" s="20"/>
      <c r="E817" s="21" t="b">
        <f>IF(AND(A817&lt;&gt;0,B817=0,C817=0),VLOOKUP(A817,'3 - LISTA DE ESPÉCIES'!A:H,1,FALSE()),IF(AND(A817=0,B817&lt;&gt;0,C817=0),VLOOKUP(B817,'3 - LISTA DE ESPÉCIES'!B:H,5,FALSE()),IF(AND(A817=0,B817=0,C817&lt;&gt;0),VLOOKUP(C817,'3 - LISTA DE ESPÉCIES'!C:H,4,FALSE()))))</f>
        <v>0</v>
      </c>
      <c r="F817" s="21" t="b">
        <f>IF(AND(A817&lt;&gt;0,B817=0,C817=0),VLOOKUP(A817,'3 - LISTA DE ESPÉCIES'!A:H,2,FALSE()),IF(AND(A817=0,B817&lt;&gt;0,C817=0),VLOOKUP(B817,'3 - LISTA DE ESPÉCIES'!B:H,6,FALSE()),IF(AND(A817=0,B817=0,C817&lt;&gt;0),VLOOKUP(C817,'3 - LISTA DE ESPÉCIES'!C:H,5,FALSE()))))</f>
        <v>0</v>
      </c>
      <c r="G817" s="21" t="b">
        <f>IF(AND(A817&lt;&gt;0,B817=0,C817=0),VLOOKUP(A817,'3 - LISTA DE ESPÉCIES'!A:H,3,FALSE()),IF(AND(A817=0,B817&lt;&gt;0,C817=0),VLOOKUP(B817,'3 - LISTA DE ESPÉCIES'!B:H,7,FALSE()),IF(AND(A817=0,B817=0,C817&lt;&gt;0),VLOOKUP(C817,'3 - LISTA DE ESPÉCIES'!C:H,6,FALSE()))))</f>
        <v>0</v>
      </c>
      <c r="H817" s="21" t="b">
        <f>IF(AND(A817&lt;&gt;0,B817=0,C817=0),VLOOKUP(A817,'3 - LISTA DE ESPÉCIES'!A:H,4,FALSE()),IF(AND(A817=0,B817&lt;&gt;0,C817=0),VLOOKUP(B817,'3 - LISTA DE ESPÉCIES'!B:H,3,FALSE()),IF(AND(A817=0,B817=0,C817&lt;&gt;0),VLOOKUP(C817,'3 - LISTA DE ESPÉCIES'!C:H,2,FALSE()))))</f>
        <v>0</v>
      </c>
      <c r="I817" s="21" t="b">
        <f>IF(AND(A817&lt;&gt;0,B817=0,C817=0),VLOOKUP(A817,'3 - LISTA DE ESPÉCIES'!A:H,5,FALSE()),IF(AND(A817=0,B817&lt;&gt;0,C817=0),VLOOKUP(B817,'3 - LISTA DE ESPÉCIES'!B:H,4,FALSE()),IF(AND(A817=0,B817=0,C817&lt;&gt;0),VLOOKUP(C817,'3 - LISTA DE ESPÉCIES'!C:H,3,FALSE()))))</f>
        <v>0</v>
      </c>
      <c r="J817" s="23"/>
      <c r="K817" s="23"/>
      <c r="L817" s="20"/>
      <c r="M817" s="20"/>
    </row>
    <row r="818" spans="1:13" x14ac:dyDescent="0.25">
      <c r="A818" s="20"/>
      <c r="B818" s="20"/>
      <c r="C818" s="20"/>
      <c r="E818" s="21" t="b">
        <f>IF(AND(A818&lt;&gt;0,B818=0,C818=0),VLOOKUP(A818,'3 - LISTA DE ESPÉCIES'!A:H,1,FALSE()),IF(AND(A818=0,B818&lt;&gt;0,C818=0),VLOOKUP(B818,'3 - LISTA DE ESPÉCIES'!B:H,5,FALSE()),IF(AND(A818=0,B818=0,C818&lt;&gt;0),VLOOKUP(C818,'3 - LISTA DE ESPÉCIES'!C:H,4,FALSE()))))</f>
        <v>0</v>
      </c>
      <c r="F818" s="21" t="b">
        <f>IF(AND(A818&lt;&gt;0,B818=0,C818=0),VLOOKUP(A818,'3 - LISTA DE ESPÉCIES'!A:H,2,FALSE()),IF(AND(A818=0,B818&lt;&gt;0,C818=0),VLOOKUP(B818,'3 - LISTA DE ESPÉCIES'!B:H,6,FALSE()),IF(AND(A818=0,B818=0,C818&lt;&gt;0),VLOOKUP(C818,'3 - LISTA DE ESPÉCIES'!C:H,5,FALSE()))))</f>
        <v>0</v>
      </c>
      <c r="G818" s="21" t="b">
        <f>IF(AND(A818&lt;&gt;0,B818=0,C818=0),VLOOKUP(A818,'3 - LISTA DE ESPÉCIES'!A:H,3,FALSE()),IF(AND(A818=0,B818&lt;&gt;0,C818=0),VLOOKUP(B818,'3 - LISTA DE ESPÉCIES'!B:H,7,FALSE()),IF(AND(A818=0,B818=0,C818&lt;&gt;0),VLOOKUP(C818,'3 - LISTA DE ESPÉCIES'!C:H,6,FALSE()))))</f>
        <v>0</v>
      </c>
      <c r="H818" s="21" t="b">
        <f>IF(AND(A818&lt;&gt;0,B818=0,C818=0),VLOOKUP(A818,'3 - LISTA DE ESPÉCIES'!A:H,4,FALSE()),IF(AND(A818=0,B818&lt;&gt;0,C818=0),VLOOKUP(B818,'3 - LISTA DE ESPÉCIES'!B:H,3,FALSE()),IF(AND(A818=0,B818=0,C818&lt;&gt;0),VLOOKUP(C818,'3 - LISTA DE ESPÉCIES'!C:H,2,FALSE()))))</f>
        <v>0</v>
      </c>
      <c r="I818" s="21" t="b">
        <f>IF(AND(A818&lt;&gt;0,B818=0,C818=0),VLOOKUP(A818,'3 - LISTA DE ESPÉCIES'!A:H,5,FALSE()),IF(AND(A818=0,B818&lt;&gt;0,C818=0),VLOOKUP(B818,'3 - LISTA DE ESPÉCIES'!B:H,4,FALSE()),IF(AND(A818=0,B818=0,C818&lt;&gt;0),VLOOKUP(C818,'3 - LISTA DE ESPÉCIES'!C:H,3,FALSE()))))</f>
        <v>0</v>
      </c>
      <c r="J818" s="23"/>
      <c r="K818" s="23"/>
      <c r="L818" s="20"/>
      <c r="M818" s="20"/>
    </row>
    <row r="819" spans="1:13" x14ac:dyDescent="0.25">
      <c r="A819" s="20"/>
      <c r="B819" s="20"/>
      <c r="C819" s="20"/>
      <c r="E819" s="21" t="b">
        <f>IF(AND(A819&lt;&gt;0,B819=0,C819=0),VLOOKUP(A819,'3 - LISTA DE ESPÉCIES'!A:H,1,FALSE()),IF(AND(A819=0,B819&lt;&gt;0,C819=0),VLOOKUP(B819,'3 - LISTA DE ESPÉCIES'!B:H,5,FALSE()),IF(AND(A819=0,B819=0,C819&lt;&gt;0),VLOOKUP(C819,'3 - LISTA DE ESPÉCIES'!C:H,4,FALSE()))))</f>
        <v>0</v>
      </c>
      <c r="F819" s="21" t="b">
        <f>IF(AND(A819&lt;&gt;0,B819=0,C819=0),VLOOKUP(A819,'3 - LISTA DE ESPÉCIES'!A:H,2,FALSE()),IF(AND(A819=0,B819&lt;&gt;0,C819=0),VLOOKUP(B819,'3 - LISTA DE ESPÉCIES'!B:H,6,FALSE()),IF(AND(A819=0,B819=0,C819&lt;&gt;0),VLOOKUP(C819,'3 - LISTA DE ESPÉCIES'!C:H,5,FALSE()))))</f>
        <v>0</v>
      </c>
      <c r="G819" s="21" t="b">
        <f>IF(AND(A819&lt;&gt;0,B819=0,C819=0),VLOOKUP(A819,'3 - LISTA DE ESPÉCIES'!A:H,3,FALSE()),IF(AND(A819=0,B819&lt;&gt;0,C819=0),VLOOKUP(B819,'3 - LISTA DE ESPÉCIES'!B:H,7,FALSE()),IF(AND(A819=0,B819=0,C819&lt;&gt;0),VLOOKUP(C819,'3 - LISTA DE ESPÉCIES'!C:H,6,FALSE()))))</f>
        <v>0</v>
      </c>
      <c r="H819" s="21" t="b">
        <f>IF(AND(A819&lt;&gt;0,B819=0,C819=0),VLOOKUP(A819,'3 - LISTA DE ESPÉCIES'!A:H,4,FALSE()),IF(AND(A819=0,B819&lt;&gt;0,C819=0),VLOOKUP(B819,'3 - LISTA DE ESPÉCIES'!B:H,3,FALSE()),IF(AND(A819=0,B819=0,C819&lt;&gt;0),VLOOKUP(C819,'3 - LISTA DE ESPÉCIES'!C:H,2,FALSE()))))</f>
        <v>0</v>
      </c>
      <c r="I819" s="21" t="b">
        <f>IF(AND(A819&lt;&gt;0,B819=0,C819=0),VLOOKUP(A819,'3 - LISTA DE ESPÉCIES'!A:H,5,FALSE()),IF(AND(A819=0,B819&lt;&gt;0,C819=0),VLOOKUP(B819,'3 - LISTA DE ESPÉCIES'!B:H,4,FALSE()),IF(AND(A819=0,B819=0,C819&lt;&gt;0),VLOOKUP(C819,'3 - LISTA DE ESPÉCIES'!C:H,3,FALSE()))))</f>
        <v>0</v>
      </c>
      <c r="J819" s="23"/>
      <c r="K819" s="23"/>
      <c r="L819" s="20"/>
      <c r="M819" s="20"/>
    </row>
    <row r="820" spans="1:13" x14ac:dyDescent="0.25">
      <c r="A820" s="20"/>
      <c r="B820" s="20"/>
      <c r="C820" s="20"/>
      <c r="E820" s="21" t="b">
        <f>IF(AND(A820&lt;&gt;0,B820=0,C820=0),VLOOKUP(A820,'3 - LISTA DE ESPÉCIES'!A:H,1,FALSE()),IF(AND(A820=0,B820&lt;&gt;0,C820=0),VLOOKUP(B820,'3 - LISTA DE ESPÉCIES'!B:H,5,FALSE()),IF(AND(A820=0,B820=0,C820&lt;&gt;0),VLOOKUP(C820,'3 - LISTA DE ESPÉCIES'!C:H,4,FALSE()))))</f>
        <v>0</v>
      </c>
      <c r="F820" s="21" t="b">
        <f>IF(AND(A820&lt;&gt;0,B820=0,C820=0),VLOOKUP(A820,'3 - LISTA DE ESPÉCIES'!A:H,2,FALSE()),IF(AND(A820=0,B820&lt;&gt;0,C820=0),VLOOKUP(B820,'3 - LISTA DE ESPÉCIES'!B:H,6,FALSE()),IF(AND(A820=0,B820=0,C820&lt;&gt;0),VLOOKUP(C820,'3 - LISTA DE ESPÉCIES'!C:H,5,FALSE()))))</f>
        <v>0</v>
      </c>
      <c r="G820" s="21" t="b">
        <f>IF(AND(A820&lt;&gt;0,B820=0,C820=0),VLOOKUP(A820,'3 - LISTA DE ESPÉCIES'!A:H,3,FALSE()),IF(AND(A820=0,B820&lt;&gt;0,C820=0),VLOOKUP(B820,'3 - LISTA DE ESPÉCIES'!B:H,7,FALSE()),IF(AND(A820=0,B820=0,C820&lt;&gt;0),VLOOKUP(C820,'3 - LISTA DE ESPÉCIES'!C:H,6,FALSE()))))</f>
        <v>0</v>
      </c>
      <c r="H820" s="21" t="b">
        <f>IF(AND(A820&lt;&gt;0,B820=0,C820=0),VLOOKUP(A820,'3 - LISTA DE ESPÉCIES'!A:H,4,FALSE()),IF(AND(A820=0,B820&lt;&gt;0,C820=0),VLOOKUP(B820,'3 - LISTA DE ESPÉCIES'!B:H,3,FALSE()),IF(AND(A820=0,B820=0,C820&lt;&gt;0),VLOOKUP(C820,'3 - LISTA DE ESPÉCIES'!C:H,2,FALSE()))))</f>
        <v>0</v>
      </c>
      <c r="I820" s="21" t="b">
        <f>IF(AND(A820&lt;&gt;0,B820=0,C820=0),VLOOKUP(A820,'3 - LISTA DE ESPÉCIES'!A:H,5,FALSE()),IF(AND(A820=0,B820&lt;&gt;0,C820=0),VLOOKUP(B820,'3 - LISTA DE ESPÉCIES'!B:H,4,FALSE()),IF(AND(A820=0,B820=0,C820&lt;&gt;0),VLOOKUP(C820,'3 - LISTA DE ESPÉCIES'!C:H,3,FALSE()))))</f>
        <v>0</v>
      </c>
      <c r="J820" s="23"/>
      <c r="K820" s="23"/>
      <c r="L820" s="20"/>
      <c r="M820" s="20"/>
    </row>
    <row r="821" spans="1:13" x14ac:dyDescent="0.25">
      <c r="A821" s="20"/>
      <c r="B821" s="20"/>
      <c r="C821" s="20"/>
      <c r="E821" s="21" t="b">
        <f>IF(AND(A821&lt;&gt;0,B821=0,C821=0),VLOOKUP(A821,'3 - LISTA DE ESPÉCIES'!A:H,1,FALSE()),IF(AND(A821=0,B821&lt;&gt;0,C821=0),VLOOKUP(B821,'3 - LISTA DE ESPÉCIES'!B:H,5,FALSE()),IF(AND(A821=0,B821=0,C821&lt;&gt;0),VLOOKUP(C821,'3 - LISTA DE ESPÉCIES'!C:H,4,FALSE()))))</f>
        <v>0</v>
      </c>
      <c r="F821" s="21" t="b">
        <f>IF(AND(A821&lt;&gt;0,B821=0,C821=0),VLOOKUP(A821,'3 - LISTA DE ESPÉCIES'!A:H,2,FALSE()),IF(AND(A821=0,B821&lt;&gt;0,C821=0),VLOOKUP(B821,'3 - LISTA DE ESPÉCIES'!B:H,6,FALSE()),IF(AND(A821=0,B821=0,C821&lt;&gt;0),VLOOKUP(C821,'3 - LISTA DE ESPÉCIES'!C:H,5,FALSE()))))</f>
        <v>0</v>
      </c>
      <c r="G821" s="21" t="b">
        <f>IF(AND(A821&lt;&gt;0,B821=0,C821=0),VLOOKUP(A821,'3 - LISTA DE ESPÉCIES'!A:H,3,FALSE()),IF(AND(A821=0,B821&lt;&gt;0,C821=0),VLOOKUP(B821,'3 - LISTA DE ESPÉCIES'!B:H,7,FALSE()),IF(AND(A821=0,B821=0,C821&lt;&gt;0),VLOOKUP(C821,'3 - LISTA DE ESPÉCIES'!C:H,6,FALSE()))))</f>
        <v>0</v>
      </c>
      <c r="H821" s="21" t="b">
        <f>IF(AND(A821&lt;&gt;0,B821=0,C821=0),VLOOKUP(A821,'3 - LISTA DE ESPÉCIES'!A:H,4,FALSE()),IF(AND(A821=0,B821&lt;&gt;0,C821=0),VLOOKUP(B821,'3 - LISTA DE ESPÉCIES'!B:H,3,FALSE()),IF(AND(A821=0,B821=0,C821&lt;&gt;0),VLOOKUP(C821,'3 - LISTA DE ESPÉCIES'!C:H,2,FALSE()))))</f>
        <v>0</v>
      </c>
      <c r="I821" s="21" t="b">
        <f>IF(AND(A821&lt;&gt;0,B821=0,C821=0),VLOOKUP(A821,'3 - LISTA DE ESPÉCIES'!A:H,5,FALSE()),IF(AND(A821=0,B821&lt;&gt;0,C821=0),VLOOKUP(B821,'3 - LISTA DE ESPÉCIES'!B:H,4,FALSE()),IF(AND(A821=0,B821=0,C821&lt;&gt;0),VLOOKUP(C821,'3 - LISTA DE ESPÉCIES'!C:H,3,FALSE()))))</f>
        <v>0</v>
      </c>
      <c r="J821" s="23"/>
      <c r="K821" s="23"/>
      <c r="L821" s="20"/>
      <c r="M821" s="20"/>
    </row>
    <row r="822" spans="1:13" x14ac:dyDescent="0.25">
      <c r="A822" s="20"/>
      <c r="B822" s="20"/>
      <c r="C822" s="20"/>
      <c r="E822" s="21" t="b">
        <f>IF(AND(A822&lt;&gt;0,B822=0,C822=0),VLOOKUP(A822,'3 - LISTA DE ESPÉCIES'!A:H,1,FALSE()),IF(AND(A822=0,B822&lt;&gt;0,C822=0),VLOOKUP(B822,'3 - LISTA DE ESPÉCIES'!B:H,5,FALSE()),IF(AND(A822=0,B822=0,C822&lt;&gt;0),VLOOKUP(C822,'3 - LISTA DE ESPÉCIES'!C:H,4,FALSE()))))</f>
        <v>0</v>
      </c>
      <c r="F822" s="21" t="b">
        <f>IF(AND(A822&lt;&gt;0,B822=0,C822=0),VLOOKUP(A822,'3 - LISTA DE ESPÉCIES'!A:H,2,FALSE()),IF(AND(A822=0,B822&lt;&gt;0,C822=0),VLOOKUP(B822,'3 - LISTA DE ESPÉCIES'!B:H,6,FALSE()),IF(AND(A822=0,B822=0,C822&lt;&gt;0),VLOOKUP(C822,'3 - LISTA DE ESPÉCIES'!C:H,5,FALSE()))))</f>
        <v>0</v>
      </c>
      <c r="G822" s="21" t="b">
        <f>IF(AND(A822&lt;&gt;0,B822=0,C822=0),VLOOKUP(A822,'3 - LISTA DE ESPÉCIES'!A:H,3,FALSE()),IF(AND(A822=0,B822&lt;&gt;0,C822=0),VLOOKUP(B822,'3 - LISTA DE ESPÉCIES'!B:H,7,FALSE()),IF(AND(A822=0,B822=0,C822&lt;&gt;0),VLOOKUP(C822,'3 - LISTA DE ESPÉCIES'!C:H,6,FALSE()))))</f>
        <v>0</v>
      </c>
      <c r="H822" s="21" t="b">
        <f>IF(AND(A822&lt;&gt;0,B822=0,C822=0),VLOOKUP(A822,'3 - LISTA DE ESPÉCIES'!A:H,4,FALSE()),IF(AND(A822=0,B822&lt;&gt;0,C822=0),VLOOKUP(B822,'3 - LISTA DE ESPÉCIES'!B:H,3,FALSE()),IF(AND(A822=0,B822=0,C822&lt;&gt;0),VLOOKUP(C822,'3 - LISTA DE ESPÉCIES'!C:H,2,FALSE()))))</f>
        <v>0</v>
      </c>
      <c r="I822" s="21" t="b">
        <f>IF(AND(A822&lt;&gt;0,B822=0,C822=0),VLOOKUP(A822,'3 - LISTA DE ESPÉCIES'!A:H,5,FALSE()),IF(AND(A822=0,B822&lt;&gt;0,C822=0),VLOOKUP(B822,'3 - LISTA DE ESPÉCIES'!B:H,4,FALSE()),IF(AND(A822=0,B822=0,C822&lt;&gt;0),VLOOKUP(C822,'3 - LISTA DE ESPÉCIES'!C:H,3,FALSE()))))</f>
        <v>0</v>
      </c>
      <c r="J822" s="23"/>
      <c r="K822" s="23"/>
      <c r="L822" s="20"/>
      <c r="M822" s="20"/>
    </row>
    <row r="823" spans="1:13" x14ac:dyDescent="0.25">
      <c r="A823" s="20"/>
      <c r="B823" s="20"/>
      <c r="C823" s="20"/>
      <c r="E823" s="21" t="b">
        <f>IF(AND(A823&lt;&gt;0,B823=0,C823=0),VLOOKUP(A823,'3 - LISTA DE ESPÉCIES'!A:H,1,FALSE()),IF(AND(A823=0,B823&lt;&gt;0,C823=0),VLOOKUP(B823,'3 - LISTA DE ESPÉCIES'!B:H,5,FALSE()),IF(AND(A823=0,B823=0,C823&lt;&gt;0),VLOOKUP(C823,'3 - LISTA DE ESPÉCIES'!C:H,4,FALSE()))))</f>
        <v>0</v>
      </c>
      <c r="F823" s="21" t="b">
        <f>IF(AND(A823&lt;&gt;0,B823=0,C823=0),VLOOKUP(A823,'3 - LISTA DE ESPÉCIES'!A:H,2,FALSE()),IF(AND(A823=0,B823&lt;&gt;0,C823=0),VLOOKUP(B823,'3 - LISTA DE ESPÉCIES'!B:H,6,FALSE()),IF(AND(A823=0,B823=0,C823&lt;&gt;0),VLOOKUP(C823,'3 - LISTA DE ESPÉCIES'!C:H,5,FALSE()))))</f>
        <v>0</v>
      </c>
      <c r="G823" s="21" t="b">
        <f>IF(AND(A823&lt;&gt;0,B823=0,C823=0),VLOOKUP(A823,'3 - LISTA DE ESPÉCIES'!A:H,3,FALSE()),IF(AND(A823=0,B823&lt;&gt;0,C823=0),VLOOKUP(B823,'3 - LISTA DE ESPÉCIES'!B:H,7,FALSE()),IF(AND(A823=0,B823=0,C823&lt;&gt;0),VLOOKUP(C823,'3 - LISTA DE ESPÉCIES'!C:H,6,FALSE()))))</f>
        <v>0</v>
      </c>
      <c r="H823" s="21" t="b">
        <f>IF(AND(A823&lt;&gt;0,B823=0,C823=0),VLOOKUP(A823,'3 - LISTA DE ESPÉCIES'!A:H,4,FALSE()),IF(AND(A823=0,B823&lt;&gt;0,C823=0),VLOOKUP(B823,'3 - LISTA DE ESPÉCIES'!B:H,3,FALSE()),IF(AND(A823=0,B823=0,C823&lt;&gt;0),VLOOKUP(C823,'3 - LISTA DE ESPÉCIES'!C:H,2,FALSE()))))</f>
        <v>0</v>
      </c>
      <c r="I823" s="21" t="b">
        <f>IF(AND(A823&lt;&gt;0,B823=0,C823=0),VLOOKUP(A823,'3 - LISTA DE ESPÉCIES'!A:H,5,FALSE()),IF(AND(A823=0,B823&lt;&gt;0,C823=0),VLOOKUP(B823,'3 - LISTA DE ESPÉCIES'!B:H,4,FALSE()),IF(AND(A823=0,B823=0,C823&lt;&gt;0),VLOOKUP(C823,'3 - LISTA DE ESPÉCIES'!C:H,3,FALSE()))))</f>
        <v>0</v>
      </c>
      <c r="J823" s="23"/>
      <c r="K823" s="23"/>
      <c r="L823" s="20"/>
      <c r="M823" s="20"/>
    </row>
    <row r="824" spans="1:13" x14ac:dyDescent="0.25">
      <c r="A824" s="20"/>
      <c r="B824" s="20"/>
      <c r="C824" s="20"/>
      <c r="E824" s="21" t="b">
        <f>IF(AND(A824&lt;&gt;0,B824=0,C824=0),VLOOKUP(A824,'3 - LISTA DE ESPÉCIES'!A:H,1,FALSE()),IF(AND(A824=0,B824&lt;&gt;0,C824=0),VLOOKUP(B824,'3 - LISTA DE ESPÉCIES'!B:H,5,FALSE()),IF(AND(A824=0,B824=0,C824&lt;&gt;0),VLOOKUP(C824,'3 - LISTA DE ESPÉCIES'!C:H,4,FALSE()))))</f>
        <v>0</v>
      </c>
      <c r="F824" s="21" t="b">
        <f>IF(AND(A824&lt;&gt;0,B824=0,C824=0),VLOOKUP(A824,'3 - LISTA DE ESPÉCIES'!A:H,2,FALSE()),IF(AND(A824=0,B824&lt;&gt;0,C824=0),VLOOKUP(B824,'3 - LISTA DE ESPÉCIES'!B:H,6,FALSE()),IF(AND(A824=0,B824=0,C824&lt;&gt;0),VLOOKUP(C824,'3 - LISTA DE ESPÉCIES'!C:H,5,FALSE()))))</f>
        <v>0</v>
      </c>
      <c r="G824" s="21" t="b">
        <f>IF(AND(A824&lt;&gt;0,B824=0,C824=0),VLOOKUP(A824,'3 - LISTA DE ESPÉCIES'!A:H,3,FALSE()),IF(AND(A824=0,B824&lt;&gt;0,C824=0),VLOOKUP(B824,'3 - LISTA DE ESPÉCIES'!B:H,7,FALSE()),IF(AND(A824=0,B824=0,C824&lt;&gt;0),VLOOKUP(C824,'3 - LISTA DE ESPÉCIES'!C:H,6,FALSE()))))</f>
        <v>0</v>
      </c>
      <c r="H824" s="21" t="b">
        <f>IF(AND(A824&lt;&gt;0,B824=0,C824=0),VLOOKUP(A824,'3 - LISTA DE ESPÉCIES'!A:H,4,FALSE()),IF(AND(A824=0,B824&lt;&gt;0,C824=0),VLOOKUP(B824,'3 - LISTA DE ESPÉCIES'!B:H,3,FALSE()),IF(AND(A824=0,B824=0,C824&lt;&gt;0),VLOOKUP(C824,'3 - LISTA DE ESPÉCIES'!C:H,2,FALSE()))))</f>
        <v>0</v>
      </c>
      <c r="I824" s="21" t="b">
        <f>IF(AND(A824&lt;&gt;0,B824=0,C824=0),VLOOKUP(A824,'3 - LISTA DE ESPÉCIES'!A:H,5,FALSE()),IF(AND(A824=0,B824&lt;&gt;0,C824=0),VLOOKUP(B824,'3 - LISTA DE ESPÉCIES'!B:H,4,FALSE()),IF(AND(A824=0,B824=0,C824&lt;&gt;0),VLOOKUP(C824,'3 - LISTA DE ESPÉCIES'!C:H,3,FALSE()))))</f>
        <v>0</v>
      </c>
      <c r="J824" s="23"/>
      <c r="K824" s="23"/>
      <c r="L824" s="20"/>
      <c r="M824" s="20"/>
    </row>
    <row r="825" spans="1:13" x14ac:dyDescent="0.25">
      <c r="A825" s="20"/>
      <c r="B825" s="20"/>
      <c r="C825" s="20"/>
      <c r="E825" s="21" t="b">
        <f>IF(AND(A825&lt;&gt;0,B825=0,C825=0),VLOOKUP(A825,'3 - LISTA DE ESPÉCIES'!A:H,1,FALSE()),IF(AND(A825=0,B825&lt;&gt;0,C825=0),VLOOKUP(B825,'3 - LISTA DE ESPÉCIES'!B:H,5,FALSE()),IF(AND(A825=0,B825=0,C825&lt;&gt;0),VLOOKUP(C825,'3 - LISTA DE ESPÉCIES'!C:H,4,FALSE()))))</f>
        <v>0</v>
      </c>
      <c r="F825" s="21" t="b">
        <f>IF(AND(A825&lt;&gt;0,B825=0,C825=0),VLOOKUP(A825,'3 - LISTA DE ESPÉCIES'!A:H,2,FALSE()),IF(AND(A825=0,B825&lt;&gt;0,C825=0),VLOOKUP(B825,'3 - LISTA DE ESPÉCIES'!B:H,6,FALSE()),IF(AND(A825=0,B825=0,C825&lt;&gt;0),VLOOKUP(C825,'3 - LISTA DE ESPÉCIES'!C:H,5,FALSE()))))</f>
        <v>0</v>
      </c>
      <c r="G825" s="21" t="b">
        <f>IF(AND(A825&lt;&gt;0,B825=0,C825=0),VLOOKUP(A825,'3 - LISTA DE ESPÉCIES'!A:H,3,FALSE()),IF(AND(A825=0,B825&lt;&gt;0,C825=0),VLOOKUP(B825,'3 - LISTA DE ESPÉCIES'!B:H,7,FALSE()),IF(AND(A825=0,B825=0,C825&lt;&gt;0),VLOOKUP(C825,'3 - LISTA DE ESPÉCIES'!C:H,6,FALSE()))))</f>
        <v>0</v>
      </c>
      <c r="H825" s="21" t="b">
        <f>IF(AND(A825&lt;&gt;0,B825=0,C825=0),VLOOKUP(A825,'3 - LISTA DE ESPÉCIES'!A:H,4,FALSE()),IF(AND(A825=0,B825&lt;&gt;0,C825=0),VLOOKUP(B825,'3 - LISTA DE ESPÉCIES'!B:H,3,FALSE()),IF(AND(A825=0,B825=0,C825&lt;&gt;0),VLOOKUP(C825,'3 - LISTA DE ESPÉCIES'!C:H,2,FALSE()))))</f>
        <v>0</v>
      </c>
      <c r="I825" s="21" t="b">
        <f>IF(AND(A825&lt;&gt;0,B825=0,C825=0),VLOOKUP(A825,'3 - LISTA DE ESPÉCIES'!A:H,5,FALSE()),IF(AND(A825=0,B825&lt;&gt;0,C825=0),VLOOKUP(B825,'3 - LISTA DE ESPÉCIES'!B:H,4,FALSE()),IF(AND(A825=0,B825=0,C825&lt;&gt;0),VLOOKUP(C825,'3 - LISTA DE ESPÉCIES'!C:H,3,FALSE()))))</f>
        <v>0</v>
      </c>
      <c r="J825" s="23"/>
      <c r="K825" s="23"/>
      <c r="L825" s="20"/>
      <c r="M825" s="20"/>
    </row>
    <row r="826" spans="1:13" x14ac:dyDescent="0.25">
      <c r="A826" s="20"/>
      <c r="B826" s="20"/>
      <c r="C826" s="20"/>
      <c r="E826" s="21" t="b">
        <f>IF(AND(A826&lt;&gt;0,B826=0,C826=0),VLOOKUP(A826,'3 - LISTA DE ESPÉCIES'!A:H,1,FALSE()),IF(AND(A826=0,B826&lt;&gt;0,C826=0),VLOOKUP(B826,'3 - LISTA DE ESPÉCIES'!B:H,5,FALSE()),IF(AND(A826=0,B826=0,C826&lt;&gt;0),VLOOKUP(C826,'3 - LISTA DE ESPÉCIES'!C:H,4,FALSE()))))</f>
        <v>0</v>
      </c>
      <c r="F826" s="21" t="b">
        <f>IF(AND(A826&lt;&gt;0,B826=0,C826=0),VLOOKUP(A826,'3 - LISTA DE ESPÉCIES'!A:H,2,FALSE()),IF(AND(A826=0,B826&lt;&gt;0,C826=0),VLOOKUP(B826,'3 - LISTA DE ESPÉCIES'!B:H,6,FALSE()),IF(AND(A826=0,B826=0,C826&lt;&gt;0),VLOOKUP(C826,'3 - LISTA DE ESPÉCIES'!C:H,5,FALSE()))))</f>
        <v>0</v>
      </c>
      <c r="G826" s="21" t="b">
        <f>IF(AND(A826&lt;&gt;0,B826=0,C826=0),VLOOKUP(A826,'3 - LISTA DE ESPÉCIES'!A:H,3,FALSE()),IF(AND(A826=0,B826&lt;&gt;0,C826=0),VLOOKUP(B826,'3 - LISTA DE ESPÉCIES'!B:H,7,FALSE()),IF(AND(A826=0,B826=0,C826&lt;&gt;0),VLOOKUP(C826,'3 - LISTA DE ESPÉCIES'!C:H,6,FALSE()))))</f>
        <v>0</v>
      </c>
      <c r="H826" s="21" t="b">
        <f>IF(AND(A826&lt;&gt;0,B826=0,C826=0),VLOOKUP(A826,'3 - LISTA DE ESPÉCIES'!A:H,4,FALSE()),IF(AND(A826=0,B826&lt;&gt;0,C826=0),VLOOKUP(B826,'3 - LISTA DE ESPÉCIES'!B:H,3,FALSE()),IF(AND(A826=0,B826=0,C826&lt;&gt;0),VLOOKUP(C826,'3 - LISTA DE ESPÉCIES'!C:H,2,FALSE()))))</f>
        <v>0</v>
      </c>
      <c r="I826" s="21" t="b">
        <f>IF(AND(A826&lt;&gt;0,B826=0,C826=0),VLOOKUP(A826,'3 - LISTA DE ESPÉCIES'!A:H,5,FALSE()),IF(AND(A826=0,B826&lt;&gt;0,C826=0),VLOOKUP(B826,'3 - LISTA DE ESPÉCIES'!B:H,4,FALSE()),IF(AND(A826=0,B826=0,C826&lt;&gt;0),VLOOKUP(C826,'3 - LISTA DE ESPÉCIES'!C:H,3,FALSE()))))</f>
        <v>0</v>
      </c>
      <c r="J826" s="23"/>
      <c r="K826" s="23"/>
      <c r="L826" s="20"/>
      <c r="M826" s="20"/>
    </row>
    <row r="827" spans="1:13" x14ac:dyDescent="0.25">
      <c r="A827" s="20"/>
      <c r="B827" s="20"/>
      <c r="C827" s="20"/>
      <c r="E827" s="21" t="b">
        <f>IF(AND(A827&lt;&gt;0,B827=0,C827=0),VLOOKUP(A827,'3 - LISTA DE ESPÉCIES'!A:H,1,FALSE()),IF(AND(A827=0,B827&lt;&gt;0,C827=0),VLOOKUP(B827,'3 - LISTA DE ESPÉCIES'!B:H,5,FALSE()),IF(AND(A827=0,B827=0,C827&lt;&gt;0),VLOOKUP(C827,'3 - LISTA DE ESPÉCIES'!C:H,4,FALSE()))))</f>
        <v>0</v>
      </c>
      <c r="F827" s="21" t="b">
        <f>IF(AND(A827&lt;&gt;0,B827=0,C827=0),VLOOKUP(A827,'3 - LISTA DE ESPÉCIES'!A:H,2,FALSE()),IF(AND(A827=0,B827&lt;&gt;0,C827=0),VLOOKUP(B827,'3 - LISTA DE ESPÉCIES'!B:H,6,FALSE()),IF(AND(A827=0,B827=0,C827&lt;&gt;0),VLOOKUP(C827,'3 - LISTA DE ESPÉCIES'!C:H,5,FALSE()))))</f>
        <v>0</v>
      </c>
      <c r="G827" s="21" t="b">
        <f>IF(AND(A827&lt;&gt;0,B827=0,C827=0),VLOOKUP(A827,'3 - LISTA DE ESPÉCIES'!A:H,3,FALSE()),IF(AND(A827=0,B827&lt;&gt;0,C827=0),VLOOKUP(B827,'3 - LISTA DE ESPÉCIES'!B:H,7,FALSE()),IF(AND(A827=0,B827=0,C827&lt;&gt;0),VLOOKUP(C827,'3 - LISTA DE ESPÉCIES'!C:H,6,FALSE()))))</f>
        <v>0</v>
      </c>
      <c r="H827" s="21" t="b">
        <f>IF(AND(A827&lt;&gt;0,B827=0,C827=0),VLOOKUP(A827,'3 - LISTA DE ESPÉCIES'!A:H,4,FALSE()),IF(AND(A827=0,B827&lt;&gt;0,C827=0),VLOOKUP(B827,'3 - LISTA DE ESPÉCIES'!B:H,3,FALSE()),IF(AND(A827=0,B827=0,C827&lt;&gt;0),VLOOKUP(C827,'3 - LISTA DE ESPÉCIES'!C:H,2,FALSE()))))</f>
        <v>0</v>
      </c>
      <c r="I827" s="21" t="b">
        <f>IF(AND(A827&lt;&gt;0,B827=0,C827=0),VLOOKUP(A827,'3 - LISTA DE ESPÉCIES'!A:H,5,FALSE()),IF(AND(A827=0,B827&lt;&gt;0,C827=0),VLOOKUP(B827,'3 - LISTA DE ESPÉCIES'!B:H,4,FALSE()),IF(AND(A827=0,B827=0,C827&lt;&gt;0),VLOOKUP(C827,'3 - LISTA DE ESPÉCIES'!C:H,3,FALSE()))))</f>
        <v>0</v>
      </c>
      <c r="J827" s="23"/>
      <c r="K827" s="23"/>
      <c r="L827" s="20"/>
      <c r="M827" s="20"/>
    </row>
    <row r="828" spans="1:13" x14ac:dyDescent="0.25">
      <c r="A828" s="20"/>
      <c r="B828" s="20"/>
      <c r="C828" s="20"/>
      <c r="E828" s="21" t="b">
        <f>IF(AND(A828&lt;&gt;0,B828=0,C828=0),VLOOKUP(A828,'3 - LISTA DE ESPÉCIES'!A:H,1,FALSE()),IF(AND(A828=0,B828&lt;&gt;0,C828=0),VLOOKUP(B828,'3 - LISTA DE ESPÉCIES'!B:H,5,FALSE()),IF(AND(A828=0,B828=0,C828&lt;&gt;0),VLOOKUP(C828,'3 - LISTA DE ESPÉCIES'!C:H,4,FALSE()))))</f>
        <v>0</v>
      </c>
      <c r="F828" s="21" t="b">
        <f>IF(AND(A828&lt;&gt;0,B828=0,C828=0),VLOOKUP(A828,'3 - LISTA DE ESPÉCIES'!A:H,2,FALSE()),IF(AND(A828=0,B828&lt;&gt;0,C828=0),VLOOKUP(B828,'3 - LISTA DE ESPÉCIES'!B:H,6,FALSE()),IF(AND(A828=0,B828=0,C828&lt;&gt;0),VLOOKUP(C828,'3 - LISTA DE ESPÉCIES'!C:H,5,FALSE()))))</f>
        <v>0</v>
      </c>
      <c r="G828" s="21" t="b">
        <f>IF(AND(A828&lt;&gt;0,B828=0,C828=0),VLOOKUP(A828,'3 - LISTA DE ESPÉCIES'!A:H,3,FALSE()),IF(AND(A828=0,B828&lt;&gt;0,C828=0),VLOOKUP(B828,'3 - LISTA DE ESPÉCIES'!B:H,7,FALSE()),IF(AND(A828=0,B828=0,C828&lt;&gt;0),VLOOKUP(C828,'3 - LISTA DE ESPÉCIES'!C:H,6,FALSE()))))</f>
        <v>0</v>
      </c>
      <c r="H828" s="21" t="b">
        <f>IF(AND(A828&lt;&gt;0,B828=0,C828=0),VLOOKUP(A828,'3 - LISTA DE ESPÉCIES'!A:H,4,FALSE()),IF(AND(A828=0,B828&lt;&gt;0,C828=0),VLOOKUP(B828,'3 - LISTA DE ESPÉCIES'!B:H,3,FALSE()),IF(AND(A828=0,B828=0,C828&lt;&gt;0),VLOOKUP(C828,'3 - LISTA DE ESPÉCIES'!C:H,2,FALSE()))))</f>
        <v>0</v>
      </c>
      <c r="I828" s="21" t="b">
        <f>IF(AND(A828&lt;&gt;0,B828=0,C828=0),VLOOKUP(A828,'3 - LISTA DE ESPÉCIES'!A:H,5,FALSE()),IF(AND(A828=0,B828&lt;&gt;0,C828=0),VLOOKUP(B828,'3 - LISTA DE ESPÉCIES'!B:H,4,FALSE()),IF(AND(A828=0,B828=0,C828&lt;&gt;0),VLOOKUP(C828,'3 - LISTA DE ESPÉCIES'!C:H,3,FALSE()))))</f>
        <v>0</v>
      </c>
      <c r="J828" s="23"/>
      <c r="K828" s="23"/>
      <c r="L828" s="20"/>
      <c r="M828" s="20"/>
    </row>
    <row r="829" spans="1:13" x14ac:dyDescent="0.25">
      <c r="A829" s="20"/>
      <c r="B829" s="20"/>
      <c r="C829" s="20"/>
      <c r="E829" s="21" t="b">
        <f>IF(AND(A829&lt;&gt;0,B829=0,C829=0),VLOOKUP(A829,'3 - LISTA DE ESPÉCIES'!A:H,1,FALSE()),IF(AND(A829=0,B829&lt;&gt;0,C829=0),VLOOKUP(B829,'3 - LISTA DE ESPÉCIES'!B:H,5,FALSE()),IF(AND(A829=0,B829=0,C829&lt;&gt;0),VLOOKUP(C829,'3 - LISTA DE ESPÉCIES'!C:H,4,FALSE()))))</f>
        <v>0</v>
      </c>
      <c r="F829" s="21" t="b">
        <f>IF(AND(A829&lt;&gt;0,B829=0,C829=0),VLOOKUP(A829,'3 - LISTA DE ESPÉCIES'!A:H,2,FALSE()),IF(AND(A829=0,B829&lt;&gt;0,C829=0),VLOOKUP(B829,'3 - LISTA DE ESPÉCIES'!B:H,6,FALSE()),IF(AND(A829=0,B829=0,C829&lt;&gt;0),VLOOKUP(C829,'3 - LISTA DE ESPÉCIES'!C:H,5,FALSE()))))</f>
        <v>0</v>
      </c>
      <c r="G829" s="21" t="b">
        <f>IF(AND(A829&lt;&gt;0,B829=0,C829=0),VLOOKUP(A829,'3 - LISTA DE ESPÉCIES'!A:H,3,FALSE()),IF(AND(A829=0,B829&lt;&gt;0,C829=0),VLOOKUP(B829,'3 - LISTA DE ESPÉCIES'!B:H,7,FALSE()),IF(AND(A829=0,B829=0,C829&lt;&gt;0),VLOOKUP(C829,'3 - LISTA DE ESPÉCIES'!C:H,6,FALSE()))))</f>
        <v>0</v>
      </c>
      <c r="H829" s="21" t="b">
        <f>IF(AND(A829&lt;&gt;0,B829=0,C829=0),VLOOKUP(A829,'3 - LISTA DE ESPÉCIES'!A:H,4,FALSE()),IF(AND(A829=0,B829&lt;&gt;0,C829=0),VLOOKUP(B829,'3 - LISTA DE ESPÉCIES'!B:H,3,FALSE()),IF(AND(A829=0,B829=0,C829&lt;&gt;0),VLOOKUP(C829,'3 - LISTA DE ESPÉCIES'!C:H,2,FALSE()))))</f>
        <v>0</v>
      </c>
      <c r="I829" s="21" t="b">
        <f>IF(AND(A829&lt;&gt;0,B829=0,C829=0),VLOOKUP(A829,'3 - LISTA DE ESPÉCIES'!A:H,5,FALSE()),IF(AND(A829=0,B829&lt;&gt;0,C829=0),VLOOKUP(B829,'3 - LISTA DE ESPÉCIES'!B:H,4,FALSE()),IF(AND(A829=0,B829=0,C829&lt;&gt;0),VLOOKUP(C829,'3 - LISTA DE ESPÉCIES'!C:H,3,FALSE()))))</f>
        <v>0</v>
      </c>
      <c r="J829" s="23"/>
      <c r="K829" s="23"/>
      <c r="L829" s="20"/>
      <c r="M829" s="20"/>
    </row>
    <row r="830" spans="1:13" x14ac:dyDescent="0.25">
      <c r="A830" s="20"/>
      <c r="B830" s="20"/>
      <c r="C830" s="20"/>
      <c r="E830" s="21" t="b">
        <f>IF(AND(A830&lt;&gt;0,B830=0,C830=0),VLOOKUP(A830,'3 - LISTA DE ESPÉCIES'!A:H,1,FALSE()),IF(AND(A830=0,B830&lt;&gt;0,C830=0),VLOOKUP(B830,'3 - LISTA DE ESPÉCIES'!B:H,5,FALSE()),IF(AND(A830=0,B830=0,C830&lt;&gt;0),VLOOKUP(C830,'3 - LISTA DE ESPÉCIES'!C:H,4,FALSE()))))</f>
        <v>0</v>
      </c>
      <c r="F830" s="21" t="b">
        <f>IF(AND(A830&lt;&gt;0,B830=0,C830=0),VLOOKUP(A830,'3 - LISTA DE ESPÉCIES'!A:H,2,FALSE()),IF(AND(A830=0,B830&lt;&gt;0,C830=0),VLOOKUP(B830,'3 - LISTA DE ESPÉCIES'!B:H,6,FALSE()),IF(AND(A830=0,B830=0,C830&lt;&gt;0),VLOOKUP(C830,'3 - LISTA DE ESPÉCIES'!C:H,5,FALSE()))))</f>
        <v>0</v>
      </c>
      <c r="G830" s="21" t="b">
        <f>IF(AND(A830&lt;&gt;0,B830=0,C830=0),VLOOKUP(A830,'3 - LISTA DE ESPÉCIES'!A:H,3,FALSE()),IF(AND(A830=0,B830&lt;&gt;0,C830=0),VLOOKUP(B830,'3 - LISTA DE ESPÉCIES'!B:H,7,FALSE()),IF(AND(A830=0,B830=0,C830&lt;&gt;0),VLOOKUP(C830,'3 - LISTA DE ESPÉCIES'!C:H,6,FALSE()))))</f>
        <v>0</v>
      </c>
      <c r="H830" s="21" t="b">
        <f>IF(AND(A830&lt;&gt;0,B830=0,C830=0),VLOOKUP(A830,'3 - LISTA DE ESPÉCIES'!A:H,4,FALSE()),IF(AND(A830=0,B830&lt;&gt;0,C830=0),VLOOKUP(B830,'3 - LISTA DE ESPÉCIES'!B:H,3,FALSE()),IF(AND(A830=0,B830=0,C830&lt;&gt;0),VLOOKUP(C830,'3 - LISTA DE ESPÉCIES'!C:H,2,FALSE()))))</f>
        <v>0</v>
      </c>
      <c r="I830" s="21" t="b">
        <f>IF(AND(A830&lt;&gt;0,B830=0,C830=0),VLOOKUP(A830,'3 - LISTA DE ESPÉCIES'!A:H,5,FALSE()),IF(AND(A830=0,B830&lt;&gt;0,C830=0),VLOOKUP(B830,'3 - LISTA DE ESPÉCIES'!B:H,4,FALSE()),IF(AND(A830=0,B830=0,C830&lt;&gt;0),VLOOKUP(C830,'3 - LISTA DE ESPÉCIES'!C:H,3,FALSE()))))</f>
        <v>0</v>
      </c>
      <c r="J830" s="23"/>
      <c r="K830" s="23"/>
      <c r="L830" s="20"/>
      <c r="M830" s="20"/>
    </row>
    <row r="831" spans="1:13" x14ac:dyDescent="0.25">
      <c r="A831" s="20"/>
      <c r="B831" s="20"/>
      <c r="C831" s="20"/>
      <c r="E831" s="21" t="b">
        <f>IF(AND(A831&lt;&gt;0,B831=0,C831=0),VLOOKUP(A831,'3 - LISTA DE ESPÉCIES'!A:H,1,FALSE()),IF(AND(A831=0,B831&lt;&gt;0,C831=0),VLOOKUP(B831,'3 - LISTA DE ESPÉCIES'!B:H,5,FALSE()),IF(AND(A831=0,B831=0,C831&lt;&gt;0),VLOOKUP(C831,'3 - LISTA DE ESPÉCIES'!C:H,4,FALSE()))))</f>
        <v>0</v>
      </c>
      <c r="F831" s="21" t="b">
        <f>IF(AND(A831&lt;&gt;0,B831=0,C831=0),VLOOKUP(A831,'3 - LISTA DE ESPÉCIES'!A:H,2,FALSE()),IF(AND(A831=0,B831&lt;&gt;0,C831=0),VLOOKUP(B831,'3 - LISTA DE ESPÉCIES'!B:H,6,FALSE()),IF(AND(A831=0,B831=0,C831&lt;&gt;0),VLOOKUP(C831,'3 - LISTA DE ESPÉCIES'!C:H,5,FALSE()))))</f>
        <v>0</v>
      </c>
      <c r="G831" s="21" t="b">
        <f>IF(AND(A831&lt;&gt;0,B831=0,C831=0),VLOOKUP(A831,'3 - LISTA DE ESPÉCIES'!A:H,3,FALSE()),IF(AND(A831=0,B831&lt;&gt;0,C831=0),VLOOKUP(B831,'3 - LISTA DE ESPÉCIES'!B:H,7,FALSE()),IF(AND(A831=0,B831=0,C831&lt;&gt;0),VLOOKUP(C831,'3 - LISTA DE ESPÉCIES'!C:H,6,FALSE()))))</f>
        <v>0</v>
      </c>
      <c r="H831" s="21" t="b">
        <f>IF(AND(A831&lt;&gt;0,B831=0,C831=0),VLOOKUP(A831,'3 - LISTA DE ESPÉCIES'!A:H,4,FALSE()),IF(AND(A831=0,B831&lt;&gt;0,C831=0),VLOOKUP(B831,'3 - LISTA DE ESPÉCIES'!B:H,3,FALSE()),IF(AND(A831=0,B831=0,C831&lt;&gt;0),VLOOKUP(C831,'3 - LISTA DE ESPÉCIES'!C:H,2,FALSE()))))</f>
        <v>0</v>
      </c>
      <c r="I831" s="21" t="b">
        <f>IF(AND(A831&lt;&gt;0,B831=0,C831=0),VLOOKUP(A831,'3 - LISTA DE ESPÉCIES'!A:H,5,FALSE()),IF(AND(A831=0,B831&lt;&gt;0,C831=0),VLOOKUP(B831,'3 - LISTA DE ESPÉCIES'!B:H,4,FALSE()),IF(AND(A831=0,B831=0,C831&lt;&gt;0),VLOOKUP(C831,'3 - LISTA DE ESPÉCIES'!C:H,3,FALSE()))))</f>
        <v>0</v>
      </c>
      <c r="J831" s="23"/>
      <c r="K831" s="23"/>
      <c r="L831" s="20"/>
      <c r="M831" s="20"/>
    </row>
    <row r="832" spans="1:13" x14ac:dyDescent="0.25">
      <c r="A832" s="20"/>
      <c r="B832" s="20"/>
      <c r="C832" s="20"/>
      <c r="E832" s="21" t="b">
        <f>IF(AND(A832&lt;&gt;0,B832=0,C832=0),VLOOKUP(A832,'3 - LISTA DE ESPÉCIES'!A:H,1,FALSE()),IF(AND(A832=0,B832&lt;&gt;0,C832=0),VLOOKUP(B832,'3 - LISTA DE ESPÉCIES'!B:H,5,FALSE()),IF(AND(A832=0,B832=0,C832&lt;&gt;0),VLOOKUP(C832,'3 - LISTA DE ESPÉCIES'!C:H,4,FALSE()))))</f>
        <v>0</v>
      </c>
      <c r="F832" s="21" t="b">
        <f>IF(AND(A832&lt;&gt;0,B832=0,C832=0),VLOOKUP(A832,'3 - LISTA DE ESPÉCIES'!A:H,2,FALSE()),IF(AND(A832=0,B832&lt;&gt;0,C832=0),VLOOKUP(B832,'3 - LISTA DE ESPÉCIES'!B:H,6,FALSE()),IF(AND(A832=0,B832=0,C832&lt;&gt;0),VLOOKUP(C832,'3 - LISTA DE ESPÉCIES'!C:H,5,FALSE()))))</f>
        <v>0</v>
      </c>
      <c r="G832" s="21" t="b">
        <f>IF(AND(A832&lt;&gt;0,B832=0,C832=0),VLOOKUP(A832,'3 - LISTA DE ESPÉCIES'!A:H,3,FALSE()),IF(AND(A832=0,B832&lt;&gt;0,C832=0),VLOOKUP(B832,'3 - LISTA DE ESPÉCIES'!B:H,7,FALSE()),IF(AND(A832=0,B832=0,C832&lt;&gt;0),VLOOKUP(C832,'3 - LISTA DE ESPÉCIES'!C:H,6,FALSE()))))</f>
        <v>0</v>
      </c>
      <c r="H832" s="21" t="b">
        <f>IF(AND(A832&lt;&gt;0,B832=0,C832=0),VLOOKUP(A832,'3 - LISTA DE ESPÉCIES'!A:H,4,FALSE()),IF(AND(A832=0,B832&lt;&gt;0,C832=0),VLOOKUP(B832,'3 - LISTA DE ESPÉCIES'!B:H,3,FALSE()),IF(AND(A832=0,B832=0,C832&lt;&gt;0),VLOOKUP(C832,'3 - LISTA DE ESPÉCIES'!C:H,2,FALSE()))))</f>
        <v>0</v>
      </c>
      <c r="I832" s="21" t="b">
        <f>IF(AND(A832&lt;&gt;0,B832=0,C832=0),VLOOKUP(A832,'3 - LISTA DE ESPÉCIES'!A:H,5,FALSE()),IF(AND(A832=0,B832&lt;&gt;0,C832=0),VLOOKUP(B832,'3 - LISTA DE ESPÉCIES'!B:H,4,FALSE()),IF(AND(A832=0,B832=0,C832&lt;&gt;0),VLOOKUP(C832,'3 - LISTA DE ESPÉCIES'!C:H,3,FALSE()))))</f>
        <v>0</v>
      </c>
      <c r="J832" s="23"/>
      <c r="K832" s="23"/>
      <c r="L832" s="20"/>
      <c r="M832" s="20"/>
    </row>
    <row r="833" spans="1:13" x14ac:dyDescent="0.25">
      <c r="A833" s="20"/>
      <c r="B833" s="20"/>
      <c r="C833" s="20"/>
      <c r="E833" s="21" t="b">
        <f>IF(AND(A833&lt;&gt;0,B833=0,C833=0),VLOOKUP(A833,'3 - LISTA DE ESPÉCIES'!A:H,1,FALSE()),IF(AND(A833=0,B833&lt;&gt;0,C833=0),VLOOKUP(B833,'3 - LISTA DE ESPÉCIES'!B:H,5,FALSE()),IF(AND(A833=0,B833=0,C833&lt;&gt;0),VLOOKUP(C833,'3 - LISTA DE ESPÉCIES'!C:H,4,FALSE()))))</f>
        <v>0</v>
      </c>
      <c r="F833" s="21" t="b">
        <f>IF(AND(A833&lt;&gt;0,B833=0,C833=0),VLOOKUP(A833,'3 - LISTA DE ESPÉCIES'!A:H,2,FALSE()),IF(AND(A833=0,B833&lt;&gt;0,C833=0),VLOOKUP(B833,'3 - LISTA DE ESPÉCIES'!B:H,6,FALSE()),IF(AND(A833=0,B833=0,C833&lt;&gt;0),VLOOKUP(C833,'3 - LISTA DE ESPÉCIES'!C:H,5,FALSE()))))</f>
        <v>0</v>
      </c>
      <c r="G833" s="21" t="b">
        <f>IF(AND(A833&lt;&gt;0,B833=0,C833=0),VLOOKUP(A833,'3 - LISTA DE ESPÉCIES'!A:H,3,FALSE()),IF(AND(A833=0,B833&lt;&gt;0,C833=0),VLOOKUP(B833,'3 - LISTA DE ESPÉCIES'!B:H,7,FALSE()),IF(AND(A833=0,B833=0,C833&lt;&gt;0),VLOOKUP(C833,'3 - LISTA DE ESPÉCIES'!C:H,6,FALSE()))))</f>
        <v>0</v>
      </c>
      <c r="H833" s="21" t="b">
        <f>IF(AND(A833&lt;&gt;0,B833=0,C833=0),VLOOKUP(A833,'3 - LISTA DE ESPÉCIES'!A:H,4,FALSE()),IF(AND(A833=0,B833&lt;&gt;0,C833=0),VLOOKUP(B833,'3 - LISTA DE ESPÉCIES'!B:H,3,FALSE()),IF(AND(A833=0,B833=0,C833&lt;&gt;0),VLOOKUP(C833,'3 - LISTA DE ESPÉCIES'!C:H,2,FALSE()))))</f>
        <v>0</v>
      </c>
      <c r="I833" s="21" t="b">
        <f>IF(AND(A833&lt;&gt;0,B833=0,C833=0),VLOOKUP(A833,'3 - LISTA DE ESPÉCIES'!A:H,5,FALSE()),IF(AND(A833=0,B833&lt;&gt;0,C833=0),VLOOKUP(B833,'3 - LISTA DE ESPÉCIES'!B:H,4,FALSE()),IF(AND(A833=0,B833=0,C833&lt;&gt;0),VLOOKUP(C833,'3 - LISTA DE ESPÉCIES'!C:H,3,FALSE()))))</f>
        <v>0</v>
      </c>
      <c r="J833" s="23"/>
      <c r="K833" s="23"/>
      <c r="L833" s="20"/>
      <c r="M833" s="20"/>
    </row>
    <row r="834" spans="1:13" x14ac:dyDescent="0.25">
      <c r="A834" s="20"/>
      <c r="B834" s="20"/>
      <c r="C834" s="20"/>
      <c r="E834" s="21" t="b">
        <f>IF(AND(A834&lt;&gt;0,B834=0,C834=0),VLOOKUP(A834,'3 - LISTA DE ESPÉCIES'!A:H,1,FALSE()),IF(AND(A834=0,B834&lt;&gt;0,C834=0),VLOOKUP(B834,'3 - LISTA DE ESPÉCIES'!B:H,5,FALSE()),IF(AND(A834=0,B834=0,C834&lt;&gt;0),VLOOKUP(C834,'3 - LISTA DE ESPÉCIES'!C:H,4,FALSE()))))</f>
        <v>0</v>
      </c>
      <c r="F834" s="21" t="b">
        <f>IF(AND(A834&lt;&gt;0,B834=0,C834=0),VLOOKUP(A834,'3 - LISTA DE ESPÉCIES'!A:H,2,FALSE()),IF(AND(A834=0,B834&lt;&gt;0,C834=0),VLOOKUP(B834,'3 - LISTA DE ESPÉCIES'!B:H,6,FALSE()),IF(AND(A834=0,B834=0,C834&lt;&gt;0),VLOOKUP(C834,'3 - LISTA DE ESPÉCIES'!C:H,5,FALSE()))))</f>
        <v>0</v>
      </c>
      <c r="G834" s="21" t="b">
        <f>IF(AND(A834&lt;&gt;0,B834=0,C834=0),VLOOKUP(A834,'3 - LISTA DE ESPÉCIES'!A:H,3,FALSE()),IF(AND(A834=0,B834&lt;&gt;0,C834=0),VLOOKUP(B834,'3 - LISTA DE ESPÉCIES'!B:H,7,FALSE()),IF(AND(A834=0,B834=0,C834&lt;&gt;0),VLOOKUP(C834,'3 - LISTA DE ESPÉCIES'!C:H,6,FALSE()))))</f>
        <v>0</v>
      </c>
      <c r="H834" s="21" t="b">
        <f>IF(AND(A834&lt;&gt;0,B834=0,C834=0),VLOOKUP(A834,'3 - LISTA DE ESPÉCIES'!A:H,4,FALSE()),IF(AND(A834=0,B834&lt;&gt;0,C834=0),VLOOKUP(B834,'3 - LISTA DE ESPÉCIES'!B:H,3,FALSE()),IF(AND(A834=0,B834=0,C834&lt;&gt;0),VLOOKUP(C834,'3 - LISTA DE ESPÉCIES'!C:H,2,FALSE()))))</f>
        <v>0</v>
      </c>
      <c r="I834" s="21" t="b">
        <f>IF(AND(A834&lt;&gt;0,B834=0,C834=0),VLOOKUP(A834,'3 - LISTA DE ESPÉCIES'!A:H,5,FALSE()),IF(AND(A834=0,B834&lt;&gt;0,C834=0),VLOOKUP(B834,'3 - LISTA DE ESPÉCIES'!B:H,4,FALSE()),IF(AND(A834=0,B834=0,C834&lt;&gt;0),VLOOKUP(C834,'3 - LISTA DE ESPÉCIES'!C:H,3,FALSE()))))</f>
        <v>0</v>
      </c>
      <c r="J834" s="23"/>
      <c r="K834" s="23"/>
      <c r="L834" s="20"/>
      <c r="M834" s="20"/>
    </row>
    <row r="835" spans="1:13" x14ac:dyDescent="0.25">
      <c r="A835" s="20"/>
      <c r="B835" s="20"/>
      <c r="C835" s="20"/>
      <c r="E835" s="21" t="b">
        <f>IF(AND(A835&lt;&gt;0,B835=0,C835=0),VLOOKUP(A835,'3 - LISTA DE ESPÉCIES'!A:H,1,FALSE()),IF(AND(A835=0,B835&lt;&gt;0,C835=0),VLOOKUP(B835,'3 - LISTA DE ESPÉCIES'!B:H,5,FALSE()),IF(AND(A835=0,B835=0,C835&lt;&gt;0),VLOOKUP(C835,'3 - LISTA DE ESPÉCIES'!C:H,4,FALSE()))))</f>
        <v>0</v>
      </c>
      <c r="F835" s="21" t="b">
        <f>IF(AND(A835&lt;&gt;0,B835=0,C835=0),VLOOKUP(A835,'3 - LISTA DE ESPÉCIES'!A:H,2,FALSE()),IF(AND(A835=0,B835&lt;&gt;0,C835=0),VLOOKUP(B835,'3 - LISTA DE ESPÉCIES'!B:H,6,FALSE()),IF(AND(A835=0,B835=0,C835&lt;&gt;0),VLOOKUP(C835,'3 - LISTA DE ESPÉCIES'!C:H,5,FALSE()))))</f>
        <v>0</v>
      </c>
      <c r="G835" s="21" t="b">
        <f>IF(AND(A835&lt;&gt;0,B835=0,C835=0),VLOOKUP(A835,'3 - LISTA DE ESPÉCIES'!A:H,3,FALSE()),IF(AND(A835=0,B835&lt;&gt;0,C835=0),VLOOKUP(B835,'3 - LISTA DE ESPÉCIES'!B:H,7,FALSE()),IF(AND(A835=0,B835=0,C835&lt;&gt;0),VLOOKUP(C835,'3 - LISTA DE ESPÉCIES'!C:H,6,FALSE()))))</f>
        <v>0</v>
      </c>
      <c r="H835" s="21" t="b">
        <f>IF(AND(A835&lt;&gt;0,B835=0,C835=0),VLOOKUP(A835,'3 - LISTA DE ESPÉCIES'!A:H,4,FALSE()),IF(AND(A835=0,B835&lt;&gt;0,C835=0),VLOOKUP(B835,'3 - LISTA DE ESPÉCIES'!B:H,3,FALSE()),IF(AND(A835=0,B835=0,C835&lt;&gt;0),VLOOKUP(C835,'3 - LISTA DE ESPÉCIES'!C:H,2,FALSE()))))</f>
        <v>0</v>
      </c>
      <c r="I835" s="21" t="b">
        <f>IF(AND(A835&lt;&gt;0,B835=0,C835=0),VLOOKUP(A835,'3 - LISTA DE ESPÉCIES'!A:H,5,FALSE()),IF(AND(A835=0,B835&lt;&gt;0,C835=0),VLOOKUP(B835,'3 - LISTA DE ESPÉCIES'!B:H,4,FALSE()),IF(AND(A835=0,B835=0,C835&lt;&gt;0),VLOOKUP(C835,'3 - LISTA DE ESPÉCIES'!C:H,3,FALSE()))))</f>
        <v>0</v>
      </c>
      <c r="J835" s="23"/>
      <c r="K835" s="23"/>
      <c r="L835" s="20"/>
      <c r="M835" s="20"/>
    </row>
    <row r="836" spans="1:13" x14ac:dyDescent="0.25">
      <c r="A836" s="20"/>
      <c r="B836" s="20"/>
      <c r="C836" s="20"/>
      <c r="E836" s="21" t="b">
        <f>IF(AND(A836&lt;&gt;0,B836=0,C836=0),VLOOKUP(A836,'3 - LISTA DE ESPÉCIES'!A:H,1,FALSE()),IF(AND(A836=0,B836&lt;&gt;0,C836=0),VLOOKUP(B836,'3 - LISTA DE ESPÉCIES'!B:H,5,FALSE()),IF(AND(A836=0,B836=0,C836&lt;&gt;0),VLOOKUP(C836,'3 - LISTA DE ESPÉCIES'!C:H,4,FALSE()))))</f>
        <v>0</v>
      </c>
      <c r="F836" s="21" t="b">
        <f>IF(AND(A836&lt;&gt;0,B836=0,C836=0),VLOOKUP(A836,'3 - LISTA DE ESPÉCIES'!A:H,2,FALSE()),IF(AND(A836=0,B836&lt;&gt;0,C836=0),VLOOKUP(B836,'3 - LISTA DE ESPÉCIES'!B:H,6,FALSE()),IF(AND(A836=0,B836=0,C836&lt;&gt;0),VLOOKUP(C836,'3 - LISTA DE ESPÉCIES'!C:H,5,FALSE()))))</f>
        <v>0</v>
      </c>
      <c r="G836" s="21" t="b">
        <f>IF(AND(A836&lt;&gt;0,B836=0,C836=0),VLOOKUP(A836,'3 - LISTA DE ESPÉCIES'!A:H,3,FALSE()),IF(AND(A836=0,B836&lt;&gt;0,C836=0),VLOOKUP(B836,'3 - LISTA DE ESPÉCIES'!B:H,7,FALSE()),IF(AND(A836=0,B836=0,C836&lt;&gt;0),VLOOKUP(C836,'3 - LISTA DE ESPÉCIES'!C:H,6,FALSE()))))</f>
        <v>0</v>
      </c>
      <c r="H836" s="21" t="b">
        <f>IF(AND(A836&lt;&gt;0,B836=0,C836=0),VLOOKUP(A836,'3 - LISTA DE ESPÉCIES'!A:H,4,FALSE()),IF(AND(A836=0,B836&lt;&gt;0,C836=0),VLOOKUP(B836,'3 - LISTA DE ESPÉCIES'!B:H,3,FALSE()),IF(AND(A836=0,B836=0,C836&lt;&gt;0),VLOOKUP(C836,'3 - LISTA DE ESPÉCIES'!C:H,2,FALSE()))))</f>
        <v>0</v>
      </c>
      <c r="I836" s="21" t="b">
        <f>IF(AND(A836&lt;&gt;0,B836=0,C836=0),VLOOKUP(A836,'3 - LISTA DE ESPÉCIES'!A:H,5,FALSE()),IF(AND(A836=0,B836&lt;&gt;0,C836=0),VLOOKUP(B836,'3 - LISTA DE ESPÉCIES'!B:H,4,FALSE()),IF(AND(A836=0,B836=0,C836&lt;&gt;0),VLOOKUP(C836,'3 - LISTA DE ESPÉCIES'!C:H,3,FALSE()))))</f>
        <v>0</v>
      </c>
      <c r="J836" s="23"/>
      <c r="K836" s="23"/>
      <c r="L836" s="20"/>
      <c r="M836" s="20"/>
    </row>
    <row r="837" spans="1:13" x14ac:dyDescent="0.25">
      <c r="A837" s="20"/>
      <c r="B837" s="20"/>
      <c r="C837" s="20"/>
      <c r="E837" s="21" t="b">
        <f>IF(AND(A837&lt;&gt;0,B837=0,C837=0),VLOOKUP(A837,'3 - LISTA DE ESPÉCIES'!A:H,1,FALSE()),IF(AND(A837=0,B837&lt;&gt;0,C837=0),VLOOKUP(B837,'3 - LISTA DE ESPÉCIES'!B:H,5,FALSE()),IF(AND(A837=0,B837=0,C837&lt;&gt;0),VLOOKUP(C837,'3 - LISTA DE ESPÉCIES'!C:H,4,FALSE()))))</f>
        <v>0</v>
      </c>
      <c r="F837" s="21" t="b">
        <f>IF(AND(A837&lt;&gt;0,B837=0,C837=0),VLOOKUP(A837,'3 - LISTA DE ESPÉCIES'!A:H,2,FALSE()),IF(AND(A837=0,B837&lt;&gt;0,C837=0),VLOOKUP(B837,'3 - LISTA DE ESPÉCIES'!B:H,6,FALSE()),IF(AND(A837=0,B837=0,C837&lt;&gt;0),VLOOKUP(C837,'3 - LISTA DE ESPÉCIES'!C:H,5,FALSE()))))</f>
        <v>0</v>
      </c>
      <c r="G837" s="21" t="b">
        <f>IF(AND(A837&lt;&gt;0,B837=0,C837=0),VLOOKUP(A837,'3 - LISTA DE ESPÉCIES'!A:H,3,FALSE()),IF(AND(A837=0,B837&lt;&gt;0,C837=0),VLOOKUP(B837,'3 - LISTA DE ESPÉCIES'!B:H,7,FALSE()),IF(AND(A837=0,B837=0,C837&lt;&gt;0),VLOOKUP(C837,'3 - LISTA DE ESPÉCIES'!C:H,6,FALSE()))))</f>
        <v>0</v>
      </c>
      <c r="H837" s="21" t="b">
        <f>IF(AND(A837&lt;&gt;0,B837=0,C837=0),VLOOKUP(A837,'3 - LISTA DE ESPÉCIES'!A:H,4,FALSE()),IF(AND(A837=0,B837&lt;&gt;0,C837=0),VLOOKUP(B837,'3 - LISTA DE ESPÉCIES'!B:H,3,FALSE()),IF(AND(A837=0,B837=0,C837&lt;&gt;0),VLOOKUP(C837,'3 - LISTA DE ESPÉCIES'!C:H,2,FALSE()))))</f>
        <v>0</v>
      </c>
      <c r="I837" s="21" t="b">
        <f>IF(AND(A837&lt;&gt;0,B837=0,C837=0),VLOOKUP(A837,'3 - LISTA DE ESPÉCIES'!A:H,5,FALSE()),IF(AND(A837=0,B837&lt;&gt;0,C837=0),VLOOKUP(B837,'3 - LISTA DE ESPÉCIES'!B:H,4,FALSE()),IF(AND(A837=0,B837=0,C837&lt;&gt;0),VLOOKUP(C837,'3 - LISTA DE ESPÉCIES'!C:H,3,FALSE()))))</f>
        <v>0</v>
      </c>
      <c r="J837" s="23"/>
      <c r="K837" s="23"/>
      <c r="L837" s="20"/>
      <c r="M837" s="20"/>
    </row>
    <row r="838" spans="1:13" x14ac:dyDescent="0.25">
      <c r="A838" s="20"/>
      <c r="B838" s="20"/>
      <c r="C838" s="20"/>
      <c r="E838" s="21" t="b">
        <f>IF(AND(A838&lt;&gt;0,B838=0,C838=0),VLOOKUP(A838,'3 - LISTA DE ESPÉCIES'!A:H,1,FALSE()),IF(AND(A838=0,B838&lt;&gt;0,C838=0),VLOOKUP(B838,'3 - LISTA DE ESPÉCIES'!B:H,5,FALSE()),IF(AND(A838=0,B838=0,C838&lt;&gt;0),VLOOKUP(C838,'3 - LISTA DE ESPÉCIES'!C:H,4,FALSE()))))</f>
        <v>0</v>
      </c>
      <c r="F838" s="21" t="b">
        <f>IF(AND(A838&lt;&gt;0,B838=0,C838=0),VLOOKUP(A838,'3 - LISTA DE ESPÉCIES'!A:H,2,FALSE()),IF(AND(A838=0,B838&lt;&gt;0,C838=0),VLOOKUP(B838,'3 - LISTA DE ESPÉCIES'!B:H,6,FALSE()),IF(AND(A838=0,B838=0,C838&lt;&gt;0),VLOOKUP(C838,'3 - LISTA DE ESPÉCIES'!C:H,5,FALSE()))))</f>
        <v>0</v>
      </c>
      <c r="G838" s="21" t="b">
        <f>IF(AND(A838&lt;&gt;0,B838=0,C838=0),VLOOKUP(A838,'3 - LISTA DE ESPÉCIES'!A:H,3,FALSE()),IF(AND(A838=0,B838&lt;&gt;0,C838=0),VLOOKUP(B838,'3 - LISTA DE ESPÉCIES'!B:H,7,FALSE()),IF(AND(A838=0,B838=0,C838&lt;&gt;0),VLOOKUP(C838,'3 - LISTA DE ESPÉCIES'!C:H,6,FALSE()))))</f>
        <v>0</v>
      </c>
      <c r="H838" s="21" t="b">
        <f>IF(AND(A838&lt;&gt;0,B838=0,C838=0),VLOOKUP(A838,'3 - LISTA DE ESPÉCIES'!A:H,4,FALSE()),IF(AND(A838=0,B838&lt;&gt;0,C838=0),VLOOKUP(B838,'3 - LISTA DE ESPÉCIES'!B:H,3,FALSE()),IF(AND(A838=0,B838=0,C838&lt;&gt;0),VLOOKUP(C838,'3 - LISTA DE ESPÉCIES'!C:H,2,FALSE()))))</f>
        <v>0</v>
      </c>
      <c r="I838" s="21" t="b">
        <f>IF(AND(A838&lt;&gt;0,B838=0,C838=0),VLOOKUP(A838,'3 - LISTA DE ESPÉCIES'!A:H,5,FALSE()),IF(AND(A838=0,B838&lt;&gt;0,C838=0),VLOOKUP(B838,'3 - LISTA DE ESPÉCIES'!B:H,4,FALSE()),IF(AND(A838=0,B838=0,C838&lt;&gt;0),VLOOKUP(C838,'3 - LISTA DE ESPÉCIES'!C:H,3,FALSE()))))</f>
        <v>0</v>
      </c>
      <c r="J838" s="23"/>
      <c r="K838" s="23"/>
      <c r="L838" s="20"/>
      <c r="M838" s="20"/>
    </row>
    <row r="839" spans="1:13" x14ac:dyDescent="0.25">
      <c r="A839" s="20"/>
      <c r="B839" s="20"/>
      <c r="C839" s="20"/>
      <c r="E839" s="21" t="b">
        <f>IF(AND(A839&lt;&gt;0,B839=0,C839=0),VLOOKUP(A839,'3 - LISTA DE ESPÉCIES'!A:H,1,FALSE()),IF(AND(A839=0,B839&lt;&gt;0,C839=0),VLOOKUP(B839,'3 - LISTA DE ESPÉCIES'!B:H,5,FALSE()),IF(AND(A839=0,B839=0,C839&lt;&gt;0),VLOOKUP(C839,'3 - LISTA DE ESPÉCIES'!C:H,4,FALSE()))))</f>
        <v>0</v>
      </c>
      <c r="F839" s="21" t="b">
        <f>IF(AND(A839&lt;&gt;0,B839=0,C839=0),VLOOKUP(A839,'3 - LISTA DE ESPÉCIES'!A:H,2,FALSE()),IF(AND(A839=0,B839&lt;&gt;0,C839=0),VLOOKUP(B839,'3 - LISTA DE ESPÉCIES'!B:H,6,FALSE()),IF(AND(A839=0,B839=0,C839&lt;&gt;0),VLOOKUP(C839,'3 - LISTA DE ESPÉCIES'!C:H,5,FALSE()))))</f>
        <v>0</v>
      </c>
      <c r="G839" s="21" t="b">
        <f>IF(AND(A839&lt;&gt;0,B839=0,C839=0),VLOOKUP(A839,'3 - LISTA DE ESPÉCIES'!A:H,3,FALSE()),IF(AND(A839=0,B839&lt;&gt;0,C839=0),VLOOKUP(B839,'3 - LISTA DE ESPÉCIES'!B:H,7,FALSE()),IF(AND(A839=0,B839=0,C839&lt;&gt;0),VLOOKUP(C839,'3 - LISTA DE ESPÉCIES'!C:H,6,FALSE()))))</f>
        <v>0</v>
      </c>
      <c r="H839" s="21" t="b">
        <f>IF(AND(A839&lt;&gt;0,B839=0,C839=0),VLOOKUP(A839,'3 - LISTA DE ESPÉCIES'!A:H,4,FALSE()),IF(AND(A839=0,B839&lt;&gt;0,C839=0),VLOOKUP(B839,'3 - LISTA DE ESPÉCIES'!B:H,3,FALSE()),IF(AND(A839=0,B839=0,C839&lt;&gt;0),VLOOKUP(C839,'3 - LISTA DE ESPÉCIES'!C:H,2,FALSE()))))</f>
        <v>0</v>
      </c>
      <c r="I839" s="21" t="b">
        <f>IF(AND(A839&lt;&gt;0,B839=0,C839=0),VLOOKUP(A839,'3 - LISTA DE ESPÉCIES'!A:H,5,FALSE()),IF(AND(A839=0,B839&lt;&gt;0,C839=0),VLOOKUP(B839,'3 - LISTA DE ESPÉCIES'!B:H,4,FALSE()),IF(AND(A839=0,B839=0,C839&lt;&gt;0),VLOOKUP(C839,'3 - LISTA DE ESPÉCIES'!C:H,3,FALSE()))))</f>
        <v>0</v>
      </c>
      <c r="J839" s="23"/>
      <c r="K839" s="23"/>
      <c r="L839" s="20"/>
      <c r="M839" s="20"/>
    </row>
    <row r="840" spans="1:13" x14ac:dyDescent="0.25">
      <c r="A840" s="20"/>
      <c r="B840" s="20"/>
      <c r="C840" s="20"/>
      <c r="E840" s="21" t="b">
        <f>IF(AND(A840&lt;&gt;0,B840=0,C840=0),VLOOKUP(A840,'3 - LISTA DE ESPÉCIES'!A:H,1,FALSE()),IF(AND(A840=0,B840&lt;&gt;0,C840=0),VLOOKUP(B840,'3 - LISTA DE ESPÉCIES'!B:H,5,FALSE()),IF(AND(A840=0,B840=0,C840&lt;&gt;0),VLOOKUP(C840,'3 - LISTA DE ESPÉCIES'!C:H,4,FALSE()))))</f>
        <v>0</v>
      </c>
      <c r="F840" s="21" t="b">
        <f>IF(AND(A840&lt;&gt;0,B840=0,C840=0),VLOOKUP(A840,'3 - LISTA DE ESPÉCIES'!A:H,2,FALSE()),IF(AND(A840=0,B840&lt;&gt;0,C840=0),VLOOKUP(B840,'3 - LISTA DE ESPÉCIES'!B:H,6,FALSE()),IF(AND(A840=0,B840=0,C840&lt;&gt;0),VLOOKUP(C840,'3 - LISTA DE ESPÉCIES'!C:H,5,FALSE()))))</f>
        <v>0</v>
      </c>
      <c r="G840" s="21" t="b">
        <f>IF(AND(A840&lt;&gt;0,B840=0,C840=0),VLOOKUP(A840,'3 - LISTA DE ESPÉCIES'!A:H,3,FALSE()),IF(AND(A840=0,B840&lt;&gt;0,C840=0),VLOOKUP(B840,'3 - LISTA DE ESPÉCIES'!B:H,7,FALSE()),IF(AND(A840=0,B840=0,C840&lt;&gt;0),VLOOKUP(C840,'3 - LISTA DE ESPÉCIES'!C:H,6,FALSE()))))</f>
        <v>0</v>
      </c>
      <c r="H840" s="21" t="b">
        <f>IF(AND(A840&lt;&gt;0,B840=0,C840=0),VLOOKUP(A840,'3 - LISTA DE ESPÉCIES'!A:H,4,FALSE()),IF(AND(A840=0,B840&lt;&gt;0,C840=0),VLOOKUP(B840,'3 - LISTA DE ESPÉCIES'!B:H,3,FALSE()),IF(AND(A840=0,B840=0,C840&lt;&gt;0),VLOOKUP(C840,'3 - LISTA DE ESPÉCIES'!C:H,2,FALSE()))))</f>
        <v>0</v>
      </c>
      <c r="I840" s="21" t="b">
        <f>IF(AND(A840&lt;&gt;0,B840=0,C840=0),VLOOKUP(A840,'3 - LISTA DE ESPÉCIES'!A:H,5,FALSE()),IF(AND(A840=0,B840&lt;&gt;0,C840=0),VLOOKUP(B840,'3 - LISTA DE ESPÉCIES'!B:H,4,FALSE()),IF(AND(A840=0,B840=0,C840&lt;&gt;0),VLOOKUP(C840,'3 - LISTA DE ESPÉCIES'!C:H,3,FALSE()))))</f>
        <v>0</v>
      </c>
      <c r="J840" s="23"/>
      <c r="K840" s="23"/>
      <c r="L840" s="20"/>
      <c r="M840" s="20"/>
    </row>
    <row r="841" spans="1:13" x14ac:dyDescent="0.25">
      <c r="A841" s="20"/>
      <c r="B841" s="20"/>
      <c r="C841" s="20"/>
      <c r="E841" s="21" t="b">
        <f>IF(AND(A841&lt;&gt;0,B841=0,C841=0),VLOOKUP(A841,'3 - LISTA DE ESPÉCIES'!A:H,1,FALSE()),IF(AND(A841=0,B841&lt;&gt;0,C841=0),VLOOKUP(B841,'3 - LISTA DE ESPÉCIES'!B:H,5,FALSE()),IF(AND(A841=0,B841=0,C841&lt;&gt;0),VLOOKUP(C841,'3 - LISTA DE ESPÉCIES'!C:H,4,FALSE()))))</f>
        <v>0</v>
      </c>
      <c r="F841" s="21" t="b">
        <f>IF(AND(A841&lt;&gt;0,B841=0,C841=0),VLOOKUP(A841,'3 - LISTA DE ESPÉCIES'!A:H,2,FALSE()),IF(AND(A841=0,B841&lt;&gt;0,C841=0),VLOOKUP(B841,'3 - LISTA DE ESPÉCIES'!B:H,6,FALSE()),IF(AND(A841=0,B841=0,C841&lt;&gt;0),VLOOKUP(C841,'3 - LISTA DE ESPÉCIES'!C:H,5,FALSE()))))</f>
        <v>0</v>
      </c>
      <c r="G841" s="21" t="b">
        <f>IF(AND(A841&lt;&gt;0,B841=0,C841=0),VLOOKUP(A841,'3 - LISTA DE ESPÉCIES'!A:H,3,FALSE()),IF(AND(A841=0,B841&lt;&gt;0,C841=0),VLOOKUP(B841,'3 - LISTA DE ESPÉCIES'!B:H,7,FALSE()),IF(AND(A841=0,B841=0,C841&lt;&gt;0),VLOOKUP(C841,'3 - LISTA DE ESPÉCIES'!C:H,6,FALSE()))))</f>
        <v>0</v>
      </c>
      <c r="H841" s="21" t="b">
        <f>IF(AND(A841&lt;&gt;0,B841=0,C841=0),VLOOKUP(A841,'3 - LISTA DE ESPÉCIES'!A:H,4,FALSE()),IF(AND(A841=0,B841&lt;&gt;0,C841=0),VLOOKUP(B841,'3 - LISTA DE ESPÉCIES'!B:H,3,FALSE()),IF(AND(A841=0,B841=0,C841&lt;&gt;0),VLOOKUP(C841,'3 - LISTA DE ESPÉCIES'!C:H,2,FALSE()))))</f>
        <v>0</v>
      </c>
      <c r="I841" s="21" t="b">
        <f>IF(AND(A841&lt;&gt;0,B841=0,C841=0),VLOOKUP(A841,'3 - LISTA DE ESPÉCIES'!A:H,5,FALSE()),IF(AND(A841=0,B841&lt;&gt;0,C841=0),VLOOKUP(B841,'3 - LISTA DE ESPÉCIES'!B:H,4,FALSE()),IF(AND(A841=0,B841=0,C841&lt;&gt;0),VLOOKUP(C841,'3 - LISTA DE ESPÉCIES'!C:H,3,FALSE()))))</f>
        <v>0</v>
      </c>
      <c r="J841" s="23"/>
      <c r="K841" s="23"/>
      <c r="L841" s="20"/>
      <c r="M841" s="20"/>
    </row>
    <row r="842" spans="1:13" x14ac:dyDescent="0.25">
      <c r="A842" s="20"/>
      <c r="B842" s="20"/>
      <c r="C842" s="20"/>
      <c r="E842" s="21" t="b">
        <f>IF(AND(A842&lt;&gt;0,B842=0,C842=0),VLOOKUP(A842,'3 - LISTA DE ESPÉCIES'!A:H,1,FALSE()),IF(AND(A842=0,B842&lt;&gt;0,C842=0),VLOOKUP(B842,'3 - LISTA DE ESPÉCIES'!B:H,5,FALSE()),IF(AND(A842=0,B842=0,C842&lt;&gt;0),VLOOKUP(C842,'3 - LISTA DE ESPÉCIES'!C:H,4,FALSE()))))</f>
        <v>0</v>
      </c>
      <c r="F842" s="21" t="b">
        <f>IF(AND(A842&lt;&gt;0,B842=0,C842=0),VLOOKUP(A842,'3 - LISTA DE ESPÉCIES'!A:H,2,FALSE()),IF(AND(A842=0,B842&lt;&gt;0,C842=0),VLOOKUP(B842,'3 - LISTA DE ESPÉCIES'!B:H,6,FALSE()),IF(AND(A842=0,B842=0,C842&lt;&gt;0),VLOOKUP(C842,'3 - LISTA DE ESPÉCIES'!C:H,5,FALSE()))))</f>
        <v>0</v>
      </c>
      <c r="G842" s="21" t="b">
        <f>IF(AND(A842&lt;&gt;0,B842=0,C842=0),VLOOKUP(A842,'3 - LISTA DE ESPÉCIES'!A:H,3,FALSE()),IF(AND(A842=0,B842&lt;&gt;0,C842=0),VLOOKUP(B842,'3 - LISTA DE ESPÉCIES'!B:H,7,FALSE()),IF(AND(A842=0,B842=0,C842&lt;&gt;0),VLOOKUP(C842,'3 - LISTA DE ESPÉCIES'!C:H,6,FALSE()))))</f>
        <v>0</v>
      </c>
      <c r="H842" s="21" t="b">
        <f>IF(AND(A842&lt;&gt;0,B842=0,C842=0),VLOOKUP(A842,'3 - LISTA DE ESPÉCIES'!A:H,4,FALSE()),IF(AND(A842=0,B842&lt;&gt;0,C842=0),VLOOKUP(B842,'3 - LISTA DE ESPÉCIES'!B:H,3,FALSE()),IF(AND(A842=0,B842=0,C842&lt;&gt;0),VLOOKUP(C842,'3 - LISTA DE ESPÉCIES'!C:H,2,FALSE()))))</f>
        <v>0</v>
      </c>
      <c r="I842" s="21" t="b">
        <f>IF(AND(A842&lt;&gt;0,B842=0,C842=0),VLOOKUP(A842,'3 - LISTA DE ESPÉCIES'!A:H,5,FALSE()),IF(AND(A842=0,B842&lt;&gt;0,C842=0),VLOOKUP(B842,'3 - LISTA DE ESPÉCIES'!B:H,4,FALSE()),IF(AND(A842=0,B842=0,C842&lt;&gt;0),VLOOKUP(C842,'3 - LISTA DE ESPÉCIES'!C:H,3,FALSE()))))</f>
        <v>0</v>
      </c>
      <c r="J842" s="23"/>
      <c r="K842" s="23"/>
      <c r="L842" s="20"/>
      <c r="M842" s="20"/>
    </row>
    <row r="843" spans="1:13" x14ac:dyDescent="0.25">
      <c r="A843" s="20"/>
      <c r="B843" s="20"/>
      <c r="C843" s="20"/>
      <c r="E843" s="21" t="b">
        <f>IF(AND(A843&lt;&gt;0,B843=0,C843=0),VLOOKUP(A843,'3 - LISTA DE ESPÉCIES'!A:H,1,FALSE()),IF(AND(A843=0,B843&lt;&gt;0,C843=0),VLOOKUP(B843,'3 - LISTA DE ESPÉCIES'!B:H,5,FALSE()),IF(AND(A843=0,B843=0,C843&lt;&gt;0),VLOOKUP(C843,'3 - LISTA DE ESPÉCIES'!C:H,4,FALSE()))))</f>
        <v>0</v>
      </c>
      <c r="F843" s="21" t="b">
        <f>IF(AND(A843&lt;&gt;0,B843=0,C843=0),VLOOKUP(A843,'3 - LISTA DE ESPÉCIES'!A:H,2,FALSE()),IF(AND(A843=0,B843&lt;&gt;0,C843=0),VLOOKUP(B843,'3 - LISTA DE ESPÉCIES'!B:H,6,FALSE()),IF(AND(A843=0,B843=0,C843&lt;&gt;0),VLOOKUP(C843,'3 - LISTA DE ESPÉCIES'!C:H,5,FALSE()))))</f>
        <v>0</v>
      </c>
      <c r="G843" s="21" t="b">
        <f>IF(AND(A843&lt;&gt;0,B843=0,C843=0),VLOOKUP(A843,'3 - LISTA DE ESPÉCIES'!A:H,3,FALSE()),IF(AND(A843=0,B843&lt;&gt;0,C843=0),VLOOKUP(B843,'3 - LISTA DE ESPÉCIES'!B:H,7,FALSE()),IF(AND(A843=0,B843=0,C843&lt;&gt;0),VLOOKUP(C843,'3 - LISTA DE ESPÉCIES'!C:H,6,FALSE()))))</f>
        <v>0</v>
      </c>
      <c r="H843" s="21" t="b">
        <f>IF(AND(A843&lt;&gt;0,B843=0,C843=0),VLOOKUP(A843,'3 - LISTA DE ESPÉCIES'!A:H,4,FALSE()),IF(AND(A843=0,B843&lt;&gt;0,C843=0),VLOOKUP(B843,'3 - LISTA DE ESPÉCIES'!B:H,3,FALSE()),IF(AND(A843=0,B843=0,C843&lt;&gt;0),VLOOKUP(C843,'3 - LISTA DE ESPÉCIES'!C:H,2,FALSE()))))</f>
        <v>0</v>
      </c>
      <c r="I843" s="21" t="b">
        <f>IF(AND(A843&lt;&gt;0,B843=0,C843=0),VLOOKUP(A843,'3 - LISTA DE ESPÉCIES'!A:H,5,FALSE()),IF(AND(A843=0,B843&lt;&gt;0,C843=0),VLOOKUP(B843,'3 - LISTA DE ESPÉCIES'!B:H,4,FALSE()),IF(AND(A843=0,B843=0,C843&lt;&gt;0),VLOOKUP(C843,'3 - LISTA DE ESPÉCIES'!C:H,3,FALSE()))))</f>
        <v>0</v>
      </c>
      <c r="J843" s="23"/>
      <c r="K843" s="23"/>
      <c r="L843" s="20"/>
      <c r="M843" s="20"/>
    </row>
    <row r="844" spans="1:13" x14ac:dyDescent="0.25">
      <c r="A844" s="20"/>
      <c r="B844" s="20"/>
      <c r="C844" s="20"/>
      <c r="E844" s="21" t="b">
        <f>IF(AND(A844&lt;&gt;0,B844=0,C844=0),VLOOKUP(A844,'3 - LISTA DE ESPÉCIES'!A:H,1,FALSE()),IF(AND(A844=0,B844&lt;&gt;0,C844=0),VLOOKUP(B844,'3 - LISTA DE ESPÉCIES'!B:H,5,FALSE()),IF(AND(A844=0,B844=0,C844&lt;&gt;0),VLOOKUP(C844,'3 - LISTA DE ESPÉCIES'!C:H,4,FALSE()))))</f>
        <v>0</v>
      </c>
      <c r="F844" s="21" t="b">
        <f>IF(AND(A844&lt;&gt;0,B844=0,C844=0),VLOOKUP(A844,'3 - LISTA DE ESPÉCIES'!A:H,2,FALSE()),IF(AND(A844=0,B844&lt;&gt;0,C844=0),VLOOKUP(B844,'3 - LISTA DE ESPÉCIES'!B:H,6,FALSE()),IF(AND(A844=0,B844=0,C844&lt;&gt;0),VLOOKUP(C844,'3 - LISTA DE ESPÉCIES'!C:H,5,FALSE()))))</f>
        <v>0</v>
      </c>
      <c r="G844" s="21" t="b">
        <f>IF(AND(A844&lt;&gt;0,B844=0,C844=0),VLOOKUP(A844,'3 - LISTA DE ESPÉCIES'!A:H,3,FALSE()),IF(AND(A844=0,B844&lt;&gt;0,C844=0),VLOOKUP(B844,'3 - LISTA DE ESPÉCIES'!B:H,7,FALSE()),IF(AND(A844=0,B844=0,C844&lt;&gt;0),VLOOKUP(C844,'3 - LISTA DE ESPÉCIES'!C:H,6,FALSE()))))</f>
        <v>0</v>
      </c>
      <c r="H844" s="21" t="b">
        <f>IF(AND(A844&lt;&gt;0,B844=0,C844=0),VLOOKUP(A844,'3 - LISTA DE ESPÉCIES'!A:H,4,FALSE()),IF(AND(A844=0,B844&lt;&gt;0,C844=0),VLOOKUP(B844,'3 - LISTA DE ESPÉCIES'!B:H,3,FALSE()),IF(AND(A844=0,B844=0,C844&lt;&gt;0),VLOOKUP(C844,'3 - LISTA DE ESPÉCIES'!C:H,2,FALSE()))))</f>
        <v>0</v>
      </c>
      <c r="I844" s="21" t="b">
        <f>IF(AND(A844&lt;&gt;0,B844=0,C844=0),VLOOKUP(A844,'3 - LISTA DE ESPÉCIES'!A:H,5,FALSE()),IF(AND(A844=0,B844&lt;&gt;0,C844=0),VLOOKUP(B844,'3 - LISTA DE ESPÉCIES'!B:H,4,FALSE()),IF(AND(A844=0,B844=0,C844&lt;&gt;0),VLOOKUP(C844,'3 - LISTA DE ESPÉCIES'!C:H,3,FALSE()))))</f>
        <v>0</v>
      </c>
      <c r="J844" s="23"/>
      <c r="K844" s="23"/>
      <c r="L844" s="20"/>
      <c r="M844" s="20"/>
    </row>
    <row r="845" spans="1:13" x14ac:dyDescent="0.25">
      <c r="A845" s="20"/>
      <c r="B845" s="20"/>
      <c r="C845" s="20"/>
      <c r="E845" s="21" t="b">
        <f>IF(AND(A845&lt;&gt;0,B845=0,C845=0),VLOOKUP(A845,'3 - LISTA DE ESPÉCIES'!A:H,1,FALSE()),IF(AND(A845=0,B845&lt;&gt;0,C845=0),VLOOKUP(B845,'3 - LISTA DE ESPÉCIES'!B:H,5,FALSE()),IF(AND(A845=0,B845=0,C845&lt;&gt;0),VLOOKUP(C845,'3 - LISTA DE ESPÉCIES'!C:H,4,FALSE()))))</f>
        <v>0</v>
      </c>
      <c r="F845" s="21" t="b">
        <f>IF(AND(A845&lt;&gt;0,B845=0,C845=0),VLOOKUP(A845,'3 - LISTA DE ESPÉCIES'!A:H,2,FALSE()),IF(AND(A845=0,B845&lt;&gt;0,C845=0),VLOOKUP(B845,'3 - LISTA DE ESPÉCIES'!B:H,6,FALSE()),IF(AND(A845=0,B845=0,C845&lt;&gt;0),VLOOKUP(C845,'3 - LISTA DE ESPÉCIES'!C:H,5,FALSE()))))</f>
        <v>0</v>
      </c>
      <c r="G845" s="21" t="b">
        <f>IF(AND(A845&lt;&gt;0,B845=0,C845=0),VLOOKUP(A845,'3 - LISTA DE ESPÉCIES'!A:H,3,FALSE()),IF(AND(A845=0,B845&lt;&gt;0,C845=0),VLOOKUP(B845,'3 - LISTA DE ESPÉCIES'!B:H,7,FALSE()),IF(AND(A845=0,B845=0,C845&lt;&gt;0),VLOOKUP(C845,'3 - LISTA DE ESPÉCIES'!C:H,6,FALSE()))))</f>
        <v>0</v>
      </c>
      <c r="H845" s="21" t="b">
        <f>IF(AND(A845&lt;&gt;0,B845=0,C845=0),VLOOKUP(A845,'3 - LISTA DE ESPÉCIES'!A:H,4,FALSE()),IF(AND(A845=0,B845&lt;&gt;0,C845=0),VLOOKUP(B845,'3 - LISTA DE ESPÉCIES'!B:H,3,FALSE()),IF(AND(A845=0,B845=0,C845&lt;&gt;0),VLOOKUP(C845,'3 - LISTA DE ESPÉCIES'!C:H,2,FALSE()))))</f>
        <v>0</v>
      </c>
      <c r="I845" s="21" t="b">
        <f>IF(AND(A845&lt;&gt;0,B845=0,C845=0),VLOOKUP(A845,'3 - LISTA DE ESPÉCIES'!A:H,5,FALSE()),IF(AND(A845=0,B845&lt;&gt;0,C845=0),VLOOKUP(B845,'3 - LISTA DE ESPÉCIES'!B:H,4,FALSE()),IF(AND(A845=0,B845=0,C845&lt;&gt;0),VLOOKUP(C845,'3 - LISTA DE ESPÉCIES'!C:H,3,FALSE()))))</f>
        <v>0</v>
      </c>
      <c r="J845" s="23"/>
      <c r="K845" s="23"/>
      <c r="L845" s="20"/>
      <c r="M845" s="20"/>
    </row>
    <row r="846" spans="1:13" x14ac:dyDescent="0.25">
      <c r="A846" s="20"/>
      <c r="B846" s="20"/>
      <c r="C846" s="20"/>
      <c r="E846" s="21" t="b">
        <f>IF(AND(A846&lt;&gt;0,B846=0,C846=0),VLOOKUP(A846,'3 - LISTA DE ESPÉCIES'!A:H,1,FALSE()),IF(AND(A846=0,B846&lt;&gt;0,C846=0),VLOOKUP(B846,'3 - LISTA DE ESPÉCIES'!B:H,5,FALSE()),IF(AND(A846=0,B846=0,C846&lt;&gt;0),VLOOKUP(C846,'3 - LISTA DE ESPÉCIES'!C:H,4,FALSE()))))</f>
        <v>0</v>
      </c>
      <c r="F846" s="21" t="b">
        <f>IF(AND(A846&lt;&gt;0,B846=0,C846=0),VLOOKUP(A846,'3 - LISTA DE ESPÉCIES'!A:H,2,FALSE()),IF(AND(A846=0,B846&lt;&gt;0,C846=0),VLOOKUP(B846,'3 - LISTA DE ESPÉCIES'!B:H,6,FALSE()),IF(AND(A846=0,B846=0,C846&lt;&gt;0),VLOOKUP(C846,'3 - LISTA DE ESPÉCIES'!C:H,5,FALSE()))))</f>
        <v>0</v>
      </c>
      <c r="G846" s="21" t="b">
        <f>IF(AND(A846&lt;&gt;0,B846=0,C846=0),VLOOKUP(A846,'3 - LISTA DE ESPÉCIES'!A:H,3,FALSE()),IF(AND(A846=0,B846&lt;&gt;0,C846=0),VLOOKUP(B846,'3 - LISTA DE ESPÉCIES'!B:H,7,FALSE()),IF(AND(A846=0,B846=0,C846&lt;&gt;0),VLOOKUP(C846,'3 - LISTA DE ESPÉCIES'!C:H,6,FALSE()))))</f>
        <v>0</v>
      </c>
      <c r="H846" s="21" t="b">
        <f>IF(AND(A846&lt;&gt;0,B846=0,C846=0),VLOOKUP(A846,'3 - LISTA DE ESPÉCIES'!A:H,4,FALSE()),IF(AND(A846=0,B846&lt;&gt;0,C846=0),VLOOKUP(B846,'3 - LISTA DE ESPÉCIES'!B:H,3,FALSE()),IF(AND(A846=0,B846=0,C846&lt;&gt;0),VLOOKUP(C846,'3 - LISTA DE ESPÉCIES'!C:H,2,FALSE()))))</f>
        <v>0</v>
      </c>
      <c r="I846" s="21" t="b">
        <f>IF(AND(A846&lt;&gt;0,B846=0,C846=0),VLOOKUP(A846,'3 - LISTA DE ESPÉCIES'!A:H,5,FALSE()),IF(AND(A846=0,B846&lt;&gt;0,C846=0),VLOOKUP(B846,'3 - LISTA DE ESPÉCIES'!B:H,4,FALSE()),IF(AND(A846=0,B846=0,C846&lt;&gt;0),VLOOKUP(C846,'3 - LISTA DE ESPÉCIES'!C:H,3,FALSE()))))</f>
        <v>0</v>
      </c>
      <c r="J846" s="23"/>
      <c r="K846" s="23"/>
      <c r="L846" s="20"/>
      <c r="M846" s="20"/>
    </row>
    <row r="847" spans="1:13" x14ac:dyDescent="0.25">
      <c r="A847" s="20"/>
      <c r="B847" s="20"/>
      <c r="C847" s="20"/>
      <c r="E847" s="21" t="b">
        <f>IF(AND(A847&lt;&gt;0,B847=0,C847=0),VLOOKUP(A847,'3 - LISTA DE ESPÉCIES'!A:H,1,FALSE()),IF(AND(A847=0,B847&lt;&gt;0,C847=0),VLOOKUP(B847,'3 - LISTA DE ESPÉCIES'!B:H,5,FALSE()),IF(AND(A847=0,B847=0,C847&lt;&gt;0),VLOOKUP(C847,'3 - LISTA DE ESPÉCIES'!C:H,4,FALSE()))))</f>
        <v>0</v>
      </c>
      <c r="F847" s="21" t="b">
        <f>IF(AND(A847&lt;&gt;0,B847=0,C847=0),VLOOKUP(A847,'3 - LISTA DE ESPÉCIES'!A:H,2,FALSE()),IF(AND(A847=0,B847&lt;&gt;0,C847=0),VLOOKUP(B847,'3 - LISTA DE ESPÉCIES'!B:H,6,FALSE()),IF(AND(A847=0,B847=0,C847&lt;&gt;0),VLOOKUP(C847,'3 - LISTA DE ESPÉCIES'!C:H,5,FALSE()))))</f>
        <v>0</v>
      </c>
      <c r="G847" s="21" t="b">
        <f>IF(AND(A847&lt;&gt;0,B847=0,C847=0),VLOOKUP(A847,'3 - LISTA DE ESPÉCIES'!A:H,3,FALSE()),IF(AND(A847=0,B847&lt;&gt;0,C847=0),VLOOKUP(B847,'3 - LISTA DE ESPÉCIES'!B:H,7,FALSE()),IF(AND(A847=0,B847=0,C847&lt;&gt;0),VLOOKUP(C847,'3 - LISTA DE ESPÉCIES'!C:H,6,FALSE()))))</f>
        <v>0</v>
      </c>
      <c r="H847" s="21" t="b">
        <f>IF(AND(A847&lt;&gt;0,B847=0,C847=0),VLOOKUP(A847,'3 - LISTA DE ESPÉCIES'!A:H,4,FALSE()),IF(AND(A847=0,B847&lt;&gt;0,C847=0),VLOOKUP(B847,'3 - LISTA DE ESPÉCIES'!B:H,3,FALSE()),IF(AND(A847=0,B847=0,C847&lt;&gt;0),VLOOKUP(C847,'3 - LISTA DE ESPÉCIES'!C:H,2,FALSE()))))</f>
        <v>0</v>
      </c>
      <c r="I847" s="21" t="b">
        <f>IF(AND(A847&lt;&gt;0,B847=0,C847=0),VLOOKUP(A847,'3 - LISTA DE ESPÉCIES'!A:H,5,FALSE()),IF(AND(A847=0,B847&lt;&gt;0,C847=0),VLOOKUP(B847,'3 - LISTA DE ESPÉCIES'!B:H,4,FALSE()),IF(AND(A847=0,B847=0,C847&lt;&gt;0),VLOOKUP(C847,'3 - LISTA DE ESPÉCIES'!C:H,3,FALSE()))))</f>
        <v>0</v>
      </c>
      <c r="J847" s="23"/>
      <c r="K847" s="23"/>
      <c r="L847" s="20"/>
      <c r="M847" s="20"/>
    </row>
    <row r="848" spans="1:13" x14ac:dyDescent="0.25">
      <c r="A848" s="20"/>
      <c r="B848" s="20"/>
      <c r="C848" s="20"/>
      <c r="E848" s="21" t="b">
        <f>IF(AND(A848&lt;&gt;0,B848=0,C848=0),VLOOKUP(A848,'3 - LISTA DE ESPÉCIES'!A:H,1,FALSE()),IF(AND(A848=0,B848&lt;&gt;0,C848=0),VLOOKUP(B848,'3 - LISTA DE ESPÉCIES'!B:H,5,FALSE()),IF(AND(A848=0,B848=0,C848&lt;&gt;0),VLOOKUP(C848,'3 - LISTA DE ESPÉCIES'!C:H,4,FALSE()))))</f>
        <v>0</v>
      </c>
      <c r="F848" s="21" t="b">
        <f>IF(AND(A848&lt;&gt;0,B848=0,C848=0),VLOOKUP(A848,'3 - LISTA DE ESPÉCIES'!A:H,2,FALSE()),IF(AND(A848=0,B848&lt;&gt;0,C848=0),VLOOKUP(B848,'3 - LISTA DE ESPÉCIES'!B:H,6,FALSE()),IF(AND(A848=0,B848=0,C848&lt;&gt;0),VLOOKUP(C848,'3 - LISTA DE ESPÉCIES'!C:H,5,FALSE()))))</f>
        <v>0</v>
      </c>
      <c r="G848" s="21" t="b">
        <f>IF(AND(A848&lt;&gt;0,B848=0,C848=0),VLOOKUP(A848,'3 - LISTA DE ESPÉCIES'!A:H,3,FALSE()),IF(AND(A848=0,B848&lt;&gt;0,C848=0),VLOOKUP(B848,'3 - LISTA DE ESPÉCIES'!B:H,7,FALSE()),IF(AND(A848=0,B848=0,C848&lt;&gt;0),VLOOKUP(C848,'3 - LISTA DE ESPÉCIES'!C:H,6,FALSE()))))</f>
        <v>0</v>
      </c>
      <c r="H848" s="21" t="b">
        <f>IF(AND(A848&lt;&gt;0,B848=0,C848=0),VLOOKUP(A848,'3 - LISTA DE ESPÉCIES'!A:H,4,FALSE()),IF(AND(A848=0,B848&lt;&gt;0,C848=0),VLOOKUP(B848,'3 - LISTA DE ESPÉCIES'!B:H,3,FALSE()),IF(AND(A848=0,B848=0,C848&lt;&gt;0),VLOOKUP(C848,'3 - LISTA DE ESPÉCIES'!C:H,2,FALSE()))))</f>
        <v>0</v>
      </c>
      <c r="I848" s="21" t="b">
        <f>IF(AND(A848&lt;&gt;0,B848=0,C848=0),VLOOKUP(A848,'3 - LISTA DE ESPÉCIES'!A:H,5,FALSE()),IF(AND(A848=0,B848&lt;&gt;0,C848=0),VLOOKUP(B848,'3 - LISTA DE ESPÉCIES'!B:H,4,FALSE()),IF(AND(A848=0,B848=0,C848&lt;&gt;0),VLOOKUP(C848,'3 - LISTA DE ESPÉCIES'!C:H,3,FALSE()))))</f>
        <v>0</v>
      </c>
      <c r="J848" s="23"/>
      <c r="K848" s="23"/>
      <c r="L848" s="20"/>
      <c r="M848" s="20"/>
    </row>
    <row r="849" spans="1:13" x14ac:dyDescent="0.25">
      <c r="A849" s="20"/>
      <c r="B849" s="20"/>
      <c r="C849" s="20"/>
      <c r="E849" s="21" t="b">
        <f>IF(AND(A849&lt;&gt;0,B849=0,C849=0),VLOOKUP(A849,'3 - LISTA DE ESPÉCIES'!A:H,1,FALSE()),IF(AND(A849=0,B849&lt;&gt;0,C849=0),VLOOKUP(B849,'3 - LISTA DE ESPÉCIES'!B:H,5,FALSE()),IF(AND(A849=0,B849=0,C849&lt;&gt;0),VLOOKUP(C849,'3 - LISTA DE ESPÉCIES'!C:H,4,FALSE()))))</f>
        <v>0</v>
      </c>
      <c r="F849" s="21" t="b">
        <f>IF(AND(A849&lt;&gt;0,B849=0,C849=0),VLOOKUP(A849,'3 - LISTA DE ESPÉCIES'!A:H,2,FALSE()),IF(AND(A849=0,B849&lt;&gt;0,C849=0),VLOOKUP(B849,'3 - LISTA DE ESPÉCIES'!B:H,6,FALSE()),IF(AND(A849=0,B849=0,C849&lt;&gt;0),VLOOKUP(C849,'3 - LISTA DE ESPÉCIES'!C:H,5,FALSE()))))</f>
        <v>0</v>
      </c>
      <c r="G849" s="21" t="b">
        <f>IF(AND(A849&lt;&gt;0,B849=0,C849=0),VLOOKUP(A849,'3 - LISTA DE ESPÉCIES'!A:H,3,FALSE()),IF(AND(A849=0,B849&lt;&gt;0,C849=0),VLOOKUP(B849,'3 - LISTA DE ESPÉCIES'!B:H,7,FALSE()),IF(AND(A849=0,B849=0,C849&lt;&gt;0),VLOOKUP(C849,'3 - LISTA DE ESPÉCIES'!C:H,6,FALSE()))))</f>
        <v>0</v>
      </c>
      <c r="H849" s="21" t="b">
        <f>IF(AND(A849&lt;&gt;0,B849=0,C849=0),VLOOKUP(A849,'3 - LISTA DE ESPÉCIES'!A:H,4,FALSE()),IF(AND(A849=0,B849&lt;&gt;0,C849=0),VLOOKUP(B849,'3 - LISTA DE ESPÉCIES'!B:H,3,FALSE()),IF(AND(A849=0,B849=0,C849&lt;&gt;0),VLOOKUP(C849,'3 - LISTA DE ESPÉCIES'!C:H,2,FALSE()))))</f>
        <v>0</v>
      </c>
      <c r="I849" s="21" t="b">
        <f>IF(AND(A849&lt;&gt;0,B849=0,C849=0),VLOOKUP(A849,'3 - LISTA DE ESPÉCIES'!A:H,5,FALSE()),IF(AND(A849=0,B849&lt;&gt;0,C849=0),VLOOKUP(B849,'3 - LISTA DE ESPÉCIES'!B:H,4,FALSE()),IF(AND(A849=0,B849=0,C849&lt;&gt;0),VLOOKUP(C849,'3 - LISTA DE ESPÉCIES'!C:H,3,FALSE()))))</f>
        <v>0</v>
      </c>
      <c r="J849" s="23"/>
      <c r="K849" s="23"/>
      <c r="L849" s="20"/>
      <c r="M849" s="20"/>
    </row>
    <row r="850" spans="1:13" x14ac:dyDescent="0.25">
      <c r="A850" s="20"/>
      <c r="B850" s="20"/>
      <c r="C850" s="20"/>
      <c r="E850" s="21" t="b">
        <f>IF(AND(A850&lt;&gt;0,B850=0,C850=0),VLOOKUP(A850,'3 - LISTA DE ESPÉCIES'!A:H,1,FALSE()),IF(AND(A850=0,B850&lt;&gt;0,C850=0),VLOOKUP(B850,'3 - LISTA DE ESPÉCIES'!B:H,5,FALSE()),IF(AND(A850=0,B850=0,C850&lt;&gt;0),VLOOKUP(C850,'3 - LISTA DE ESPÉCIES'!C:H,4,FALSE()))))</f>
        <v>0</v>
      </c>
      <c r="F850" s="21" t="b">
        <f>IF(AND(A850&lt;&gt;0,B850=0,C850=0),VLOOKUP(A850,'3 - LISTA DE ESPÉCIES'!A:H,2,FALSE()),IF(AND(A850=0,B850&lt;&gt;0,C850=0),VLOOKUP(B850,'3 - LISTA DE ESPÉCIES'!B:H,6,FALSE()),IF(AND(A850=0,B850=0,C850&lt;&gt;0),VLOOKUP(C850,'3 - LISTA DE ESPÉCIES'!C:H,5,FALSE()))))</f>
        <v>0</v>
      </c>
      <c r="G850" s="21" t="b">
        <f>IF(AND(A850&lt;&gt;0,B850=0,C850=0),VLOOKUP(A850,'3 - LISTA DE ESPÉCIES'!A:H,3,FALSE()),IF(AND(A850=0,B850&lt;&gt;0,C850=0),VLOOKUP(B850,'3 - LISTA DE ESPÉCIES'!B:H,7,FALSE()),IF(AND(A850=0,B850=0,C850&lt;&gt;0),VLOOKUP(C850,'3 - LISTA DE ESPÉCIES'!C:H,6,FALSE()))))</f>
        <v>0</v>
      </c>
      <c r="H850" s="21" t="b">
        <f>IF(AND(A850&lt;&gt;0,B850=0,C850=0),VLOOKUP(A850,'3 - LISTA DE ESPÉCIES'!A:H,4,FALSE()),IF(AND(A850=0,B850&lt;&gt;0,C850=0),VLOOKUP(B850,'3 - LISTA DE ESPÉCIES'!B:H,3,FALSE()),IF(AND(A850=0,B850=0,C850&lt;&gt;0),VLOOKUP(C850,'3 - LISTA DE ESPÉCIES'!C:H,2,FALSE()))))</f>
        <v>0</v>
      </c>
      <c r="I850" s="21" t="b">
        <f>IF(AND(A850&lt;&gt;0,B850=0,C850=0),VLOOKUP(A850,'3 - LISTA DE ESPÉCIES'!A:H,5,FALSE()),IF(AND(A850=0,B850&lt;&gt;0,C850=0),VLOOKUP(B850,'3 - LISTA DE ESPÉCIES'!B:H,4,FALSE()),IF(AND(A850=0,B850=0,C850&lt;&gt;0),VLOOKUP(C850,'3 - LISTA DE ESPÉCIES'!C:H,3,FALSE()))))</f>
        <v>0</v>
      </c>
      <c r="J850" s="23"/>
      <c r="K850" s="23"/>
      <c r="L850" s="20"/>
      <c r="M850" s="20"/>
    </row>
    <row r="851" spans="1:13" x14ac:dyDescent="0.25">
      <c r="A851" s="20"/>
      <c r="B851" s="20"/>
      <c r="C851" s="20"/>
      <c r="E851" s="21" t="b">
        <f>IF(AND(A851&lt;&gt;0,B851=0,C851=0),VLOOKUP(A851,'3 - LISTA DE ESPÉCIES'!A:H,1,FALSE()),IF(AND(A851=0,B851&lt;&gt;0,C851=0),VLOOKUP(B851,'3 - LISTA DE ESPÉCIES'!B:H,5,FALSE()),IF(AND(A851=0,B851=0,C851&lt;&gt;0),VLOOKUP(C851,'3 - LISTA DE ESPÉCIES'!C:H,4,FALSE()))))</f>
        <v>0</v>
      </c>
      <c r="F851" s="21" t="b">
        <f>IF(AND(A851&lt;&gt;0,B851=0,C851=0),VLOOKUP(A851,'3 - LISTA DE ESPÉCIES'!A:H,2,FALSE()),IF(AND(A851=0,B851&lt;&gt;0,C851=0),VLOOKUP(B851,'3 - LISTA DE ESPÉCIES'!B:H,6,FALSE()),IF(AND(A851=0,B851=0,C851&lt;&gt;0),VLOOKUP(C851,'3 - LISTA DE ESPÉCIES'!C:H,5,FALSE()))))</f>
        <v>0</v>
      </c>
      <c r="G851" s="21" t="b">
        <f>IF(AND(A851&lt;&gt;0,B851=0,C851=0),VLOOKUP(A851,'3 - LISTA DE ESPÉCIES'!A:H,3,FALSE()),IF(AND(A851=0,B851&lt;&gt;0,C851=0),VLOOKUP(B851,'3 - LISTA DE ESPÉCIES'!B:H,7,FALSE()),IF(AND(A851=0,B851=0,C851&lt;&gt;0),VLOOKUP(C851,'3 - LISTA DE ESPÉCIES'!C:H,6,FALSE()))))</f>
        <v>0</v>
      </c>
      <c r="H851" s="21" t="b">
        <f>IF(AND(A851&lt;&gt;0,B851=0,C851=0),VLOOKUP(A851,'3 - LISTA DE ESPÉCIES'!A:H,4,FALSE()),IF(AND(A851=0,B851&lt;&gt;0,C851=0),VLOOKUP(B851,'3 - LISTA DE ESPÉCIES'!B:H,3,FALSE()),IF(AND(A851=0,B851=0,C851&lt;&gt;0),VLOOKUP(C851,'3 - LISTA DE ESPÉCIES'!C:H,2,FALSE()))))</f>
        <v>0</v>
      </c>
      <c r="I851" s="21" t="b">
        <f>IF(AND(A851&lt;&gt;0,B851=0,C851=0),VLOOKUP(A851,'3 - LISTA DE ESPÉCIES'!A:H,5,FALSE()),IF(AND(A851=0,B851&lt;&gt;0,C851=0),VLOOKUP(B851,'3 - LISTA DE ESPÉCIES'!B:H,4,FALSE()),IF(AND(A851=0,B851=0,C851&lt;&gt;0),VLOOKUP(C851,'3 - LISTA DE ESPÉCIES'!C:H,3,FALSE()))))</f>
        <v>0</v>
      </c>
      <c r="J851" s="23"/>
      <c r="K851" s="23"/>
      <c r="L851" s="20"/>
      <c r="M851" s="20"/>
    </row>
    <row r="852" spans="1:13" x14ac:dyDescent="0.25">
      <c r="A852" s="20"/>
      <c r="B852" s="20"/>
      <c r="C852" s="20"/>
      <c r="E852" s="21" t="b">
        <f>IF(AND(A852&lt;&gt;0,B852=0,C852=0),VLOOKUP(A852,'3 - LISTA DE ESPÉCIES'!A:H,1,FALSE()),IF(AND(A852=0,B852&lt;&gt;0,C852=0),VLOOKUP(B852,'3 - LISTA DE ESPÉCIES'!B:H,5,FALSE()),IF(AND(A852=0,B852=0,C852&lt;&gt;0),VLOOKUP(C852,'3 - LISTA DE ESPÉCIES'!C:H,4,FALSE()))))</f>
        <v>0</v>
      </c>
      <c r="F852" s="21" t="b">
        <f>IF(AND(A852&lt;&gt;0,B852=0,C852=0),VLOOKUP(A852,'3 - LISTA DE ESPÉCIES'!A:H,2,FALSE()),IF(AND(A852=0,B852&lt;&gt;0,C852=0),VLOOKUP(B852,'3 - LISTA DE ESPÉCIES'!B:H,6,FALSE()),IF(AND(A852=0,B852=0,C852&lt;&gt;0),VLOOKUP(C852,'3 - LISTA DE ESPÉCIES'!C:H,5,FALSE()))))</f>
        <v>0</v>
      </c>
      <c r="G852" s="21" t="b">
        <f>IF(AND(A852&lt;&gt;0,B852=0,C852=0),VLOOKUP(A852,'3 - LISTA DE ESPÉCIES'!A:H,3,FALSE()),IF(AND(A852=0,B852&lt;&gt;0,C852=0),VLOOKUP(B852,'3 - LISTA DE ESPÉCIES'!B:H,7,FALSE()),IF(AND(A852=0,B852=0,C852&lt;&gt;0),VLOOKUP(C852,'3 - LISTA DE ESPÉCIES'!C:H,6,FALSE()))))</f>
        <v>0</v>
      </c>
      <c r="H852" s="21" t="b">
        <f>IF(AND(A852&lt;&gt;0,B852=0,C852=0),VLOOKUP(A852,'3 - LISTA DE ESPÉCIES'!A:H,4,FALSE()),IF(AND(A852=0,B852&lt;&gt;0,C852=0),VLOOKUP(B852,'3 - LISTA DE ESPÉCIES'!B:H,3,FALSE()),IF(AND(A852=0,B852=0,C852&lt;&gt;0),VLOOKUP(C852,'3 - LISTA DE ESPÉCIES'!C:H,2,FALSE()))))</f>
        <v>0</v>
      </c>
      <c r="I852" s="21" t="b">
        <f>IF(AND(A852&lt;&gt;0,B852=0,C852=0),VLOOKUP(A852,'3 - LISTA DE ESPÉCIES'!A:H,5,FALSE()),IF(AND(A852=0,B852&lt;&gt;0,C852=0),VLOOKUP(B852,'3 - LISTA DE ESPÉCIES'!B:H,4,FALSE()),IF(AND(A852=0,B852=0,C852&lt;&gt;0),VLOOKUP(C852,'3 - LISTA DE ESPÉCIES'!C:H,3,FALSE()))))</f>
        <v>0</v>
      </c>
      <c r="J852" s="23"/>
      <c r="K852" s="23"/>
      <c r="L852" s="20"/>
      <c r="M852" s="20"/>
    </row>
    <row r="853" spans="1:13" x14ac:dyDescent="0.25">
      <c r="A853" s="20"/>
      <c r="B853" s="20"/>
      <c r="C853" s="20"/>
      <c r="E853" s="21" t="b">
        <f>IF(AND(A853&lt;&gt;0,B853=0,C853=0),VLOOKUP(A853,'3 - LISTA DE ESPÉCIES'!A:H,1,FALSE()),IF(AND(A853=0,B853&lt;&gt;0,C853=0),VLOOKUP(B853,'3 - LISTA DE ESPÉCIES'!B:H,5,FALSE()),IF(AND(A853=0,B853=0,C853&lt;&gt;0),VLOOKUP(C853,'3 - LISTA DE ESPÉCIES'!C:H,4,FALSE()))))</f>
        <v>0</v>
      </c>
      <c r="F853" s="21" t="b">
        <f>IF(AND(A853&lt;&gt;0,B853=0,C853=0),VLOOKUP(A853,'3 - LISTA DE ESPÉCIES'!A:H,2,FALSE()),IF(AND(A853=0,B853&lt;&gt;0,C853=0),VLOOKUP(B853,'3 - LISTA DE ESPÉCIES'!B:H,6,FALSE()),IF(AND(A853=0,B853=0,C853&lt;&gt;0),VLOOKUP(C853,'3 - LISTA DE ESPÉCIES'!C:H,5,FALSE()))))</f>
        <v>0</v>
      </c>
      <c r="G853" s="21" t="b">
        <f>IF(AND(A853&lt;&gt;0,B853=0,C853=0),VLOOKUP(A853,'3 - LISTA DE ESPÉCIES'!A:H,3,FALSE()),IF(AND(A853=0,B853&lt;&gt;0,C853=0),VLOOKUP(B853,'3 - LISTA DE ESPÉCIES'!B:H,7,FALSE()),IF(AND(A853=0,B853=0,C853&lt;&gt;0),VLOOKUP(C853,'3 - LISTA DE ESPÉCIES'!C:H,6,FALSE()))))</f>
        <v>0</v>
      </c>
      <c r="H853" s="21" t="b">
        <f>IF(AND(A853&lt;&gt;0,B853=0,C853=0),VLOOKUP(A853,'3 - LISTA DE ESPÉCIES'!A:H,4,FALSE()),IF(AND(A853=0,B853&lt;&gt;0,C853=0),VLOOKUP(B853,'3 - LISTA DE ESPÉCIES'!B:H,3,FALSE()),IF(AND(A853=0,B853=0,C853&lt;&gt;0),VLOOKUP(C853,'3 - LISTA DE ESPÉCIES'!C:H,2,FALSE()))))</f>
        <v>0</v>
      </c>
      <c r="I853" s="21" t="b">
        <f>IF(AND(A853&lt;&gt;0,B853=0,C853=0),VLOOKUP(A853,'3 - LISTA DE ESPÉCIES'!A:H,5,FALSE()),IF(AND(A853=0,B853&lt;&gt;0,C853=0),VLOOKUP(B853,'3 - LISTA DE ESPÉCIES'!B:H,4,FALSE()),IF(AND(A853=0,B853=0,C853&lt;&gt;0),VLOOKUP(C853,'3 - LISTA DE ESPÉCIES'!C:H,3,FALSE()))))</f>
        <v>0</v>
      </c>
      <c r="J853" s="23"/>
      <c r="K853" s="23"/>
      <c r="L853" s="20"/>
      <c r="M853" s="20"/>
    </row>
    <row r="854" spans="1:13" x14ac:dyDescent="0.25">
      <c r="A854" s="20"/>
      <c r="B854" s="20"/>
      <c r="C854" s="20"/>
      <c r="E854" s="21" t="b">
        <f>IF(AND(A854&lt;&gt;0,B854=0,C854=0),VLOOKUP(A854,'3 - LISTA DE ESPÉCIES'!A:H,1,FALSE()),IF(AND(A854=0,B854&lt;&gt;0,C854=0),VLOOKUP(B854,'3 - LISTA DE ESPÉCIES'!B:H,5,FALSE()),IF(AND(A854=0,B854=0,C854&lt;&gt;0),VLOOKUP(C854,'3 - LISTA DE ESPÉCIES'!C:H,4,FALSE()))))</f>
        <v>0</v>
      </c>
      <c r="F854" s="21" t="b">
        <f>IF(AND(A854&lt;&gt;0,B854=0,C854=0),VLOOKUP(A854,'3 - LISTA DE ESPÉCIES'!A:H,2,FALSE()),IF(AND(A854=0,B854&lt;&gt;0,C854=0),VLOOKUP(B854,'3 - LISTA DE ESPÉCIES'!B:H,6,FALSE()),IF(AND(A854=0,B854=0,C854&lt;&gt;0),VLOOKUP(C854,'3 - LISTA DE ESPÉCIES'!C:H,5,FALSE()))))</f>
        <v>0</v>
      </c>
      <c r="G854" s="21" t="b">
        <f>IF(AND(A854&lt;&gt;0,B854=0,C854=0),VLOOKUP(A854,'3 - LISTA DE ESPÉCIES'!A:H,3,FALSE()),IF(AND(A854=0,B854&lt;&gt;0,C854=0),VLOOKUP(B854,'3 - LISTA DE ESPÉCIES'!B:H,7,FALSE()),IF(AND(A854=0,B854=0,C854&lt;&gt;0),VLOOKUP(C854,'3 - LISTA DE ESPÉCIES'!C:H,6,FALSE()))))</f>
        <v>0</v>
      </c>
      <c r="H854" s="21" t="b">
        <f>IF(AND(A854&lt;&gt;0,B854=0,C854=0),VLOOKUP(A854,'3 - LISTA DE ESPÉCIES'!A:H,4,FALSE()),IF(AND(A854=0,B854&lt;&gt;0,C854=0),VLOOKUP(B854,'3 - LISTA DE ESPÉCIES'!B:H,3,FALSE()),IF(AND(A854=0,B854=0,C854&lt;&gt;0),VLOOKUP(C854,'3 - LISTA DE ESPÉCIES'!C:H,2,FALSE()))))</f>
        <v>0</v>
      </c>
      <c r="I854" s="21" t="b">
        <f>IF(AND(A854&lt;&gt;0,B854=0,C854=0),VLOOKUP(A854,'3 - LISTA DE ESPÉCIES'!A:H,5,FALSE()),IF(AND(A854=0,B854&lt;&gt;0,C854=0),VLOOKUP(B854,'3 - LISTA DE ESPÉCIES'!B:H,4,FALSE()),IF(AND(A854=0,B854=0,C854&lt;&gt;0),VLOOKUP(C854,'3 - LISTA DE ESPÉCIES'!C:H,3,FALSE()))))</f>
        <v>0</v>
      </c>
      <c r="J854" s="23"/>
      <c r="K854" s="23"/>
      <c r="L854" s="20"/>
      <c r="M854" s="20"/>
    </row>
    <row r="855" spans="1:13" x14ac:dyDescent="0.25">
      <c r="A855" s="20"/>
      <c r="B855" s="20"/>
      <c r="C855" s="20"/>
      <c r="E855" s="21" t="b">
        <f>IF(AND(A855&lt;&gt;0,B855=0,C855=0),VLOOKUP(A855,'3 - LISTA DE ESPÉCIES'!A:H,1,FALSE()),IF(AND(A855=0,B855&lt;&gt;0,C855=0),VLOOKUP(B855,'3 - LISTA DE ESPÉCIES'!B:H,5,FALSE()),IF(AND(A855=0,B855=0,C855&lt;&gt;0),VLOOKUP(C855,'3 - LISTA DE ESPÉCIES'!C:H,4,FALSE()))))</f>
        <v>0</v>
      </c>
      <c r="F855" s="21" t="b">
        <f>IF(AND(A855&lt;&gt;0,B855=0,C855=0),VLOOKUP(A855,'3 - LISTA DE ESPÉCIES'!A:H,2,FALSE()),IF(AND(A855=0,B855&lt;&gt;0,C855=0),VLOOKUP(B855,'3 - LISTA DE ESPÉCIES'!B:H,6,FALSE()),IF(AND(A855=0,B855=0,C855&lt;&gt;0),VLOOKUP(C855,'3 - LISTA DE ESPÉCIES'!C:H,5,FALSE()))))</f>
        <v>0</v>
      </c>
      <c r="G855" s="21" t="b">
        <f>IF(AND(A855&lt;&gt;0,B855=0,C855=0),VLOOKUP(A855,'3 - LISTA DE ESPÉCIES'!A:H,3,FALSE()),IF(AND(A855=0,B855&lt;&gt;0,C855=0),VLOOKUP(B855,'3 - LISTA DE ESPÉCIES'!B:H,7,FALSE()),IF(AND(A855=0,B855=0,C855&lt;&gt;0),VLOOKUP(C855,'3 - LISTA DE ESPÉCIES'!C:H,6,FALSE()))))</f>
        <v>0</v>
      </c>
      <c r="H855" s="21" t="b">
        <f>IF(AND(A855&lt;&gt;0,B855=0,C855=0),VLOOKUP(A855,'3 - LISTA DE ESPÉCIES'!A:H,4,FALSE()),IF(AND(A855=0,B855&lt;&gt;0,C855=0),VLOOKUP(B855,'3 - LISTA DE ESPÉCIES'!B:H,3,FALSE()),IF(AND(A855=0,B855=0,C855&lt;&gt;0),VLOOKUP(C855,'3 - LISTA DE ESPÉCIES'!C:H,2,FALSE()))))</f>
        <v>0</v>
      </c>
      <c r="I855" s="21" t="b">
        <f>IF(AND(A855&lt;&gt;0,B855=0,C855=0),VLOOKUP(A855,'3 - LISTA DE ESPÉCIES'!A:H,5,FALSE()),IF(AND(A855=0,B855&lt;&gt;0,C855=0),VLOOKUP(B855,'3 - LISTA DE ESPÉCIES'!B:H,4,FALSE()),IF(AND(A855=0,B855=0,C855&lt;&gt;0),VLOOKUP(C855,'3 - LISTA DE ESPÉCIES'!C:H,3,FALSE()))))</f>
        <v>0</v>
      </c>
      <c r="J855" s="23"/>
      <c r="K855" s="23"/>
      <c r="L855" s="20"/>
      <c r="M855" s="20"/>
    </row>
    <row r="856" spans="1:13" x14ac:dyDescent="0.25">
      <c r="A856" s="20"/>
      <c r="B856" s="20"/>
      <c r="C856" s="20"/>
      <c r="E856" s="21" t="b">
        <f>IF(AND(A856&lt;&gt;0,B856=0,C856=0),VLOOKUP(A856,'3 - LISTA DE ESPÉCIES'!A:H,1,FALSE()),IF(AND(A856=0,B856&lt;&gt;0,C856=0),VLOOKUP(B856,'3 - LISTA DE ESPÉCIES'!B:H,5,FALSE()),IF(AND(A856=0,B856=0,C856&lt;&gt;0),VLOOKUP(C856,'3 - LISTA DE ESPÉCIES'!C:H,4,FALSE()))))</f>
        <v>0</v>
      </c>
      <c r="F856" s="21" t="b">
        <f>IF(AND(A856&lt;&gt;0,B856=0,C856=0),VLOOKUP(A856,'3 - LISTA DE ESPÉCIES'!A:H,2,FALSE()),IF(AND(A856=0,B856&lt;&gt;0,C856=0),VLOOKUP(B856,'3 - LISTA DE ESPÉCIES'!B:H,6,FALSE()),IF(AND(A856=0,B856=0,C856&lt;&gt;0),VLOOKUP(C856,'3 - LISTA DE ESPÉCIES'!C:H,5,FALSE()))))</f>
        <v>0</v>
      </c>
      <c r="G856" s="21" t="b">
        <f>IF(AND(A856&lt;&gt;0,B856=0,C856=0),VLOOKUP(A856,'3 - LISTA DE ESPÉCIES'!A:H,3,FALSE()),IF(AND(A856=0,B856&lt;&gt;0,C856=0),VLOOKUP(B856,'3 - LISTA DE ESPÉCIES'!B:H,7,FALSE()),IF(AND(A856=0,B856=0,C856&lt;&gt;0),VLOOKUP(C856,'3 - LISTA DE ESPÉCIES'!C:H,6,FALSE()))))</f>
        <v>0</v>
      </c>
      <c r="H856" s="21" t="b">
        <f>IF(AND(A856&lt;&gt;0,B856=0,C856=0),VLOOKUP(A856,'3 - LISTA DE ESPÉCIES'!A:H,4,FALSE()),IF(AND(A856=0,B856&lt;&gt;0,C856=0),VLOOKUP(B856,'3 - LISTA DE ESPÉCIES'!B:H,3,FALSE()),IF(AND(A856=0,B856=0,C856&lt;&gt;0),VLOOKUP(C856,'3 - LISTA DE ESPÉCIES'!C:H,2,FALSE()))))</f>
        <v>0</v>
      </c>
      <c r="I856" s="21" t="b">
        <f>IF(AND(A856&lt;&gt;0,B856=0,C856=0),VLOOKUP(A856,'3 - LISTA DE ESPÉCIES'!A:H,5,FALSE()),IF(AND(A856=0,B856&lt;&gt;0,C856=0),VLOOKUP(B856,'3 - LISTA DE ESPÉCIES'!B:H,4,FALSE()),IF(AND(A856=0,B856=0,C856&lt;&gt;0),VLOOKUP(C856,'3 - LISTA DE ESPÉCIES'!C:H,3,FALSE()))))</f>
        <v>0</v>
      </c>
      <c r="J856" s="23"/>
      <c r="K856" s="23"/>
      <c r="L856" s="20"/>
      <c r="M856" s="20"/>
    </row>
    <row r="857" spans="1:13" x14ac:dyDescent="0.25">
      <c r="A857" s="20"/>
      <c r="B857" s="20"/>
      <c r="C857" s="20"/>
      <c r="E857" s="21" t="b">
        <f>IF(AND(A857&lt;&gt;0,B857=0,C857=0),VLOOKUP(A857,'3 - LISTA DE ESPÉCIES'!A:H,1,FALSE()),IF(AND(A857=0,B857&lt;&gt;0,C857=0),VLOOKUP(B857,'3 - LISTA DE ESPÉCIES'!B:H,5,FALSE()),IF(AND(A857=0,B857=0,C857&lt;&gt;0),VLOOKUP(C857,'3 - LISTA DE ESPÉCIES'!C:H,4,FALSE()))))</f>
        <v>0</v>
      </c>
      <c r="F857" s="21" t="b">
        <f>IF(AND(A857&lt;&gt;0,B857=0,C857=0),VLOOKUP(A857,'3 - LISTA DE ESPÉCIES'!A:H,2,FALSE()),IF(AND(A857=0,B857&lt;&gt;0,C857=0),VLOOKUP(B857,'3 - LISTA DE ESPÉCIES'!B:H,6,FALSE()),IF(AND(A857=0,B857=0,C857&lt;&gt;0),VLOOKUP(C857,'3 - LISTA DE ESPÉCIES'!C:H,5,FALSE()))))</f>
        <v>0</v>
      </c>
      <c r="G857" s="21" t="b">
        <f>IF(AND(A857&lt;&gt;0,B857=0,C857=0),VLOOKUP(A857,'3 - LISTA DE ESPÉCIES'!A:H,3,FALSE()),IF(AND(A857=0,B857&lt;&gt;0,C857=0),VLOOKUP(B857,'3 - LISTA DE ESPÉCIES'!B:H,7,FALSE()),IF(AND(A857=0,B857=0,C857&lt;&gt;0),VLOOKUP(C857,'3 - LISTA DE ESPÉCIES'!C:H,6,FALSE()))))</f>
        <v>0</v>
      </c>
      <c r="H857" s="21" t="b">
        <f>IF(AND(A857&lt;&gt;0,B857=0,C857=0),VLOOKUP(A857,'3 - LISTA DE ESPÉCIES'!A:H,4,FALSE()),IF(AND(A857=0,B857&lt;&gt;0,C857=0),VLOOKUP(B857,'3 - LISTA DE ESPÉCIES'!B:H,3,FALSE()),IF(AND(A857=0,B857=0,C857&lt;&gt;0),VLOOKUP(C857,'3 - LISTA DE ESPÉCIES'!C:H,2,FALSE()))))</f>
        <v>0</v>
      </c>
      <c r="I857" s="21" t="b">
        <f>IF(AND(A857&lt;&gt;0,B857=0,C857=0),VLOOKUP(A857,'3 - LISTA DE ESPÉCIES'!A:H,5,FALSE()),IF(AND(A857=0,B857&lt;&gt;0,C857=0),VLOOKUP(B857,'3 - LISTA DE ESPÉCIES'!B:H,4,FALSE()),IF(AND(A857=0,B857=0,C857&lt;&gt;0),VLOOKUP(C857,'3 - LISTA DE ESPÉCIES'!C:H,3,FALSE()))))</f>
        <v>0</v>
      </c>
      <c r="J857" s="23"/>
      <c r="K857" s="23"/>
      <c r="L857" s="20"/>
      <c r="M857" s="20"/>
    </row>
    <row r="858" spans="1:13" x14ac:dyDescent="0.25">
      <c r="A858" s="20"/>
      <c r="B858" s="20"/>
      <c r="C858" s="20"/>
      <c r="E858" s="21" t="b">
        <f>IF(AND(A858&lt;&gt;0,B858=0,C858=0),VLOOKUP(A858,'3 - LISTA DE ESPÉCIES'!A:H,1,FALSE()),IF(AND(A858=0,B858&lt;&gt;0,C858=0),VLOOKUP(B858,'3 - LISTA DE ESPÉCIES'!B:H,5,FALSE()),IF(AND(A858=0,B858=0,C858&lt;&gt;0),VLOOKUP(C858,'3 - LISTA DE ESPÉCIES'!C:H,4,FALSE()))))</f>
        <v>0</v>
      </c>
      <c r="F858" s="21" t="b">
        <f>IF(AND(A858&lt;&gt;0,B858=0,C858=0),VLOOKUP(A858,'3 - LISTA DE ESPÉCIES'!A:H,2,FALSE()),IF(AND(A858=0,B858&lt;&gt;0,C858=0),VLOOKUP(B858,'3 - LISTA DE ESPÉCIES'!B:H,6,FALSE()),IF(AND(A858=0,B858=0,C858&lt;&gt;0),VLOOKUP(C858,'3 - LISTA DE ESPÉCIES'!C:H,5,FALSE()))))</f>
        <v>0</v>
      </c>
      <c r="G858" s="21" t="b">
        <f>IF(AND(A858&lt;&gt;0,B858=0,C858=0),VLOOKUP(A858,'3 - LISTA DE ESPÉCIES'!A:H,3,FALSE()),IF(AND(A858=0,B858&lt;&gt;0,C858=0),VLOOKUP(B858,'3 - LISTA DE ESPÉCIES'!B:H,7,FALSE()),IF(AND(A858=0,B858=0,C858&lt;&gt;0),VLOOKUP(C858,'3 - LISTA DE ESPÉCIES'!C:H,6,FALSE()))))</f>
        <v>0</v>
      </c>
      <c r="H858" s="21" t="b">
        <f>IF(AND(A858&lt;&gt;0,B858=0,C858=0),VLOOKUP(A858,'3 - LISTA DE ESPÉCIES'!A:H,4,FALSE()),IF(AND(A858=0,B858&lt;&gt;0,C858=0),VLOOKUP(B858,'3 - LISTA DE ESPÉCIES'!B:H,3,FALSE()),IF(AND(A858=0,B858=0,C858&lt;&gt;0),VLOOKUP(C858,'3 - LISTA DE ESPÉCIES'!C:H,2,FALSE()))))</f>
        <v>0</v>
      </c>
      <c r="I858" s="21" t="b">
        <f>IF(AND(A858&lt;&gt;0,B858=0,C858=0),VLOOKUP(A858,'3 - LISTA DE ESPÉCIES'!A:H,5,FALSE()),IF(AND(A858=0,B858&lt;&gt;0,C858=0),VLOOKUP(B858,'3 - LISTA DE ESPÉCIES'!B:H,4,FALSE()),IF(AND(A858=0,B858=0,C858&lt;&gt;0),VLOOKUP(C858,'3 - LISTA DE ESPÉCIES'!C:H,3,FALSE()))))</f>
        <v>0</v>
      </c>
      <c r="J858" s="23"/>
      <c r="K858" s="23"/>
      <c r="L858" s="20"/>
      <c r="M858" s="20"/>
    </row>
    <row r="859" spans="1:13" x14ac:dyDescent="0.25">
      <c r="A859" s="20"/>
      <c r="B859" s="20"/>
      <c r="C859" s="20"/>
      <c r="E859" s="21" t="b">
        <f>IF(AND(A859&lt;&gt;0,B859=0,C859=0),VLOOKUP(A859,'3 - LISTA DE ESPÉCIES'!A:H,1,FALSE()),IF(AND(A859=0,B859&lt;&gt;0,C859=0),VLOOKUP(B859,'3 - LISTA DE ESPÉCIES'!B:H,5,FALSE()),IF(AND(A859=0,B859=0,C859&lt;&gt;0),VLOOKUP(C859,'3 - LISTA DE ESPÉCIES'!C:H,4,FALSE()))))</f>
        <v>0</v>
      </c>
      <c r="F859" s="21" t="b">
        <f>IF(AND(A859&lt;&gt;0,B859=0,C859=0),VLOOKUP(A859,'3 - LISTA DE ESPÉCIES'!A:H,2,FALSE()),IF(AND(A859=0,B859&lt;&gt;0,C859=0),VLOOKUP(B859,'3 - LISTA DE ESPÉCIES'!B:H,6,FALSE()),IF(AND(A859=0,B859=0,C859&lt;&gt;0),VLOOKUP(C859,'3 - LISTA DE ESPÉCIES'!C:H,5,FALSE()))))</f>
        <v>0</v>
      </c>
      <c r="G859" s="21" t="b">
        <f>IF(AND(A859&lt;&gt;0,B859=0,C859=0),VLOOKUP(A859,'3 - LISTA DE ESPÉCIES'!A:H,3,FALSE()),IF(AND(A859=0,B859&lt;&gt;0,C859=0),VLOOKUP(B859,'3 - LISTA DE ESPÉCIES'!B:H,7,FALSE()),IF(AND(A859=0,B859=0,C859&lt;&gt;0),VLOOKUP(C859,'3 - LISTA DE ESPÉCIES'!C:H,6,FALSE()))))</f>
        <v>0</v>
      </c>
      <c r="H859" s="21" t="b">
        <f>IF(AND(A859&lt;&gt;0,B859=0,C859=0),VLOOKUP(A859,'3 - LISTA DE ESPÉCIES'!A:H,4,FALSE()),IF(AND(A859=0,B859&lt;&gt;0,C859=0),VLOOKUP(B859,'3 - LISTA DE ESPÉCIES'!B:H,3,FALSE()),IF(AND(A859=0,B859=0,C859&lt;&gt;0),VLOOKUP(C859,'3 - LISTA DE ESPÉCIES'!C:H,2,FALSE()))))</f>
        <v>0</v>
      </c>
      <c r="I859" s="21" t="b">
        <f>IF(AND(A859&lt;&gt;0,B859=0,C859=0),VLOOKUP(A859,'3 - LISTA DE ESPÉCIES'!A:H,5,FALSE()),IF(AND(A859=0,B859&lt;&gt;0,C859=0),VLOOKUP(B859,'3 - LISTA DE ESPÉCIES'!B:H,4,FALSE()),IF(AND(A859=0,B859=0,C859&lt;&gt;0),VLOOKUP(C859,'3 - LISTA DE ESPÉCIES'!C:H,3,FALSE()))))</f>
        <v>0</v>
      </c>
      <c r="J859" s="23"/>
      <c r="K859" s="23"/>
      <c r="L859" s="20"/>
      <c r="M859" s="20"/>
    </row>
    <row r="860" spans="1:13" x14ac:dyDescent="0.25">
      <c r="A860" s="20"/>
      <c r="B860" s="20"/>
      <c r="C860" s="20"/>
      <c r="E860" s="21" t="b">
        <f>IF(AND(A860&lt;&gt;0,B860=0,C860=0),VLOOKUP(A860,'3 - LISTA DE ESPÉCIES'!A:H,1,FALSE()),IF(AND(A860=0,B860&lt;&gt;0,C860=0),VLOOKUP(B860,'3 - LISTA DE ESPÉCIES'!B:H,5,FALSE()),IF(AND(A860=0,B860=0,C860&lt;&gt;0),VLOOKUP(C860,'3 - LISTA DE ESPÉCIES'!C:H,4,FALSE()))))</f>
        <v>0</v>
      </c>
      <c r="F860" s="21" t="b">
        <f>IF(AND(A860&lt;&gt;0,B860=0,C860=0),VLOOKUP(A860,'3 - LISTA DE ESPÉCIES'!A:H,2,FALSE()),IF(AND(A860=0,B860&lt;&gt;0,C860=0),VLOOKUP(B860,'3 - LISTA DE ESPÉCIES'!B:H,6,FALSE()),IF(AND(A860=0,B860=0,C860&lt;&gt;0),VLOOKUP(C860,'3 - LISTA DE ESPÉCIES'!C:H,5,FALSE()))))</f>
        <v>0</v>
      </c>
      <c r="G860" s="21" t="b">
        <f>IF(AND(A860&lt;&gt;0,B860=0,C860=0),VLOOKUP(A860,'3 - LISTA DE ESPÉCIES'!A:H,3,FALSE()),IF(AND(A860=0,B860&lt;&gt;0,C860=0),VLOOKUP(B860,'3 - LISTA DE ESPÉCIES'!B:H,7,FALSE()),IF(AND(A860=0,B860=0,C860&lt;&gt;0),VLOOKUP(C860,'3 - LISTA DE ESPÉCIES'!C:H,6,FALSE()))))</f>
        <v>0</v>
      </c>
      <c r="H860" s="21" t="b">
        <f>IF(AND(A860&lt;&gt;0,B860=0,C860=0),VLOOKUP(A860,'3 - LISTA DE ESPÉCIES'!A:H,4,FALSE()),IF(AND(A860=0,B860&lt;&gt;0,C860=0),VLOOKUP(B860,'3 - LISTA DE ESPÉCIES'!B:H,3,FALSE()),IF(AND(A860=0,B860=0,C860&lt;&gt;0),VLOOKUP(C860,'3 - LISTA DE ESPÉCIES'!C:H,2,FALSE()))))</f>
        <v>0</v>
      </c>
      <c r="I860" s="21" t="b">
        <f>IF(AND(A860&lt;&gt;0,B860=0,C860=0),VLOOKUP(A860,'3 - LISTA DE ESPÉCIES'!A:H,5,FALSE()),IF(AND(A860=0,B860&lt;&gt;0,C860=0),VLOOKUP(B860,'3 - LISTA DE ESPÉCIES'!B:H,4,FALSE()),IF(AND(A860=0,B860=0,C860&lt;&gt;0),VLOOKUP(C860,'3 - LISTA DE ESPÉCIES'!C:H,3,FALSE()))))</f>
        <v>0</v>
      </c>
      <c r="J860" s="23"/>
      <c r="K860" s="23"/>
      <c r="L860" s="20"/>
      <c r="M860" s="20"/>
    </row>
    <row r="861" spans="1:13" x14ac:dyDescent="0.25">
      <c r="A861" s="20"/>
      <c r="B861" s="20"/>
      <c r="C861" s="20"/>
      <c r="E861" s="21" t="b">
        <f>IF(AND(A861&lt;&gt;0,B861=0,C861=0),VLOOKUP(A861,'3 - LISTA DE ESPÉCIES'!A:H,1,FALSE()),IF(AND(A861=0,B861&lt;&gt;0,C861=0),VLOOKUP(B861,'3 - LISTA DE ESPÉCIES'!B:H,5,FALSE()),IF(AND(A861=0,B861=0,C861&lt;&gt;0),VLOOKUP(C861,'3 - LISTA DE ESPÉCIES'!C:H,4,FALSE()))))</f>
        <v>0</v>
      </c>
      <c r="F861" s="21" t="b">
        <f>IF(AND(A861&lt;&gt;0,B861=0,C861=0),VLOOKUP(A861,'3 - LISTA DE ESPÉCIES'!A:H,2,FALSE()),IF(AND(A861=0,B861&lt;&gt;0,C861=0),VLOOKUP(B861,'3 - LISTA DE ESPÉCIES'!B:H,6,FALSE()),IF(AND(A861=0,B861=0,C861&lt;&gt;0),VLOOKUP(C861,'3 - LISTA DE ESPÉCIES'!C:H,5,FALSE()))))</f>
        <v>0</v>
      </c>
      <c r="G861" s="21" t="b">
        <f>IF(AND(A861&lt;&gt;0,B861=0,C861=0),VLOOKUP(A861,'3 - LISTA DE ESPÉCIES'!A:H,3,FALSE()),IF(AND(A861=0,B861&lt;&gt;0,C861=0),VLOOKUP(B861,'3 - LISTA DE ESPÉCIES'!B:H,7,FALSE()),IF(AND(A861=0,B861=0,C861&lt;&gt;0),VLOOKUP(C861,'3 - LISTA DE ESPÉCIES'!C:H,6,FALSE()))))</f>
        <v>0</v>
      </c>
      <c r="H861" s="21" t="b">
        <f>IF(AND(A861&lt;&gt;0,B861=0,C861=0),VLOOKUP(A861,'3 - LISTA DE ESPÉCIES'!A:H,4,FALSE()),IF(AND(A861=0,B861&lt;&gt;0,C861=0),VLOOKUP(B861,'3 - LISTA DE ESPÉCIES'!B:H,3,FALSE()),IF(AND(A861=0,B861=0,C861&lt;&gt;0),VLOOKUP(C861,'3 - LISTA DE ESPÉCIES'!C:H,2,FALSE()))))</f>
        <v>0</v>
      </c>
      <c r="I861" s="21" t="b">
        <f>IF(AND(A861&lt;&gt;0,B861=0,C861=0),VLOOKUP(A861,'3 - LISTA DE ESPÉCIES'!A:H,5,FALSE()),IF(AND(A861=0,B861&lt;&gt;0,C861=0),VLOOKUP(B861,'3 - LISTA DE ESPÉCIES'!B:H,4,FALSE()),IF(AND(A861=0,B861=0,C861&lt;&gt;0),VLOOKUP(C861,'3 - LISTA DE ESPÉCIES'!C:H,3,FALSE()))))</f>
        <v>0</v>
      </c>
      <c r="J861" s="23"/>
      <c r="K861" s="23"/>
      <c r="L861" s="20"/>
      <c r="M861" s="20"/>
    </row>
    <row r="862" spans="1:13" x14ac:dyDescent="0.25">
      <c r="A862" s="20"/>
      <c r="B862" s="20"/>
      <c r="C862" s="20"/>
      <c r="E862" s="21" t="b">
        <f>IF(AND(A862&lt;&gt;0,B862=0,C862=0),VLOOKUP(A862,'3 - LISTA DE ESPÉCIES'!A:H,1,FALSE()),IF(AND(A862=0,B862&lt;&gt;0,C862=0),VLOOKUP(B862,'3 - LISTA DE ESPÉCIES'!B:H,5,FALSE()),IF(AND(A862=0,B862=0,C862&lt;&gt;0),VLOOKUP(C862,'3 - LISTA DE ESPÉCIES'!C:H,4,FALSE()))))</f>
        <v>0</v>
      </c>
      <c r="F862" s="21" t="b">
        <f>IF(AND(A862&lt;&gt;0,B862=0,C862=0),VLOOKUP(A862,'3 - LISTA DE ESPÉCIES'!A:H,2,FALSE()),IF(AND(A862=0,B862&lt;&gt;0,C862=0),VLOOKUP(B862,'3 - LISTA DE ESPÉCIES'!B:H,6,FALSE()),IF(AND(A862=0,B862=0,C862&lt;&gt;0),VLOOKUP(C862,'3 - LISTA DE ESPÉCIES'!C:H,5,FALSE()))))</f>
        <v>0</v>
      </c>
      <c r="G862" s="21" t="b">
        <f>IF(AND(A862&lt;&gt;0,B862=0,C862=0),VLOOKUP(A862,'3 - LISTA DE ESPÉCIES'!A:H,3,FALSE()),IF(AND(A862=0,B862&lt;&gt;0,C862=0),VLOOKUP(B862,'3 - LISTA DE ESPÉCIES'!B:H,7,FALSE()),IF(AND(A862=0,B862=0,C862&lt;&gt;0),VLOOKUP(C862,'3 - LISTA DE ESPÉCIES'!C:H,6,FALSE()))))</f>
        <v>0</v>
      </c>
      <c r="H862" s="21" t="b">
        <f>IF(AND(A862&lt;&gt;0,B862=0,C862=0),VLOOKUP(A862,'3 - LISTA DE ESPÉCIES'!A:H,4,FALSE()),IF(AND(A862=0,B862&lt;&gt;0,C862=0),VLOOKUP(B862,'3 - LISTA DE ESPÉCIES'!B:H,3,FALSE()),IF(AND(A862=0,B862=0,C862&lt;&gt;0),VLOOKUP(C862,'3 - LISTA DE ESPÉCIES'!C:H,2,FALSE()))))</f>
        <v>0</v>
      </c>
      <c r="I862" s="21" t="b">
        <f>IF(AND(A862&lt;&gt;0,B862=0,C862=0),VLOOKUP(A862,'3 - LISTA DE ESPÉCIES'!A:H,5,FALSE()),IF(AND(A862=0,B862&lt;&gt;0,C862=0),VLOOKUP(B862,'3 - LISTA DE ESPÉCIES'!B:H,4,FALSE()),IF(AND(A862=0,B862=0,C862&lt;&gt;0),VLOOKUP(C862,'3 - LISTA DE ESPÉCIES'!C:H,3,FALSE()))))</f>
        <v>0</v>
      </c>
      <c r="J862" s="23"/>
      <c r="K862" s="23"/>
      <c r="L862" s="20"/>
      <c r="M862" s="20"/>
    </row>
    <row r="863" spans="1:13" x14ac:dyDescent="0.25">
      <c r="A863" s="20"/>
      <c r="B863" s="20"/>
      <c r="C863" s="20"/>
      <c r="E863" s="21" t="b">
        <f>IF(AND(A863&lt;&gt;0,B863=0,C863=0),VLOOKUP(A863,'3 - LISTA DE ESPÉCIES'!A:H,1,FALSE()),IF(AND(A863=0,B863&lt;&gt;0,C863=0),VLOOKUP(B863,'3 - LISTA DE ESPÉCIES'!B:H,5,FALSE()),IF(AND(A863=0,B863=0,C863&lt;&gt;0),VLOOKUP(C863,'3 - LISTA DE ESPÉCIES'!C:H,4,FALSE()))))</f>
        <v>0</v>
      </c>
      <c r="F863" s="21" t="b">
        <f>IF(AND(A863&lt;&gt;0,B863=0,C863=0),VLOOKUP(A863,'3 - LISTA DE ESPÉCIES'!A:H,2,FALSE()),IF(AND(A863=0,B863&lt;&gt;0,C863=0),VLOOKUP(B863,'3 - LISTA DE ESPÉCIES'!B:H,6,FALSE()),IF(AND(A863=0,B863=0,C863&lt;&gt;0),VLOOKUP(C863,'3 - LISTA DE ESPÉCIES'!C:H,5,FALSE()))))</f>
        <v>0</v>
      </c>
      <c r="G863" s="21" t="b">
        <f>IF(AND(A863&lt;&gt;0,B863=0,C863=0),VLOOKUP(A863,'3 - LISTA DE ESPÉCIES'!A:H,3,FALSE()),IF(AND(A863=0,B863&lt;&gt;0,C863=0),VLOOKUP(B863,'3 - LISTA DE ESPÉCIES'!B:H,7,FALSE()),IF(AND(A863=0,B863=0,C863&lt;&gt;0),VLOOKUP(C863,'3 - LISTA DE ESPÉCIES'!C:H,6,FALSE()))))</f>
        <v>0</v>
      </c>
      <c r="H863" s="21" t="b">
        <f>IF(AND(A863&lt;&gt;0,B863=0,C863=0),VLOOKUP(A863,'3 - LISTA DE ESPÉCIES'!A:H,4,FALSE()),IF(AND(A863=0,B863&lt;&gt;0,C863=0),VLOOKUP(B863,'3 - LISTA DE ESPÉCIES'!B:H,3,FALSE()),IF(AND(A863=0,B863=0,C863&lt;&gt;0),VLOOKUP(C863,'3 - LISTA DE ESPÉCIES'!C:H,2,FALSE()))))</f>
        <v>0</v>
      </c>
      <c r="I863" s="21" t="b">
        <f>IF(AND(A863&lt;&gt;0,B863=0,C863=0),VLOOKUP(A863,'3 - LISTA DE ESPÉCIES'!A:H,5,FALSE()),IF(AND(A863=0,B863&lt;&gt;0,C863=0),VLOOKUP(B863,'3 - LISTA DE ESPÉCIES'!B:H,4,FALSE()),IF(AND(A863=0,B863=0,C863&lt;&gt;0),VLOOKUP(C863,'3 - LISTA DE ESPÉCIES'!C:H,3,FALSE()))))</f>
        <v>0</v>
      </c>
      <c r="J863" s="23"/>
      <c r="K863" s="23"/>
      <c r="L863" s="20"/>
      <c r="M863" s="20"/>
    </row>
    <row r="864" spans="1:13" x14ac:dyDescent="0.25">
      <c r="A864" s="20"/>
      <c r="B864" s="20"/>
      <c r="C864" s="20"/>
      <c r="E864" s="21" t="b">
        <f>IF(AND(A864&lt;&gt;0,B864=0,C864=0),VLOOKUP(A864,'3 - LISTA DE ESPÉCIES'!A:H,1,FALSE()),IF(AND(A864=0,B864&lt;&gt;0,C864=0),VLOOKUP(B864,'3 - LISTA DE ESPÉCIES'!B:H,5,FALSE()),IF(AND(A864=0,B864=0,C864&lt;&gt;0),VLOOKUP(C864,'3 - LISTA DE ESPÉCIES'!C:H,4,FALSE()))))</f>
        <v>0</v>
      </c>
      <c r="F864" s="21" t="b">
        <f>IF(AND(A864&lt;&gt;0,B864=0,C864=0),VLOOKUP(A864,'3 - LISTA DE ESPÉCIES'!A:H,2,FALSE()),IF(AND(A864=0,B864&lt;&gt;0,C864=0),VLOOKUP(B864,'3 - LISTA DE ESPÉCIES'!B:H,6,FALSE()),IF(AND(A864=0,B864=0,C864&lt;&gt;0),VLOOKUP(C864,'3 - LISTA DE ESPÉCIES'!C:H,5,FALSE()))))</f>
        <v>0</v>
      </c>
      <c r="G864" s="21" t="b">
        <f>IF(AND(A864&lt;&gt;0,B864=0,C864=0),VLOOKUP(A864,'3 - LISTA DE ESPÉCIES'!A:H,3,FALSE()),IF(AND(A864=0,B864&lt;&gt;0,C864=0),VLOOKUP(B864,'3 - LISTA DE ESPÉCIES'!B:H,7,FALSE()),IF(AND(A864=0,B864=0,C864&lt;&gt;0),VLOOKUP(C864,'3 - LISTA DE ESPÉCIES'!C:H,6,FALSE()))))</f>
        <v>0</v>
      </c>
      <c r="H864" s="21" t="b">
        <f>IF(AND(A864&lt;&gt;0,B864=0,C864=0),VLOOKUP(A864,'3 - LISTA DE ESPÉCIES'!A:H,4,FALSE()),IF(AND(A864=0,B864&lt;&gt;0,C864=0),VLOOKUP(B864,'3 - LISTA DE ESPÉCIES'!B:H,3,FALSE()),IF(AND(A864=0,B864=0,C864&lt;&gt;0),VLOOKUP(C864,'3 - LISTA DE ESPÉCIES'!C:H,2,FALSE()))))</f>
        <v>0</v>
      </c>
      <c r="I864" s="21" t="b">
        <f>IF(AND(A864&lt;&gt;0,B864=0,C864=0),VLOOKUP(A864,'3 - LISTA DE ESPÉCIES'!A:H,5,FALSE()),IF(AND(A864=0,B864&lt;&gt;0,C864=0),VLOOKUP(B864,'3 - LISTA DE ESPÉCIES'!B:H,4,FALSE()),IF(AND(A864=0,B864=0,C864&lt;&gt;0),VLOOKUP(C864,'3 - LISTA DE ESPÉCIES'!C:H,3,FALSE()))))</f>
        <v>0</v>
      </c>
      <c r="J864" s="23"/>
      <c r="K864" s="23"/>
      <c r="L864" s="20"/>
      <c r="M864" s="20"/>
    </row>
    <row r="865" spans="1:13" x14ac:dyDescent="0.25">
      <c r="A865" s="20"/>
      <c r="B865" s="20"/>
      <c r="C865" s="20"/>
      <c r="E865" s="21" t="b">
        <f>IF(AND(A865&lt;&gt;0,B865=0,C865=0),VLOOKUP(A865,'3 - LISTA DE ESPÉCIES'!A:H,1,FALSE()),IF(AND(A865=0,B865&lt;&gt;0,C865=0),VLOOKUP(B865,'3 - LISTA DE ESPÉCIES'!B:H,5,FALSE()),IF(AND(A865=0,B865=0,C865&lt;&gt;0),VLOOKUP(C865,'3 - LISTA DE ESPÉCIES'!C:H,4,FALSE()))))</f>
        <v>0</v>
      </c>
      <c r="F865" s="21" t="b">
        <f>IF(AND(A865&lt;&gt;0,B865=0,C865=0),VLOOKUP(A865,'3 - LISTA DE ESPÉCIES'!A:H,2,FALSE()),IF(AND(A865=0,B865&lt;&gt;0,C865=0),VLOOKUP(B865,'3 - LISTA DE ESPÉCIES'!B:H,6,FALSE()),IF(AND(A865=0,B865=0,C865&lt;&gt;0),VLOOKUP(C865,'3 - LISTA DE ESPÉCIES'!C:H,5,FALSE()))))</f>
        <v>0</v>
      </c>
      <c r="G865" s="21" t="b">
        <f>IF(AND(A865&lt;&gt;0,B865=0,C865=0),VLOOKUP(A865,'3 - LISTA DE ESPÉCIES'!A:H,3,FALSE()),IF(AND(A865=0,B865&lt;&gt;0,C865=0),VLOOKUP(B865,'3 - LISTA DE ESPÉCIES'!B:H,7,FALSE()),IF(AND(A865=0,B865=0,C865&lt;&gt;0),VLOOKUP(C865,'3 - LISTA DE ESPÉCIES'!C:H,6,FALSE()))))</f>
        <v>0</v>
      </c>
      <c r="H865" s="21" t="b">
        <f>IF(AND(A865&lt;&gt;0,B865=0,C865=0),VLOOKUP(A865,'3 - LISTA DE ESPÉCIES'!A:H,4,FALSE()),IF(AND(A865=0,B865&lt;&gt;0,C865=0),VLOOKUP(B865,'3 - LISTA DE ESPÉCIES'!B:H,3,FALSE()),IF(AND(A865=0,B865=0,C865&lt;&gt;0),VLOOKUP(C865,'3 - LISTA DE ESPÉCIES'!C:H,2,FALSE()))))</f>
        <v>0</v>
      </c>
      <c r="I865" s="21" t="b">
        <f>IF(AND(A865&lt;&gt;0,B865=0,C865=0),VLOOKUP(A865,'3 - LISTA DE ESPÉCIES'!A:H,5,FALSE()),IF(AND(A865=0,B865&lt;&gt;0,C865=0),VLOOKUP(B865,'3 - LISTA DE ESPÉCIES'!B:H,4,FALSE()),IF(AND(A865=0,B865=0,C865&lt;&gt;0),VLOOKUP(C865,'3 - LISTA DE ESPÉCIES'!C:H,3,FALSE()))))</f>
        <v>0</v>
      </c>
      <c r="J865" s="23"/>
      <c r="K865" s="23"/>
      <c r="L865" s="20"/>
      <c r="M865" s="20"/>
    </row>
    <row r="866" spans="1:13" x14ac:dyDescent="0.25">
      <c r="A866" s="20"/>
      <c r="B866" s="20"/>
      <c r="C866" s="20"/>
      <c r="E866" s="21" t="b">
        <f>IF(AND(A866&lt;&gt;0,B866=0,C866=0),VLOOKUP(A866,'3 - LISTA DE ESPÉCIES'!A:H,1,FALSE()),IF(AND(A866=0,B866&lt;&gt;0,C866=0),VLOOKUP(B866,'3 - LISTA DE ESPÉCIES'!B:H,5,FALSE()),IF(AND(A866=0,B866=0,C866&lt;&gt;0),VLOOKUP(C866,'3 - LISTA DE ESPÉCIES'!C:H,4,FALSE()))))</f>
        <v>0</v>
      </c>
      <c r="F866" s="21" t="b">
        <f>IF(AND(A866&lt;&gt;0,B866=0,C866=0),VLOOKUP(A866,'3 - LISTA DE ESPÉCIES'!A:H,2,FALSE()),IF(AND(A866=0,B866&lt;&gt;0,C866=0),VLOOKUP(B866,'3 - LISTA DE ESPÉCIES'!B:H,6,FALSE()),IF(AND(A866=0,B866=0,C866&lt;&gt;0),VLOOKUP(C866,'3 - LISTA DE ESPÉCIES'!C:H,5,FALSE()))))</f>
        <v>0</v>
      </c>
      <c r="G866" s="21" t="b">
        <f>IF(AND(A866&lt;&gt;0,B866=0,C866=0),VLOOKUP(A866,'3 - LISTA DE ESPÉCIES'!A:H,3,FALSE()),IF(AND(A866=0,B866&lt;&gt;0,C866=0),VLOOKUP(B866,'3 - LISTA DE ESPÉCIES'!B:H,7,FALSE()),IF(AND(A866=0,B866=0,C866&lt;&gt;0),VLOOKUP(C866,'3 - LISTA DE ESPÉCIES'!C:H,6,FALSE()))))</f>
        <v>0</v>
      </c>
      <c r="H866" s="21" t="b">
        <f>IF(AND(A866&lt;&gt;0,B866=0,C866=0),VLOOKUP(A866,'3 - LISTA DE ESPÉCIES'!A:H,4,FALSE()),IF(AND(A866=0,B866&lt;&gt;0,C866=0),VLOOKUP(B866,'3 - LISTA DE ESPÉCIES'!B:H,3,FALSE()),IF(AND(A866=0,B866=0,C866&lt;&gt;0),VLOOKUP(C866,'3 - LISTA DE ESPÉCIES'!C:H,2,FALSE()))))</f>
        <v>0</v>
      </c>
      <c r="I866" s="21" t="b">
        <f>IF(AND(A866&lt;&gt;0,B866=0,C866=0),VLOOKUP(A866,'3 - LISTA DE ESPÉCIES'!A:H,5,FALSE()),IF(AND(A866=0,B866&lt;&gt;0,C866=0),VLOOKUP(B866,'3 - LISTA DE ESPÉCIES'!B:H,4,FALSE()),IF(AND(A866=0,B866=0,C866&lt;&gt;0),VLOOKUP(C866,'3 - LISTA DE ESPÉCIES'!C:H,3,FALSE()))))</f>
        <v>0</v>
      </c>
      <c r="J866" s="23"/>
      <c r="K866" s="23"/>
      <c r="L866" s="20"/>
      <c r="M866" s="20"/>
    </row>
    <row r="867" spans="1:13" x14ac:dyDescent="0.25">
      <c r="A867" s="20"/>
      <c r="B867" s="20"/>
      <c r="C867" s="20"/>
      <c r="E867" s="21" t="b">
        <f>IF(AND(A867&lt;&gt;0,B867=0,C867=0),VLOOKUP(A867,'3 - LISTA DE ESPÉCIES'!A:H,1,FALSE()),IF(AND(A867=0,B867&lt;&gt;0,C867=0),VLOOKUP(B867,'3 - LISTA DE ESPÉCIES'!B:H,5,FALSE()),IF(AND(A867=0,B867=0,C867&lt;&gt;0),VLOOKUP(C867,'3 - LISTA DE ESPÉCIES'!C:H,4,FALSE()))))</f>
        <v>0</v>
      </c>
      <c r="F867" s="21" t="b">
        <f>IF(AND(A867&lt;&gt;0,B867=0,C867=0),VLOOKUP(A867,'3 - LISTA DE ESPÉCIES'!A:H,2,FALSE()),IF(AND(A867=0,B867&lt;&gt;0,C867=0),VLOOKUP(B867,'3 - LISTA DE ESPÉCIES'!B:H,6,FALSE()),IF(AND(A867=0,B867=0,C867&lt;&gt;0),VLOOKUP(C867,'3 - LISTA DE ESPÉCIES'!C:H,5,FALSE()))))</f>
        <v>0</v>
      </c>
      <c r="G867" s="21" t="b">
        <f>IF(AND(A867&lt;&gt;0,B867=0,C867=0),VLOOKUP(A867,'3 - LISTA DE ESPÉCIES'!A:H,3,FALSE()),IF(AND(A867=0,B867&lt;&gt;0,C867=0),VLOOKUP(B867,'3 - LISTA DE ESPÉCIES'!B:H,7,FALSE()),IF(AND(A867=0,B867=0,C867&lt;&gt;0),VLOOKUP(C867,'3 - LISTA DE ESPÉCIES'!C:H,6,FALSE()))))</f>
        <v>0</v>
      </c>
      <c r="H867" s="21" t="b">
        <f>IF(AND(A867&lt;&gt;0,B867=0,C867=0),VLOOKUP(A867,'3 - LISTA DE ESPÉCIES'!A:H,4,FALSE()),IF(AND(A867=0,B867&lt;&gt;0,C867=0),VLOOKUP(B867,'3 - LISTA DE ESPÉCIES'!B:H,3,FALSE()),IF(AND(A867=0,B867=0,C867&lt;&gt;0),VLOOKUP(C867,'3 - LISTA DE ESPÉCIES'!C:H,2,FALSE()))))</f>
        <v>0</v>
      </c>
      <c r="I867" s="21" t="b">
        <f>IF(AND(A867&lt;&gt;0,B867=0,C867=0),VLOOKUP(A867,'3 - LISTA DE ESPÉCIES'!A:H,5,FALSE()),IF(AND(A867=0,B867&lt;&gt;0,C867=0),VLOOKUP(B867,'3 - LISTA DE ESPÉCIES'!B:H,4,FALSE()),IF(AND(A867=0,B867=0,C867&lt;&gt;0),VLOOKUP(C867,'3 - LISTA DE ESPÉCIES'!C:H,3,FALSE()))))</f>
        <v>0</v>
      </c>
      <c r="J867" s="23"/>
      <c r="K867" s="23"/>
      <c r="L867" s="20"/>
      <c r="M867" s="20"/>
    </row>
    <row r="868" spans="1:13" x14ac:dyDescent="0.25">
      <c r="A868" s="20"/>
      <c r="B868" s="20"/>
      <c r="C868" s="20"/>
      <c r="E868" s="21" t="b">
        <f>IF(AND(A868&lt;&gt;0,B868=0,C868=0),VLOOKUP(A868,'3 - LISTA DE ESPÉCIES'!A:H,1,FALSE()),IF(AND(A868=0,B868&lt;&gt;0,C868=0),VLOOKUP(B868,'3 - LISTA DE ESPÉCIES'!B:H,5,FALSE()),IF(AND(A868=0,B868=0,C868&lt;&gt;0),VLOOKUP(C868,'3 - LISTA DE ESPÉCIES'!C:H,4,FALSE()))))</f>
        <v>0</v>
      </c>
      <c r="F868" s="21" t="b">
        <f>IF(AND(A868&lt;&gt;0,B868=0,C868=0),VLOOKUP(A868,'3 - LISTA DE ESPÉCIES'!A:H,2,FALSE()),IF(AND(A868=0,B868&lt;&gt;0,C868=0),VLOOKUP(B868,'3 - LISTA DE ESPÉCIES'!B:H,6,FALSE()),IF(AND(A868=0,B868=0,C868&lt;&gt;0),VLOOKUP(C868,'3 - LISTA DE ESPÉCIES'!C:H,5,FALSE()))))</f>
        <v>0</v>
      </c>
      <c r="G868" s="21" t="b">
        <f>IF(AND(A868&lt;&gt;0,B868=0,C868=0),VLOOKUP(A868,'3 - LISTA DE ESPÉCIES'!A:H,3,FALSE()),IF(AND(A868=0,B868&lt;&gt;0,C868=0),VLOOKUP(B868,'3 - LISTA DE ESPÉCIES'!B:H,7,FALSE()),IF(AND(A868=0,B868=0,C868&lt;&gt;0),VLOOKUP(C868,'3 - LISTA DE ESPÉCIES'!C:H,6,FALSE()))))</f>
        <v>0</v>
      </c>
      <c r="H868" s="21" t="b">
        <f>IF(AND(A868&lt;&gt;0,B868=0,C868=0),VLOOKUP(A868,'3 - LISTA DE ESPÉCIES'!A:H,4,FALSE()),IF(AND(A868=0,B868&lt;&gt;0,C868=0),VLOOKUP(B868,'3 - LISTA DE ESPÉCIES'!B:H,3,FALSE()),IF(AND(A868=0,B868=0,C868&lt;&gt;0),VLOOKUP(C868,'3 - LISTA DE ESPÉCIES'!C:H,2,FALSE()))))</f>
        <v>0</v>
      </c>
      <c r="I868" s="21" t="b">
        <f>IF(AND(A868&lt;&gt;0,B868=0,C868=0),VLOOKUP(A868,'3 - LISTA DE ESPÉCIES'!A:H,5,FALSE()),IF(AND(A868=0,B868&lt;&gt;0,C868=0),VLOOKUP(B868,'3 - LISTA DE ESPÉCIES'!B:H,4,FALSE()),IF(AND(A868=0,B868=0,C868&lt;&gt;0),VLOOKUP(C868,'3 - LISTA DE ESPÉCIES'!C:H,3,FALSE()))))</f>
        <v>0</v>
      </c>
      <c r="J868" s="23"/>
      <c r="K868" s="23"/>
      <c r="L868" s="20"/>
      <c r="M868" s="20"/>
    </row>
    <row r="869" spans="1:13" x14ac:dyDescent="0.25">
      <c r="A869" s="20"/>
      <c r="B869" s="20"/>
      <c r="C869" s="20"/>
      <c r="E869" s="21" t="b">
        <f>IF(AND(A869&lt;&gt;0,B869=0,C869=0),VLOOKUP(A869,'3 - LISTA DE ESPÉCIES'!A:H,1,FALSE()),IF(AND(A869=0,B869&lt;&gt;0,C869=0),VLOOKUP(B869,'3 - LISTA DE ESPÉCIES'!B:H,5,FALSE()),IF(AND(A869=0,B869=0,C869&lt;&gt;0),VLOOKUP(C869,'3 - LISTA DE ESPÉCIES'!C:H,4,FALSE()))))</f>
        <v>0</v>
      </c>
      <c r="F869" s="21" t="b">
        <f>IF(AND(A869&lt;&gt;0,B869=0,C869=0),VLOOKUP(A869,'3 - LISTA DE ESPÉCIES'!A:H,2,FALSE()),IF(AND(A869=0,B869&lt;&gt;0,C869=0),VLOOKUP(B869,'3 - LISTA DE ESPÉCIES'!B:H,6,FALSE()),IF(AND(A869=0,B869=0,C869&lt;&gt;0),VLOOKUP(C869,'3 - LISTA DE ESPÉCIES'!C:H,5,FALSE()))))</f>
        <v>0</v>
      </c>
      <c r="G869" s="21" t="b">
        <f>IF(AND(A869&lt;&gt;0,B869=0,C869=0),VLOOKUP(A869,'3 - LISTA DE ESPÉCIES'!A:H,3,FALSE()),IF(AND(A869=0,B869&lt;&gt;0,C869=0),VLOOKUP(B869,'3 - LISTA DE ESPÉCIES'!B:H,7,FALSE()),IF(AND(A869=0,B869=0,C869&lt;&gt;0),VLOOKUP(C869,'3 - LISTA DE ESPÉCIES'!C:H,6,FALSE()))))</f>
        <v>0</v>
      </c>
      <c r="H869" s="21" t="b">
        <f>IF(AND(A869&lt;&gt;0,B869=0,C869=0),VLOOKUP(A869,'3 - LISTA DE ESPÉCIES'!A:H,4,FALSE()),IF(AND(A869=0,B869&lt;&gt;0,C869=0),VLOOKUP(B869,'3 - LISTA DE ESPÉCIES'!B:H,3,FALSE()),IF(AND(A869=0,B869=0,C869&lt;&gt;0),VLOOKUP(C869,'3 - LISTA DE ESPÉCIES'!C:H,2,FALSE()))))</f>
        <v>0</v>
      </c>
      <c r="I869" s="21" t="b">
        <f>IF(AND(A869&lt;&gt;0,B869=0,C869=0),VLOOKUP(A869,'3 - LISTA DE ESPÉCIES'!A:H,5,FALSE()),IF(AND(A869=0,B869&lt;&gt;0,C869=0),VLOOKUP(B869,'3 - LISTA DE ESPÉCIES'!B:H,4,FALSE()),IF(AND(A869=0,B869=0,C869&lt;&gt;0),VLOOKUP(C869,'3 - LISTA DE ESPÉCIES'!C:H,3,FALSE()))))</f>
        <v>0</v>
      </c>
      <c r="J869" s="23"/>
      <c r="K869" s="23"/>
      <c r="L869" s="20"/>
      <c r="M869" s="20"/>
    </row>
    <row r="870" spans="1:13" x14ac:dyDescent="0.25">
      <c r="A870" s="20"/>
      <c r="B870" s="20"/>
      <c r="C870" s="20"/>
      <c r="E870" s="21" t="b">
        <f>IF(AND(A870&lt;&gt;0,B870=0,C870=0),VLOOKUP(A870,'3 - LISTA DE ESPÉCIES'!A:H,1,FALSE()),IF(AND(A870=0,B870&lt;&gt;0,C870=0),VLOOKUP(B870,'3 - LISTA DE ESPÉCIES'!B:H,5,FALSE()),IF(AND(A870=0,B870=0,C870&lt;&gt;0),VLOOKUP(C870,'3 - LISTA DE ESPÉCIES'!C:H,4,FALSE()))))</f>
        <v>0</v>
      </c>
      <c r="F870" s="21" t="b">
        <f>IF(AND(A870&lt;&gt;0,B870=0,C870=0),VLOOKUP(A870,'3 - LISTA DE ESPÉCIES'!A:H,2,FALSE()),IF(AND(A870=0,B870&lt;&gt;0,C870=0),VLOOKUP(B870,'3 - LISTA DE ESPÉCIES'!B:H,6,FALSE()),IF(AND(A870=0,B870=0,C870&lt;&gt;0),VLOOKUP(C870,'3 - LISTA DE ESPÉCIES'!C:H,5,FALSE()))))</f>
        <v>0</v>
      </c>
      <c r="G870" s="21" t="b">
        <f>IF(AND(A870&lt;&gt;0,B870=0,C870=0),VLOOKUP(A870,'3 - LISTA DE ESPÉCIES'!A:H,3,FALSE()),IF(AND(A870=0,B870&lt;&gt;0,C870=0),VLOOKUP(B870,'3 - LISTA DE ESPÉCIES'!B:H,7,FALSE()),IF(AND(A870=0,B870=0,C870&lt;&gt;0),VLOOKUP(C870,'3 - LISTA DE ESPÉCIES'!C:H,6,FALSE()))))</f>
        <v>0</v>
      </c>
      <c r="H870" s="21" t="b">
        <f>IF(AND(A870&lt;&gt;0,B870=0,C870=0),VLOOKUP(A870,'3 - LISTA DE ESPÉCIES'!A:H,4,FALSE()),IF(AND(A870=0,B870&lt;&gt;0,C870=0),VLOOKUP(B870,'3 - LISTA DE ESPÉCIES'!B:H,3,FALSE()),IF(AND(A870=0,B870=0,C870&lt;&gt;0),VLOOKUP(C870,'3 - LISTA DE ESPÉCIES'!C:H,2,FALSE()))))</f>
        <v>0</v>
      </c>
      <c r="I870" s="21" t="b">
        <f>IF(AND(A870&lt;&gt;0,B870=0,C870=0),VLOOKUP(A870,'3 - LISTA DE ESPÉCIES'!A:H,5,FALSE()),IF(AND(A870=0,B870&lt;&gt;0,C870=0),VLOOKUP(B870,'3 - LISTA DE ESPÉCIES'!B:H,4,FALSE()),IF(AND(A870=0,B870=0,C870&lt;&gt;0),VLOOKUP(C870,'3 - LISTA DE ESPÉCIES'!C:H,3,FALSE()))))</f>
        <v>0</v>
      </c>
      <c r="J870" s="23"/>
      <c r="K870" s="23"/>
      <c r="L870" s="20"/>
      <c r="M870" s="20"/>
    </row>
    <row r="871" spans="1:13" x14ac:dyDescent="0.25">
      <c r="A871" s="20"/>
      <c r="B871" s="20"/>
      <c r="C871" s="20"/>
      <c r="E871" s="21" t="b">
        <f>IF(AND(A871&lt;&gt;0,B871=0,C871=0),VLOOKUP(A871,'3 - LISTA DE ESPÉCIES'!A:H,1,FALSE()),IF(AND(A871=0,B871&lt;&gt;0,C871=0),VLOOKUP(B871,'3 - LISTA DE ESPÉCIES'!B:H,5,FALSE()),IF(AND(A871=0,B871=0,C871&lt;&gt;0),VLOOKUP(C871,'3 - LISTA DE ESPÉCIES'!C:H,4,FALSE()))))</f>
        <v>0</v>
      </c>
      <c r="F871" s="21" t="b">
        <f>IF(AND(A871&lt;&gt;0,B871=0,C871=0),VLOOKUP(A871,'3 - LISTA DE ESPÉCIES'!A:H,2,FALSE()),IF(AND(A871=0,B871&lt;&gt;0,C871=0),VLOOKUP(B871,'3 - LISTA DE ESPÉCIES'!B:H,6,FALSE()),IF(AND(A871=0,B871=0,C871&lt;&gt;0),VLOOKUP(C871,'3 - LISTA DE ESPÉCIES'!C:H,5,FALSE()))))</f>
        <v>0</v>
      </c>
      <c r="G871" s="21" t="b">
        <f>IF(AND(A871&lt;&gt;0,B871=0,C871=0),VLOOKUP(A871,'3 - LISTA DE ESPÉCIES'!A:H,3,FALSE()),IF(AND(A871=0,B871&lt;&gt;0,C871=0),VLOOKUP(B871,'3 - LISTA DE ESPÉCIES'!B:H,7,FALSE()),IF(AND(A871=0,B871=0,C871&lt;&gt;0),VLOOKUP(C871,'3 - LISTA DE ESPÉCIES'!C:H,6,FALSE()))))</f>
        <v>0</v>
      </c>
      <c r="H871" s="21" t="b">
        <f>IF(AND(A871&lt;&gt;0,B871=0,C871=0),VLOOKUP(A871,'3 - LISTA DE ESPÉCIES'!A:H,4,FALSE()),IF(AND(A871=0,B871&lt;&gt;0,C871=0),VLOOKUP(B871,'3 - LISTA DE ESPÉCIES'!B:H,3,FALSE()),IF(AND(A871=0,B871=0,C871&lt;&gt;0),VLOOKUP(C871,'3 - LISTA DE ESPÉCIES'!C:H,2,FALSE()))))</f>
        <v>0</v>
      </c>
      <c r="I871" s="21" t="b">
        <f>IF(AND(A871&lt;&gt;0,B871=0,C871=0),VLOOKUP(A871,'3 - LISTA DE ESPÉCIES'!A:H,5,FALSE()),IF(AND(A871=0,B871&lt;&gt;0,C871=0),VLOOKUP(B871,'3 - LISTA DE ESPÉCIES'!B:H,4,FALSE()),IF(AND(A871=0,B871=0,C871&lt;&gt;0),VLOOKUP(C871,'3 - LISTA DE ESPÉCIES'!C:H,3,FALSE()))))</f>
        <v>0</v>
      </c>
      <c r="J871" s="23"/>
      <c r="K871" s="23"/>
      <c r="L871" s="20"/>
      <c r="M871" s="20"/>
    </row>
    <row r="872" spans="1:13" x14ac:dyDescent="0.25">
      <c r="A872" s="20"/>
      <c r="B872" s="20"/>
      <c r="C872" s="20"/>
      <c r="E872" s="21" t="b">
        <f>IF(AND(A872&lt;&gt;0,B872=0,C872=0),VLOOKUP(A872,'3 - LISTA DE ESPÉCIES'!A:H,1,FALSE()),IF(AND(A872=0,B872&lt;&gt;0,C872=0),VLOOKUP(B872,'3 - LISTA DE ESPÉCIES'!B:H,5,FALSE()),IF(AND(A872=0,B872=0,C872&lt;&gt;0),VLOOKUP(C872,'3 - LISTA DE ESPÉCIES'!C:H,4,FALSE()))))</f>
        <v>0</v>
      </c>
      <c r="F872" s="21" t="b">
        <f>IF(AND(A872&lt;&gt;0,B872=0,C872=0),VLOOKUP(A872,'3 - LISTA DE ESPÉCIES'!A:H,2,FALSE()),IF(AND(A872=0,B872&lt;&gt;0,C872=0),VLOOKUP(B872,'3 - LISTA DE ESPÉCIES'!B:H,6,FALSE()),IF(AND(A872=0,B872=0,C872&lt;&gt;0),VLOOKUP(C872,'3 - LISTA DE ESPÉCIES'!C:H,5,FALSE()))))</f>
        <v>0</v>
      </c>
      <c r="G872" s="21" t="b">
        <f>IF(AND(A872&lt;&gt;0,B872=0,C872=0),VLOOKUP(A872,'3 - LISTA DE ESPÉCIES'!A:H,3,FALSE()),IF(AND(A872=0,B872&lt;&gt;0,C872=0),VLOOKUP(B872,'3 - LISTA DE ESPÉCIES'!B:H,7,FALSE()),IF(AND(A872=0,B872=0,C872&lt;&gt;0),VLOOKUP(C872,'3 - LISTA DE ESPÉCIES'!C:H,6,FALSE()))))</f>
        <v>0</v>
      </c>
      <c r="H872" s="21" t="b">
        <f>IF(AND(A872&lt;&gt;0,B872=0,C872=0),VLOOKUP(A872,'3 - LISTA DE ESPÉCIES'!A:H,4,FALSE()),IF(AND(A872=0,B872&lt;&gt;0,C872=0),VLOOKUP(B872,'3 - LISTA DE ESPÉCIES'!B:H,3,FALSE()),IF(AND(A872=0,B872=0,C872&lt;&gt;0),VLOOKUP(C872,'3 - LISTA DE ESPÉCIES'!C:H,2,FALSE()))))</f>
        <v>0</v>
      </c>
      <c r="I872" s="21" t="b">
        <f>IF(AND(A872&lt;&gt;0,B872=0,C872=0),VLOOKUP(A872,'3 - LISTA DE ESPÉCIES'!A:H,5,FALSE()),IF(AND(A872=0,B872&lt;&gt;0,C872=0),VLOOKUP(B872,'3 - LISTA DE ESPÉCIES'!B:H,4,FALSE()),IF(AND(A872=0,B872=0,C872&lt;&gt;0),VLOOKUP(C872,'3 - LISTA DE ESPÉCIES'!C:H,3,FALSE()))))</f>
        <v>0</v>
      </c>
      <c r="J872" s="23"/>
      <c r="K872" s="23"/>
      <c r="L872" s="20"/>
      <c r="M872" s="20"/>
    </row>
    <row r="873" spans="1:13" x14ac:dyDescent="0.25">
      <c r="A873" s="20"/>
      <c r="B873" s="20"/>
      <c r="C873" s="20"/>
      <c r="E873" s="21" t="b">
        <f>IF(AND(A873&lt;&gt;0,B873=0,C873=0),VLOOKUP(A873,'3 - LISTA DE ESPÉCIES'!A:H,1,FALSE()),IF(AND(A873=0,B873&lt;&gt;0,C873=0),VLOOKUP(B873,'3 - LISTA DE ESPÉCIES'!B:H,5,FALSE()),IF(AND(A873=0,B873=0,C873&lt;&gt;0),VLOOKUP(C873,'3 - LISTA DE ESPÉCIES'!C:H,4,FALSE()))))</f>
        <v>0</v>
      </c>
      <c r="F873" s="21" t="b">
        <f>IF(AND(A873&lt;&gt;0,B873=0,C873=0),VLOOKUP(A873,'3 - LISTA DE ESPÉCIES'!A:H,2,FALSE()),IF(AND(A873=0,B873&lt;&gt;0,C873=0),VLOOKUP(B873,'3 - LISTA DE ESPÉCIES'!B:H,6,FALSE()),IF(AND(A873=0,B873=0,C873&lt;&gt;0),VLOOKUP(C873,'3 - LISTA DE ESPÉCIES'!C:H,5,FALSE()))))</f>
        <v>0</v>
      </c>
      <c r="G873" s="21" t="b">
        <f>IF(AND(A873&lt;&gt;0,B873=0,C873=0),VLOOKUP(A873,'3 - LISTA DE ESPÉCIES'!A:H,3,FALSE()),IF(AND(A873=0,B873&lt;&gt;0,C873=0),VLOOKUP(B873,'3 - LISTA DE ESPÉCIES'!B:H,7,FALSE()),IF(AND(A873=0,B873=0,C873&lt;&gt;0),VLOOKUP(C873,'3 - LISTA DE ESPÉCIES'!C:H,6,FALSE()))))</f>
        <v>0</v>
      </c>
      <c r="H873" s="21" t="b">
        <f>IF(AND(A873&lt;&gt;0,B873=0,C873=0),VLOOKUP(A873,'3 - LISTA DE ESPÉCIES'!A:H,4,FALSE()),IF(AND(A873=0,B873&lt;&gt;0,C873=0),VLOOKUP(B873,'3 - LISTA DE ESPÉCIES'!B:H,3,FALSE()),IF(AND(A873=0,B873=0,C873&lt;&gt;0),VLOOKUP(C873,'3 - LISTA DE ESPÉCIES'!C:H,2,FALSE()))))</f>
        <v>0</v>
      </c>
      <c r="I873" s="21" t="b">
        <f>IF(AND(A873&lt;&gt;0,B873=0,C873=0),VLOOKUP(A873,'3 - LISTA DE ESPÉCIES'!A:H,5,FALSE()),IF(AND(A873=0,B873&lt;&gt;0,C873=0),VLOOKUP(B873,'3 - LISTA DE ESPÉCIES'!B:H,4,FALSE()),IF(AND(A873=0,B873=0,C873&lt;&gt;0),VLOOKUP(C873,'3 - LISTA DE ESPÉCIES'!C:H,3,FALSE()))))</f>
        <v>0</v>
      </c>
      <c r="J873" s="23"/>
      <c r="K873" s="23"/>
      <c r="L873" s="20"/>
      <c r="M873" s="20"/>
    </row>
    <row r="874" spans="1:13" x14ac:dyDescent="0.25">
      <c r="A874" s="20"/>
      <c r="B874" s="20"/>
      <c r="C874" s="20"/>
      <c r="E874" s="21" t="b">
        <f>IF(AND(A874&lt;&gt;0,B874=0,C874=0),VLOOKUP(A874,'3 - LISTA DE ESPÉCIES'!A:H,1,FALSE()),IF(AND(A874=0,B874&lt;&gt;0,C874=0),VLOOKUP(B874,'3 - LISTA DE ESPÉCIES'!B:H,5,FALSE()),IF(AND(A874=0,B874=0,C874&lt;&gt;0),VLOOKUP(C874,'3 - LISTA DE ESPÉCIES'!C:H,4,FALSE()))))</f>
        <v>0</v>
      </c>
      <c r="F874" s="21" t="b">
        <f>IF(AND(A874&lt;&gt;0,B874=0,C874=0),VLOOKUP(A874,'3 - LISTA DE ESPÉCIES'!A:H,2,FALSE()),IF(AND(A874=0,B874&lt;&gt;0,C874=0),VLOOKUP(B874,'3 - LISTA DE ESPÉCIES'!B:H,6,FALSE()),IF(AND(A874=0,B874=0,C874&lt;&gt;0),VLOOKUP(C874,'3 - LISTA DE ESPÉCIES'!C:H,5,FALSE()))))</f>
        <v>0</v>
      </c>
      <c r="G874" s="21" t="b">
        <f>IF(AND(A874&lt;&gt;0,B874=0,C874=0),VLOOKUP(A874,'3 - LISTA DE ESPÉCIES'!A:H,3,FALSE()),IF(AND(A874=0,B874&lt;&gt;0,C874=0),VLOOKUP(B874,'3 - LISTA DE ESPÉCIES'!B:H,7,FALSE()),IF(AND(A874=0,B874=0,C874&lt;&gt;0),VLOOKUP(C874,'3 - LISTA DE ESPÉCIES'!C:H,6,FALSE()))))</f>
        <v>0</v>
      </c>
      <c r="H874" s="21" t="b">
        <f>IF(AND(A874&lt;&gt;0,B874=0,C874=0),VLOOKUP(A874,'3 - LISTA DE ESPÉCIES'!A:H,4,FALSE()),IF(AND(A874=0,B874&lt;&gt;0,C874=0),VLOOKUP(B874,'3 - LISTA DE ESPÉCIES'!B:H,3,FALSE()),IF(AND(A874=0,B874=0,C874&lt;&gt;0),VLOOKUP(C874,'3 - LISTA DE ESPÉCIES'!C:H,2,FALSE()))))</f>
        <v>0</v>
      </c>
      <c r="I874" s="21" t="b">
        <f>IF(AND(A874&lt;&gt;0,B874=0,C874=0),VLOOKUP(A874,'3 - LISTA DE ESPÉCIES'!A:H,5,FALSE()),IF(AND(A874=0,B874&lt;&gt;0,C874=0),VLOOKUP(B874,'3 - LISTA DE ESPÉCIES'!B:H,4,FALSE()),IF(AND(A874=0,B874=0,C874&lt;&gt;0),VLOOKUP(C874,'3 - LISTA DE ESPÉCIES'!C:H,3,FALSE()))))</f>
        <v>0</v>
      </c>
      <c r="J874" s="23"/>
      <c r="K874" s="23"/>
      <c r="L874" s="20"/>
      <c r="M874" s="20"/>
    </row>
    <row r="875" spans="1:13" x14ac:dyDescent="0.25">
      <c r="A875" s="20"/>
      <c r="B875" s="20"/>
      <c r="C875" s="20"/>
      <c r="E875" s="21" t="b">
        <f>IF(AND(A875&lt;&gt;0,B875=0,C875=0),VLOOKUP(A875,'3 - LISTA DE ESPÉCIES'!A:H,1,FALSE()),IF(AND(A875=0,B875&lt;&gt;0,C875=0),VLOOKUP(B875,'3 - LISTA DE ESPÉCIES'!B:H,5,FALSE()),IF(AND(A875=0,B875=0,C875&lt;&gt;0),VLOOKUP(C875,'3 - LISTA DE ESPÉCIES'!C:H,4,FALSE()))))</f>
        <v>0</v>
      </c>
      <c r="F875" s="21" t="b">
        <f>IF(AND(A875&lt;&gt;0,B875=0,C875=0),VLOOKUP(A875,'3 - LISTA DE ESPÉCIES'!A:H,2,FALSE()),IF(AND(A875=0,B875&lt;&gt;0,C875=0),VLOOKUP(B875,'3 - LISTA DE ESPÉCIES'!B:H,6,FALSE()),IF(AND(A875=0,B875=0,C875&lt;&gt;0),VLOOKUP(C875,'3 - LISTA DE ESPÉCIES'!C:H,5,FALSE()))))</f>
        <v>0</v>
      </c>
      <c r="G875" s="21" t="b">
        <f>IF(AND(A875&lt;&gt;0,B875=0,C875=0),VLOOKUP(A875,'3 - LISTA DE ESPÉCIES'!A:H,3,FALSE()),IF(AND(A875=0,B875&lt;&gt;0,C875=0),VLOOKUP(B875,'3 - LISTA DE ESPÉCIES'!B:H,7,FALSE()),IF(AND(A875=0,B875=0,C875&lt;&gt;0),VLOOKUP(C875,'3 - LISTA DE ESPÉCIES'!C:H,6,FALSE()))))</f>
        <v>0</v>
      </c>
      <c r="H875" s="21" t="b">
        <f>IF(AND(A875&lt;&gt;0,B875=0,C875=0),VLOOKUP(A875,'3 - LISTA DE ESPÉCIES'!A:H,4,FALSE()),IF(AND(A875=0,B875&lt;&gt;0,C875=0),VLOOKUP(B875,'3 - LISTA DE ESPÉCIES'!B:H,3,FALSE()),IF(AND(A875=0,B875=0,C875&lt;&gt;0),VLOOKUP(C875,'3 - LISTA DE ESPÉCIES'!C:H,2,FALSE()))))</f>
        <v>0</v>
      </c>
      <c r="I875" s="21" t="b">
        <f>IF(AND(A875&lt;&gt;0,B875=0,C875=0),VLOOKUP(A875,'3 - LISTA DE ESPÉCIES'!A:H,5,FALSE()),IF(AND(A875=0,B875&lt;&gt;0,C875=0),VLOOKUP(B875,'3 - LISTA DE ESPÉCIES'!B:H,4,FALSE()),IF(AND(A875=0,B875=0,C875&lt;&gt;0),VLOOKUP(C875,'3 - LISTA DE ESPÉCIES'!C:H,3,FALSE()))))</f>
        <v>0</v>
      </c>
      <c r="J875" s="23"/>
      <c r="K875" s="23"/>
      <c r="L875" s="20"/>
      <c r="M875" s="20"/>
    </row>
    <row r="876" spans="1:13" x14ac:dyDescent="0.25">
      <c r="A876" s="20"/>
      <c r="B876" s="20"/>
      <c r="C876" s="20"/>
      <c r="E876" s="21" t="b">
        <f>IF(AND(A876&lt;&gt;0,B876=0,C876=0),VLOOKUP(A876,'3 - LISTA DE ESPÉCIES'!A:H,1,FALSE()),IF(AND(A876=0,B876&lt;&gt;0,C876=0),VLOOKUP(B876,'3 - LISTA DE ESPÉCIES'!B:H,5,FALSE()),IF(AND(A876=0,B876=0,C876&lt;&gt;0),VLOOKUP(C876,'3 - LISTA DE ESPÉCIES'!C:H,4,FALSE()))))</f>
        <v>0</v>
      </c>
      <c r="F876" s="21" t="b">
        <f>IF(AND(A876&lt;&gt;0,B876=0,C876=0),VLOOKUP(A876,'3 - LISTA DE ESPÉCIES'!A:H,2,FALSE()),IF(AND(A876=0,B876&lt;&gt;0,C876=0),VLOOKUP(B876,'3 - LISTA DE ESPÉCIES'!B:H,6,FALSE()),IF(AND(A876=0,B876=0,C876&lt;&gt;0),VLOOKUP(C876,'3 - LISTA DE ESPÉCIES'!C:H,5,FALSE()))))</f>
        <v>0</v>
      </c>
      <c r="G876" s="21" t="b">
        <f>IF(AND(A876&lt;&gt;0,B876=0,C876=0),VLOOKUP(A876,'3 - LISTA DE ESPÉCIES'!A:H,3,FALSE()),IF(AND(A876=0,B876&lt;&gt;0,C876=0),VLOOKUP(B876,'3 - LISTA DE ESPÉCIES'!B:H,7,FALSE()),IF(AND(A876=0,B876=0,C876&lt;&gt;0),VLOOKUP(C876,'3 - LISTA DE ESPÉCIES'!C:H,6,FALSE()))))</f>
        <v>0</v>
      </c>
      <c r="H876" s="21" t="b">
        <f>IF(AND(A876&lt;&gt;0,B876=0,C876=0),VLOOKUP(A876,'3 - LISTA DE ESPÉCIES'!A:H,4,FALSE()),IF(AND(A876=0,B876&lt;&gt;0,C876=0),VLOOKUP(B876,'3 - LISTA DE ESPÉCIES'!B:H,3,FALSE()),IF(AND(A876=0,B876=0,C876&lt;&gt;0),VLOOKUP(C876,'3 - LISTA DE ESPÉCIES'!C:H,2,FALSE()))))</f>
        <v>0</v>
      </c>
      <c r="I876" s="21" t="b">
        <f>IF(AND(A876&lt;&gt;0,B876=0,C876=0),VLOOKUP(A876,'3 - LISTA DE ESPÉCIES'!A:H,5,FALSE()),IF(AND(A876=0,B876&lt;&gt;0,C876=0),VLOOKUP(B876,'3 - LISTA DE ESPÉCIES'!B:H,4,FALSE()),IF(AND(A876=0,B876=0,C876&lt;&gt;0),VLOOKUP(C876,'3 - LISTA DE ESPÉCIES'!C:H,3,FALSE()))))</f>
        <v>0</v>
      </c>
      <c r="J876" s="23"/>
      <c r="K876" s="23"/>
      <c r="L876" s="20"/>
      <c r="M876" s="20"/>
    </row>
    <row r="877" spans="1:13" x14ac:dyDescent="0.25">
      <c r="A877" s="20"/>
      <c r="B877" s="20"/>
      <c r="C877" s="20"/>
      <c r="E877" s="21" t="b">
        <f>IF(AND(A877&lt;&gt;0,B877=0,C877=0),VLOOKUP(A877,'3 - LISTA DE ESPÉCIES'!A:H,1,FALSE()),IF(AND(A877=0,B877&lt;&gt;0,C877=0),VLOOKUP(B877,'3 - LISTA DE ESPÉCIES'!B:H,5,FALSE()),IF(AND(A877=0,B877=0,C877&lt;&gt;0),VLOOKUP(C877,'3 - LISTA DE ESPÉCIES'!C:H,4,FALSE()))))</f>
        <v>0</v>
      </c>
      <c r="F877" s="21" t="b">
        <f>IF(AND(A877&lt;&gt;0,B877=0,C877=0),VLOOKUP(A877,'3 - LISTA DE ESPÉCIES'!A:H,2,FALSE()),IF(AND(A877=0,B877&lt;&gt;0,C877=0),VLOOKUP(B877,'3 - LISTA DE ESPÉCIES'!B:H,6,FALSE()),IF(AND(A877=0,B877=0,C877&lt;&gt;0),VLOOKUP(C877,'3 - LISTA DE ESPÉCIES'!C:H,5,FALSE()))))</f>
        <v>0</v>
      </c>
      <c r="G877" s="21" t="b">
        <f>IF(AND(A877&lt;&gt;0,B877=0,C877=0),VLOOKUP(A877,'3 - LISTA DE ESPÉCIES'!A:H,3,FALSE()),IF(AND(A877=0,B877&lt;&gt;0,C877=0),VLOOKUP(B877,'3 - LISTA DE ESPÉCIES'!B:H,7,FALSE()),IF(AND(A877=0,B877=0,C877&lt;&gt;0),VLOOKUP(C877,'3 - LISTA DE ESPÉCIES'!C:H,6,FALSE()))))</f>
        <v>0</v>
      </c>
      <c r="H877" s="21" t="b">
        <f>IF(AND(A877&lt;&gt;0,B877=0,C877=0),VLOOKUP(A877,'3 - LISTA DE ESPÉCIES'!A:H,4,FALSE()),IF(AND(A877=0,B877&lt;&gt;0,C877=0),VLOOKUP(B877,'3 - LISTA DE ESPÉCIES'!B:H,3,FALSE()),IF(AND(A877=0,B877=0,C877&lt;&gt;0),VLOOKUP(C877,'3 - LISTA DE ESPÉCIES'!C:H,2,FALSE()))))</f>
        <v>0</v>
      </c>
      <c r="I877" s="21" t="b">
        <f>IF(AND(A877&lt;&gt;0,B877=0,C877=0),VLOOKUP(A877,'3 - LISTA DE ESPÉCIES'!A:H,5,FALSE()),IF(AND(A877=0,B877&lt;&gt;0,C877=0),VLOOKUP(B877,'3 - LISTA DE ESPÉCIES'!B:H,4,FALSE()),IF(AND(A877=0,B877=0,C877&lt;&gt;0),VLOOKUP(C877,'3 - LISTA DE ESPÉCIES'!C:H,3,FALSE()))))</f>
        <v>0</v>
      </c>
      <c r="J877" s="23"/>
      <c r="K877" s="23"/>
      <c r="L877" s="20"/>
      <c r="M877" s="20"/>
    </row>
    <row r="878" spans="1:13" x14ac:dyDescent="0.25">
      <c r="A878" s="20"/>
      <c r="B878" s="20"/>
      <c r="C878" s="20"/>
      <c r="E878" s="21" t="b">
        <f>IF(AND(A878&lt;&gt;0,B878=0,C878=0),VLOOKUP(A878,'3 - LISTA DE ESPÉCIES'!A:H,1,FALSE()),IF(AND(A878=0,B878&lt;&gt;0,C878=0),VLOOKUP(B878,'3 - LISTA DE ESPÉCIES'!B:H,5,FALSE()),IF(AND(A878=0,B878=0,C878&lt;&gt;0),VLOOKUP(C878,'3 - LISTA DE ESPÉCIES'!C:H,4,FALSE()))))</f>
        <v>0</v>
      </c>
      <c r="F878" s="21" t="b">
        <f>IF(AND(A878&lt;&gt;0,B878=0,C878=0),VLOOKUP(A878,'3 - LISTA DE ESPÉCIES'!A:H,2,FALSE()),IF(AND(A878=0,B878&lt;&gt;0,C878=0),VLOOKUP(B878,'3 - LISTA DE ESPÉCIES'!B:H,6,FALSE()),IF(AND(A878=0,B878=0,C878&lt;&gt;0),VLOOKUP(C878,'3 - LISTA DE ESPÉCIES'!C:H,5,FALSE()))))</f>
        <v>0</v>
      </c>
      <c r="G878" s="21" t="b">
        <f>IF(AND(A878&lt;&gt;0,B878=0,C878=0),VLOOKUP(A878,'3 - LISTA DE ESPÉCIES'!A:H,3,FALSE()),IF(AND(A878=0,B878&lt;&gt;0,C878=0),VLOOKUP(B878,'3 - LISTA DE ESPÉCIES'!B:H,7,FALSE()),IF(AND(A878=0,B878=0,C878&lt;&gt;0),VLOOKUP(C878,'3 - LISTA DE ESPÉCIES'!C:H,6,FALSE()))))</f>
        <v>0</v>
      </c>
      <c r="H878" s="21" t="b">
        <f>IF(AND(A878&lt;&gt;0,B878=0,C878=0),VLOOKUP(A878,'3 - LISTA DE ESPÉCIES'!A:H,4,FALSE()),IF(AND(A878=0,B878&lt;&gt;0,C878=0),VLOOKUP(B878,'3 - LISTA DE ESPÉCIES'!B:H,3,FALSE()),IF(AND(A878=0,B878=0,C878&lt;&gt;0),VLOOKUP(C878,'3 - LISTA DE ESPÉCIES'!C:H,2,FALSE()))))</f>
        <v>0</v>
      </c>
      <c r="I878" s="21" t="b">
        <f>IF(AND(A878&lt;&gt;0,B878=0,C878=0),VLOOKUP(A878,'3 - LISTA DE ESPÉCIES'!A:H,5,FALSE()),IF(AND(A878=0,B878&lt;&gt;0,C878=0),VLOOKUP(B878,'3 - LISTA DE ESPÉCIES'!B:H,4,FALSE()),IF(AND(A878=0,B878=0,C878&lt;&gt;0),VLOOKUP(C878,'3 - LISTA DE ESPÉCIES'!C:H,3,FALSE()))))</f>
        <v>0</v>
      </c>
      <c r="J878" s="23"/>
      <c r="K878" s="23"/>
      <c r="L878" s="20"/>
      <c r="M878" s="20"/>
    </row>
    <row r="879" spans="1:13" x14ac:dyDescent="0.25">
      <c r="A879" s="20"/>
      <c r="B879" s="20"/>
      <c r="C879" s="20"/>
      <c r="E879" s="21" t="b">
        <f>IF(AND(A879&lt;&gt;0,B879=0,C879=0),VLOOKUP(A879,'3 - LISTA DE ESPÉCIES'!A:H,1,FALSE()),IF(AND(A879=0,B879&lt;&gt;0,C879=0),VLOOKUP(B879,'3 - LISTA DE ESPÉCIES'!B:H,5,FALSE()),IF(AND(A879=0,B879=0,C879&lt;&gt;0),VLOOKUP(C879,'3 - LISTA DE ESPÉCIES'!C:H,4,FALSE()))))</f>
        <v>0</v>
      </c>
      <c r="F879" s="21" t="b">
        <f>IF(AND(A879&lt;&gt;0,B879=0,C879=0),VLOOKUP(A879,'3 - LISTA DE ESPÉCIES'!A:H,2,FALSE()),IF(AND(A879=0,B879&lt;&gt;0,C879=0),VLOOKUP(B879,'3 - LISTA DE ESPÉCIES'!B:H,6,FALSE()),IF(AND(A879=0,B879=0,C879&lt;&gt;0),VLOOKUP(C879,'3 - LISTA DE ESPÉCIES'!C:H,5,FALSE()))))</f>
        <v>0</v>
      </c>
      <c r="G879" s="21" t="b">
        <f>IF(AND(A879&lt;&gt;0,B879=0,C879=0),VLOOKUP(A879,'3 - LISTA DE ESPÉCIES'!A:H,3,FALSE()),IF(AND(A879=0,B879&lt;&gt;0,C879=0),VLOOKUP(B879,'3 - LISTA DE ESPÉCIES'!B:H,7,FALSE()),IF(AND(A879=0,B879=0,C879&lt;&gt;0),VLOOKUP(C879,'3 - LISTA DE ESPÉCIES'!C:H,6,FALSE()))))</f>
        <v>0</v>
      </c>
      <c r="H879" s="21" t="b">
        <f>IF(AND(A879&lt;&gt;0,B879=0,C879=0),VLOOKUP(A879,'3 - LISTA DE ESPÉCIES'!A:H,4,FALSE()),IF(AND(A879=0,B879&lt;&gt;0,C879=0),VLOOKUP(B879,'3 - LISTA DE ESPÉCIES'!B:H,3,FALSE()),IF(AND(A879=0,B879=0,C879&lt;&gt;0),VLOOKUP(C879,'3 - LISTA DE ESPÉCIES'!C:H,2,FALSE()))))</f>
        <v>0</v>
      </c>
      <c r="I879" s="21" t="b">
        <f>IF(AND(A879&lt;&gt;0,B879=0,C879=0),VLOOKUP(A879,'3 - LISTA DE ESPÉCIES'!A:H,5,FALSE()),IF(AND(A879=0,B879&lt;&gt;0,C879=0),VLOOKUP(B879,'3 - LISTA DE ESPÉCIES'!B:H,4,FALSE()),IF(AND(A879=0,B879=0,C879&lt;&gt;0),VLOOKUP(C879,'3 - LISTA DE ESPÉCIES'!C:H,3,FALSE()))))</f>
        <v>0</v>
      </c>
      <c r="J879" s="23"/>
      <c r="K879" s="23"/>
      <c r="L879" s="20"/>
      <c r="M879" s="20"/>
    </row>
    <row r="880" spans="1:13" x14ac:dyDescent="0.25">
      <c r="A880" s="20"/>
      <c r="B880" s="20"/>
      <c r="C880" s="20"/>
      <c r="E880" s="21" t="b">
        <f>IF(AND(A880&lt;&gt;0,B880=0,C880=0),VLOOKUP(A880,'3 - LISTA DE ESPÉCIES'!A:H,1,FALSE()),IF(AND(A880=0,B880&lt;&gt;0,C880=0),VLOOKUP(B880,'3 - LISTA DE ESPÉCIES'!B:H,5,FALSE()),IF(AND(A880=0,B880=0,C880&lt;&gt;0),VLOOKUP(C880,'3 - LISTA DE ESPÉCIES'!C:H,4,FALSE()))))</f>
        <v>0</v>
      </c>
      <c r="F880" s="21" t="b">
        <f>IF(AND(A880&lt;&gt;0,B880=0,C880=0),VLOOKUP(A880,'3 - LISTA DE ESPÉCIES'!A:H,2,FALSE()),IF(AND(A880=0,B880&lt;&gt;0,C880=0),VLOOKUP(B880,'3 - LISTA DE ESPÉCIES'!B:H,6,FALSE()),IF(AND(A880=0,B880=0,C880&lt;&gt;0),VLOOKUP(C880,'3 - LISTA DE ESPÉCIES'!C:H,5,FALSE()))))</f>
        <v>0</v>
      </c>
      <c r="G880" s="21" t="b">
        <f>IF(AND(A880&lt;&gt;0,B880=0,C880=0),VLOOKUP(A880,'3 - LISTA DE ESPÉCIES'!A:H,3,FALSE()),IF(AND(A880=0,B880&lt;&gt;0,C880=0),VLOOKUP(B880,'3 - LISTA DE ESPÉCIES'!B:H,7,FALSE()),IF(AND(A880=0,B880=0,C880&lt;&gt;0),VLOOKUP(C880,'3 - LISTA DE ESPÉCIES'!C:H,6,FALSE()))))</f>
        <v>0</v>
      </c>
      <c r="H880" s="21" t="b">
        <f>IF(AND(A880&lt;&gt;0,B880=0,C880=0),VLOOKUP(A880,'3 - LISTA DE ESPÉCIES'!A:H,4,FALSE()),IF(AND(A880=0,B880&lt;&gt;0,C880=0),VLOOKUP(B880,'3 - LISTA DE ESPÉCIES'!B:H,3,FALSE()),IF(AND(A880=0,B880=0,C880&lt;&gt;0),VLOOKUP(C880,'3 - LISTA DE ESPÉCIES'!C:H,2,FALSE()))))</f>
        <v>0</v>
      </c>
      <c r="I880" s="21" t="b">
        <f>IF(AND(A880&lt;&gt;0,B880=0,C880=0),VLOOKUP(A880,'3 - LISTA DE ESPÉCIES'!A:H,5,FALSE()),IF(AND(A880=0,B880&lt;&gt;0,C880=0),VLOOKUP(B880,'3 - LISTA DE ESPÉCIES'!B:H,4,FALSE()),IF(AND(A880=0,B880=0,C880&lt;&gt;0),VLOOKUP(C880,'3 - LISTA DE ESPÉCIES'!C:H,3,FALSE()))))</f>
        <v>0</v>
      </c>
      <c r="J880" s="23"/>
      <c r="K880" s="23"/>
      <c r="L880" s="20"/>
      <c r="M880" s="20"/>
    </row>
    <row r="881" spans="1:13" x14ac:dyDescent="0.25">
      <c r="A881" s="20"/>
      <c r="B881" s="20"/>
      <c r="C881" s="20"/>
      <c r="E881" s="21" t="b">
        <f>IF(AND(A881&lt;&gt;0,B881=0,C881=0),VLOOKUP(A881,'3 - LISTA DE ESPÉCIES'!A:H,1,FALSE()),IF(AND(A881=0,B881&lt;&gt;0,C881=0),VLOOKUP(B881,'3 - LISTA DE ESPÉCIES'!B:H,5,FALSE()),IF(AND(A881=0,B881=0,C881&lt;&gt;0),VLOOKUP(C881,'3 - LISTA DE ESPÉCIES'!C:H,4,FALSE()))))</f>
        <v>0</v>
      </c>
      <c r="F881" s="21" t="b">
        <f>IF(AND(A881&lt;&gt;0,B881=0,C881=0),VLOOKUP(A881,'3 - LISTA DE ESPÉCIES'!A:H,2,FALSE()),IF(AND(A881=0,B881&lt;&gt;0,C881=0),VLOOKUP(B881,'3 - LISTA DE ESPÉCIES'!B:H,6,FALSE()),IF(AND(A881=0,B881=0,C881&lt;&gt;0),VLOOKUP(C881,'3 - LISTA DE ESPÉCIES'!C:H,5,FALSE()))))</f>
        <v>0</v>
      </c>
      <c r="G881" s="21" t="b">
        <f>IF(AND(A881&lt;&gt;0,B881=0,C881=0),VLOOKUP(A881,'3 - LISTA DE ESPÉCIES'!A:H,3,FALSE()),IF(AND(A881=0,B881&lt;&gt;0,C881=0),VLOOKUP(B881,'3 - LISTA DE ESPÉCIES'!B:H,7,FALSE()),IF(AND(A881=0,B881=0,C881&lt;&gt;0),VLOOKUP(C881,'3 - LISTA DE ESPÉCIES'!C:H,6,FALSE()))))</f>
        <v>0</v>
      </c>
      <c r="H881" s="21" t="b">
        <f>IF(AND(A881&lt;&gt;0,B881=0,C881=0),VLOOKUP(A881,'3 - LISTA DE ESPÉCIES'!A:H,4,FALSE()),IF(AND(A881=0,B881&lt;&gt;0,C881=0),VLOOKUP(B881,'3 - LISTA DE ESPÉCIES'!B:H,3,FALSE()),IF(AND(A881=0,B881=0,C881&lt;&gt;0),VLOOKUP(C881,'3 - LISTA DE ESPÉCIES'!C:H,2,FALSE()))))</f>
        <v>0</v>
      </c>
      <c r="I881" s="21" t="b">
        <f>IF(AND(A881&lt;&gt;0,B881=0,C881=0),VLOOKUP(A881,'3 - LISTA DE ESPÉCIES'!A:H,5,FALSE()),IF(AND(A881=0,B881&lt;&gt;0,C881=0),VLOOKUP(B881,'3 - LISTA DE ESPÉCIES'!B:H,4,FALSE()),IF(AND(A881=0,B881=0,C881&lt;&gt;0),VLOOKUP(C881,'3 - LISTA DE ESPÉCIES'!C:H,3,FALSE()))))</f>
        <v>0</v>
      </c>
      <c r="J881" s="23"/>
      <c r="K881" s="23"/>
      <c r="L881" s="20"/>
      <c r="M881" s="20"/>
    </row>
    <row r="882" spans="1:13" x14ac:dyDescent="0.25">
      <c r="A882" s="20"/>
      <c r="B882" s="20"/>
      <c r="C882" s="20"/>
      <c r="E882" s="21" t="b">
        <f>IF(AND(A882&lt;&gt;0,B882=0,C882=0),VLOOKUP(A882,'3 - LISTA DE ESPÉCIES'!A:H,1,FALSE()),IF(AND(A882=0,B882&lt;&gt;0,C882=0),VLOOKUP(B882,'3 - LISTA DE ESPÉCIES'!B:H,5,FALSE()),IF(AND(A882=0,B882=0,C882&lt;&gt;0),VLOOKUP(C882,'3 - LISTA DE ESPÉCIES'!C:H,4,FALSE()))))</f>
        <v>0</v>
      </c>
      <c r="F882" s="21" t="b">
        <f>IF(AND(A882&lt;&gt;0,B882=0,C882=0),VLOOKUP(A882,'3 - LISTA DE ESPÉCIES'!A:H,2,FALSE()),IF(AND(A882=0,B882&lt;&gt;0,C882=0),VLOOKUP(B882,'3 - LISTA DE ESPÉCIES'!B:H,6,FALSE()),IF(AND(A882=0,B882=0,C882&lt;&gt;0),VLOOKUP(C882,'3 - LISTA DE ESPÉCIES'!C:H,5,FALSE()))))</f>
        <v>0</v>
      </c>
      <c r="G882" s="21" t="b">
        <f>IF(AND(A882&lt;&gt;0,B882=0,C882=0),VLOOKUP(A882,'3 - LISTA DE ESPÉCIES'!A:H,3,FALSE()),IF(AND(A882=0,B882&lt;&gt;0,C882=0),VLOOKUP(B882,'3 - LISTA DE ESPÉCIES'!B:H,7,FALSE()),IF(AND(A882=0,B882=0,C882&lt;&gt;0),VLOOKUP(C882,'3 - LISTA DE ESPÉCIES'!C:H,6,FALSE()))))</f>
        <v>0</v>
      </c>
      <c r="H882" s="21" t="b">
        <f>IF(AND(A882&lt;&gt;0,B882=0,C882=0),VLOOKUP(A882,'3 - LISTA DE ESPÉCIES'!A:H,4,FALSE()),IF(AND(A882=0,B882&lt;&gt;0,C882=0),VLOOKUP(B882,'3 - LISTA DE ESPÉCIES'!B:H,3,FALSE()),IF(AND(A882=0,B882=0,C882&lt;&gt;0),VLOOKUP(C882,'3 - LISTA DE ESPÉCIES'!C:H,2,FALSE()))))</f>
        <v>0</v>
      </c>
      <c r="I882" s="21" t="b">
        <f>IF(AND(A882&lt;&gt;0,B882=0,C882=0),VLOOKUP(A882,'3 - LISTA DE ESPÉCIES'!A:H,5,FALSE()),IF(AND(A882=0,B882&lt;&gt;0,C882=0),VLOOKUP(B882,'3 - LISTA DE ESPÉCIES'!B:H,4,FALSE()),IF(AND(A882=0,B882=0,C882&lt;&gt;0),VLOOKUP(C882,'3 - LISTA DE ESPÉCIES'!C:H,3,FALSE()))))</f>
        <v>0</v>
      </c>
      <c r="J882" s="23"/>
      <c r="K882" s="23"/>
      <c r="L882" s="20"/>
      <c r="M882" s="20"/>
    </row>
    <row r="883" spans="1:13" x14ac:dyDescent="0.25">
      <c r="A883" s="20"/>
      <c r="B883" s="20"/>
      <c r="C883" s="20"/>
      <c r="E883" s="21" t="b">
        <f>IF(AND(A883&lt;&gt;0,B883=0,C883=0),VLOOKUP(A883,'3 - LISTA DE ESPÉCIES'!A:H,1,FALSE()),IF(AND(A883=0,B883&lt;&gt;0,C883=0),VLOOKUP(B883,'3 - LISTA DE ESPÉCIES'!B:H,5,FALSE()),IF(AND(A883=0,B883=0,C883&lt;&gt;0),VLOOKUP(C883,'3 - LISTA DE ESPÉCIES'!C:H,4,FALSE()))))</f>
        <v>0</v>
      </c>
      <c r="F883" s="21" t="b">
        <f>IF(AND(A883&lt;&gt;0,B883=0,C883=0),VLOOKUP(A883,'3 - LISTA DE ESPÉCIES'!A:H,2,FALSE()),IF(AND(A883=0,B883&lt;&gt;0,C883=0),VLOOKUP(B883,'3 - LISTA DE ESPÉCIES'!B:H,6,FALSE()),IF(AND(A883=0,B883=0,C883&lt;&gt;0),VLOOKUP(C883,'3 - LISTA DE ESPÉCIES'!C:H,5,FALSE()))))</f>
        <v>0</v>
      </c>
      <c r="G883" s="21" t="b">
        <f>IF(AND(A883&lt;&gt;0,B883=0,C883=0),VLOOKUP(A883,'3 - LISTA DE ESPÉCIES'!A:H,3,FALSE()),IF(AND(A883=0,B883&lt;&gt;0,C883=0),VLOOKUP(B883,'3 - LISTA DE ESPÉCIES'!B:H,7,FALSE()),IF(AND(A883=0,B883=0,C883&lt;&gt;0),VLOOKUP(C883,'3 - LISTA DE ESPÉCIES'!C:H,6,FALSE()))))</f>
        <v>0</v>
      </c>
      <c r="H883" s="21" t="b">
        <f>IF(AND(A883&lt;&gt;0,B883=0,C883=0),VLOOKUP(A883,'3 - LISTA DE ESPÉCIES'!A:H,4,FALSE()),IF(AND(A883=0,B883&lt;&gt;0,C883=0),VLOOKUP(B883,'3 - LISTA DE ESPÉCIES'!B:H,3,FALSE()),IF(AND(A883=0,B883=0,C883&lt;&gt;0),VLOOKUP(C883,'3 - LISTA DE ESPÉCIES'!C:H,2,FALSE()))))</f>
        <v>0</v>
      </c>
      <c r="I883" s="21" t="b">
        <f>IF(AND(A883&lt;&gt;0,B883=0,C883=0),VLOOKUP(A883,'3 - LISTA DE ESPÉCIES'!A:H,5,FALSE()),IF(AND(A883=0,B883&lt;&gt;0,C883=0),VLOOKUP(B883,'3 - LISTA DE ESPÉCIES'!B:H,4,FALSE()),IF(AND(A883=0,B883=0,C883&lt;&gt;0),VLOOKUP(C883,'3 - LISTA DE ESPÉCIES'!C:H,3,FALSE()))))</f>
        <v>0</v>
      </c>
      <c r="J883" s="23"/>
      <c r="K883" s="23"/>
      <c r="L883" s="20"/>
      <c r="M883" s="20"/>
    </row>
    <row r="884" spans="1:13" x14ac:dyDescent="0.25">
      <c r="A884" s="20"/>
      <c r="B884" s="20"/>
      <c r="C884" s="20"/>
      <c r="E884" s="21" t="b">
        <f>IF(AND(A884&lt;&gt;0,B884=0,C884=0),VLOOKUP(A884,'3 - LISTA DE ESPÉCIES'!A:H,1,FALSE()),IF(AND(A884=0,B884&lt;&gt;0,C884=0),VLOOKUP(B884,'3 - LISTA DE ESPÉCIES'!B:H,5,FALSE()),IF(AND(A884=0,B884=0,C884&lt;&gt;0),VLOOKUP(C884,'3 - LISTA DE ESPÉCIES'!C:H,4,FALSE()))))</f>
        <v>0</v>
      </c>
      <c r="F884" s="21" t="b">
        <f>IF(AND(A884&lt;&gt;0,B884=0,C884=0),VLOOKUP(A884,'3 - LISTA DE ESPÉCIES'!A:H,2,FALSE()),IF(AND(A884=0,B884&lt;&gt;0,C884=0),VLOOKUP(B884,'3 - LISTA DE ESPÉCIES'!B:H,6,FALSE()),IF(AND(A884=0,B884=0,C884&lt;&gt;0),VLOOKUP(C884,'3 - LISTA DE ESPÉCIES'!C:H,5,FALSE()))))</f>
        <v>0</v>
      </c>
      <c r="G884" s="21" t="b">
        <f>IF(AND(A884&lt;&gt;0,B884=0,C884=0),VLOOKUP(A884,'3 - LISTA DE ESPÉCIES'!A:H,3,FALSE()),IF(AND(A884=0,B884&lt;&gt;0,C884=0),VLOOKUP(B884,'3 - LISTA DE ESPÉCIES'!B:H,7,FALSE()),IF(AND(A884=0,B884=0,C884&lt;&gt;0),VLOOKUP(C884,'3 - LISTA DE ESPÉCIES'!C:H,6,FALSE()))))</f>
        <v>0</v>
      </c>
      <c r="H884" s="21" t="b">
        <f>IF(AND(A884&lt;&gt;0,B884=0,C884=0),VLOOKUP(A884,'3 - LISTA DE ESPÉCIES'!A:H,4,FALSE()),IF(AND(A884=0,B884&lt;&gt;0,C884=0),VLOOKUP(B884,'3 - LISTA DE ESPÉCIES'!B:H,3,FALSE()),IF(AND(A884=0,B884=0,C884&lt;&gt;0),VLOOKUP(C884,'3 - LISTA DE ESPÉCIES'!C:H,2,FALSE()))))</f>
        <v>0</v>
      </c>
      <c r="I884" s="21" t="b">
        <f>IF(AND(A884&lt;&gt;0,B884=0,C884=0),VLOOKUP(A884,'3 - LISTA DE ESPÉCIES'!A:H,5,FALSE()),IF(AND(A884=0,B884&lt;&gt;0,C884=0),VLOOKUP(B884,'3 - LISTA DE ESPÉCIES'!B:H,4,FALSE()),IF(AND(A884=0,B884=0,C884&lt;&gt;0),VLOOKUP(C884,'3 - LISTA DE ESPÉCIES'!C:H,3,FALSE()))))</f>
        <v>0</v>
      </c>
      <c r="J884" s="23"/>
      <c r="K884" s="23"/>
      <c r="L884" s="20"/>
      <c r="M884" s="20"/>
    </row>
    <row r="885" spans="1:13" x14ac:dyDescent="0.25">
      <c r="A885" s="20"/>
      <c r="B885" s="20"/>
      <c r="C885" s="20"/>
      <c r="E885" s="21" t="b">
        <f>IF(AND(A885&lt;&gt;0,B885=0,C885=0),VLOOKUP(A885,'3 - LISTA DE ESPÉCIES'!A:H,1,FALSE()),IF(AND(A885=0,B885&lt;&gt;0,C885=0),VLOOKUP(B885,'3 - LISTA DE ESPÉCIES'!B:H,5,FALSE()),IF(AND(A885=0,B885=0,C885&lt;&gt;0),VLOOKUP(C885,'3 - LISTA DE ESPÉCIES'!C:H,4,FALSE()))))</f>
        <v>0</v>
      </c>
      <c r="F885" s="21" t="b">
        <f>IF(AND(A885&lt;&gt;0,B885=0,C885=0),VLOOKUP(A885,'3 - LISTA DE ESPÉCIES'!A:H,2,FALSE()),IF(AND(A885=0,B885&lt;&gt;0,C885=0),VLOOKUP(B885,'3 - LISTA DE ESPÉCIES'!B:H,6,FALSE()),IF(AND(A885=0,B885=0,C885&lt;&gt;0),VLOOKUP(C885,'3 - LISTA DE ESPÉCIES'!C:H,5,FALSE()))))</f>
        <v>0</v>
      </c>
      <c r="G885" s="21" t="b">
        <f>IF(AND(A885&lt;&gt;0,B885=0,C885=0),VLOOKUP(A885,'3 - LISTA DE ESPÉCIES'!A:H,3,FALSE()),IF(AND(A885=0,B885&lt;&gt;0,C885=0),VLOOKUP(B885,'3 - LISTA DE ESPÉCIES'!B:H,7,FALSE()),IF(AND(A885=0,B885=0,C885&lt;&gt;0),VLOOKUP(C885,'3 - LISTA DE ESPÉCIES'!C:H,6,FALSE()))))</f>
        <v>0</v>
      </c>
      <c r="H885" s="21" t="b">
        <f>IF(AND(A885&lt;&gt;0,B885=0,C885=0),VLOOKUP(A885,'3 - LISTA DE ESPÉCIES'!A:H,4,FALSE()),IF(AND(A885=0,B885&lt;&gt;0,C885=0),VLOOKUP(B885,'3 - LISTA DE ESPÉCIES'!B:H,3,FALSE()),IF(AND(A885=0,B885=0,C885&lt;&gt;0),VLOOKUP(C885,'3 - LISTA DE ESPÉCIES'!C:H,2,FALSE()))))</f>
        <v>0</v>
      </c>
      <c r="I885" s="21" t="b">
        <f>IF(AND(A885&lt;&gt;0,B885=0,C885=0),VLOOKUP(A885,'3 - LISTA DE ESPÉCIES'!A:H,5,FALSE()),IF(AND(A885=0,B885&lt;&gt;0,C885=0),VLOOKUP(B885,'3 - LISTA DE ESPÉCIES'!B:H,4,FALSE()),IF(AND(A885=0,B885=0,C885&lt;&gt;0),VLOOKUP(C885,'3 - LISTA DE ESPÉCIES'!C:H,3,FALSE()))))</f>
        <v>0</v>
      </c>
      <c r="J885" s="23"/>
      <c r="K885" s="23"/>
      <c r="L885" s="20"/>
      <c r="M885" s="20"/>
    </row>
    <row r="886" spans="1:13" x14ac:dyDescent="0.25">
      <c r="A886" s="20"/>
      <c r="B886" s="20"/>
      <c r="C886" s="20"/>
      <c r="E886" s="21" t="b">
        <f>IF(AND(A886&lt;&gt;0,B886=0,C886=0),VLOOKUP(A886,'3 - LISTA DE ESPÉCIES'!A:H,1,FALSE()),IF(AND(A886=0,B886&lt;&gt;0,C886=0),VLOOKUP(B886,'3 - LISTA DE ESPÉCIES'!B:H,5,FALSE()),IF(AND(A886=0,B886=0,C886&lt;&gt;0),VLOOKUP(C886,'3 - LISTA DE ESPÉCIES'!C:H,4,FALSE()))))</f>
        <v>0</v>
      </c>
      <c r="F886" s="21" t="b">
        <f>IF(AND(A886&lt;&gt;0,B886=0,C886=0),VLOOKUP(A886,'3 - LISTA DE ESPÉCIES'!A:H,2,FALSE()),IF(AND(A886=0,B886&lt;&gt;0,C886=0),VLOOKUP(B886,'3 - LISTA DE ESPÉCIES'!B:H,6,FALSE()),IF(AND(A886=0,B886=0,C886&lt;&gt;0),VLOOKUP(C886,'3 - LISTA DE ESPÉCIES'!C:H,5,FALSE()))))</f>
        <v>0</v>
      </c>
      <c r="G886" s="21" t="b">
        <f>IF(AND(A886&lt;&gt;0,B886=0,C886=0),VLOOKUP(A886,'3 - LISTA DE ESPÉCIES'!A:H,3,FALSE()),IF(AND(A886=0,B886&lt;&gt;0,C886=0),VLOOKUP(B886,'3 - LISTA DE ESPÉCIES'!B:H,7,FALSE()),IF(AND(A886=0,B886=0,C886&lt;&gt;0),VLOOKUP(C886,'3 - LISTA DE ESPÉCIES'!C:H,6,FALSE()))))</f>
        <v>0</v>
      </c>
      <c r="H886" s="21" t="b">
        <f>IF(AND(A886&lt;&gt;0,B886=0,C886=0),VLOOKUP(A886,'3 - LISTA DE ESPÉCIES'!A:H,4,FALSE()),IF(AND(A886=0,B886&lt;&gt;0,C886=0),VLOOKUP(B886,'3 - LISTA DE ESPÉCIES'!B:H,3,FALSE()),IF(AND(A886=0,B886=0,C886&lt;&gt;0),VLOOKUP(C886,'3 - LISTA DE ESPÉCIES'!C:H,2,FALSE()))))</f>
        <v>0</v>
      </c>
      <c r="I886" s="21" t="b">
        <f>IF(AND(A886&lt;&gt;0,B886=0,C886=0),VLOOKUP(A886,'3 - LISTA DE ESPÉCIES'!A:H,5,FALSE()),IF(AND(A886=0,B886&lt;&gt;0,C886=0),VLOOKUP(B886,'3 - LISTA DE ESPÉCIES'!B:H,4,FALSE()),IF(AND(A886=0,B886=0,C886&lt;&gt;0),VLOOKUP(C886,'3 - LISTA DE ESPÉCIES'!C:H,3,FALSE()))))</f>
        <v>0</v>
      </c>
      <c r="J886" s="23"/>
      <c r="K886" s="23"/>
      <c r="L886" s="20"/>
      <c r="M886" s="20"/>
    </row>
    <row r="887" spans="1:13" x14ac:dyDescent="0.25">
      <c r="A887" s="20"/>
      <c r="B887" s="20"/>
      <c r="C887" s="20"/>
      <c r="E887" s="21" t="b">
        <f>IF(AND(A887&lt;&gt;0,B887=0,C887=0),VLOOKUP(A887,'3 - LISTA DE ESPÉCIES'!A:H,1,FALSE()),IF(AND(A887=0,B887&lt;&gt;0,C887=0),VLOOKUP(B887,'3 - LISTA DE ESPÉCIES'!B:H,5,FALSE()),IF(AND(A887=0,B887=0,C887&lt;&gt;0),VLOOKUP(C887,'3 - LISTA DE ESPÉCIES'!C:H,4,FALSE()))))</f>
        <v>0</v>
      </c>
      <c r="F887" s="21" t="b">
        <f>IF(AND(A887&lt;&gt;0,B887=0,C887=0),VLOOKUP(A887,'3 - LISTA DE ESPÉCIES'!A:H,2,FALSE()),IF(AND(A887=0,B887&lt;&gt;0,C887=0),VLOOKUP(B887,'3 - LISTA DE ESPÉCIES'!B:H,6,FALSE()),IF(AND(A887=0,B887=0,C887&lt;&gt;0),VLOOKUP(C887,'3 - LISTA DE ESPÉCIES'!C:H,5,FALSE()))))</f>
        <v>0</v>
      </c>
      <c r="G887" s="21" t="b">
        <f>IF(AND(A887&lt;&gt;0,B887=0,C887=0),VLOOKUP(A887,'3 - LISTA DE ESPÉCIES'!A:H,3,FALSE()),IF(AND(A887=0,B887&lt;&gt;0,C887=0),VLOOKUP(B887,'3 - LISTA DE ESPÉCIES'!B:H,7,FALSE()),IF(AND(A887=0,B887=0,C887&lt;&gt;0),VLOOKUP(C887,'3 - LISTA DE ESPÉCIES'!C:H,6,FALSE()))))</f>
        <v>0</v>
      </c>
      <c r="H887" s="21" t="b">
        <f>IF(AND(A887&lt;&gt;0,B887=0,C887=0),VLOOKUP(A887,'3 - LISTA DE ESPÉCIES'!A:H,4,FALSE()),IF(AND(A887=0,B887&lt;&gt;0,C887=0),VLOOKUP(B887,'3 - LISTA DE ESPÉCIES'!B:H,3,FALSE()),IF(AND(A887=0,B887=0,C887&lt;&gt;0),VLOOKUP(C887,'3 - LISTA DE ESPÉCIES'!C:H,2,FALSE()))))</f>
        <v>0</v>
      </c>
      <c r="I887" s="21" t="b">
        <f>IF(AND(A887&lt;&gt;0,B887=0,C887=0),VLOOKUP(A887,'3 - LISTA DE ESPÉCIES'!A:H,5,FALSE()),IF(AND(A887=0,B887&lt;&gt;0,C887=0),VLOOKUP(B887,'3 - LISTA DE ESPÉCIES'!B:H,4,FALSE()),IF(AND(A887=0,B887=0,C887&lt;&gt;0),VLOOKUP(C887,'3 - LISTA DE ESPÉCIES'!C:H,3,FALSE()))))</f>
        <v>0</v>
      </c>
      <c r="J887" s="23"/>
      <c r="K887" s="23"/>
      <c r="L887" s="20"/>
      <c r="M887" s="20"/>
    </row>
    <row r="888" spans="1:13" x14ac:dyDescent="0.25">
      <c r="A888" s="20"/>
      <c r="B888" s="20"/>
      <c r="C888" s="20"/>
      <c r="E888" s="21" t="b">
        <f>IF(AND(A888&lt;&gt;0,B888=0,C888=0),VLOOKUP(A888,'3 - LISTA DE ESPÉCIES'!A:H,1,FALSE()),IF(AND(A888=0,B888&lt;&gt;0,C888=0),VLOOKUP(B888,'3 - LISTA DE ESPÉCIES'!B:H,5,FALSE()),IF(AND(A888=0,B888=0,C888&lt;&gt;0),VLOOKUP(C888,'3 - LISTA DE ESPÉCIES'!C:H,4,FALSE()))))</f>
        <v>0</v>
      </c>
      <c r="F888" s="21" t="b">
        <f>IF(AND(A888&lt;&gt;0,B888=0,C888=0),VLOOKUP(A888,'3 - LISTA DE ESPÉCIES'!A:H,2,FALSE()),IF(AND(A888=0,B888&lt;&gt;0,C888=0),VLOOKUP(B888,'3 - LISTA DE ESPÉCIES'!B:H,6,FALSE()),IF(AND(A888=0,B888=0,C888&lt;&gt;0),VLOOKUP(C888,'3 - LISTA DE ESPÉCIES'!C:H,5,FALSE()))))</f>
        <v>0</v>
      </c>
      <c r="G888" s="21" t="b">
        <f>IF(AND(A888&lt;&gt;0,B888=0,C888=0),VLOOKUP(A888,'3 - LISTA DE ESPÉCIES'!A:H,3,FALSE()),IF(AND(A888=0,B888&lt;&gt;0,C888=0),VLOOKUP(B888,'3 - LISTA DE ESPÉCIES'!B:H,7,FALSE()),IF(AND(A888=0,B888=0,C888&lt;&gt;0),VLOOKUP(C888,'3 - LISTA DE ESPÉCIES'!C:H,6,FALSE()))))</f>
        <v>0</v>
      </c>
      <c r="H888" s="21" t="b">
        <f>IF(AND(A888&lt;&gt;0,B888=0,C888=0),VLOOKUP(A888,'3 - LISTA DE ESPÉCIES'!A:H,4,FALSE()),IF(AND(A888=0,B888&lt;&gt;0,C888=0),VLOOKUP(B888,'3 - LISTA DE ESPÉCIES'!B:H,3,FALSE()),IF(AND(A888=0,B888=0,C888&lt;&gt;0),VLOOKUP(C888,'3 - LISTA DE ESPÉCIES'!C:H,2,FALSE()))))</f>
        <v>0</v>
      </c>
      <c r="I888" s="21" t="b">
        <f>IF(AND(A888&lt;&gt;0,B888=0,C888=0),VLOOKUP(A888,'3 - LISTA DE ESPÉCIES'!A:H,5,FALSE()),IF(AND(A888=0,B888&lt;&gt;0,C888=0),VLOOKUP(B888,'3 - LISTA DE ESPÉCIES'!B:H,4,FALSE()),IF(AND(A888=0,B888=0,C888&lt;&gt;0),VLOOKUP(C888,'3 - LISTA DE ESPÉCIES'!C:H,3,FALSE()))))</f>
        <v>0</v>
      </c>
      <c r="J888" s="23"/>
      <c r="K888" s="23"/>
      <c r="L888" s="20"/>
      <c r="M888" s="20"/>
    </row>
    <row r="889" spans="1:13" x14ac:dyDescent="0.25">
      <c r="A889" s="20"/>
      <c r="B889" s="20"/>
      <c r="C889" s="20"/>
      <c r="E889" s="21" t="b">
        <f>IF(AND(A889&lt;&gt;0,B889=0,C889=0),VLOOKUP(A889,'3 - LISTA DE ESPÉCIES'!A:H,1,FALSE()),IF(AND(A889=0,B889&lt;&gt;0,C889=0),VLOOKUP(B889,'3 - LISTA DE ESPÉCIES'!B:H,5,FALSE()),IF(AND(A889=0,B889=0,C889&lt;&gt;0),VLOOKUP(C889,'3 - LISTA DE ESPÉCIES'!C:H,4,FALSE()))))</f>
        <v>0</v>
      </c>
      <c r="F889" s="21" t="b">
        <f>IF(AND(A889&lt;&gt;0,B889=0,C889=0),VLOOKUP(A889,'3 - LISTA DE ESPÉCIES'!A:H,2,FALSE()),IF(AND(A889=0,B889&lt;&gt;0,C889=0),VLOOKUP(B889,'3 - LISTA DE ESPÉCIES'!B:H,6,FALSE()),IF(AND(A889=0,B889=0,C889&lt;&gt;0),VLOOKUP(C889,'3 - LISTA DE ESPÉCIES'!C:H,5,FALSE()))))</f>
        <v>0</v>
      </c>
      <c r="G889" s="21" t="b">
        <f>IF(AND(A889&lt;&gt;0,B889=0,C889=0),VLOOKUP(A889,'3 - LISTA DE ESPÉCIES'!A:H,3,FALSE()),IF(AND(A889=0,B889&lt;&gt;0,C889=0),VLOOKUP(B889,'3 - LISTA DE ESPÉCIES'!B:H,7,FALSE()),IF(AND(A889=0,B889=0,C889&lt;&gt;0),VLOOKUP(C889,'3 - LISTA DE ESPÉCIES'!C:H,6,FALSE()))))</f>
        <v>0</v>
      </c>
      <c r="H889" s="21" t="b">
        <f>IF(AND(A889&lt;&gt;0,B889=0,C889=0),VLOOKUP(A889,'3 - LISTA DE ESPÉCIES'!A:H,4,FALSE()),IF(AND(A889=0,B889&lt;&gt;0,C889=0),VLOOKUP(B889,'3 - LISTA DE ESPÉCIES'!B:H,3,FALSE()),IF(AND(A889=0,B889=0,C889&lt;&gt;0),VLOOKUP(C889,'3 - LISTA DE ESPÉCIES'!C:H,2,FALSE()))))</f>
        <v>0</v>
      </c>
      <c r="I889" s="21" t="b">
        <f>IF(AND(A889&lt;&gt;0,B889=0,C889=0),VLOOKUP(A889,'3 - LISTA DE ESPÉCIES'!A:H,5,FALSE()),IF(AND(A889=0,B889&lt;&gt;0,C889=0),VLOOKUP(B889,'3 - LISTA DE ESPÉCIES'!B:H,4,FALSE()),IF(AND(A889=0,B889=0,C889&lt;&gt;0),VLOOKUP(C889,'3 - LISTA DE ESPÉCIES'!C:H,3,FALSE()))))</f>
        <v>0</v>
      </c>
      <c r="J889" s="23"/>
      <c r="K889" s="23"/>
      <c r="L889" s="20"/>
      <c r="M889" s="20"/>
    </row>
    <row r="890" spans="1:13" x14ac:dyDescent="0.25">
      <c r="A890" s="20"/>
      <c r="B890" s="20"/>
      <c r="C890" s="20"/>
      <c r="E890" s="21" t="b">
        <f>IF(AND(A890&lt;&gt;0,B890=0,C890=0),VLOOKUP(A890,'3 - LISTA DE ESPÉCIES'!A:H,1,FALSE()),IF(AND(A890=0,B890&lt;&gt;0,C890=0),VLOOKUP(B890,'3 - LISTA DE ESPÉCIES'!B:H,5,FALSE()),IF(AND(A890=0,B890=0,C890&lt;&gt;0),VLOOKUP(C890,'3 - LISTA DE ESPÉCIES'!C:H,4,FALSE()))))</f>
        <v>0</v>
      </c>
      <c r="F890" s="21" t="b">
        <f>IF(AND(A890&lt;&gt;0,B890=0,C890=0),VLOOKUP(A890,'3 - LISTA DE ESPÉCIES'!A:H,2,FALSE()),IF(AND(A890=0,B890&lt;&gt;0,C890=0),VLOOKUP(B890,'3 - LISTA DE ESPÉCIES'!B:H,6,FALSE()),IF(AND(A890=0,B890=0,C890&lt;&gt;0),VLOOKUP(C890,'3 - LISTA DE ESPÉCIES'!C:H,5,FALSE()))))</f>
        <v>0</v>
      </c>
      <c r="G890" s="21" t="b">
        <f>IF(AND(A890&lt;&gt;0,B890=0,C890=0),VLOOKUP(A890,'3 - LISTA DE ESPÉCIES'!A:H,3,FALSE()),IF(AND(A890=0,B890&lt;&gt;0,C890=0),VLOOKUP(B890,'3 - LISTA DE ESPÉCIES'!B:H,7,FALSE()),IF(AND(A890=0,B890=0,C890&lt;&gt;0),VLOOKUP(C890,'3 - LISTA DE ESPÉCIES'!C:H,6,FALSE()))))</f>
        <v>0</v>
      </c>
      <c r="H890" s="21" t="b">
        <f>IF(AND(A890&lt;&gt;0,B890=0,C890=0),VLOOKUP(A890,'3 - LISTA DE ESPÉCIES'!A:H,4,FALSE()),IF(AND(A890=0,B890&lt;&gt;0,C890=0),VLOOKUP(B890,'3 - LISTA DE ESPÉCIES'!B:H,3,FALSE()),IF(AND(A890=0,B890=0,C890&lt;&gt;0),VLOOKUP(C890,'3 - LISTA DE ESPÉCIES'!C:H,2,FALSE()))))</f>
        <v>0</v>
      </c>
      <c r="I890" s="21" t="b">
        <f>IF(AND(A890&lt;&gt;0,B890=0,C890=0),VLOOKUP(A890,'3 - LISTA DE ESPÉCIES'!A:H,5,FALSE()),IF(AND(A890=0,B890&lt;&gt;0,C890=0),VLOOKUP(B890,'3 - LISTA DE ESPÉCIES'!B:H,4,FALSE()),IF(AND(A890=0,B890=0,C890&lt;&gt;0),VLOOKUP(C890,'3 - LISTA DE ESPÉCIES'!C:H,3,FALSE()))))</f>
        <v>0</v>
      </c>
      <c r="J890" s="23"/>
      <c r="K890" s="23"/>
      <c r="L890" s="20"/>
      <c r="M890" s="20"/>
    </row>
    <row r="891" spans="1:13" x14ac:dyDescent="0.25">
      <c r="A891" s="20"/>
      <c r="B891" s="20"/>
      <c r="C891" s="20"/>
      <c r="E891" s="21" t="b">
        <f>IF(AND(A891&lt;&gt;0,B891=0,C891=0),VLOOKUP(A891,'3 - LISTA DE ESPÉCIES'!A:H,1,FALSE()),IF(AND(A891=0,B891&lt;&gt;0,C891=0),VLOOKUP(B891,'3 - LISTA DE ESPÉCIES'!B:H,5,FALSE()),IF(AND(A891=0,B891=0,C891&lt;&gt;0),VLOOKUP(C891,'3 - LISTA DE ESPÉCIES'!C:H,4,FALSE()))))</f>
        <v>0</v>
      </c>
      <c r="F891" s="21" t="b">
        <f>IF(AND(A891&lt;&gt;0,B891=0,C891=0),VLOOKUP(A891,'3 - LISTA DE ESPÉCIES'!A:H,2,FALSE()),IF(AND(A891=0,B891&lt;&gt;0,C891=0),VLOOKUP(B891,'3 - LISTA DE ESPÉCIES'!B:H,6,FALSE()),IF(AND(A891=0,B891=0,C891&lt;&gt;0),VLOOKUP(C891,'3 - LISTA DE ESPÉCIES'!C:H,5,FALSE()))))</f>
        <v>0</v>
      </c>
      <c r="G891" s="21" t="b">
        <f>IF(AND(A891&lt;&gt;0,B891=0,C891=0),VLOOKUP(A891,'3 - LISTA DE ESPÉCIES'!A:H,3,FALSE()),IF(AND(A891=0,B891&lt;&gt;0,C891=0),VLOOKUP(B891,'3 - LISTA DE ESPÉCIES'!B:H,7,FALSE()),IF(AND(A891=0,B891=0,C891&lt;&gt;0),VLOOKUP(C891,'3 - LISTA DE ESPÉCIES'!C:H,6,FALSE()))))</f>
        <v>0</v>
      </c>
      <c r="H891" s="21" t="b">
        <f>IF(AND(A891&lt;&gt;0,B891=0,C891=0),VLOOKUP(A891,'3 - LISTA DE ESPÉCIES'!A:H,4,FALSE()),IF(AND(A891=0,B891&lt;&gt;0,C891=0),VLOOKUP(B891,'3 - LISTA DE ESPÉCIES'!B:H,3,FALSE()),IF(AND(A891=0,B891=0,C891&lt;&gt;0),VLOOKUP(C891,'3 - LISTA DE ESPÉCIES'!C:H,2,FALSE()))))</f>
        <v>0</v>
      </c>
      <c r="I891" s="21" t="b">
        <f>IF(AND(A891&lt;&gt;0,B891=0,C891=0),VLOOKUP(A891,'3 - LISTA DE ESPÉCIES'!A:H,5,FALSE()),IF(AND(A891=0,B891&lt;&gt;0,C891=0),VLOOKUP(B891,'3 - LISTA DE ESPÉCIES'!B:H,4,FALSE()),IF(AND(A891=0,B891=0,C891&lt;&gt;0),VLOOKUP(C891,'3 - LISTA DE ESPÉCIES'!C:H,3,FALSE()))))</f>
        <v>0</v>
      </c>
      <c r="J891" s="23"/>
      <c r="K891" s="23"/>
      <c r="L891" s="20"/>
      <c r="M891" s="20"/>
    </row>
    <row r="892" spans="1:13" x14ac:dyDescent="0.25">
      <c r="A892" s="20"/>
      <c r="B892" s="20"/>
      <c r="C892" s="20"/>
      <c r="E892" s="21" t="b">
        <f>IF(AND(A892&lt;&gt;0,B892=0,C892=0),VLOOKUP(A892,'3 - LISTA DE ESPÉCIES'!A:H,1,FALSE()),IF(AND(A892=0,B892&lt;&gt;0,C892=0),VLOOKUP(B892,'3 - LISTA DE ESPÉCIES'!B:H,5,FALSE()),IF(AND(A892=0,B892=0,C892&lt;&gt;0),VLOOKUP(C892,'3 - LISTA DE ESPÉCIES'!C:H,4,FALSE()))))</f>
        <v>0</v>
      </c>
      <c r="F892" s="21" t="b">
        <f>IF(AND(A892&lt;&gt;0,B892=0,C892=0),VLOOKUP(A892,'3 - LISTA DE ESPÉCIES'!A:H,2,FALSE()),IF(AND(A892=0,B892&lt;&gt;0,C892=0),VLOOKUP(B892,'3 - LISTA DE ESPÉCIES'!B:H,6,FALSE()),IF(AND(A892=0,B892=0,C892&lt;&gt;0),VLOOKUP(C892,'3 - LISTA DE ESPÉCIES'!C:H,5,FALSE()))))</f>
        <v>0</v>
      </c>
      <c r="G892" s="21" t="b">
        <f>IF(AND(A892&lt;&gt;0,B892=0,C892=0),VLOOKUP(A892,'3 - LISTA DE ESPÉCIES'!A:H,3,FALSE()),IF(AND(A892=0,B892&lt;&gt;0,C892=0),VLOOKUP(B892,'3 - LISTA DE ESPÉCIES'!B:H,7,FALSE()),IF(AND(A892=0,B892=0,C892&lt;&gt;0),VLOOKUP(C892,'3 - LISTA DE ESPÉCIES'!C:H,6,FALSE()))))</f>
        <v>0</v>
      </c>
      <c r="H892" s="21" t="b">
        <f>IF(AND(A892&lt;&gt;0,B892=0,C892=0),VLOOKUP(A892,'3 - LISTA DE ESPÉCIES'!A:H,4,FALSE()),IF(AND(A892=0,B892&lt;&gt;0,C892=0),VLOOKUP(B892,'3 - LISTA DE ESPÉCIES'!B:H,3,FALSE()),IF(AND(A892=0,B892=0,C892&lt;&gt;0),VLOOKUP(C892,'3 - LISTA DE ESPÉCIES'!C:H,2,FALSE()))))</f>
        <v>0</v>
      </c>
      <c r="I892" s="21" t="b">
        <f>IF(AND(A892&lt;&gt;0,B892=0,C892=0),VLOOKUP(A892,'3 - LISTA DE ESPÉCIES'!A:H,5,FALSE()),IF(AND(A892=0,B892&lt;&gt;0,C892=0),VLOOKUP(B892,'3 - LISTA DE ESPÉCIES'!B:H,4,FALSE()),IF(AND(A892=0,B892=0,C892&lt;&gt;0),VLOOKUP(C892,'3 - LISTA DE ESPÉCIES'!C:H,3,FALSE()))))</f>
        <v>0</v>
      </c>
      <c r="J892" s="23"/>
      <c r="K892" s="23"/>
      <c r="L892" s="20"/>
      <c r="M892" s="20"/>
    </row>
    <row r="893" spans="1:13" x14ac:dyDescent="0.25">
      <c r="A893" s="20"/>
      <c r="B893" s="20"/>
      <c r="C893" s="20"/>
      <c r="E893" s="21" t="b">
        <f>IF(AND(A893&lt;&gt;0,B893=0,C893=0),VLOOKUP(A893,'3 - LISTA DE ESPÉCIES'!A:H,1,FALSE()),IF(AND(A893=0,B893&lt;&gt;0,C893=0),VLOOKUP(B893,'3 - LISTA DE ESPÉCIES'!B:H,5,FALSE()),IF(AND(A893=0,B893=0,C893&lt;&gt;0),VLOOKUP(C893,'3 - LISTA DE ESPÉCIES'!C:H,4,FALSE()))))</f>
        <v>0</v>
      </c>
      <c r="F893" s="21" t="b">
        <f>IF(AND(A893&lt;&gt;0,B893=0,C893=0),VLOOKUP(A893,'3 - LISTA DE ESPÉCIES'!A:H,2,FALSE()),IF(AND(A893=0,B893&lt;&gt;0,C893=0),VLOOKUP(B893,'3 - LISTA DE ESPÉCIES'!B:H,6,FALSE()),IF(AND(A893=0,B893=0,C893&lt;&gt;0),VLOOKUP(C893,'3 - LISTA DE ESPÉCIES'!C:H,5,FALSE()))))</f>
        <v>0</v>
      </c>
      <c r="G893" s="21" t="b">
        <f>IF(AND(A893&lt;&gt;0,B893=0,C893=0),VLOOKUP(A893,'3 - LISTA DE ESPÉCIES'!A:H,3,FALSE()),IF(AND(A893=0,B893&lt;&gt;0,C893=0),VLOOKUP(B893,'3 - LISTA DE ESPÉCIES'!B:H,7,FALSE()),IF(AND(A893=0,B893=0,C893&lt;&gt;0),VLOOKUP(C893,'3 - LISTA DE ESPÉCIES'!C:H,6,FALSE()))))</f>
        <v>0</v>
      </c>
      <c r="H893" s="21" t="b">
        <f>IF(AND(A893&lt;&gt;0,B893=0,C893=0),VLOOKUP(A893,'3 - LISTA DE ESPÉCIES'!A:H,4,FALSE()),IF(AND(A893=0,B893&lt;&gt;0,C893=0),VLOOKUP(B893,'3 - LISTA DE ESPÉCIES'!B:H,3,FALSE()),IF(AND(A893=0,B893=0,C893&lt;&gt;0),VLOOKUP(C893,'3 - LISTA DE ESPÉCIES'!C:H,2,FALSE()))))</f>
        <v>0</v>
      </c>
      <c r="I893" s="21" t="b">
        <f>IF(AND(A893&lt;&gt;0,B893=0,C893=0),VLOOKUP(A893,'3 - LISTA DE ESPÉCIES'!A:H,5,FALSE()),IF(AND(A893=0,B893&lt;&gt;0,C893=0),VLOOKUP(B893,'3 - LISTA DE ESPÉCIES'!B:H,4,FALSE()),IF(AND(A893=0,B893=0,C893&lt;&gt;0),VLOOKUP(C893,'3 - LISTA DE ESPÉCIES'!C:H,3,FALSE()))))</f>
        <v>0</v>
      </c>
      <c r="J893" s="23"/>
      <c r="K893" s="23"/>
      <c r="L893" s="20"/>
      <c r="M893" s="20"/>
    </row>
    <row r="894" spans="1:13" x14ac:dyDescent="0.25">
      <c r="A894" s="20"/>
      <c r="B894" s="20"/>
      <c r="C894" s="20"/>
      <c r="E894" s="21" t="b">
        <f>IF(AND(A894&lt;&gt;0,B894=0,C894=0),VLOOKUP(A894,'3 - LISTA DE ESPÉCIES'!A:H,1,FALSE()),IF(AND(A894=0,B894&lt;&gt;0,C894=0),VLOOKUP(B894,'3 - LISTA DE ESPÉCIES'!B:H,5,FALSE()),IF(AND(A894=0,B894=0,C894&lt;&gt;0),VLOOKUP(C894,'3 - LISTA DE ESPÉCIES'!C:H,4,FALSE()))))</f>
        <v>0</v>
      </c>
      <c r="F894" s="21" t="b">
        <f>IF(AND(A894&lt;&gt;0,B894=0,C894=0),VLOOKUP(A894,'3 - LISTA DE ESPÉCIES'!A:H,2,FALSE()),IF(AND(A894=0,B894&lt;&gt;0,C894=0),VLOOKUP(B894,'3 - LISTA DE ESPÉCIES'!B:H,6,FALSE()),IF(AND(A894=0,B894=0,C894&lt;&gt;0),VLOOKUP(C894,'3 - LISTA DE ESPÉCIES'!C:H,5,FALSE()))))</f>
        <v>0</v>
      </c>
      <c r="G894" s="21" t="b">
        <f>IF(AND(A894&lt;&gt;0,B894=0,C894=0),VLOOKUP(A894,'3 - LISTA DE ESPÉCIES'!A:H,3,FALSE()),IF(AND(A894=0,B894&lt;&gt;0,C894=0),VLOOKUP(B894,'3 - LISTA DE ESPÉCIES'!B:H,7,FALSE()),IF(AND(A894=0,B894=0,C894&lt;&gt;0),VLOOKUP(C894,'3 - LISTA DE ESPÉCIES'!C:H,6,FALSE()))))</f>
        <v>0</v>
      </c>
      <c r="H894" s="21" t="b">
        <f>IF(AND(A894&lt;&gt;0,B894=0,C894=0),VLOOKUP(A894,'3 - LISTA DE ESPÉCIES'!A:H,4,FALSE()),IF(AND(A894=0,B894&lt;&gt;0,C894=0),VLOOKUP(B894,'3 - LISTA DE ESPÉCIES'!B:H,3,FALSE()),IF(AND(A894=0,B894=0,C894&lt;&gt;0),VLOOKUP(C894,'3 - LISTA DE ESPÉCIES'!C:H,2,FALSE()))))</f>
        <v>0</v>
      </c>
      <c r="I894" s="21" t="b">
        <f>IF(AND(A894&lt;&gt;0,B894=0,C894=0),VLOOKUP(A894,'3 - LISTA DE ESPÉCIES'!A:H,5,FALSE()),IF(AND(A894=0,B894&lt;&gt;0,C894=0),VLOOKUP(B894,'3 - LISTA DE ESPÉCIES'!B:H,4,FALSE()),IF(AND(A894=0,B894=0,C894&lt;&gt;0),VLOOKUP(C894,'3 - LISTA DE ESPÉCIES'!C:H,3,FALSE()))))</f>
        <v>0</v>
      </c>
      <c r="J894" s="23"/>
      <c r="K894" s="23"/>
      <c r="L894" s="20"/>
      <c r="M894" s="20"/>
    </row>
    <row r="895" spans="1:13" x14ac:dyDescent="0.25">
      <c r="A895" s="20"/>
      <c r="B895" s="20"/>
      <c r="C895" s="20"/>
      <c r="E895" s="21" t="b">
        <f>IF(AND(A895&lt;&gt;0,B895=0,C895=0),VLOOKUP(A895,'3 - LISTA DE ESPÉCIES'!A:H,1,FALSE()),IF(AND(A895=0,B895&lt;&gt;0,C895=0),VLOOKUP(B895,'3 - LISTA DE ESPÉCIES'!B:H,5,FALSE()),IF(AND(A895=0,B895=0,C895&lt;&gt;0),VLOOKUP(C895,'3 - LISTA DE ESPÉCIES'!C:H,4,FALSE()))))</f>
        <v>0</v>
      </c>
      <c r="F895" s="21" t="b">
        <f>IF(AND(A895&lt;&gt;0,B895=0,C895=0),VLOOKUP(A895,'3 - LISTA DE ESPÉCIES'!A:H,2,FALSE()),IF(AND(A895=0,B895&lt;&gt;0,C895=0),VLOOKUP(B895,'3 - LISTA DE ESPÉCIES'!B:H,6,FALSE()),IF(AND(A895=0,B895=0,C895&lt;&gt;0),VLOOKUP(C895,'3 - LISTA DE ESPÉCIES'!C:H,5,FALSE()))))</f>
        <v>0</v>
      </c>
      <c r="G895" s="21" t="b">
        <f>IF(AND(A895&lt;&gt;0,B895=0,C895=0),VLOOKUP(A895,'3 - LISTA DE ESPÉCIES'!A:H,3,FALSE()),IF(AND(A895=0,B895&lt;&gt;0,C895=0),VLOOKUP(B895,'3 - LISTA DE ESPÉCIES'!B:H,7,FALSE()),IF(AND(A895=0,B895=0,C895&lt;&gt;0),VLOOKUP(C895,'3 - LISTA DE ESPÉCIES'!C:H,6,FALSE()))))</f>
        <v>0</v>
      </c>
      <c r="H895" s="21" t="b">
        <f>IF(AND(A895&lt;&gt;0,B895=0,C895=0),VLOOKUP(A895,'3 - LISTA DE ESPÉCIES'!A:H,4,FALSE()),IF(AND(A895=0,B895&lt;&gt;0,C895=0),VLOOKUP(B895,'3 - LISTA DE ESPÉCIES'!B:H,3,FALSE()),IF(AND(A895=0,B895=0,C895&lt;&gt;0),VLOOKUP(C895,'3 - LISTA DE ESPÉCIES'!C:H,2,FALSE()))))</f>
        <v>0</v>
      </c>
      <c r="I895" s="21" t="b">
        <f>IF(AND(A895&lt;&gt;0,B895=0,C895=0),VLOOKUP(A895,'3 - LISTA DE ESPÉCIES'!A:H,5,FALSE()),IF(AND(A895=0,B895&lt;&gt;0,C895=0),VLOOKUP(B895,'3 - LISTA DE ESPÉCIES'!B:H,4,FALSE()),IF(AND(A895=0,B895=0,C895&lt;&gt;0),VLOOKUP(C895,'3 - LISTA DE ESPÉCIES'!C:H,3,FALSE()))))</f>
        <v>0</v>
      </c>
      <c r="J895" s="23"/>
      <c r="K895" s="23"/>
      <c r="L895" s="20"/>
      <c r="M895" s="20"/>
    </row>
    <row r="896" spans="1:13" x14ac:dyDescent="0.25">
      <c r="A896" s="20"/>
      <c r="B896" s="20"/>
      <c r="C896" s="20"/>
      <c r="E896" s="21" t="b">
        <f>IF(AND(A896&lt;&gt;0,B896=0,C896=0),VLOOKUP(A896,'3 - LISTA DE ESPÉCIES'!A:H,1,FALSE()),IF(AND(A896=0,B896&lt;&gt;0,C896=0),VLOOKUP(B896,'3 - LISTA DE ESPÉCIES'!B:H,5,FALSE()),IF(AND(A896=0,B896=0,C896&lt;&gt;0),VLOOKUP(C896,'3 - LISTA DE ESPÉCIES'!C:H,4,FALSE()))))</f>
        <v>0</v>
      </c>
      <c r="F896" s="21" t="b">
        <f>IF(AND(A896&lt;&gt;0,B896=0,C896=0),VLOOKUP(A896,'3 - LISTA DE ESPÉCIES'!A:H,2,FALSE()),IF(AND(A896=0,B896&lt;&gt;0,C896=0),VLOOKUP(B896,'3 - LISTA DE ESPÉCIES'!B:H,6,FALSE()),IF(AND(A896=0,B896=0,C896&lt;&gt;0),VLOOKUP(C896,'3 - LISTA DE ESPÉCIES'!C:H,5,FALSE()))))</f>
        <v>0</v>
      </c>
      <c r="G896" s="21" t="b">
        <f>IF(AND(A896&lt;&gt;0,B896=0,C896=0),VLOOKUP(A896,'3 - LISTA DE ESPÉCIES'!A:H,3,FALSE()),IF(AND(A896=0,B896&lt;&gt;0,C896=0),VLOOKUP(B896,'3 - LISTA DE ESPÉCIES'!B:H,7,FALSE()),IF(AND(A896=0,B896=0,C896&lt;&gt;0),VLOOKUP(C896,'3 - LISTA DE ESPÉCIES'!C:H,6,FALSE()))))</f>
        <v>0</v>
      </c>
      <c r="H896" s="21" t="b">
        <f>IF(AND(A896&lt;&gt;0,B896=0,C896=0),VLOOKUP(A896,'3 - LISTA DE ESPÉCIES'!A:H,4,FALSE()),IF(AND(A896=0,B896&lt;&gt;0,C896=0),VLOOKUP(B896,'3 - LISTA DE ESPÉCIES'!B:H,3,FALSE()),IF(AND(A896=0,B896=0,C896&lt;&gt;0),VLOOKUP(C896,'3 - LISTA DE ESPÉCIES'!C:H,2,FALSE()))))</f>
        <v>0</v>
      </c>
      <c r="I896" s="21" t="b">
        <f>IF(AND(A896&lt;&gt;0,B896=0,C896=0),VLOOKUP(A896,'3 - LISTA DE ESPÉCIES'!A:H,5,FALSE()),IF(AND(A896=0,B896&lt;&gt;0,C896=0),VLOOKUP(B896,'3 - LISTA DE ESPÉCIES'!B:H,4,FALSE()),IF(AND(A896=0,B896=0,C896&lt;&gt;0),VLOOKUP(C896,'3 - LISTA DE ESPÉCIES'!C:H,3,FALSE()))))</f>
        <v>0</v>
      </c>
      <c r="J896" s="23"/>
      <c r="K896" s="23"/>
      <c r="L896" s="20"/>
      <c r="M896" s="20"/>
    </row>
    <row r="897" spans="1:13" x14ac:dyDescent="0.25">
      <c r="A897" s="20"/>
      <c r="B897" s="20"/>
      <c r="C897" s="20"/>
      <c r="E897" s="21" t="b">
        <f>IF(AND(A897&lt;&gt;0,B897=0,C897=0),VLOOKUP(A897,'3 - LISTA DE ESPÉCIES'!A:H,1,FALSE()),IF(AND(A897=0,B897&lt;&gt;0,C897=0),VLOOKUP(B897,'3 - LISTA DE ESPÉCIES'!B:H,5,FALSE()),IF(AND(A897=0,B897=0,C897&lt;&gt;0),VLOOKUP(C897,'3 - LISTA DE ESPÉCIES'!C:H,4,FALSE()))))</f>
        <v>0</v>
      </c>
      <c r="F897" s="21" t="b">
        <f>IF(AND(A897&lt;&gt;0,B897=0,C897=0),VLOOKUP(A897,'3 - LISTA DE ESPÉCIES'!A:H,2,FALSE()),IF(AND(A897=0,B897&lt;&gt;0,C897=0),VLOOKUP(B897,'3 - LISTA DE ESPÉCIES'!B:H,6,FALSE()),IF(AND(A897=0,B897=0,C897&lt;&gt;0),VLOOKUP(C897,'3 - LISTA DE ESPÉCIES'!C:H,5,FALSE()))))</f>
        <v>0</v>
      </c>
      <c r="G897" s="21" t="b">
        <f>IF(AND(A897&lt;&gt;0,B897=0,C897=0),VLOOKUP(A897,'3 - LISTA DE ESPÉCIES'!A:H,3,FALSE()),IF(AND(A897=0,B897&lt;&gt;0,C897=0),VLOOKUP(B897,'3 - LISTA DE ESPÉCIES'!B:H,7,FALSE()),IF(AND(A897=0,B897=0,C897&lt;&gt;0),VLOOKUP(C897,'3 - LISTA DE ESPÉCIES'!C:H,6,FALSE()))))</f>
        <v>0</v>
      </c>
      <c r="H897" s="21" t="b">
        <f>IF(AND(A897&lt;&gt;0,B897=0,C897=0),VLOOKUP(A897,'3 - LISTA DE ESPÉCIES'!A:H,4,FALSE()),IF(AND(A897=0,B897&lt;&gt;0,C897=0),VLOOKUP(B897,'3 - LISTA DE ESPÉCIES'!B:H,3,FALSE()),IF(AND(A897=0,B897=0,C897&lt;&gt;0),VLOOKUP(C897,'3 - LISTA DE ESPÉCIES'!C:H,2,FALSE()))))</f>
        <v>0</v>
      </c>
      <c r="I897" s="21" t="b">
        <f>IF(AND(A897&lt;&gt;0,B897=0,C897=0),VLOOKUP(A897,'3 - LISTA DE ESPÉCIES'!A:H,5,FALSE()),IF(AND(A897=0,B897&lt;&gt;0,C897=0),VLOOKUP(B897,'3 - LISTA DE ESPÉCIES'!B:H,4,FALSE()),IF(AND(A897=0,B897=0,C897&lt;&gt;0),VLOOKUP(C897,'3 - LISTA DE ESPÉCIES'!C:H,3,FALSE()))))</f>
        <v>0</v>
      </c>
      <c r="J897" s="23"/>
      <c r="K897" s="23"/>
      <c r="L897" s="20"/>
      <c r="M897" s="20"/>
    </row>
    <row r="898" spans="1:13" x14ac:dyDescent="0.25">
      <c r="A898" s="20"/>
      <c r="B898" s="20"/>
      <c r="C898" s="20"/>
      <c r="E898" s="21" t="b">
        <f>IF(AND(A898&lt;&gt;0,B898=0,C898=0),VLOOKUP(A898,'3 - LISTA DE ESPÉCIES'!A:H,1,FALSE()),IF(AND(A898=0,B898&lt;&gt;0,C898=0),VLOOKUP(B898,'3 - LISTA DE ESPÉCIES'!B:H,5,FALSE()),IF(AND(A898=0,B898=0,C898&lt;&gt;0),VLOOKUP(C898,'3 - LISTA DE ESPÉCIES'!C:H,4,FALSE()))))</f>
        <v>0</v>
      </c>
      <c r="F898" s="21" t="b">
        <f>IF(AND(A898&lt;&gt;0,B898=0,C898=0),VLOOKUP(A898,'3 - LISTA DE ESPÉCIES'!A:H,2,FALSE()),IF(AND(A898=0,B898&lt;&gt;0,C898=0),VLOOKUP(B898,'3 - LISTA DE ESPÉCIES'!B:H,6,FALSE()),IF(AND(A898=0,B898=0,C898&lt;&gt;0),VLOOKUP(C898,'3 - LISTA DE ESPÉCIES'!C:H,5,FALSE()))))</f>
        <v>0</v>
      </c>
      <c r="G898" s="21" t="b">
        <f>IF(AND(A898&lt;&gt;0,B898=0,C898=0),VLOOKUP(A898,'3 - LISTA DE ESPÉCIES'!A:H,3,FALSE()),IF(AND(A898=0,B898&lt;&gt;0,C898=0),VLOOKUP(B898,'3 - LISTA DE ESPÉCIES'!B:H,7,FALSE()),IF(AND(A898=0,B898=0,C898&lt;&gt;0),VLOOKUP(C898,'3 - LISTA DE ESPÉCIES'!C:H,6,FALSE()))))</f>
        <v>0</v>
      </c>
      <c r="H898" s="21" t="b">
        <f>IF(AND(A898&lt;&gt;0,B898=0,C898=0),VLOOKUP(A898,'3 - LISTA DE ESPÉCIES'!A:H,4,FALSE()),IF(AND(A898=0,B898&lt;&gt;0,C898=0),VLOOKUP(B898,'3 - LISTA DE ESPÉCIES'!B:H,3,FALSE()),IF(AND(A898=0,B898=0,C898&lt;&gt;0),VLOOKUP(C898,'3 - LISTA DE ESPÉCIES'!C:H,2,FALSE()))))</f>
        <v>0</v>
      </c>
      <c r="I898" s="21" t="b">
        <f>IF(AND(A898&lt;&gt;0,B898=0,C898=0),VLOOKUP(A898,'3 - LISTA DE ESPÉCIES'!A:H,5,FALSE()),IF(AND(A898=0,B898&lt;&gt;0,C898=0),VLOOKUP(B898,'3 - LISTA DE ESPÉCIES'!B:H,4,FALSE()),IF(AND(A898=0,B898=0,C898&lt;&gt;0),VLOOKUP(C898,'3 - LISTA DE ESPÉCIES'!C:H,3,FALSE()))))</f>
        <v>0</v>
      </c>
      <c r="J898" s="23"/>
      <c r="K898" s="23"/>
      <c r="L898" s="20"/>
      <c r="M898" s="20"/>
    </row>
    <row r="899" spans="1:13" x14ac:dyDescent="0.25">
      <c r="A899" s="20"/>
      <c r="B899" s="20"/>
      <c r="C899" s="20"/>
      <c r="E899" s="21" t="b">
        <f>IF(AND(A899&lt;&gt;0,B899=0,C899=0),VLOOKUP(A899,'3 - LISTA DE ESPÉCIES'!A:H,1,FALSE()),IF(AND(A899=0,B899&lt;&gt;0,C899=0),VLOOKUP(B899,'3 - LISTA DE ESPÉCIES'!B:H,5,FALSE()),IF(AND(A899=0,B899=0,C899&lt;&gt;0),VLOOKUP(C899,'3 - LISTA DE ESPÉCIES'!C:H,4,FALSE()))))</f>
        <v>0</v>
      </c>
      <c r="F899" s="21" t="b">
        <f>IF(AND(A899&lt;&gt;0,B899=0,C899=0),VLOOKUP(A899,'3 - LISTA DE ESPÉCIES'!A:H,2,FALSE()),IF(AND(A899=0,B899&lt;&gt;0,C899=0),VLOOKUP(B899,'3 - LISTA DE ESPÉCIES'!B:H,6,FALSE()),IF(AND(A899=0,B899=0,C899&lt;&gt;0),VLOOKUP(C899,'3 - LISTA DE ESPÉCIES'!C:H,5,FALSE()))))</f>
        <v>0</v>
      </c>
      <c r="G899" s="21" t="b">
        <f>IF(AND(A899&lt;&gt;0,B899=0,C899=0),VLOOKUP(A899,'3 - LISTA DE ESPÉCIES'!A:H,3,FALSE()),IF(AND(A899=0,B899&lt;&gt;0,C899=0),VLOOKUP(B899,'3 - LISTA DE ESPÉCIES'!B:H,7,FALSE()),IF(AND(A899=0,B899=0,C899&lt;&gt;0),VLOOKUP(C899,'3 - LISTA DE ESPÉCIES'!C:H,6,FALSE()))))</f>
        <v>0</v>
      </c>
      <c r="H899" s="21" t="b">
        <f>IF(AND(A899&lt;&gt;0,B899=0,C899=0),VLOOKUP(A899,'3 - LISTA DE ESPÉCIES'!A:H,4,FALSE()),IF(AND(A899=0,B899&lt;&gt;0,C899=0),VLOOKUP(B899,'3 - LISTA DE ESPÉCIES'!B:H,3,FALSE()),IF(AND(A899=0,B899=0,C899&lt;&gt;0),VLOOKUP(C899,'3 - LISTA DE ESPÉCIES'!C:H,2,FALSE()))))</f>
        <v>0</v>
      </c>
      <c r="I899" s="21" t="b">
        <f>IF(AND(A899&lt;&gt;0,B899=0,C899=0),VLOOKUP(A899,'3 - LISTA DE ESPÉCIES'!A:H,5,FALSE()),IF(AND(A899=0,B899&lt;&gt;0,C899=0),VLOOKUP(B899,'3 - LISTA DE ESPÉCIES'!B:H,4,FALSE()),IF(AND(A899=0,B899=0,C899&lt;&gt;0),VLOOKUP(C899,'3 - LISTA DE ESPÉCIES'!C:H,3,FALSE()))))</f>
        <v>0</v>
      </c>
      <c r="J899" s="23"/>
      <c r="K899" s="23"/>
      <c r="L899" s="20"/>
      <c r="M899" s="20"/>
    </row>
    <row r="900" spans="1:13" x14ac:dyDescent="0.25">
      <c r="A900" s="20"/>
      <c r="B900" s="20"/>
      <c r="C900" s="20"/>
      <c r="E900" s="21" t="b">
        <f>IF(AND(A900&lt;&gt;0,B900=0,C900=0),VLOOKUP(A900,'3 - LISTA DE ESPÉCIES'!A:H,1,FALSE()),IF(AND(A900=0,B900&lt;&gt;0,C900=0),VLOOKUP(B900,'3 - LISTA DE ESPÉCIES'!B:H,5,FALSE()),IF(AND(A900=0,B900=0,C900&lt;&gt;0),VLOOKUP(C900,'3 - LISTA DE ESPÉCIES'!C:H,4,FALSE()))))</f>
        <v>0</v>
      </c>
      <c r="F900" s="21" t="b">
        <f>IF(AND(A900&lt;&gt;0,B900=0,C900=0),VLOOKUP(A900,'3 - LISTA DE ESPÉCIES'!A:H,2,FALSE()),IF(AND(A900=0,B900&lt;&gt;0,C900=0),VLOOKUP(B900,'3 - LISTA DE ESPÉCIES'!B:H,6,FALSE()),IF(AND(A900=0,B900=0,C900&lt;&gt;0),VLOOKUP(C900,'3 - LISTA DE ESPÉCIES'!C:H,5,FALSE()))))</f>
        <v>0</v>
      </c>
      <c r="G900" s="21" t="b">
        <f>IF(AND(A900&lt;&gt;0,B900=0,C900=0),VLOOKUP(A900,'3 - LISTA DE ESPÉCIES'!A:H,3,FALSE()),IF(AND(A900=0,B900&lt;&gt;0,C900=0),VLOOKUP(B900,'3 - LISTA DE ESPÉCIES'!B:H,7,FALSE()),IF(AND(A900=0,B900=0,C900&lt;&gt;0),VLOOKUP(C900,'3 - LISTA DE ESPÉCIES'!C:H,6,FALSE()))))</f>
        <v>0</v>
      </c>
      <c r="H900" s="21" t="b">
        <f>IF(AND(A900&lt;&gt;0,B900=0,C900=0),VLOOKUP(A900,'3 - LISTA DE ESPÉCIES'!A:H,4,FALSE()),IF(AND(A900=0,B900&lt;&gt;0,C900=0),VLOOKUP(B900,'3 - LISTA DE ESPÉCIES'!B:H,3,FALSE()),IF(AND(A900=0,B900=0,C900&lt;&gt;0),VLOOKUP(C900,'3 - LISTA DE ESPÉCIES'!C:H,2,FALSE()))))</f>
        <v>0</v>
      </c>
      <c r="I900" s="21" t="b">
        <f>IF(AND(A900&lt;&gt;0,B900=0,C900=0),VLOOKUP(A900,'3 - LISTA DE ESPÉCIES'!A:H,5,FALSE()),IF(AND(A900=0,B900&lt;&gt;0,C900=0),VLOOKUP(B900,'3 - LISTA DE ESPÉCIES'!B:H,4,FALSE()),IF(AND(A900=0,B900=0,C900&lt;&gt;0),VLOOKUP(C900,'3 - LISTA DE ESPÉCIES'!C:H,3,FALSE()))))</f>
        <v>0</v>
      </c>
      <c r="J900" s="23"/>
      <c r="K900" s="23"/>
      <c r="L900" s="20"/>
      <c r="M900" s="20"/>
    </row>
    <row r="901" spans="1:13" x14ac:dyDescent="0.25">
      <c r="A901" s="20"/>
      <c r="B901" s="20"/>
      <c r="C901" s="20"/>
      <c r="E901" s="21" t="b">
        <f>IF(AND(A901&lt;&gt;0,B901=0,C901=0),VLOOKUP(A901,'3 - LISTA DE ESPÉCIES'!A:H,1,FALSE()),IF(AND(A901=0,B901&lt;&gt;0,C901=0),VLOOKUP(B901,'3 - LISTA DE ESPÉCIES'!B:H,5,FALSE()),IF(AND(A901=0,B901=0,C901&lt;&gt;0),VLOOKUP(C901,'3 - LISTA DE ESPÉCIES'!C:H,4,FALSE()))))</f>
        <v>0</v>
      </c>
      <c r="F901" s="21" t="b">
        <f>IF(AND(A901&lt;&gt;0,B901=0,C901=0),VLOOKUP(A901,'3 - LISTA DE ESPÉCIES'!A:H,2,FALSE()),IF(AND(A901=0,B901&lt;&gt;0,C901=0),VLOOKUP(B901,'3 - LISTA DE ESPÉCIES'!B:H,6,FALSE()),IF(AND(A901=0,B901=0,C901&lt;&gt;0),VLOOKUP(C901,'3 - LISTA DE ESPÉCIES'!C:H,5,FALSE()))))</f>
        <v>0</v>
      </c>
      <c r="G901" s="21" t="b">
        <f>IF(AND(A901&lt;&gt;0,B901=0,C901=0),VLOOKUP(A901,'3 - LISTA DE ESPÉCIES'!A:H,3,FALSE()),IF(AND(A901=0,B901&lt;&gt;0,C901=0),VLOOKUP(B901,'3 - LISTA DE ESPÉCIES'!B:H,7,FALSE()),IF(AND(A901=0,B901=0,C901&lt;&gt;0),VLOOKUP(C901,'3 - LISTA DE ESPÉCIES'!C:H,6,FALSE()))))</f>
        <v>0</v>
      </c>
      <c r="H901" s="21" t="b">
        <f>IF(AND(A901&lt;&gt;0,B901=0,C901=0),VLOOKUP(A901,'3 - LISTA DE ESPÉCIES'!A:H,4,FALSE()),IF(AND(A901=0,B901&lt;&gt;0,C901=0),VLOOKUP(B901,'3 - LISTA DE ESPÉCIES'!B:H,3,FALSE()),IF(AND(A901=0,B901=0,C901&lt;&gt;0),VLOOKUP(C901,'3 - LISTA DE ESPÉCIES'!C:H,2,FALSE()))))</f>
        <v>0</v>
      </c>
      <c r="I901" s="21" t="b">
        <f>IF(AND(A901&lt;&gt;0,B901=0,C901=0),VLOOKUP(A901,'3 - LISTA DE ESPÉCIES'!A:H,5,FALSE()),IF(AND(A901=0,B901&lt;&gt;0,C901=0),VLOOKUP(B901,'3 - LISTA DE ESPÉCIES'!B:H,4,FALSE()),IF(AND(A901=0,B901=0,C901&lt;&gt;0),VLOOKUP(C901,'3 - LISTA DE ESPÉCIES'!C:H,3,FALSE()))))</f>
        <v>0</v>
      </c>
      <c r="J901" s="23"/>
      <c r="K901" s="23"/>
      <c r="L901" s="20"/>
      <c r="M901" s="20"/>
    </row>
    <row r="902" spans="1:13" x14ac:dyDescent="0.25">
      <c r="A902" s="20"/>
      <c r="B902" s="20"/>
      <c r="C902" s="20"/>
      <c r="E902" s="21" t="b">
        <f>IF(AND(A902&lt;&gt;0,B902=0,C902=0),VLOOKUP(A902,'3 - LISTA DE ESPÉCIES'!A:H,1,FALSE()),IF(AND(A902=0,B902&lt;&gt;0,C902=0),VLOOKUP(B902,'3 - LISTA DE ESPÉCIES'!B:H,5,FALSE()),IF(AND(A902=0,B902=0,C902&lt;&gt;0),VLOOKUP(C902,'3 - LISTA DE ESPÉCIES'!C:H,4,FALSE()))))</f>
        <v>0</v>
      </c>
      <c r="F902" s="21" t="b">
        <f>IF(AND(A902&lt;&gt;0,B902=0,C902=0),VLOOKUP(A902,'3 - LISTA DE ESPÉCIES'!A:H,2,FALSE()),IF(AND(A902=0,B902&lt;&gt;0,C902=0),VLOOKUP(B902,'3 - LISTA DE ESPÉCIES'!B:H,6,FALSE()),IF(AND(A902=0,B902=0,C902&lt;&gt;0),VLOOKUP(C902,'3 - LISTA DE ESPÉCIES'!C:H,5,FALSE()))))</f>
        <v>0</v>
      </c>
      <c r="G902" s="21" t="b">
        <f>IF(AND(A902&lt;&gt;0,B902=0,C902=0),VLOOKUP(A902,'3 - LISTA DE ESPÉCIES'!A:H,3,FALSE()),IF(AND(A902=0,B902&lt;&gt;0,C902=0),VLOOKUP(B902,'3 - LISTA DE ESPÉCIES'!B:H,7,FALSE()),IF(AND(A902=0,B902=0,C902&lt;&gt;0),VLOOKUP(C902,'3 - LISTA DE ESPÉCIES'!C:H,6,FALSE()))))</f>
        <v>0</v>
      </c>
      <c r="H902" s="21" t="b">
        <f>IF(AND(A902&lt;&gt;0,B902=0,C902=0),VLOOKUP(A902,'3 - LISTA DE ESPÉCIES'!A:H,4,FALSE()),IF(AND(A902=0,B902&lt;&gt;0,C902=0),VLOOKUP(B902,'3 - LISTA DE ESPÉCIES'!B:H,3,FALSE()),IF(AND(A902=0,B902=0,C902&lt;&gt;0),VLOOKUP(C902,'3 - LISTA DE ESPÉCIES'!C:H,2,FALSE()))))</f>
        <v>0</v>
      </c>
      <c r="I902" s="21" t="b">
        <f>IF(AND(A902&lt;&gt;0,B902=0,C902=0),VLOOKUP(A902,'3 - LISTA DE ESPÉCIES'!A:H,5,FALSE()),IF(AND(A902=0,B902&lt;&gt;0,C902=0),VLOOKUP(B902,'3 - LISTA DE ESPÉCIES'!B:H,4,FALSE()),IF(AND(A902=0,B902=0,C902&lt;&gt;0),VLOOKUP(C902,'3 - LISTA DE ESPÉCIES'!C:H,3,FALSE()))))</f>
        <v>0</v>
      </c>
      <c r="J902" s="23"/>
      <c r="K902" s="23"/>
      <c r="L902" s="20"/>
      <c r="M902" s="20"/>
    </row>
    <row r="903" spans="1:13" x14ac:dyDescent="0.25">
      <c r="A903" s="20"/>
      <c r="B903" s="20"/>
      <c r="C903" s="20"/>
      <c r="E903" s="21" t="b">
        <f>IF(AND(A903&lt;&gt;0,B903=0,C903=0),VLOOKUP(A903,'3 - LISTA DE ESPÉCIES'!A:H,1,FALSE()),IF(AND(A903=0,B903&lt;&gt;0,C903=0),VLOOKUP(B903,'3 - LISTA DE ESPÉCIES'!B:H,5,FALSE()),IF(AND(A903=0,B903=0,C903&lt;&gt;0),VLOOKUP(C903,'3 - LISTA DE ESPÉCIES'!C:H,4,FALSE()))))</f>
        <v>0</v>
      </c>
      <c r="F903" s="21" t="b">
        <f>IF(AND(A903&lt;&gt;0,B903=0,C903=0),VLOOKUP(A903,'3 - LISTA DE ESPÉCIES'!A:H,2,FALSE()),IF(AND(A903=0,B903&lt;&gt;0,C903=0),VLOOKUP(B903,'3 - LISTA DE ESPÉCIES'!B:H,6,FALSE()),IF(AND(A903=0,B903=0,C903&lt;&gt;0),VLOOKUP(C903,'3 - LISTA DE ESPÉCIES'!C:H,5,FALSE()))))</f>
        <v>0</v>
      </c>
      <c r="G903" s="21" t="b">
        <f>IF(AND(A903&lt;&gt;0,B903=0,C903=0),VLOOKUP(A903,'3 - LISTA DE ESPÉCIES'!A:H,3,FALSE()),IF(AND(A903=0,B903&lt;&gt;0,C903=0),VLOOKUP(B903,'3 - LISTA DE ESPÉCIES'!B:H,7,FALSE()),IF(AND(A903=0,B903=0,C903&lt;&gt;0),VLOOKUP(C903,'3 - LISTA DE ESPÉCIES'!C:H,6,FALSE()))))</f>
        <v>0</v>
      </c>
      <c r="H903" s="21" t="b">
        <f>IF(AND(A903&lt;&gt;0,B903=0,C903=0),VLOOKUP(A903,'3 - LISTA DE ESPÉCIES'!A:H,4,FALSE()),IF(AND(A903=0,B903&lt;&gt;0,C903=0),VLOOKUP(B903,'3 - LISTA DE ESPÉCIES'!B:H,3,FALSE()),IF(AND(A903=0,B903=0,C903&lt;&gt;0),VLOOKUP(C903,'3 - LISTA DE ESPÉCIES'!C:H,2,FALSE()))))</f>
        <v>0</v>
      </c>
      <c r="I903" s="21" t="b">
        <f>IF(AND(A903&lt;&gt;0,B903=0,C903=0),VLOOKUP(A903,'3 - LISTA DE ESPÉCIES'!A:H,5,FALSE()),IF(AND(A903=0,B903&lt;&gt;0,C903=0),VLOOKUP(B903,'3 - LISTA DE ESPÉCIES'!B:H,4,FALSE()),IF(AND(A903=0,B903=0,C903&lt;&gt;0),VLOOKUP(C903,'3 - LISTA DE ESPÉCIES'!C:H,3,FALSE()))))</f>
        <v>0</v>
      </c>
      <c r="J903" s="23"/>
      <c r="K903" s="23"/>
      <c r="L903" s="20"/>
      <c r="M903" s="20"/>
    </row>
    <row r="904" spans="1:13" x14ac:dyDescent="0.25">
      <c r="A904" s="20"/>
      <c r="B904" s="20"/>
      <c r="C904" s="20"/>
      <c r="E904" s="21" t="b">
        <f>IF(AND(A904&lt;&gt;0,B904=0,C904=0),VLOOKUP(A904,'3 - LISTA DE ESPÉCIES'!A:H,1,FALSE()),IF(AND(A904=0,B904&lt;&gt;0,C904=0),VLOOKUP(B904,'3 - LISTA DE ESPÉCIES'!B:H,5,FALSE()),IF(AND(A904=0,B904=0,C904&lt;&gt;0),VLOOKUP(C904,'3 - LISTA DE ESPÉCIES'!C:H,4,FALSE()))))</f>
        <v>0</v>
      </c>
      <c r="F904" s="21" t="b">
        <f>IF(AND(A904&lt;&gt;0,B904=0,C904=0),VLOOKUP(A904,'3 - LISTA DE ESPÉCIES'!A:H,2,FALSE()),IF(AND(A904=0,B904&lt;&gt;0,C904=0),VLOOKUP(B904,'3 - LISTA DE ESPÉCIES'!B:H,6,FALSE()),IF(AND(A904=0,B904=0,C904&lt;&gt;0),VLOOKUP(C904,'3 - LISTA DE ESPÉCIES'!C:H,5,FALSE()))))</f>
        <v>0</v>
      </c>
      <c r="G904" s="21" t="b">
        <f>IF(AND(A904&lt;&gt;0,B904=0,C904=0),VLOOKUP(A904,'3 - LISTA DE ESPÉCIES'!A:H,3,FALSE()),IF(AND(A904=0,B904&lt;&gt;0,C904=0),VLOOKUP(B904,'3 - LISTA DE ESPÉCIES'!B:H,7,FALSE()),IF(AND(A904=0,B904=0,C904&lt;&gt;0),VLOOKUP(C904,'3 - LISTA DE ESPÉCIES'!C:H,6,FALSE()))))</f>
        <v>0</v>
      </c>
      <c r="H904" s="21" t="b">
        <f>IF(AND(A904&lt;&gt;0,B904=0,C904=0),VLOOKUP(A904,'3 - LISTA DE ESPÉCIES'!A:H,4,FALSE()),IF(AND(A904=0,B904&lt;&gt;0,C904=0),VLOOKUP(B904,'3 - LISTA DE ESPÉCIES'!B:H,3,FALSE()),IF(AND(A904=0,B904=0,C904&lt;&gt;0),VLOOKUP(C904,'3 - LISTA DE ESPÉCIES'!C:H,2,FALSE()))))</f>
        <v>0</v>
      </c>
      <c r="I904" s="21" t="b">
        <f>IF(AND(A904&lt;&gt;0,B904=0,C904=0),VLOOKUP(A904,'3 - LISTA DE ESPÉCIES'!A:H,5,FALSE()),IF(AND(A904=0,B904&lt;&gt;0,C904=0),VLOOKUP(B904,'3 - LISTA DE ESPÉCIES'!B:H,4,FALSE()),IF(AND(A904=0,B904=0,C904&lt;&gt;0),VLOOKUP(C904,'3 - LISTA DE ESPÉCIES'!C:H,3,FALSE()))))</f>
        <v>0</v>
      </c>
      <c r="J904" s="23"/>
      <c r="K904" s="23"/>
      <c r="L904" s="20"/>
      <c r="M904" s="20"/>
    </row>
    <row r="905" spans="1:13" x14ac:dyDescent="0.25">
      <c r="A905" s="20"/>
      <c r="B905" s="20"/>
      <c r="C905" s="20"/>
      <c r="E905" s="21" t="b">
        <f>IF(AND(A905&lt;&gt;0,B905=0,C905=0),VLOOKUP(A905,'3 - LISTA DE ESPÉCIES'!A:H,1,FALSE()),IF(AND(A905=0,B905&lt;&gt;0,C905=0),VLOOKUP(B905,'3 - LISTA DE ESPÉCIES'!B:H,5,FALSE()),IF(AND(A905=0,B905=0,C905&lt;&gt;0),VLOOKUP(C905,'3 - LISTA DE ESPÉCIES'!C:H,4,FALSE()))))</f>
        <v>0</v>
      </c>
      <c r="F905" s="21" t="b">
        <f>IF(AND(A905&lt;&gt;0,B905=0,C905=0),VLOOKUP(A905,'3 - LISTA DE ESPÉCIES'!A:H,2,FALSE()),IF(AND(A905=0,B905&lt;&gt;0,C905=0),VLOOKUP(B905,'3 - LISTA DE ESPÉCIES'!B:H,6,FALSE()),IF(AND(A905=0,B905=0,C905&lt;&gt;0),VLOOKUP(C905,'3 - LISTA DE ESPÉCIES'!C:H,5,FALSE()))))</f>
        <v>0</v>
      </c>
      <c r="G905" s="21" t="b">
        <f>IF(AND(A905&lt;&gt;0,B905=0,C905=0),VLOOKUP(A905,'3 - LISTA DE ESPÉCIES'!A:H,3,FALSE()),IF(AND(A905=0,B905&lt;&gt;0,C905=0),VLOOKUP(B905,'3 - LISTA DE ESPÉCIES'!B:H,7,FALSE()),IF(AND(A905=0,B905=0,C905&lt;&gt;0),VLOOKUP(C905,'3 - LISTA DE ESPÉCIES'!C:H,6,FALSE()))))</f>
        <v>0</v>
      </c>
      <c r="H905" s="21" t="b">
        <f>IF(AND(A905&lt;&gt;0,B905=0,C905=0),VLOOKUP(A905,'3 - LISTA DE ESPÉCIES'!A:H,4,FALSE()),IF(AND(A905=0,B905&lt;&gt;0,C905=0),VLOOKUP(B905,'3 - LISTA DE ESPÉCIES'!B:H,3,FALSE()),IF(AND(A905=0,B905=0,C905&lt;&gt;0),VLOOKUP(C905,'3 - LISTA DE ESPÉCIES'!C:H,2,FALSE()))))</f>
        <v>0</v>
      </c>
      <c r="I905" s="21" t="b">
        <f>IF(AND(A905&lt;&gt;0,B905=0,C905=0),VLOOKUP(A905,'3 - LISTA DE ESPÉCIES'!A:H,5,FALSE()),IF(AND(A905=0,B905&lt;&gt;0,C905=0),VLOOKUP(B905,'3 - LISTA DE ESPÉCIES'!B:H,4,FALSE()),IF(AND(A905=0,B905=0,C905&lt;&gt;0),VLOOKUP(C905,'3 - LISTA DE ESPÉCIES'!C:H,3,FALSE()))))</f>
        <v>0</v>
      </c>
      <c r="J905" s="23"/>
      <c r="K905" s="23"/>
      <c r="L905" s="20"/>
      <c r="M905" s="20"/>
    </row>
    <row r="906" spans="1:13" x14ac:dyDescent="0.25">
      <c r="A906" s="20"/>
      <c r="B906" s="20"/>
      <c r="C906" s="20"/>
      <c r="E906" s="21" t="b">
        <f>IF(AND(A906&lt;&gt;0,B906=0,C906=0),VLOOKUP(A906,'3 - LISTA DE ESPÉCIES'!A:H,1,FALSE()),IF(AND(A906=0,B906&lt;&gt;0,C906=0),VLOOKUP(B906,'3 - LISTA DE ESPÉCIES'!B:H,5,FALSE()),IF(AND(A906=0,B906=0,C906&lt;&gt;0),VLOOKUP(C906,'3 - LISTA DE ESPÉCIES'!C:H,4,FALSE()))))</f>
        <v>0</v>
      </c>
      <c r="F906" s="21" t="b">
        <f>IF(AND(A906&lt;&gt;0,B906=0,C906=0),VLOOKUP(A906,'3 - LISTA DE ESPÉCIES'!A:H,2,FALSE()),IF(AND(A906=0,B906&lt;&gt;0,C906=0),VLOOKUP(B906,'3 - LISTA DE ESPÉCIES'!B:H,6,FALSE()),IF(AND(A906=0,B906=0,C906&lt;&gt;0),VLOOKUP(C906,'3 - LISTA DE ESPÉCIES'!C:H,5,FALSE()))))</f>
        <v>0</v>
      </c>
      <c r="G906" s="21" t="b">
        <f>IF(AND(A906&lt;&gt;0,B906=0,C906=0),VLOOKUP(A906,'3 - LISTA DE ESPÉCIES'!A:H,3,FALSE()),IF(AND(A906=0,B906&lt;&gt;0,C906=0),VLOOKUP(B906,'3 - LISTA DE ESPÉCIES'!B:H,7,FALSE()),IF(AND(A906=0,B906=0,C906&lt;&gt;0),VLOOKUP(C906,'3 - LISTA DE ESPÉCIES'!C:H,6,FALSE()))))</f>
        <v>0</v>
      </c>
      <c r="H906" s="21" t="b">
        <f>IF(AND(A906&lt;&gt;0,B906=0,C906=0),VLOOKUP(A906,'3 - LISTA DE ESPÉCIES'!A:H,4,FALSE()),IF(AND(A906=0,B906&lt;&gt;0,C906=0),VLOOKUP(B906,'3 - LISTA DE ESPÉCIES'!B:H,3,FALSE()),IF(AND(A906=0,B906=0,C906&lt;&gt;0),VLOOKUP(C906,'3 - LISTA DE ESPÉCIES'!C:H,2,FALSE()))))</f>
        <v>0</v>
      </c>
      <c r="I906" s="21" t="b">
        <f>IF(AND(A906&lt;&gt;0,B906=0,C906=0),VLOOKUP(A906,'3 - LISTA DE ESPÉCIES'!A:H,5,FALSE()),IF(AND(A906=0,B906&lt;&gt;0,C906=0),VLOOKUP(B906,'3 - LISTA DE ESPÉCIES'!B:H,4,FALSE()),IF(AND(A906=0,B906=0,C906&lt;&gt;0),VLOOKUP(C906,'3 - LISTA DE ESPÉCIES'!C:H,3,FALSE()))))</f>
        <v>0</v>
      </c>
      <c r="J906" s="23"/>
      <c r="K906" s="23"/>
      <c r="L906" s="20"/>
      <c r="M906" s="20"/>
    </row>
    <row r="907" spans="1:13" x14ac:dyDescent="0.25">
      <c r="A907" s="20"/>
      <c r="B907" s="20"/>
      <c r="C907" s="20"/>
      <c r="E907" s="21" t="b">
        <f>IF(AND(A907&lt;&gt;0,B907=0,C907=0),VLOOKUP(A907,'3 - LISTA DE ESPÉCIES'!A:H,1,FALSE()),IF(AND(A907=0,B907&lt;&gt;0,C907=0),VLOOKUP(B907,'3 - LISTA DE ESPÉCIES'!B:H,5,FALSE()),IF(AND(A907=0,B907=0,C907&lt;&gt;0),VLOOKUP(C907,'3 - LISTA DE ESPÉCIES'!C:H,4,FALSE()))))</f>
        <v>0</v>
      </c>
      <c r="F907" s="21" t="b">
        <f>IF(AND(A907&lt;&gt;0,B907=0,C907=0),VLOOKUP(A907,'3 - LISTA DE ESPÉCIES'!A:H,2,FALSE()),IF(AND(A907=0,B907&lt;&gt;0,C907=0),VLOOKUP(B907,'3 - LISTA DE ESPÉCIES'!B:H,6,FALSE()),IF(AND(A907=0,B907=0,C907&lt;&gt;0),VLOOKUP(C907,'3 - LISTA DE ESPÉCIES'!C:H,5,FALSE()))))</f>
        <v>0</v>
      </c>
      <c r="G907" s="21" t="b">
        <f>IF(AND(A907&lt;&gt;0,B907=0,C907=0),VLOOKUP(A907,'3 - LISTA DE ESPÉCIES'!A:H,3,FALSE()),IF(AND(A907=0,B907&lt;&gt;0,C907=0),VLOOKUP(B907,'3 - LISTA DE ESPÉCIES'!B:H,7,FALSE()),IF(AND(A907=0,B907=0,C907&lt;&gt;0),VLOOKUP(C907,'3 - LISTA DE ESPÉCIES'!C:H,6,FALSE()))))</f>
        <v>0</v>
      </c>
      <c r="H907" s="21" t="b">
        <f>IF(AND(A907&lt;&gt;0,B907=0,C907=0),VLOOKUP(A907,'3 - LISTA DE ESPÉCIES'!A:H,4,FALSE()),IF(AND(A907=0,B907&lt;&gt;0,C907=0),VLOOKUP(B907,'3 - LISTA DE ESPÉCIES'!B:H,3,FALSE()),IF(AND(A907=0,B907=0,C907&lt;&gt;0),VLOOKUP(C907,'3 - LISTA DE ESPÉCIES'!C:H,2,FALSE()))))</f>
        <v>0</v>
      </c>
      <c r="I907" s="21" t="b">
        <f>IF(AND(A907&lt;&gt;0,B907=0,C907=0),VLOOKUP(A907,'3 - LISTA DE ESPÉCIES'!A:H,5,FALSE()),IF(AND(A907=0,B907&lt;&gt;0,C907=0),VLOOKUP(B907,'3 - LISTA DE ESPÉCIES'!B:H,4,FALSE()),IF(AND(A907=0,B907=0,C907&lt;&gt;0),VLOOKUP(C907,'3 - LISTA DE ESPÉCIES'!C:H,3,FALSE()))))</f>
        <v>0</v>
      </c>
      <c r="J907" s="23"/>
      <c r="K907" s="23"/>
      <c r="L907" s="20"/>
      <c r="M907" s="20"/>
    </row>
    <row r="908" spans="1:13" x14ac:dyDescent="0.25">
      <c r="A908" s="20"/>
      <c r="B908" s="20"/>
      <c r="C908" s="20"/>
      <c r="E908" s="21" t="b">
        <f>IF(AND(A908&lt;&gt;0,B908=0,C908=0),VLOOKUP(A908,'3 - LISTA DE ESPÉCIES'!A:H,1,FALSE()),IF(AND(A908=0,B908&lt;&gt;0,C908=0),VLOOKUP(B908,'3 - LISTA DE ESPÉCIES'!B:H,5,FALSE()),IF(AND(A908=0,B908=0,C908&lt;&gt;0),VLOOKUP(C908,'3 - LISTA DE ESPÉCIES'!C:H,4,FALSE()))))</f>
        <v>0</v>
      </c>
      <c r="F908" s="21" t="b">
        <f>IF(AND(A908&lt;&gt;0,B908=0,C908=0),VLOOKUP(A908,'3 - LISTA DE ESPÉCIES'!A:H,2,FALSE()),IF(AND(A908=0,B908&lt;&gt;0,C908=0),VLOOKUP(B908,'3 - LISTA DE ESPÉCIES'!B:H,6,FALSE()),IF(AND(A908=0,B908=0,C908&lt;&gt;0),VLOOKUP(C908,'3 - LISTA DE ESPÉCIES'!C:H,5,FALSE()))))</f>
        <v>0</v>
      </c>
      <c r="G908" s="21" t="b">
        <f>IF(AND(A908&lt;&gt;0,B908=0,C908=0),VLOOKUP(A908,'3 - LISTA DE ESPÉCIES'!A:H,3,FALSE()),IF(AND(A908=0,B908&lt;&gt;0,C908=0),VLOOKUP(B908,'3 - LISTA DE ESPÉCIES'!B:H,7,FALSE()),IF(AND(A908=0,B908=0,C908&lt;&gt;0),VLOOKUP(C908,'3 - LISTA DE ESPÉCIES'!C:H,6,FALSE()))))</f>
        <v>0</v>
      </c>
      <c r="H908" s="21" t="b">
        <f>IF(AND(A908&lt;&gt;0,B908=0,C908=0),VLOOKUP(A908,'3 - LISTA DE ESPÉCIES'!A:H,4,FALSE()),IF(AND(A908=0,B908&lt;&gt;0,C908=0),VLOOKUP(B908,'3 - LISTA DE ESPÉCIES'!B:H,3,FALSE()),IF(AND(A908=0,B908=0,C908&lt;&gt;0),VLOOKUP(C908,'3 - LISTA DE ESPÉCIES'!C:H,2,FALSE()))))</f>
        <v>0</v>
      </c>
      <c r="I908" s="21" t="b">
        <f>IF(AND(A908&lt;&gt;0,B908=0,C908=0),VLOOKUP(A908,'3 - LISTA DE ESPÉCIES'!A:H,5,FALSE()),IF(AND(A908=0,B908&lt;&gt;0,C908=0),VLOOKUP(B908,'3 - LISTA DE ESPÉCIES'!B:H,4,FALSE()),IF(AND(A908=0,B908=0,C908&lt;&gt;0),VLOOKUP(C908,'3 - LISTA DE ESPÉCIES'!C:H,3,FALSE()))))</f>
        <v>0</v>
      </c>
      <c r="J908" s="23"/>
      <c r="K908" s="23"/>
      <c r="L908" s="20"/>
      <c r="M908" s="20"/>
    </row>
    <row r="909" spans="1:13" x14ac:dyDescent="0.25">
      <c r="A909" s="20"/>
      <c r="B909" s="20"/>
      <c r="C909" s="20"/>
      <c r="E909" s="21" t="b">
        <f>IF(AND(A909&lt;&gt;0,B909=0,C909=0),VLOOKUP(A909,'3 - LISTA DE ESPÉCIES'!A:H,1,FALSE()),IF(AND(A909=0,B909&lt;&gt;0,C909=0),VLOOKUP(B909,'3 - LISTA DE ESPÉCIES'!B:H,5,FALSE()),IF(AND(A909=0,B909=0,C909&lt;&gt;0),VLOOKUP(C909,'3 - LISTA DE ESPÉCIES'!C:H,4,FALSE()))))</f>
        <v>0</v>
      </c>
      <c r="F909" s="21" t="b">
        <f>IF(AND(A909&lt;&gt;0,B909=0,C909=0),VLOOKUP(A909,'3 - LISTA DE ESPÉCIES'!A:H,2,FALSE()),IF(AND(A909=0,B909&lt;&gt;0,C909=0),VLOOKUP(B909,'3 - LISTA DE ESPÉCIES'!B:H,6,FALSE()),IF(AND(A909=0,B909=0,C909&lt;&gt;0),VLOOKUP(C909,'3 - LISTA DE ESPÉCIES'!C:H,5,FALSE()))))</f>
        <v>0</v>
      </c>
      <c r="G909" s="21" t="b">
        <f>IF(AND(A909&lt;&gt;0,B909=0,C909=0),VLOOKUP(A909,'3 - LISTA DE ESPÉCIES'!A:H,3,FALSE()),IF(AND(A909=0,B909&lt;&gt;0,C909=0),VLOOKUP(B909,'3 - LISTA DE ESPÉCIES'!B:H,7,FALSE()),IF(AND(A909=0,B909=0,C909&lt;&gt;0),VLOOKUP(C909,'3 - LISTA DE ESPÉCIES'!C:H,6,FALSE()))))</f>
        <v>0</v>
      </c>
      <c r="H909" s="21" t="b">
        <f>IF(AND(A909&lt;&gt;0,B909=0,C909=0),VLOOKUP(A909,'3 - LISTA DE ESPÉCIES'!A:H,4,FALSE()),IF(AND(A909=0,B909&lt;&gt;0,C909=0),VLOOKUP(B909,'3 - LISTA DE ESPÉCIES'!B:H,3,FALSE()),IF(AND(A909=0,B909=0,C909&lt;&gt;0),VLOOKUP(C909,'3 - LISTA DE ESPÉCIES'!C:H,2,FALSE()))))</f>
        <v>0</v>
      </c>
      <c r="I909" s="21" t="b">
        <f>IF(AND(A909&lt;&gt;0,B909=0,C909=0),VLOOKUP(A909,'3 - LISTA DE ESPÉCIES'!A:H,5,FALSE()),IF(AND(A909=0,B909&lt;&gt;0,C909=0),VLOOKUP(B909,'3 - LISTA DE ESPÉCIES'!B:H,4,FALSE()),IF(AND(A909=0,B909=0,C909&lt;&gt;0),VLOOKUP(C909,'3 - LISTA DE ESPÉCIES'!C:H,3,FALSE()))))</f>
        <v>0</v>
      </c>
      <c r="J909" s="23"/>
      <c r="K909" s="23"/>
      <c r="L909" s="20"/>
      <c r="M909" s="20"/>
    </row>
    <row r="910" spans="1:13" x14ac:dyDescent="0.25">
      <c r="A910" s="20"/>
      <c r="B910" s="20"/>
      <c r="C910" s="20"/>
      <c r="E910" s="21" t="b">
        <f>IF(AND(A910&lt;&gt;0,B910=0,C910=0),VLOOKUP(A910,'3 - LISTA DE ESPÉCIES'!A:H,1,FALSE()),IF(AND(A910=0,B910&lt;&gt;0,C910=0),VLOOKUP(B910,'3 - LISTA DE ESPÉCIES'!B:H,5,FALSE()),IF(AND(A910=0,B910=0,C910&lt;&gt;0),VLOOKUP(C910,'3 - LISTA DE ESPÉCIES'!C:H,4,FALSE()))))</f>
        <v>0</v>
      </c>
      <c r="F910" s="21" t="b">
        <f>IF(AND(A910&lt;&gt;0,B910=0,C910=0),VLOOKUP(A910,'3 - LISTA DE ESPÉCIES'!A:H,2,FALSE()),IF(AND(A910=0,B910&lt;&gt;0,C910=0),VLOOKUP(B910,'3 - LISTA DE ESPÉCIES'!B:H,6,FALSE()),IF(AND(A910=0,B910=0,C910&lt;&gt;0),VLOOKUP(C910,'3 - LISTA DE ESPÉCIES'!C:H,5,FALSE()))))</f>
        <v>0</v>
      </c>
      <c r="G910" s="21" t="b">
        <f>IF(AND(A910&lt;&gt;0,B910=0,C910=0),VLOOKUP(A910,'3 - LISTA DE ESPÉCIES'!A:H,3,FALSE()),IF(AND(A910=0,B910&lt;&gt;0,C910=0),VLOOKUP(B910,'3 - LISTA DE ESPÉCIES'!B:H,7,FALSE()),IF(AND(A910=0,B910=0,C910&lt;&gt;0),VLOOKUP(C910,'3 - LISTA DE ESPÉCIES'!C:H,6,FALSE()))))</f>
        <v>0</v>
      </c>
      <c r="H910" s="21" t="b">
        <f>IF(AND(A910&lt;&gt;0,B910=0,C910=0),VLOOKUP(A910,'3 - LISTA DE ESPÉCIES'!A:H,4,FALSE()),IF(AND(A910=0,B910&lt;&gt;0,C910=0),VLOOKUP(B910,'3 - LISTA DE ESPÉCIES'!B:H,3,FALSE()),IF(AND(A910=0,B910=0,C910&lt;&gt;0),VLOOKUP(C910,'3 - LISTA DE ESPÉCIES'!C:H,2,FALSE()))))</f>
        <v>0</v>
      </c>
      <c r="I910" s="21" t="b">
        <f>IF(AND(A910&lt;&gt;0,B910=0,C910=0),VLOOKUP(A910,'3 - LISTA DE ESPÉCIES'!A:H,5,FALSE()),IF(AND(A910=0,B910&lt;&gt;0,C910=0),VLOOKUP(B910,'3 - LISTA DE ESPÉCIES'!B:H,4,FALSE()),IF(AND(A910=0,B910=0,C910&lt;&gt;0),VLOOKUP(C910,'3 - LISTA DE ESPÉCIES'!C:H,3,FALSE()))))</f>
        <v>0</v>
      </c>
      <c r="J910" s="23"/>
      <c r="K910" s="23"/>
      <c r="L910" s="20"/>
      <c r="M910" s="20"/>
    </row>
    <row r="911" spans="1:13" x14ac:dyDescent="0.25">
      <c r="A911" s="20"/>
      <c r="B911" s="20"/>
      <c r="C911" s="20"/>
      <c r="E911" s="21" t="b">
        <f>IF(AND(A911&lt;&gt;0,B911=0,C911=0),VLOOKUP(A911,'3 - LISTA DE ESPÉCIES'!A:H,1,FALSE()),IF(AND(A911=0,B911&lt;&gt;0,C911=0),VLOOKUP(B911,'3 - LISTA DE ESPÉCIES'!B:H,5,FALSE()),IF(AND(A911=0,B911=0,C911&lt;&gt;0),VLOOKUP(C911,'3 - LISTA DE ESPÉCIES'!C:H,4,FALSE()))))</f>
        <v>0</v>
      </c>
      <c r="F911" s="21" t="b">
        <f>IF(AND(A911&lt;&gt;0,B911=0,C911=0),VLOOKUP(A911,'3 - LISTA DE ESPÉCIES'!A:H,2,FALSE()),IF(AND(A911=0,B911&lt;&gt;0,C911=0),VLOOKUP(B911,'3 - LISTA DE ESPÉCIES'!B:H,6,FALSE()),IF(AND(A911=0,B911=0,C911&lt;&gt;0),VLOOKUP(C911,'3 - LISTA DE ESPÉCIES'!C:H,5,FALSE()))))</f>
        <v>0</v>
      </c>
      <c r="G911" s="21" t="b">
        <f>IF(AND(A911&lt;&gt;0,B911=0,C911=0),VLOOKUP(A911,'3 - LISTA DE ESPÉCIES'!A:H,3,FALSE()),IF(AND(A911=0,B911&lt;&gt;0,C911=0),VLOOKUP(B911,'3 - LISTA DE ESPÉCIES'!B:H,7,FALSE()),IF(AND(A911=0,B911=0,C911&lt;&gt;0),VLOOKUP(C911,'3 - LISTA DE ESPÉCIES'!C:H,6,FALSE()))))</f>
        <v>0</v>
      </c>
      <c r="H911" s="21" t="b">
        <f>IF(AND(A911&lt;&gt;0,B911=0,C911=0),VLOOKUP(A911,'3 - LISTA DE ESPÉCIES'!A:H,4,FALSE()),IF(AND(A911=0,B911&lt;&gt;0,C911=0),VLOOKUP(B911,'3 - LISTA DE ESPÉCIES'!B:H,3,FALSE()),IF(AND(A911=0,B911=0,C911&lt;&gt;0),VLOOKUP(C911,'3 - LISTA DE ESPÉCIES'!C:H,2,FALSE()))))</f>
        <v>0</v>
      </c>
      <c r="I911" s="21" t="b">
        <f>IF(AND(A911&lt;&gt;0,B911=0,C911=0),VLOOKUP(A911,'3 - LISTA DE ESPÉCIES'!A:H,5,FALSE()),IF(AND(A911=0,B911&lt;&gt;0,C911=0),VLOOKUP(B911,'3 - LISTA DE ESPÉCIES'!B:H,4,FALSE()),IF(AND(A911=0,B911=0,C911&lt;&gt;0),VLOOKUP(C911,'3 - LISTA DE ESPÉCIES'!C:H,3,FALSE()))))</f>
        <v>0</v>
      </c>
      <c r="J911" s="23"/>
      <c r="K911" s="23"/>
      <c r="L911" s="20"/>
      <c r="M911" s="20"/>
    </row>
    <row r="912" spans="1:13" x14ac:dyDescent="0.25">
      <c r="A912" s="20"/>
      <c r="B912" s="20"/>
      <c r="C912" s="20"/>
      <c r="E912" s="21" t="b">
        <f>IF(AND(A912&lt;&gt;0,B912=0,C912=0),VLOOKUP(A912,'3 - LISTA DE ESPÉCIES'!A:H,1,FALSE()),IF(AND(A912=0,B912&lt;&gt;0,C912=0),VLOOKUP(B912,'3 - LISTA DE ESPÉCIES'!B:H,5,FALSE()),IF(AND(A912=0,B912=0,C912&lt;&gt;0),VLOOKUP(C912,'3 - LISTA DE ESPÉCIES'!C:H,4,FALSE()))))</f>
        <v>0</v>
      </c>
      <c r="F912" s="21" t="b">
        <f>IF(AND(A912&lt;&gt;0,B912=0,C912=0),VLOOKUP(A912,'3 - LISTA DE ESPÉCIES'!A:H,2,FALSE()),IF(AND(A912=0,B912&lt;&gt;0,C912=0),VLOOKUP(B912,'3 - LISTA DE ESPÉCIES'!B:H,6,FALSE()),IF(AND(A912=0,B912=0,C912&lt;&gt;0),VLOOKUP(C912,'3 - LISTA DE ESPÉCIES'!C:H,5,FALSE()))))</f>
        <v>0</v>
      </c>
      <c r="G912" s="21" t="b">
        <f>IF(AND(A912&lt;&gt;0,B912=0,C912=0),VLOOKUP(A912,'3 - LISTA DE ESPÉCIES'!A:H,3,FALSE()),IF(AND(A912=0,B912&lt;&gt;0,C912=0),VLOOKUP(B912,'3 - LISTA DE ESPÉCIES'!B:H,7,FALSE()),IF(AND(A912=0,B912=0,C912&lt;&gt;0),VLOOKUP(C912,'3 - LISTA DE ESPÉCIES'!C:H,6,FALSE()))))</f>
        <v>0</v>
      </c>
      <c r="H912" s="21" t="b">
        <f>IF(AND(A912&lt;&gt;0,B912=0,C912=0),VLOOKUP(A912,'3 - LISTA DE ESPÉCIES'!A:H,4,FALSE()),IF(AND(A912=0,B912&lt;&gt;0,C912=0),VLOOKUP(B912,'3 - LISTA DE ESPÉCIES'!B:H,3,FALSE()),IF(AND(A912=0,B912=0,C912&lt;&gt;0),VLOOKUP(C912,'3 - LISTA DE ESPÉCIES'!C:H,2,FALSE()))))</f>
        <v>0</v>
      </c>
      <c r="I912" s="21" t="b">
        <f>IF(AND(A912&lt;&gt;0,B912=0,C912=0),VLOOKUP(A912,'3 - LISTA DE ESPÉCIES'!A:H,5,FALSE()),IF(AND(A912=0,B912&lt;&gt;0,C912=0),VLOOKUP(B912,'3 - LISTA DE ESPÉCIES'!B:H,4,FALSE()),IF(AND(A912=0,B912=0,C912&lt;&gt;0),VLOOKUP(C912,'3 - LISTA DE ESPÉCIES'!C:H,3,FALSE()))))</f>
        <v>0</v>
      </c>
      <c r="J912" s="23"/>
      <c r="K912" s="23"/>
      <c r="L912" s="20"/>
      <c r="M912" s="20"/>
    </row>
    <row r="913" spans="1:13" x14ac:dyDescent="0.25">
      <c r="A913" s="20"/>
      <c r="B913" s="20"/>
      <c r="C913" s="20"/>
      <c r="E913" s="21" t="b">
        <f>IF(AND(A913&lt;&gt;0,B913=0,C913=0),VLOOKUP(A913,'3 - LISTA DE ESPÉCIES'!A:H,1,FALSE()),IF(AND(A913=0,B913&lt;&gt;0,C913=0),VLOOKUP(B913,'3 - LISTA DE ESPÉCIES'!B:H,5,FALSE()),IF(AND(A913=0,B913=0,C913&lt;&gt;0),VLOOKUP(C913,'3 - LISTA DE ESPÉCIES'!C:H,4,FALSE()))))</f>
        <v>0</v>
      </c>
      <c r="F913" s="21" t="b">
        <f>IF(AND(A913&lt;&gt;0,B913=0,C913=0),VLOOKUP(A913,'3 - LISTA DE ESPÉCIES'!A:H,2,FALSE()),IF(AND(A913=0,B913&lt;&gt;0,C913=0),VLOOKUP(B913,'3 - LISTA DE ESPÉCIES'!B:H,6,FALSE()),IF(AND(A913=0,B913=0,C913&lt;&gt;0),VLOOKUP(C913,'3 - LISTA DE ESPÉCIES'!C:H,5,FALSE()))))</f>
        <v>0</v>
      </c>
      <c r="G913" s="21" t="b">
        <f>IF(AND(A913&lt;&gt;0,B913=0,C913=0),VLOOKUP(A913,'3 - LISTA DE ESPÉCIES'!A:H,3,FALSE()),IF(AND(A913=0,B913&lt;&gt;0,C913=0),VLOOKUP(B913,'3 - LISTA DE ESPÉCIES'!B:H,7,FALSE()),IF(AND(A913=0,B913=0,C913&lt;&gt;0),VLOOKUP(C913,'3 - LISTA DE ESPÉCIES'!C:H,6,FALSE()))))</f>
        <v>0</v>
      </c>
      <c r="H913" s="21" t="b">
        <f>IF(AND(A913&lt;&gt;0,B913=0,C913=0),VLOOKUP(A913,'3 - LISTA DE ESPÉCIES'!A:H,4,FALSE()),IF(AND(A913=0,B913&lt;&gt;0,C913=0),VLOOKUP(B913,'3 - LISTA DE ESPÉCIES'!B:H,3,FALSE()),IF(AND(A913=0,B913=0,C913&lt;&gt;0),VLOOKUP(C913,'3 - LISTA DE ESPÉCIES'!C:H,2,FALSE()))))</f>
        <v>0</v>
      </c>
      <c r="I913" s="21" t="b">
        <f>IF(AND(A913&lt;&gt;0,B913=0,C913=0),VLOOKUP(A913,'3 - LISTA DE ESPÉCIES'!A:H,5,FALSE()),IF(AND(A913=0,B913&lt;&gt;0,C913=0),VLOOKUP(B913,'3 - LISTA DE ESPÉCIES'!B:H,4,FALSE()),IF(AND(A913=0,B913=0,C913&lt;&gt;0),VLOOKUP(C913,'3 - LISTA DE ESPÉCIES'!C:H,3,FALSE()))))</f>
        <v>0</v>
      </c>
      <c r="J913" s="23"/>
      <c r="K913" s="23"/>
      <c r="L913" s="20"/>
      <c r="M913" s="20"/>
    </row>
    <row r="914" spans="1:13" x14ac:dyDescent="0.25">
      <c r="A914" s="20"/>
      <c r="B914" s="20"/>
      <c r="C914" s="20"/>
      <c r="E914" s="21" t="b">
        <f>IF(AND(A914&lt;&gt;0,B914=0,C914=0),VLOOKUP(A914,'3 - LISTA DE ESPÉCIES'!A:H,1,FALSE()),IF(AND(A914=0,B914&lt;&gt;0,C914=0),VLOOKUP(B914,'3 - LISTA DE ESPÉCIES'!B:H,5,FALSE()),IF(AND(A914=0,B914=0,C914&lt;&gt;0),VLOOKUP(C914,'3 - LISTA DE ESPÉCIES'!C:H,4,FALSE()))))</f>
        <v>0</v>
      </c>
      <c r="F914" s="21" t="b">
        <f>IF(AND(A914&lt;&gt;0,B914=0,C914=0),VLOOKUP(A914,'3 - LISTA DE ESPÉCIES'!A:H,2,FALSE()),IF(AND(A914=0,B914&lt;&gt;0,C914=0),VLOOKUP(B914,'3 - LISTA DE ESPÉCIES'!B:H,6,FALSE()),IF(AND(A914=0,B914=0,C914&lt;&gt;0),VLOOKUP(C914,'3 - LISTA DE ESPÉCIES'!C:H,5,FALSE()))))</f>
        <v>0</v>
      </c>
      <c r="G914" s="21" t="b">
        <f>IF(AND(A914&lt;&gt;0,B914=0,C914=0),VLOOKUP(A914,'3 - LISTA DE ESPÉCIES'!A:H,3,FALSE()),IF(AND(A914=0,B914&lt;&gt;0,C914=0),VLOOKUP(B914,'3 - LISTA DE ESPÉCIES'!B:H,7,FALSE()),IF(AND(A914=0,B914=0,C914&lt;&gt;0),VLOOKUP(C914,'3 - LISTA DE ESPÉCIES'!C:H,6,FALSE()))))</f>
        <v>0</v>
      </c>
      <c r="H914" s="21" t="b">
        <f>IF(AND(A914&lt;&gt;0,B914=0,C914=0),VLOOKUP(A914,'3 - LISTA DE ESPÉCIES'!A:H,4,FALSE()),IF(AND(A914=0,B914&lt;&gt;0,C914=0),VLOOKUP(B914,'3 - LISTA DE ESPÉCIES'!B:H,3,FALSE()),IF(AND(A914=0,B914=0,C914&lt;&gt;0),VLOOKUP(C914,'3 - LISTA DE ESPÉCIES'!C:H,2,FALSE()))))</f>
        <v>0</v>
      </c>
      <c r="I914" s="21" t="b">
        <f>IF(AND(A914&lt;&gt;0,B914=0,C914=0),VLOOKUP(A914,'3 - LISTA DE ESPÉCIES'!A:H,5,FALSE()),IF(AND(A914=0,B914&lt;&gt;0,C914=0),VLOOKUP(B914,'3 - LISTA DE ESPÉCIES'!B:H,4,FALSE()),IF(AND(A914=0,B914=0,C914&lt;&gt;0),VLOOKUP(C914,'3 - LISTA DE ESPÉCIES'!C:H,3,FALSE()))))</f>
        <v>0</v>
      </c>
      <c r="J914" s="23"/>
      <c r="K914" s="23"/>
      <c r="L914" s="20"/>
      <c r="M914" s="20"/>
    </row>
    <row r="915" spans="1:13" x14ac:dyDescent="0.25">
      <c r="A915" s="20"/>
      <c r="B915" s="20"/>
      <c r="C915" s="20"/>
      <c r="E915" s="21" t="b">
        <f>IF(AND(A915&lt;&gt;0,B915=0,C915=0),VLOOKUP(A915,'3 - LISTA DE ESPÉCIES'!A:H,1,FALSE()),IF(AND(A915=0,B915&lt;&gt;0,C915=0),VLOOKUP(B915,'3 - LISTA DE ESPÉCIES'!B:H,5,FALSE()),IF(AND(A915=0,B915=0,C915&lt;&gt;0),VLOOKUP(C915,'3 - LISTA DE ESPÉCIES'!C:H,4,FALSE()))))</f>
        <v>0</v>
      </c>
      <c r="F915" s="21" t="b">
        <f>IF(AND(A915&lt;&gt;0,B915=0,C915=0),VLOOKUP(A915,'3 - LISTA DE ESPÉCIES'!A:H,2,FALSE()),IF(AND(A915=0,B915&lt;&gt;0,C915=0),VLOOKUP(B915,'3 - LISTA DE ESPÉCIES'!B:H,6,FALSE()),IF(AND(A915=0,B915=0,C915&lt;&gt;0),VLOOKUP(C915,'3 - LISTA DE ESPÉCIES'!C:H,5,FALSE()))))</f>
        <v>0</v>
      </c>
      <c r="G915" s="21" t="b">
        <f>IF(AND(A915&lt;&gt;0,B915=0,C915=0),VLOOKUP(A915,'3 - LISTA DE ESPÉCIES'!A:H,3,FALSE()),IF(AND(A915=0,B915&lt;&gt;0,C915=0),VLOOKUP(B915,'3 - LISTA DE ESPÉCIES'!B:H,7,FALSE()),IF(AND(A915=0,B915=0,C915&lt;&gt;0),VLOOKUP(C915,'3 - LISTA DE ESPÉCIES'!C:H,6,FALSE()))))</f>
        <v>0</v>
      </c>
      <c r="H915" s="21" t="b">
        <f>IF(AND(A915&lt;&gt;0,B915=0,C915=0),VLOOKUP(A915,'3 - LISTA DE ESPÉCIES'!A:H,4,FALSE()),IF(AND(A915=0,B915&lt;&gt;0,C915=0),VLOOKUP(B915,'3 - LISTA DE ESPÉCIES'!B:H,3,FALSE()),IF(AND(A915=0,B915=0,C915&lt;&gt;0),VLOOKUP(C915,'3 - LISTA DE ESPÉCIES'!C:H,2,FALSE()))))</f>
        <v>0</v>
      </c>
      <c r="I915" s="21" t="b">
        <f>IF(AND(A915&lt;&gt;0,B915=0,C915=0),VLOOKUP(A915,'3 - LISTA DE ESPÉCIES'!A:H,5,FALSE()),IF(AND(A915=0,B915&lt;&gt;0,C915=0),VLOOKUP(B915,'3 - LISTA DE ESPÉCIES'!B:H,4,FALSE()),IF(AND(A915=0,B915=0,C915&lt;&gt;0),VLOOKUP(C915,'3 - LISTA DE ESPÉCIES'!C:H,3,FALSE()))))</f>
        <v>0</v>
      </c>
      <c r="J915" s="23"/>
      <c r="K915" s="23"/>
      <c r="L915" s="20"/>
      <c r="M915" s="20"/>
    </row>
    <row r="916" spans="1:13" x14ac:dyDescent="0.25">
      <c r="A916" s="20"/>
      <c r="B916" s="20"/>
      <c r="C916" s="20"/>
      <c r="E916" s="21" t="b">
        <f>IF(AND(A916&lt;&gt;0,B916=0,C916=0),VLOOKUP(A916,'3 - LISTA DE ESPÉCIES'!A:H,1,FALSE()),IF(AND(A916=0,B916&lt;&gt;0,C916=0),VLOOKUP(B916,'3 - LISTA DE ESPÉCIES'!B:H,5,FALSE()),IF(AND(A916=0,B916=0,C916&lt;&gt;0),VLOOKUP(C916,'3 - LISTA DE ESPÉCIES'!C:H,4,FALSE()))))</f>
        <v>0</v>
      </c>
      <c r="F916" s="21" t="b">
        <f>IF(AND(A916&lt;&gt;0,B916=0,C916=0),VLOOKUP(A916,'3 - LISTA DE ESPÉCIES'!A:H,2,FALSE()),IF(AND(A916=0,B916&lt;&gt;0,C916=0),VLOOKUP(B916,'3 - LISTA DE ESPÉCIES'!B:H,6,FALSE()),IF(AND(A916=0,B916=0,C916&lt;&gt;0),VLOOKUP(C916,'3 - LISTA DE ESPÉCIES'!C:H,5,FALSE()))))</f>
        <v>0</v>
      </c>
      <c r="G916" s="21" t="b">
        <f>IF(AND(A916&lt;&gt;0,B916=0,C916=0),VLOOKUP(A916,'3 - LISTA DE ESPÉCIES'!A:H,3,FALSE()),IF(AND(A916=0,B916&lt;&gt;0,C916=0),VLOOKUP(B916,'3 - LISTA DE ESPÉCIES'!B:H,7,FALSE()),IF(AND(A916=0,B916=0,C916&lt;&gt;0),VLOOKUP(C916,'3 - LISTA DE ESPÉCIES'!C:H,6,FALSE()))))</f>
        <v>0</v>
      </c>
      <c r="H916" s="21" t="b">
        <f>IF(AND(A916&lt;&gt;0,B916=0,C916=0),VLOOKUP(A916,'3 - LISTA DE ESPÉCIES'!A:H,4,FALSE()),IF(AND(A916=0,B916&lt;&gt;0,C916=0),VLOOKUP(B916,'3 - LISTA DE ESPÉCIES'!B:H,3,FALSE()),IF(AND(A916=0,B916=0,C916&lt;&gt;0),VLOOKUP(C916,'3 - LISTA DE ESPÉCIES'!C:H,2,FALSE()))))</f>
        <v>0</v>
      </c>
      <c r="I916" s="21" t="b">
        <f>IF(AND(A916&lt;&gt;0,B916=0,C916=0),VLOOKUP(A916,'3 - LISTA DE ESPÉCIES'!A:H,5,FALSE()),IF(AND(A916=0,B916&lt;&gt;0,C916=0),VLOOKUP(B916,'3 - LISTA DE ESPÉCIES'!B:H,4,FALSE()),IF(AND(A916=0,B916=0,C916&lt;&gt;0),VLOOKUP(C916,'3 - LISTA DE ESPÉCIES'!C:H,3,FALSE()))))</f>
        <v>0</v>
      </c>
      <c r="J916" s="23"/>
      <c r="K916" s="23"/>
      <c r="L916" s="20"/>
      <c r="M916" s="20"/>
    </row>
    <row r="917" spans="1:13" x14ac:dyDescent="0.25">
      <c r="A917" s="20"/>
      <c r="B917" s="20"/>
      <c r="C917" s="20"/>
      <c r="E917" s="21" t="b">
        <f>IF(AND(A917&lt;&gt;0,B917=0,C917=0),VLOOKUP(A917,'3 - LISTA DE ESPÉCIES'!A:H,1,FALSE()),IF(AND(A917=0,B917&lt;&gt;0,C917=0),VLOOKUP(B917,'3 - LISTA DE ESPÉCIES'!B:H,5,FALSE()),IF(AND(A917=0,B917=0,C917&lt;&gt;0),VLOOKUP(C917,'3 - LISTA DE ESPÉCIES'!C:H,4,FALSE()))))</f>
        <v>0</v>
      </c>
      <c r="F917" s="21" t="b">
        <f>IF(AND(A917&lt;&gt;0,B917=0,C917=0),VLOOKUP(A917,'3 - LISTA DE ESPÉCIES'!A:H,2,FALSE()),IF(AND(A917=0,B917&lt;&gt;0,C917=0),VLOOKUP(B917,'3 - LISTA DE ESPÉCIES'!B:H,6,FALSE()),IF(AND(A917=0,B917=0,C917&lt;&gt;0),VLOOKUP(C917,'3 - LISTA DE ESPÉCIES'!C:H,5,FALSE()))))</f>
        <v>0</v>
      </c>
      <c r="G917" s="21" t="b">
        <f>IF(AND(A917&lt;&gt;0,B917=0,C917=0),VLOOKUP(A917,'3 - LISTA DE ESPÉCIES'!A:H,3,FALSE()),IF(AND(A917=0,B917&lt;&gt;0,C917=0),VLOOKUP(B917,'3 - LISTA DE ESPÉCIES'!B:H,7,FALSE()),IF(AND(A917=0,B917=0,C917&lt;&gt;0),VLOOKUP(C917,'3 - LISTA DE ESPÉCIES'!C:H,6,FALSE()))))</f>
        <v>0</v>
      </c>
      <c r="H917" s="21" t="b">
        <f>IF(AND(A917&lt;&gt;0,B917=0,C917=0),VLOOKUP(A917,'3 - LISTA DE ESPÉCIES'!A:H,4,FALSE()),IF(AND(A917=0,B917&lt;&gt;0,C917=0),VLOOKUP(B917,'3 - LISTA DE ESPÉCIES'!B:H,3,FALSE()),IF(AND(A917=0,B917=0,C917&lt;&gt;0),VLOOKUP(C917,'3 - LISTA DE ESPÉCIES'!C:H,2,FALSE()))))</f>
        <v>0</v>
      </c>
      <c r="I917" s="21" t="b">
        <f>IF(AND(A917&lt;&gt;0,B917=0,C917=0),VLOOKUP(A917,'3 - LISTA DE ESPÉCIES'!A:H,5,FALSE()),IF(AND(A917=0,B917&lt;&gt;0,C917=0),VLOOKUP(B917,'3 - LISTA DE ESPÉCIES'!B:H,4,FALSE()),IF(AND(A917=0,B917=0,C917&lt;&gt;0),VLOOKUP(C917,'3 - LISTA DE ESPÉCIES'!C:H,3,FALSE()))))</f>
        <v>0</v>
      </c>
      <c r="J917" s="23"/>
      <c r="K917" s="23"/>
      <c r="L917" s="20"/>
      <c r="M917" s="20"/>
    </row>
    <row r="918" spans="1:13" x14ac:dyDescent="0.25">
      <c r="A918" s="20"/>
      <c r="B918" s="20"/>
      <c r="C918" s="20"/>
      <c r="E918" s="21" t="b">
        <f>IF(AND(A918&lt;&gt;0,B918=0,C918=0),VLOOKUP(A918,'3 - LISTA DE ESPÉCIES'!A:H,1,FALSE()),IF(AND(A918=0,B918&lt;&gt;0,C918=0),VLOOKUP(B918,'3 - LISTA DE ESPÉCIES'!B:H,5,FALSE()),IF(AND(A918=0,B918=0,C918&lt;&gt;0),VLOOKUP(C918,'3 - LISTA DE ESPÉCIES'!C:H,4,FALSE()))))</f>
        <v>0</v>
      </c>
      <c r="F918" s="21" t="b">
        <f>IF(AND(A918&lt;&gt;0,B918=0,C918=0),VLOOKUP(A918,'3 - LISTA DE ESPÉCIES'!A:H,2,FALSE()),IF(AND(A918=0,B918&lt;&gt;0,C918=0),VLOOKUP(B918,'3 - LISTA DE ESPÉCIES'!B:H,6,FALSE()),IF(AND(A918=0,B918=0,C918&lt;&gt;0),VLOOKUP(C918,'3 - LISTA DE ESPÉCIES'!C:H,5,FALSE()))))</f>
        <v>0</v>
      </c>
      <c r="G918" s="21" t="b">
        <f>IF(AND(A918&lt;&gt;0,B918=0,C918=0),VLOOKUP(A918,'3 - LISTA DE ESPÉCIES'!A:H,3,FALSE()),IF(AND(A918=0,B918&lt;&gt;0,C918=0),VLOOKUP(B918,'3 - LISTA DE ESPÉCIES'!B:H,7,FALSE()),IF(AND(A918=0,B918=0,C918&lt;&gt;0),VLOOKUP(C918,'3 - LISTA DE ESPÉCIES'!C:H,6,FALSE()))))</f>
        <v>0</v>
      </c>
      <c r="H918" s="21" t="b">
        <f>IF(AND(A918&lt;&gt;0,B918=0,C918=0),VLOOKUP(A918,'3 - LISTA DE ESPÉCIES'!A:H,4,FALSE()),IF(AND(A918=0,B918&lt;&gt;0,C918=0),VLOOKUP(B918,'3 - LISTA DE ESPÉCIES'!B:H,3,FALSE()),IF(AND(A918=0,B918=0,C918&lt;&gt;0),VLOOKUP(C918,'3 - LISTA DE ESPÉCIES'!C:H,2,FALSE()))))</f>
        <v>0</v>
      </c>
      <c r="I918" s="21" t="b">
        <f>IF(AND(A918&lt;&gt;0,B918=0,C918=0),VLOOKUP(A918,'3 - LISTA DE ESPÉCIES'!A:H,5,FALSE()),IF(AND(A918=0,B918&lt;&gt;0,C918=0),VLOOKUP(B918,'3 - LISTA DE ESPÉCIES'!B:H,4,FALSE()),IF(AND(A918=0,B918=0,C918&lt;&gt;0),VLOOKUP(C918,'3 - LISTA DE ESPÉCIES'!C:H,3,FALSE()))))</f>
        <v>0</v>
      </c>
      <c r="J918" s="23"/>
      <c r="K918" s="23"/>
      <c r="L918" s="20"/>
      <c r="M918" s="20"/>
    </row>
    <row r="919" spans="1:13" x14ac:dyDescent="0.25">
      <c r="A919" s="20"/>
      <c r="B919" s="20"/>
      <c r="C919" s="20"/>
      <c r="E919" s="21" t="b">
        <f>IF(AND(A919&lt;&gt;0,B919=0,C919=0),VLOOKUP(A919,'3 - LISTA DE ESPÉCIES'!A:H,1,FALSE()),IF(AND(A919=0,B919&lt;&gt;0,C919=0),VLOOKUP(B919,'3 - LISTA DE ESPÉCIES'!B:H,5,FALSE()),IF(AND(A919=0,B919=0,C919&lt;&gt;0),VLOOKUP(C919,'3 - LISTA DE ESPÉCIES'!C:H,4,FALSE()))))</f>
        <v>0</v>
      </c>
      <c r="F919" s="21" t="b">
        <f>IF(AND(A919&lt;&gt;0,B919=0,C919=0),VLOOKUP(A919,'3 - LISTA DE ESPÉCIES'!A:H,2,FALSE()),IF(AND(A919=0,B919&lt;&gt;0,C919=0),VLOOKUP(B919,'3 - LISTA DE ESPÉCIES'!B:H,6,FALSE()),IF(AND(A919=0,B919=0,C919&lt;&gt;0),VLOOKUP(C919,'3 - LISTA DE ESPÉCIES'!C:H,5,FALSE()))))</f>
        <v>0</v>
      </c>
      <c r="G919" s="21" t="b">
        <f>IF(AND(A919&lt;&gt;0,B919=0,C919=0),VLOOKUP(A919,'3 - LISTA DE ESPÉCIES'!A:H,3,FALSE()),IF(AND(A919=0,B919&lt;&gt;0,C919=0),VLOOKUP(B919,'3 - LISTA DE ESPÉCIES'!B:H,7,FALSE()),IF(AND(A919=0,B919=0,C919&lt;&gt;0),VLOOKUP(C919,'3 - LISTA DE ESPÉCIES'!C:H,6,FALSE()))))</f>
        <v>0</v>
      </c>
      <c r="H919" s="21" t="b">
        <f>IF(AND(A919&lt;&gt;0,B919=0,C919=0),VLOOKUP(A919,'3 - LISTA DE ESPÉCIES'!A:H,4,FALSE()),IF(AND(A919=0,B919&lt;&gt;0,C919=0),VLOOKUP(B919,'3 - LISTA DE ESPÉCIES'!B:H,3,FALSE()),IF(AND(A919=0,B919=0,C919&lt;&gt;0),VLOOKUP(C919,'3 - LISTA DE ESPÉCIES'!C:H,2,FALSE()))))</f>
        <v>0</v>
      </c>
      <c r="I919" s="21" t="b">
        <f>IF(AND(A919&lt;&gt;0,B919=0,C919=0),VLOOKUP(A919,'3 - LISTA DE ESPÉCIES'!A:H,5,FALSE()),IF(AND(A919=0,B919&lt;&gt;0,C919=0),VLOOKUP(B919,'3 - LISTA DE ESPÉCIES'!B:H,4,FALSE()),IF(AND(A919=0,B919=0,C919&lt;&gt;0),VLOOKUP(C919,'3 - LISTA DE ESPÉCIES'!C:H,3,FALSE()))))</f>
        <v>0</v>
      </c>
      <c r="J919" s="23"/>
      <c r="K919" s="23"/>
      <c r="L919" s="20"/>
      <c r="M919" s="20"/>
    </row>
    <row r="920" spans="1:13" x14ac:dyDescent="0.25">
      <c r="A920" s="20"/>
      <c r="B920" s="20"/>
      <c r="C920" s="20"/>
      <c r="E920" s="21" t="b">
        <f>IF(AND(A920&lt;&gt;0,B920=0,C920=0),VLOOKUP(A920,'3 - LISTA DE ESPÉCIES'!A:H,1,FALSE()),IF(AND(A920=0,B920&lt;&gt;0,C920=0),VLOOKUP(B920,'3 - LISTA DE ESPÉCIES'!B:H,5,FALSE()),IF(AND(A920=0,B920=0,C920&lt;&gt;0),VLOOKUP(C920,'3 - LISTA DE ESPÉCIES'!C:H,4,FALSE()))))</f>
        <v>0</v>
      </c>
      <c r="F920" s="21" t="b">
        <f>IF(AND(A920&lt;&gt;0,B920=0,C920=0),VLOOKUP(A920,'3 - LISTA DE ESPÉCIES'!A:H,2,FALSE()),IF(AND(A920=0,B920&lt;&gt;0,C920=0),VLOOKUP(B920,'3 - LISTA DE ESPÉCIES'!B:H,6,FALSE()),IF(AND(A920=0,B920=0,C920&lt;&gt;0),VLOOKUP(C920,'3 - LISTA DE ESPÉCIES'!C:H,5,FALSE()))))</f>
        <v>0</v>
      </c>
      <c r="G920" s="21" t="b">
        <f>IF(AND(A920&lt;&gt;0,B920=0,C920=0),VLOOKUP(A920,'3 - LISTA DE ESPÉCIES'!A:H,3,FALSE()),IF(AND(A920=0,B920&lt;&gt;0,C920=0),VLOOKUP(B920,'3 - LISTA DE ESPÉCIES'!B:H,7,FALSE()),IF(AND(A920=0,B920=0,C920&lt;&gt;0),VLOOKUP(C920,'3 - LISTA DE ESPÉCIES'!C:H,6,FALSE()))))</f>
        <v>0</v>
      </c>
      <c r="H920" s="21" t="b">
        <f>IF(AND(A920&lt;&gt;0,B920=0,C920=0),VLOOKUP(A920,'3 - LISTA DE ESPÉCIES'!A:H,4,FALSE()),IF(AND(A920=0,B920&lt;&gt;0,C920=0),VLOOKUP(B920,'3 - LISTA DE ESPÉCIES'!B:H,3,FALSE()),IF(AND(A920=0,B920=0,C920&lt;&gt;0),VLOOKUP(C920,'3 - LISTA DE ESPÉCIES'!C:H,2,FALSE()))))</f>
        <v>0</v>
      </c>
      <c r="I920" s="21" t="b">
        <f>IF(AND(A920&lt;&gt;0,B920=0,C920=0),VLOOKUP(A920,'3 - LISTA DE ESPÉCIES'!A:H,5,FALSE()),IF(AND(A920=0,B920&lt;&gt;0,C920=0),VLOOKUP(B920,'3 - LISTA DE ESPÉCIES'!B:H,4,FALSE()),IF(AND(A920=0,B920=0,C920&lt;&gt;0),VLOOKUP(C920,'3 - LISTA DE ESPÉCIES'!C:H,3,FALSE()))))</f>
        <v>0</v>
      </c>
      <c r="J920" s="23"/>
      <c r="K920" s="23"/>
      <c r="L920" s="20"/>
      <c r="M920" s="20"/>
    </row>
    <row r="921" spans="1:13" x14ac:dyDescent="0.25">
      <c r="A921" s="20"/>
      <c r="B921" s="20"/>
      <c r="C921" s="20"/>
      <c r="E921" s="21" t="b">
        <f>IF(AND(A921&lt;&gt;0,B921=0,C921=0),VLOOKUP(A921,'3 - LISTA DE ESPÉCIES'!A:H,1,FALSE()),IF(AND(A921=0,B921&lt;&gt;0,C921=0),VLOOKUP(B921,'3 - LISTA DE ESPÉCIES'!B:H,5,FALSE()),IF(AND(A921=0,B921=0,C921&lt;&gt;0),VLOOKUP(C921,'3 - LISTA DE ESPÉCIES'!C:H,4,FALSE()))))</f>
        <v>0</v>
      </c>
      <c r="F921" s="21" t="b">
        <f>IF(AND(A921&lt;&gt;0,B921=0,C921=0),VLOOKUP(A921,'3 - LISTA DE ESPÉCIES'!A:H,2,FALSE()),IF(AND(A921=0,B921&lt;&gt;0,C921=0),VLOOKUP(B921,'3 - LISTA DE ESPÉCIES'!B:H,6,FALSE()),IF(AND(A921=0,B921=0,C921&lt;&gt;0),VLOOKUP(C921,'3 - LISTA DE ESPÉCIES'!C:H,5,FALSE()))))</f>
        <v>0</v>
      </c>
      <c r="G921" s="21" t="b">
        <f>IF(AND(A921&lt;&gt;0,B921=0,C921=0),VLOOKUP(A921,'3 - LISTA DE ESPÉCIES'!A:H,3,FALSE()),IF(AND(A921=0,B921&lt;&gt;0,C921=0),VLOOKUP(B921,'3 - LISTA DE ESPÉCIES'!B:H,7,FALSE()),IF(AND(A921=0,B921=0,C921&lt;&gt;0),VLOOKUP(C921,'3 - LISTA DE ESPÉCIES'!C:H,6,FALSE()))))</f>
        <v>0</v>
      </c>
      <c r="H921" s="21" t="b">
        <f>IF(AND(A921&lt;&gt;0,B921=0,C921=0),VLOOKUP(A921,'3 - LISTA DE ESPÉCIES'!A:H,4,FALSE()),IF(AND(A921=0,B921&lt;&gt;0,C921=0),VLOOKUP(B921,'3 - LISTA DE ESPÉCIES'!B:H,3,FALSE()),IF(AND(A921=0,B921=0,C921&lt;&gt;0),VLOOKUP(C921,'3 - LISTA DE ESPÉCIES'!C:H,2,FALSE()))))</f>
        <v>0</v>
      </c>
      <c r="I921" s="21" t="b">
        <f>IF(AND(A921&lt;&gt;0,B921=0,C921=0),VLOOKUP(A921,'3 - LISTA DE ESPÉCIES'!A:H,5,FALSE()),IF(AND(A921=0,B921&lt;&gt;0,C921=0),VLOOKUP(B921,'3 - LISTA DE ESPÉCIES'!B:H,4,FALSE()),IF(AND(A921=0,B921=0,C921&lt;&gt;0),VLOOKUP(C921,'3 - LISTA DE ESPÉCIES'!C:H,3,FALSE()))))</f>
        <v>0</v>
      </c>
      <c r="J921" s="23"/>
      <c r="K921" s="23"/>
      <c r="L921" s="20"/>
      <c r="M921" s="20"/>
    </row>
    <row r="922" spans="1:13" x14ac:dyDescent="0.25">
      <c r="A922" s="20"/>
      <c r="B922" s="20"/>
      <c r="C922" s="20"/>
      <c r="E922" s="21" t="b">
        <f>IF(AND(A922&lt;&gt;0,B922=0,C922=0),VLOOKUP(A922,'3 - LISTA DE ESPÉCIES'!A:H,1,FALSE()),IF(AND(A922=0,B922&lt;&gt;0,C922=0),VLOOKUP(B922,'3 - LISTA DE ESPÉCIES'!B:H,5,FALSE()),IF(AND(A922=0,B922=0,C922&lt;&gt;0),VLOOKUP(C922,'3 - LISTA DE ESPÉCIES'!C:H,4,FALSE()))))</f>
        <v>0</v>
      </c>
      <c r="F922" s="21" t="b">
        <f>IF(AND(A922&lt;&gt;0,B922=0,C922=0),VLOOKUP(A922,'3 - LISTA DE ESPÉCIES'!A:H,2,FALSE()),IF(AND(A922=0,B922&lt;&gt;0,C922=0),VLOOKUP(B922,'3 - LISTA DE ESPÉCIES'!B:H,6,FALSE()),IF(AND(A922=0,B922=0,C922&lt;&gt;0),VLOOKUP(C922,'3 - LISTA DE ESPÉCIES'!C:H,5,FALSE()))))</f>
        <v>0</v>
      </c>
      <c r="G922" s="21" t="b">
        <f>IF(AND(A922&lt;&gt;0,B922=0,C922=0),VLOOKUP(A922,'3 - LISTA DE ESPÉCIES'!A:H,3,FALSE()),IF(AND(A922=0,B922&lt;&gt;0,C922=0),VLOOKUP(B922,'3 - LISTA DE ESPÉCIES'!B:H,7,FALSE()),IF(AND(A922=0,B922=0,C922&lt;&gt;0),VLOOKUP(C922,'3 - LISTA DE ESPÉCIES'!C:H,6,FALSE()))))</f>
        <v>0</v>
      </c>
      <c r="H922" s="21" t="b">
        <f>IF(AND(A922&lt;&gt;0,B922=0,C922=0),VLOOKUP(A922,'3 - LISTA DE ESPÉCIES'!A:H,4,FALSE()),IF(AND(A922=0,B922&lt;&gt;0,C922=0),VLOOKUP(B922,'3 - LISTA DE ESPÉCIES'!B:H,3,FALSE()),IF(AND(A922=0,B922=0,C922&lt;&gt;0),VLOOKUP(C922,'3 - LISTA DE ESPÉCIES'!C:H,2,FALSE()))))</f>
        <v>0</v>
      </c>
      <c r="I922" s="21" t="b">
        <f>IF(AND(A922&lt;&gt;0,B922=0,C922=0),VLOOKUP(A922,'3 - LISTA DE ESPÉCIES'!A:H,5,FALSE()),IF(AND(A922=0,B922&lt;&gt;0,C922=0),VLOOKUP(B922,'3 - LISTA DE ESPÉCIES'!B:H,4,FALSE()),IF(AND(A922=0,B922=0,C922&lt;&gt;0),VLOOKUP(C922,'3 - LISTA DE ESPÉCIES'!C:H,3,FALSE()))))</f>
        <v>0</v>
      </c>
      <c r="J922" s="23"/>
      <c r="K922" s="23"/>
      <c r="L922" s="20"/>
      <c r="M922" s="20"/>
    </row>
    <row r="923" spans="1:13" x14ac:dyDescent="0.25">
      <c r="A923" s="20"/>
      <c r="B923" s="20"/>
      <c r="C923" s="20"/>
      <c r="E923" s="21" t="b">
        <f>IF(AND(A923&lt;&gt;0,B923=0,C923=0),VLOOKUP(A923,'3 - LISTA DE ESPÉCIES'!A:H,1,FALSE()),IF(AND(A923=0,B923&lt;&gt;0,C923=0),VLOOKUP(B923,'3 - LISTA DE ESPÉCIES'!B:H,5,FALSE()),IF(AND(A923=0,B923=0,C923&lt;&gt;0),VLOOKUP(C923,'3 - LISTA DE ESPÉCIES'!C:H,4,FALSE()))))</f>
        <v>0</v>
      </c>
      <c r="F923" s="21" t="b">
        <f>IF(AND(A923&lt;&gt;0,B923=0,C923=0),VLOOKUP(A923,'3 - LISTA DE ESPÉCIES'!A:H,2,FALSE()),IF(AND(A923=0,B923&lt;&gt;0,C923=0),VLOOKUP(B923,'3 - LISTA DE ESPÉCIES'!B:H,6,FALSE()),IF(AND(A923=0,B923=0,C923&lt;&gt;0),VLOOKUP(C923,'3 - LISTA DE ESPÉCIES'!C:H,5,FALSE()))))</f>
        <v>0</v>
      </c>
      <c r="G923" s="21" t="b">
        <f>IF(AND(A923&lt;&gt;0,B923=0,C923=0),VLOOKUP(A923,'3 - LISTA DE ESPÉCIES'!A:H,3,FALSE()),IF(AND(A923=0,B923&lt;&gt;0,C923=0),VLOOKUP(B923,'3 - LISTA DE ESPÉCIES'!B:H,7,FALSE()),IF(AND(A923=0,B923=0,C923&lt;&gt;0),VLOOKUP(C923,'3 - LISTA DE ESPÉCIES'!C:H,6,FALSE()))))</f>
        <v>0</v>
      </c>
      <c r="H923" s="21" t="b">
        <f>IF(AND(A923&lt;&gt;0,B923=0,C923=0),VLOOKUP(A923,'3 - LISTA DE ESPÉCIES'!A:H,4,FALSE()),IF(AND(A923=0,B923&lt;&gt;0,C923=0),VLOOKUP(B923,'3 - LISTA DE ESPÉCIES'!B:H,3,FALSE()),IF(AND(A923=0,B923=0,C923&lt;&gt;0),VLOOKUP(C923,'3 - LISTA DE ESPÉCIES'!C:H,2,FALSE()))))</f>
        <v>0</v>
      </c>
      <c r="I923" s="21" t="b">
        <f>IF(AND(A923&lt;&gt;0,B923=0,C923=0),VLOOKUP(A923,'3 - LISTA DE ESPÉCIES'!A:H,5,FALSE()),IF(AND(A923=0,B923&lt;&gt;0,C923=0),VLOOKUP(B923,'3 - LISTA DE ESPÉCIES'!B:H,4,FALSE()),IF(AND(A923=0,B923=0,C923&lt;&gt;0),VLOOKUP(C923,'3 - LISTA DE ESPÉCIES'!C:H,3,FALSE()))))</f>
        <v>0</v>
      </c>
      <c r="J923" s="23"/>
      <c r="K923" s="23"/>
      <c r="L923" s="20"/>
      <c r="M923" s="20"/>
    </row>
    <row r="924" spans="1:13" x14ac:dyDescent="0.25">
      <c r="A924" s="20"/>
      <c r="B924" s="20"/>
      <c r="C924" s="20"/>
      <c r="E924" s="21" t="b">
        <f>IF(AND(A924&lt;&gt;0,B924=0,C924=0),VLOOKUP(A924,'3 - LISTA DE ESPÉCIES'!A:H,1,FALSE()),IF(AND(A924=0,B924&lt;&gt;0,C924=0),VLOOKUP(B924,'3 - LISTA DE ESPÉCIES'!B:H,5,FALSE()),IF(AND(A924=0,B924=0,C924&lt;&gt;0),VLOOKUP(C924,'3 - LISTA DE ESPÉCIES'!C:H,4,FALSE()))))</f>
        <v>0</v>
      </c>
      <c r="F924" s="21" t="b">
        <f>IF(AND(A924&lt;&gt;0,B924=0,C924=0),VLOOKUP(A924,'3 - LISTA DE ESPÉCIES'!A:H,2,FALSE()),IF(AND(A924=0,B924&lt;&gt;0,C924=0),VLOOKUP(B924,'3 - LISTA DE ESPÉCIES'!B:H,6,FALSE()),IF(AND(A924=0,B924=0,C924&lt;&gt;0),VLOOKUP(C924,'3 - LISTA DE ESPÉCIES'!C:H,5,FALSE()))))</f>
        <v>0</v>
      </c>
      <c r="G924" s="21" t="b">
        <f>IF(AND(A924&lt;&gt;0,B924=0,C924=0),VLOOKUP(A924,'3 - LISTA DE ESPÉCIES'!A:H,3,FALSE()),IF(AND(A924=0,B924&lt;&gt;0,C924=0),VLOOKUP(B924,'3 - LISTA DE ESPÉCIES'!B:H,7,FALSE()),IF(AND(A924=0,B924=0,C924&lt;&gt;0),VLOOKUP(C924,'3 - LISTA DE ESPÉCIES'!C:H,6,FALSE()))))</f>
        <v>0</v>
      </c>
      <c r="H924" s="21" t="b">
        <f>IF(AND(A924&lt;&gt;0,B924=0,C924=0),VLOOKUP(A924,'3 - LISTA DE ESPÉCIES'!A:H,4,FALSE()),IF(AND(A924=0,B924&lt;&gt;0,C924=0),VLOOKUP(B924,'3 - LISTA DE ESPÉCIES'!B:H,3,FALSE()),IF(AND(A924=0,B924=0,C924&lt;&gt;0),VLOOKUP(C924,'3 - LISTA DE ESPÉCIES'!C:H,2,FALSE()))))</f>
        <v>0</v>
      </c>
      <c r="I924" s="21" t="b">
        <f>IF(AND(A924&lt;&gt;0,B924=0,C924=0),VLOOKUP(A924,'3 - LISTA DE ESPÉCIES'!A:H,5,FALSE()),IF(AND(A924=0,B924&lt;&gt;0,C924=0),VLOOKUP(B924,'3 - LISTA DE ESPÉCIES'!B:H,4,FALSE()),IF(AND(A924=0,B924=0,C924&lt;&gt;0),VLOOKUP(C924,'3 - LISTA DE ESPÉCIES'!C:H,3,FALSE()))))</f>
        <v>0</v>
      </c>
      <c r="J924" s="23"/>
      <c r="K924" s="23"/>
      <c r="L924" s="20"/>
      <c r="M924" s="20"/>
    </row>
    <row r="925" spans="1:13" x14ac:dyDescent="0.25">
      <c r="A925" s="20"/>
      <c r="B925" s="20"/>
      <c r="C925" s="20"/>
      <c r="E925" s="21" t="b">
        <f>IF(AND(A925&lt;&gt;0,B925=0,C925=0),VLOOKUP(A925,'3 - LISTA DE ESPÉCIES'!A:H,1,FALSE()),IF(AND(A925=0,B925&lt;&gt;0,C925=0),VLOOKUP(B925,'3 - LISTA DE ESPÉCIES'!B:H,5,FALSE()),IF(AND(A925=0,B925=0,C925&lt;&gt;0),VLOOKUP(C925,'3 - LISTA DE ESPÉCIES'!C:H,4,FALSE()))))</f>
        <v>0</v>
      </c>
      <c r="F925" s="21" t="b">
        <f>IF(AND(A925&lt;&gt;0,B925=0,C925=0),VLOOKUP(A925,'3 - LISTA DE ESPÉCIES'!A:H,2,FALSE()),IF(AND(A925=0,B925&lt;&gt;0,C925=0),VLOOKUP(B925,'3 - LISTA DE ESPÉCIES'!B:H,6,FALSE()),IF(AND(A925=0,B925=0,C925&lt;&gt;0),VLOOKUP(C925,'3 - LISTA DE ESPÉCIES'!C:H,5,FALSE()))))</f>
        <v>0</v>
      </c>
      <c r="G925" s="21" t="b">
        <f>IF(AND(A925&lt;&gt;0,B925=0,C925=0),VLOOKUP(A925,'3 - LISTA DE ESPÉCIES'!A:H,3,FALSE()),IF(AND(A925=0,B925&lt;&gt;0,C925=0),VLOOKUP(B925,'3 - LISTA DE ESPÉCIES'!B:H,7,FALSE()),IF(AND(A925=0,B925=0,C925&lt;&gt;0),VLOOKUP(C925,'3 - LISTA DE ESPÉCIES'!C:H,6,FALSE()))))</f>
        <v>0</v>
      </c>
      <c r="H925" s="21" t="b">
        <f>IF(AND(A925&lt;&gt;0,B925=0,C925=0),VLOOKUP(A925,'3 - LISTA DE ESPÉCIES'!A:H,4,FALSE()),IF(AND(A925=0,B925&lt;&gt;0,C925=0),VLOOKUP(B925,'3 - LISTA DE ESPÉCIES'!B:H,3,FALSE()),IF(AND(A925=0,B925=0,C925&lt;&gt;0),VLOOKUP(C925,'3 - LISTA DE ESPÉCIES'!C:H,2,FALSE()))))</f>
        <v>0</v>
      </c>
      <c r="I925" s="21" t="b">
        <f>IF(AND(A925&lt;&gt;0,B925=0,C925=0),VLOOKUP(A925,'3 - LISTA DE ESPÉCIES'!A:H,5,FALSE()),IF(AND(A925=0,B925&lt;&gt;0,C925=0),VLOOKUP(B925,'3 - LISTA DE ESPÉCIES'!B:H,4,FALSE()),IF(AND(A925=0,B925=0,C925&lt;&gt;0),VLOOKUP(C925,'3 - LISTA DE ESPÉCIES'!C:H,3,FALSE()))))</f>
        <v>0</v>
      </c>
      <c r="J925" s="23"/>
      <c r="K925" s="23"/>
      <c r="L925" s="20"/>
      <c r="M925" s="20"/>
    </row>
    <row r="926" spans="1:13" x14ac:dyDescent="0.25">
      <c r="A926" s="20"/>
      <c r="B926" s="20"/>
      <c r="C926" s="20"/>
      <c r="E926" s="21" t="b">
        <f>IF(AND(A926&lt;&gt;0,B926=0,C926=0),VLOOKUP(A926,'3 - LISTA DE ESPÉCIES'!A:H,1,FALSE()),IF(AND(A926=0,B926&lt;&gt;0,C926=0),VLOOKUP(B926,'3 - LISTA DE ESPÉCIES'!B:H,5,FALSE()),IF(AND(A926=0,B926=0,C926&lt;&gt;0),VLOOKUP(C926,'3 - LISTA DE ESPÉCIES'!C:H,4,FALSE()))))</f>
        <v>0</v>
      </c>
      <c r="F926" s="21" t="b">
        <f>IF(AND(A926&lt;&gt;0,B926=0,C926=0),VLOOKUP(A926,'3 - LISTA DE ESPÉCIES'!A:H,2,FALSE()),IF(AND(A926=0,B926&lt;&gt;0,C926=0),VLOOKUP(B926,'3 - LISTA DE ESPÉCIES'!B:H,6,FALSE()),IF(AND(A926=0,B926=0,C926&lt;&gt;0),VLOOKUP(C926,'3 - LISTA DE ESPÉCIES'!C:H,5,FALSE()))))</f>
        <v>0</v>
      </c>
      <c r="G926" s="21" t="b">
        <f>IF(AND(A926&lt;&gt;0,B926=0,C926=0),VLOOKUP(A926,'3 - LISTA DE ESPÉCIES'!A:H,3,FALSE()),IF(AND(A926=0,B926&lt;&gt;0,C926=0),VLOOKUP(B926,'3 - LISTA DE ESPÉCIES'!B:H,7,FALSE()),IF(AND(A926=0,B926=0,C926&lt;&gt;0),VLOOKUP(C926,'3 - LISTA DE ESPÉCIES'!C:H,6,FALSE()))))</f>
        <v>0</v>
      </c>
      <c r="H926" s="21" t="b">
        <f>IF(AND(A926&lt;&gt;0,B926=0,C926=0),VLOOKUP(A926,'3 - LISTA DE ESPÉCIES'!A:H,4,FALSE()),IF(AND(A926=0,B926&lt;&gt;0,C926=0),VLOOKUP(B926,'3 - LISTA DE ESPÉCIES'!B:H,3,FALSE()),IF(AND(A926=0,B926=0,C926&lt;&gt;0),VLOOKUP(C926,'3 - LISTA DE ESPÉCIES'!C:H,2,FALSE()))))</f>
        <v>0</v>
      </c>
      <c r="I926" s="21" t="b">
        <f>IF(AND(A926&lt;&gt;0,B926=0,C926=0),VLOOKUP(A926,'3 - LISTA DE ESPÉCIES'!A:H,5,FALSE()),IF(AND(A926=0,B926&lt;&gt;0,C926=0),VLOOKUP(B926,'3 - LISTA DE ESPÉCIES'!B:H,4,FALSE()),IF(AND(A926=0,B926=0,C926&lt;&gt;0),VLOOKUP(C926,'3 - LISTA DE ESPÉCIES'!C:H,3,FALSE()))))</f>
        <v>0</v>
      </c>
      <c r="J926" s="23"/>
      <c r="K926" s="23"/>
      <c r="L926" s="20"/>
      <c r="M926" s="20"/>
    </row>
    <row r="927" spans="1:13" x14ac:dyDescent="0.25">
      <c r="A927" s="20"/>
      <c r="B927" s="20"/>
      <c r="C927" s="20"/>
      <c r="E927" s="21" t="b">
        <f>IF(AND(A927&lt;&gt;0,B927=0,C927=0),VLOOKUP(A927,'3 - LISTA DE ESPÉCIES'!A:H,1,FALSE()),IF(AND(A927=0,B927&lt;&gt;0,C927=0),VLOOKUP(B927,'3 - LISTA DE ESPÉCIES'!B:H,5,FALSE()),IF(AND(A927=0,B927=0,C927&lt;&gt;0),VLOOKUP(C927,'3 - LISTA DE ESPÉCIES'!C:H,4,FALSE()))))</f>
        <v>0</v>
      </c>
      <c r="F927" s="21" t="b">
        <f>IF(AND(A927&lt;&gt;0,B927=0,C927=0),VLOOKUP(A927,'3 - LISTA DE ESPÉCIES'!A:H,2,FALSE()),IF(AND(A927=0,B927&lt;&gt;0,C927=0),VLOOKUP(B927,'3 - LISTA DE ESPÉCIES'!B:H,6,FALSE()),IF(AND(A927=0,B927=0,C927&lt;&gt;0),VLOOKUP(C927,'3 - LISTA DE ESPÉCIES'!C:H,5,FALSE()))))</f>
        <v>0</v>
      </c>
      <c r="G927" s="21" t="b">
        <f>IF(AND(A927&lt;&gt;0,B927=0,C927=0),VLOOKUP(A927,'3 - LISTA DE ESPÉCIES'!A:H,3,FALSE()),IF(AND(A927=0,B927&lt;&gt;0,C927=0),VLOOKUP(B927,'3 - LISTA DE ESPÉCIES'!B:H,7,FALSE()),IF(AND(A927=0,B927=0,C927&lt;&gt;0),VLOOKUP(C927,'3 - LISTA DE ESPÉCIES'!C:H,6,FALSE()))))</f>
        <v>0</v>
      </c>
      <c r="H927" s="21" t="b">
        <f>IF(AND(A927&lt;&gt;0,B927=0,C927=0),VLOOKUP(A927,'3 - LISTA DE ESPÉCIES'!A:H,4,FALSE()),IF(AND(A927=0,B927&lt;&gt;0,C927=0),VLOOKUP(B927,'3 - LISTA DE ESPÉCIES'!B:H,3,FALSE()),IF(AND(A927=0,B927=0,C927&lt;&gt;0),VLOOKUP(C927,'3 - LISTA DE ESPÉCIES'!C:H,2,FALSE()))))</f>
        <v>0</v>
      </c>
      <c r="I927" s="21" t="b">
        <f>IF(AND(A927&lt;&gt;0,B927=0,C927=0),VLOOKUP(A927,'3 - LISTA DE ESPÉCIES'!A:H,5,FALSE()),IF(AND(A927=0,B927&lt;&gt;0,C927=0),VLOOKUP(B927,'3 - LISTA DE ESPÉCIES'!B:H,4,FALSE()),IF(AND(A927=0,B927=0,C927&lt;&gt;0),VLOOKUP(C927,'3 - LISTA DE ESPÉCIES'!C:H,3,FALSE()))))</f>
        <v>0</v>
      </c>
      <c r="J927" s="23"/>
      <c r="K927" s="23"/>
      <c r="L927" s="20"/>
      <c r="M927" s="20"/>
    </row>
    <row r="928" spans="1:13" x14ac:dyDescent="0.25">
      <c r="A928" s="20"/>
      <c r="B928" s="20"/>
      <c r="C928" s="20"/>
      <c r="E928" s="21" t="b">
        <f>IF(AND(A928&lt;&gt;0,B928=0,C928=0),VLOOKUP(A928,'3 - LISTA DE ESPÉCIES'!A:H,1,FALSE()),IF(AND(A928=0,B928&lt;&gt;0,C928=0),VLOOKUP(B928,'3 - LISTA DE ESPÉCIES'!B:H,5,FALSE()),IF(AND(A928=0,B928=0,C928&lt;&gt;0),VLOOKUP(C928,'3 - LISTA DE ESPÉCIES'!C:H,4,FALSE()))))</f>
        <v>0</v>
      </c>
      <c r="F928" s="21" t="b">
        <f>IF(AND(A928&lt;&gt;0,B928=0,C928=0),VLOOKUP(A928,'3 - LISTA DE ESPÉCIES'!A:H,2,FALSE()),IF(AND(A928=0,B928&lt;&gt;0,C928=0),VLOOKUP(B928,'3 - LISTA DE ESPÉCIES'!B:H,6,FALSE()),IF(AND(A928=0,B928=0,C928&lt;&gt;0),VLOOKUP(C928,'3 - LISTA DE ESPÉCIES'!C:H,5,FALSE()))))</f>
        <v>0</v>
      </c>
      <c r="G928" s="21" t="b">
        <f>IF(AND(A928&lt;&gt;0,B928=0,C928=0),VLOOKUP(A928,'3 - LISTA DE ESPÉCIES'!A:H,3,FALSE()),IF(AND(A928=0,B928&lt;&gt;0,C928=0),VLOOKUP(B928,'3 - LISTA DE ESPÉCIES'!B:H,7,FALSE()),IF(AND(A928=0,B928=0,C928&lt;&gt;0),VLOOKUP(C928,'3 - LISTA DE ESPÉCIES'!C:H,6,FALSE()))))</f>
        <v>0</v>
      </c>
      <c r="H928" s="21" t="b">
        <f>IF(AND(A928&lt;&gt;0,B928=0,C928=0),VLOOKUP(A928,'3 - LISTA DE ESPÉCIES'!A:H,4,FALSE()),IF(AND(A928=0,B928&lt;&gt;0,C928=0),VLOOKUP(B928,'3 - LISTA DE ESPÉCIES'!B:H,3,FALSE()),IF(AND(A928=0,B928=0,C928&lt;&gt;0),VLOOKUP(C928,'3 - LISTA DE ESPÉCIES'!C:H,2,FALSE()))))</f>
        <v>0</v>
      </c>
      <c r="I928" s="21" t="b">
        <f>IF(AND(A928&lt;&gt;0,B928=0,C928=0),VLOOKUP(A928,'3 - LISTA DE ESPÉCIES'!A:H,5,FALSE()),IF(AND(A928=0,B928&lt;&gt;0,C928=0),VLOOKUP(B928,'3 - LISTA DE ESPÉCIES'!B:H,4,FALSE()),IF(AND(A928=0,B928=0,C928&lt;&gt;0),VLOOKUP(C928,'3 - LISTA DE ESPÉCIES'!C:H,3,FALSE()))))</f>
        <v>0</v>
      </c>
      <c r="J928" s="23"/>
      <c r="K928" s="23"/>
      <c r="L928" s="20"/>
      <c r="M928" s="20"/>
    </row>
    <row r="929" spans="1:13" x14ac:dyDescent="0.25">
      <c r="A929" s="20"/>
      <c r="B929" s="20"/>
      <c r="C929" s="20"/>
      <c r="E929" s="21" t="b">
        <f>IF(AND(A929&lt;&gt;0,B929=0,C929=0),VLOOKUP(A929,'3 - LISTA DE ESPÉCIES'!A:H,1,FALSE()),IF(AND(A929=0,B929&lt;&gt;0,C929=0),VLOOKUP(B929,'3 - LISTA DE ESPÉCIES'!B:H,5,FALSE()),IF(AND(A929=0,B929=0,C929&lt;&gt;0),VLOOKUP(C929,'3 - LISTA DE ESPÉCIES'!C:H,4,FALSE()))))</f>
        <v>0</v>
      </c>
      <c r="F929" s="21" t="b">
        <f>IF(AND(A929&lt;&gt;0,B929=0,C929=0),VLOOKUP(A929,'3 - LISTA DE ESPÉCIES'!A:H,2,FALSE()),IF(AND(A929=0,B929&lt;&gt;0,C929=0),VLOOKUP(B929,'3 - LISTA DE ESPÉCIES'!B:H,6,FALSE()),IF(AND(A929=0,B929=0,C929&lt;&gt;0),VLOOKUP(C929,'3 - LISTA DE ESPÉCIES'!C:H,5,FALSE()))))</f>
        <v>0</v>
      </c>
      <c r="G929" s="21" t="b">
        <f>IF(AND(A929&lt;&gt;0,B929=0,C929=0),VLOOKUP(A929,'3 - LISTA DE ESPÉCIES'!A:H,3,FALSE()),IF(AND(A929=0,B929&lt;&gt;0,C929=0),VLOOKUP(B929,'3 - LISTA DE ESPÉCIES'!B:H,7,FALSE()),IF(AND(A929=0,B929=0,C929&lt;&gt;0),VLOOKUP(C929,'3 - LISTA DE ESPÉCIES'!C:H,6,FALSE()))))</f>
        <v>0</v>
      </c>
      <c r="H929" s="21" t="b">
        <f>IF(AND(A929&lt;&gt;0,B929=0,C929=0),VLOOKUP(A929,'3 - LISTA DE ESPÉCIES'!A:H,4,FALSE()),IF(AND(A929=0,B929&lt;&gt;0,C929=0),VLOOKUP(B929,'3 - LISTA DE ESPÉCIES'!B:H,3,FALSE()),IF(AND(A929=0,B929=0,C929&lt;&gt;0),VLOOKUP(C929,'3 - LISTA DE ESPÉCIES'!C:H,2,FALSE()))))</f>
        <v>0</v>
      </c>
      <c r="I929" s="21" t="b">
        <f>IF(AND(A929&lt;&gt;0,B929=0,C929=0),VLOOKUP(A929,'3 - LISTA DE ESPÉCIES'!A:H,5,FALSE()),IF(AND(A929=0,B929&lt;&gt;0,C929=0),VLOOKUP(B929,'3 - LISTA DE ESPÉCIES'!B:H,4,FALSE()),IF(AND(A929=0,B929=0,C929&lt;&gt;0),VLOOKUP(C929,'3 - LISTA DE ESPÉCIES'!C:H,3,FALSE()))))</f>
        <v>0</v>
      </c>
      <c r="J929" s="23"/>
      <c r="K929" s="23"/>
      <c r="L929" s="20"/>
      <c r="M929" s="20"/>
    </row>
    <row r="930" spans="1:13" x14ac:dyDescent="0.25">
      <c r="A930" s="20"/>
      <c r="B930" s="20"/>
      <c r="C930" s="20"/>
      <c r="E930" s="21" t="b">
        <f>IF(AND(A930&lt;&gt;0,B930=0,C930=0),VLOOKUP(A930,'3 - LISTA DE ESPÉCIES'!A:H,1,FALSE()),IF(AND(A930=0,B930&lt;&gt;0,C930=0),VLOOKUP(B930,'3 - LISTA DE ESPÉCIES'!B:H,5,FALSE()),IF(AND(A930=0,B930=0,C930&lt;&gt;0),VLOOKUP(C930,'3 - LISTA DE ESPÉCIES'!C:H,4,FALSE()))))</f>
        <v>0</v>
      </c>
      <c r="F930" s="21" t="b">
        <f>IF(AND(A930&lt;&gt;0,B930=0,C930=0),VLOOKUP(A930,'3 - LISTA DE ESPÉCIES'!A:H,2,FALSE()),IF(AND(A930=0,B930&lt;&gt;0,C930=0),VLOOKUP(B930,'3 - LISTA DE ESPÉCIES'!B:H,6,FALSE()),IF(AND(A930=0,B930=0,C930&lt;&gt;0),VLOOKUP(C930,'3 - LISTA DE ESPÉCIES'!C:H,5,FALSE()))))</f>
        <v>0</v>
      </c>
      <c r="G930" s="21" t="b">
        <f>IF(AND(A930&lt;&gt;0,B930=0,C930=0),VLOOKUP(A930,'3 - LISTA DE ESPÉCIES'!A:H,3,FALSE()),IF(AND(A930=0,B930&lt;&gt;0,C930=0),VLOOKUP(B930,'3 - LISTA DE ESPÉCIES'!B:H,7,FALSE()),IF(AND(A930=0,B930=0,C930&lt;&gt;0),VLOOKUP(C930,'3 - LISTA DE ESPÉCIES'!C:H,6,FALSE()))))</f>
        <v>0</v>
      </c>
      <c r="H930" s="21" t="b">
        <f>IF(AND(A930&lt;&gt;0,B930=0,C930=0),VLOOKUP(A930,'3 - LISTA DE ESPÉCIES'!A:H,4,FALSE()),IF(AND(A930=0,B930&lt;&gt;0,C930=0),VLOOKUP(B930,'3 - LISTA DE ESPÉCIES'!B:H,3,FALSE()),IF(AND(A930=0,B930=0,C930&lt;&gt;0),VLOOKUP(C930,'3 - LISTA DE ESPÉCIES'!C:H,2,FALSE()))))</f>
        <v>0</v>
      </c>
      <c r="I930" s="21" t="b">
        <f>IF(AND(A930&lt;&gt;0,B930=0,C930=0),VLOOKUP(A930,'3 - LISTA DE ESPÉCIES'!A:H,5,FALSE()),IF(AND(A930=0,B930&lt;&gt;0,C930=0),VLOOKUP(B930,'3 - LISTA DE ESPÉCIES'!B:H,4,FALSE()),IF(AND(A930=0,B930=0,C930&lt;&gt;0),VLOOKUP(C930,'3 - LISTA DE ESPÉCIES'!C:H,3,FALSE()))))</f>
        <v>0</v>
      </c>
      <c r="J930" s="23"/>
      <c r="K930" s="23"/>
      <c r="L930" s="20"/>
      <c r="M930" s="20"/>
    </row>
    <row r="931" spans="1:13" x14ac:dyDescent="0.25">
      <c r="A931" s="20"/>
      <c r="B931" s="20"/>
      <c r="C931" s="20"/>
      <c r="E931" s="21" t="b">
        <f>IF(AND(A931&lt;&gt;0,B931=0,C931=0),VLOOKUP(A931,'3 - LISTA DE ESPÉCIES'!A:H,1,FALSE()),IF(AND(A931=0,B931&lt;&gt;0,C931=0),VLOOKUP(B931,'3 - LISTA DE ESPÉCIES'!B:H,5,FALSE()),IF(AND(A931=0,B931=0,C931&lt;&gt;0),VLOOKUP(C931,'3 - LISTA DE ESPÉCIES'!C:H,4,FALSE()))))</f>
        <v>0</v>
      </c>
      <c r="F931" s="21" t="b">
        <f>IF(AND(A931&lt;&gt;0,B931=0,C931=0),VLOOKUP(A931,'3 - LISTA DE ESPÉCIES'!A:H,2,FALSE()),IF(AND(A931=0,B931&lt;&gt;0,C931=0),VLOOKUP(B931,'3 - LISTA DE ESPÉCIES'!B:H,6,FALSE()),IF(AND(A931=0,B931=0,C931&lt;&gt;0),VLOOKUP(C931,'3 - LISTA DE ESPÉCIES'!C:H,5,FALSE()))))</f>
        <v>0</v>
      </c>
      <c r="G931" s="21" t="b">
        <f>IF(AND(A931&lt;&gt;0,B931=0,C931=0),VLOOKUP(A931,'3 - LISTA DE ESPÉCIES'!A:H,3,FALSE()),IF(AND(A931=0,B931&lt;&gt;0,C931=0),VLOOKUP(B931,'3 - LISTA DE ESPÉCIES'!B:H,7,FALSE()),IF(AND(A931=0,B931=0,C931&lt;&gt;0),VLOOKUP(C931,'3 - LISTA DE ESPÉCIES'!C:H,6,FALSE()))))</f>
        <v>0</v>
      </c>
      <c r="H931" s="21" t="b">
        <f>IF(AND(A931&lt;&gt;0,B931=0,C931=0),VLOOKUP(A931,'3 - LISTA DE ESPÉCIES'!A:H,4,FALSE()),IF(AND(A931=0,B931&lt;&gt;0,C931=0),VLOOKUP(B931,'3 - LISTA DE ESPÉCIES'!B:H,3,FALSE()),IF(AND(A931=0,B931=0,C931&lt;&gt;0),VLOOKUP(C931,'3 - LISTA DE ESPÉCIES'!C:H,2,FALSE()))))</f>
        <v>0</v>
      </c>
      <c r="I931" s="21" t="b">
        <f>IF(AND(A931&lt;&gt;0,B931=0,C931=0),VLOOKUP(A931,'3 - LISTA DE ESPÉCIES'!A:H,5,FALSE()),IF(AND(A931=0,B931&lt;&gt;0,C931=0),VLOOKUP(B931,'3 - LISTA DE ESPÉCIES'!B:H,4,FALSE()),IF(AND(A931=0,B931=0,C931&lt;&gt;0),VLOOKUP(C931,'3 - LISTA DE ESPÉCIES'!C:H,3,FALSE()))))</f>
        <v>0</v>
      </c>
      <c r="J931" s="23"/>
      <c r="K931" s="23"/>
      <c r="L931" s="20"/>
      <c r="M931" s="20"/>
    </row>
    <row r="932" spans="1:13" x14ac:dyDescent="0.25">
      <c r="A932" s="20"/>
      <c r="B932" s="20"/>
      <c r="C932" s="20"/>
      <c r="E932" s="21" t="b">
        <f>IF(AND(A932&lt;&gt;0,B932=0,C932=0),VLOOKUP(A932,'3 - LISTA DE ESPÉCIES'!A:H,1,FALSE()),IF(AND(A932=0,B932&lt;&gt;0,C932=0),VLOOKUP(B932,'3 - LISTA DE ESPÉCIES'!B:H,5,FALSE()),IF(AND(A932=0,B932=0,C932&lt;&gt;0),VLOOKUP(C932,'3 - LISTA DE ESPÉCIES'!C:H,4,FALSE()))))</f>
        <v>0</v>
      </c>
      <c r="F932" s="21" t="b">
        <f>IF(AND(A932&lt;&gt;0,B932=0,C932=0),VLOOKUP(A932,'3 - LISTA DE ESPÉCIES'!A:H,2,FALSE()),IF(AND(A932=0,B932&lt;&gt;0,C932=0),VLOOKUP(B932,'3 - LISTA DE ESPÉCIES'!B:H,6,FALSE()),IF(AND(A932=0,B932=0,C932&lt;&gt;0),VLOOKUP(C932,'3 - LISTA DE ESPÉCIES'!C:H,5,FALSE()))))</f>
        <v>0</v>
      </c>
      <c r="G932" s="21" t="b">
        <f>IF(AND(A932&lt;&gt;0,B932=0,C932=0),VLOOKUP(A932,'3 - LISTA DE ESPÉCIES'!A:H,3,FALSE()),IF(AND(A932=0,B932&lt;&gt;0,C932=0),VLOOKUP(B932,'3 - LISTA DE ESPÉCIES'!B:H,7,FALSE()),IF(AND(A932=0,B932=0,C932&lt;&gt;0),VLOOKUP(C932,'3 - LISTA DE ESPÉCIES'!C:H,6,FALSE()))))</f>
        <v>0</v>
      </c>
      <c r="H932" s="21" t="b">
        <f>IF(AND(A932&lt;&gt;0,B932=0,C932=0),VLOOKUP(A932,'3 - LISTA DE ESPÉCIES'!A:H,4,FALSE()),IF(AND(A932=0,B932&lt;&gt;0,C932=0),VLOOKUP(B932,'3 - LISTA DE ESPÉCIES'!B:H,3,FALSE()),IF(AND(A932=0,B932=0,C932&lt;&gt;0),VLOOKUP(C932,'3 - LISTA DE ESPÉCIES'!C:H,2,FALSE()))))</f>
        <v>0</v>
      </c>
      <c r="I932" s="21" t="b">
        <f>IF(AND(A932&lt;&gt;0,B932=0,C932=0),VLOOKUP(A932,'3 - LISTA DE ESPÉCIES'!A:H,5,FALSE()),IF(AND(A932=0,B932&lt;&gt;0,C932=0),VLOOKUP(B932,'3 - LISTA DE ESPÉCIES'!B:H,4,FALSE()),IF(AND(A932=0,B932=0,C932&lt;&gt;0),VLOOKUP(C932,'3 - LISTA DE ESPÉCIES'!C:H,3,FALSE()))))</f>
        <v>0</v>
      </c>
      <c r="J932" s="23"/>
      <c r="K932" s="23"/>
      <c r="L932" s="20"/>
      <c r="M932" s="20"/>
    </row>
    <row r="933" spans="1:13" x14ac:dyDescent="0.25">
      <c r="A933" s="20"/>
      <c r="B933" s="20"/>
      <c r="C933" s="20"/>
      <c r="E933" s="21" t="b">
        <f>IF(AND(A933&lt;&gt;0,B933=0,C933=0),VLOOKUP(A933,'3 - LISTA DE ESPÉCIES'!A:H,1,FALSE()),IF(AND(A933=0,B933&lt;&gt;0,C933=0),VLOOKUP(B933,'3 - LISTA DE ESPÉCIES'!B:H,5,FALSE()),IF(AND(A933=0,B933=0,C933&lt;&gt;0),VLOOKUP(C933,'3 - LISTA DE ESPÉCIES'!C:H,4,FALSE()))))</f>
        <v>0</v>
      </c>
      <c r="F933" s="21" t="b">
        <f>IF(AND(A933&lt;&gt;0,B933=0,C933=0),VLOOKUP(A933,'3 - LISTA DE ESPÉCIES'!A:H,2,FALSE()),IF(AND(A933=0,B933&lt;&gt;0,C933=0),VLOOKUP(B933,'3 - LISTA DE ESPÉCIES'!B:H,6,FALSE()),IF(AND(A933=0,B933=0,C933&lt;&gt;0),VLOOKUP(C933,'3 - LISTA DE ESPÉCIES'!C:H,5,FALSE()))))</f>
        <v>0</v>
      </c>
      <c r="G933" s="21" t="b">
        <f>IF(AND(A933&lt;&gt;0,B933=0,C933=0),VLOOKUP(A933,'3 - LISTA DE ESPÉCIES'!A:H,3,FALSE()),IF(AND(A933=0,B933&lt;&gt;0,C933=0),VLOOKUP(B933,'3 - LISTA DE ESPÉCIES'!B:H,7,FALSE()),IF(AND(A933=0,B933=0,C933&lt;&gt;0),VLOOKUP(C933,'3 - LISTA DE ESPÉCIES'!C:H,6,FALSE()))))</f>
        <v>0</v>
      </c>
      <c r="H933" s="21" t="b">
        <f>IF(AND(A933&lt;&gt;0,B933=0,C933=0),VLOOKUP(A933,'3 - LISTA DE ESPÉCIES'!A:H,4,FALSE()),IF(AND(A933=0,B933&lt;&gt;0,C933=0),VLOOKUP(B933,'3 - LISTA DE ESPÉCIES'!B:H,3,FALSE()),IF(AND(A933=0,B933=0,C933&lt;&gt;0),VLOOKUP(C933,'3 - LISTA DE ESPÉCIES'!C:H,2,FALSE()))))</f>
        <v>0</v>
      </c>
      <c r="I933" s="21" t="b">
        <f>IF(AND(A933&lt;&gt;0,B933=0,C933=0),VLOOKUP(A933,'3 - LISTA DE ESPÉCIES'!A:H,5,FALSE()),IF(AND(A933=0,B933&lt;&gt;0,C933=0),VLOOKUP(B933,'3 - LISTA DE ESPÉCIES'!B:H,4,FALSE()),IF(AND(A933=0,B933=0,C933&lt;&gt;0),VLOOKUP(C933,'3 - LISTA DE ESPÉCIES'!C:H,3,FALSE()))))</f>
        <v>0</v>
      </c>
      <c r="J933" s="23"/>
      <c r="K933" s="23"/>
      <c r="L933" s="20"/>
      <c r="M933" s="20"/>
    </row>
    <row r="934" spans="1:13" x14ac:dyDescent="0.25">
      <c r="A934" s="20"/>
      <c r="B934" s="20"/>
      <c r="C934" s="20"/>
      <c r="E934" s="21" t="b">
        <f>IF(AND(A934&lt;&gt;0,B934=0,C934=0),VLOOKUP(A934,'3 - LISTA DE ESPÉCIES'!A:H,1,FALSE()),IF(AND(A934=0,B934&lt;&gt;0,C934=0),VLOOKUP(B934,'3 - LISTA DE ESPÉCIES'!B:H,5,FALSE()),IF(AND(A934=0,B934=0,C934&lt;&gt;0),VLOOKUP(C934,'3 - LISTA DE ESPÉCIES'!C:H,4,FALSE()))))</f>
        <v>0</v>
      </c>
      <c r="F934" s="21" t="b">
        <f>IF(AND(A934&lt;&gt;0,B934=0,C934=0),VLOOKUP(A934,'3 - LISTA DE ESPÉCIES'!A:H,2,FALSE()),IF(AND(A934=0,B934&lt;&gt;0,C934=0),VLOOKUP(B934,'3 - LISTA DE ESPÉCIES'!B:H,6,FALSE()),IF(AND(A934=0,B934=0,C934&lt;&gt;0),VLOOKUP(C934,'3 - LISTA DE ESPÉCIES'!C:H,5,FALSE()))))</f>
        <v>0</v>
      </c>
      <c r="G934" s="21" t="b">
        <f>IF(AND(A934&lt;&gt;0,B934=0,C934=0),VLOOKUP(A934,'3 - LISTA DE ESPÉCIES'!A:H,3,FALSE()),IF(AND(A934=0,B934&lt;&gt;0,C934=0),VLOOKUP(B934,'3 - LISTA DE ESPÉCIES'!B:H,7,FALSE()),IF(AND(A934=0,B934=0,C934&lt;&gt;0),VLOOKUP(C934,'3 - LISTA DE ESPÉCIES'!C:H,6,FALSE()))))</f>
        <v>0</v>
      </c>
      <c r="H934" s="21" t="b">
        <f>IF(AND(A934&lt;&gt;0,B934=0,C934=0),VLOOKUP(A934,'3 - LISTA DE ESPÉCIES'!A:H,4,FALSE()),IF(AND(A934=0,B934&lt;&gt;0,C934=0),VLOOKUP(B934,'3 - LISTA DE ESPÉCIES'!B:H,3,FALSE()),IF(AND(A934=0,B934=0,C934&lt;&gt;0),VLOOKUP(C934,'3 - LISTA DE ESPÉCIES'!C:H,2,FALSE()))))</f>
        <v>0</v>
      </c>
      <c r="I934" s="21" t="b">
        <f>IF(AND(A934&lt;&gt;0,B934=0,C934=0),VLOOKUP(A934,'3 - LISTA DE ESPÉCIES'!A:H,5,FALSE()),IF(AND(A934=0,B934&lt;&gt;0,C934=0),VLOOKUP(B934,'3 - LISTA DE ESPÉCIES'!B:H,4,FALSE()),IF(AND(A934=0,B934=0,C934&lt;&gt;0),VLOOKUP(C934,'3 - LISTA DE ESPÉCIES'!C:H,3,FALSE()))))</f>
        <v>0</v>
      </c>
      <c r="J934" s="23"/>
      <c r="K934" s="23"/>
      <c r="L934" s="20"/>
      <c r="M934" s="20"/>
    </row>
    <row r="935" spans="1:13" x14ac:dyDescent="0.25">
      <c r="A935" s="20"/>
      <c r="B935" s="20"/>
      <c r="C935" s="20"/>
      <c r="E935" s="21" t="b">
        <f>IF(AND(A935&lt;&gt;0,B935=0,C935=0),VLOOKUP(A935,'3 - LISTA DE ESPÉCIES'!A:H,1,FALSE()),IF(AND(A935=0,B935&lt;&gt;0,C935=0),VLOOKUP(B935,'3 - LISTA DE ESPÉCIES'!B:H,5,FALSE()),IF(AND(A935=0,B935=0,C935&lt;&gt;0),VLOOKUP(C935,'3 - LISTA DE ESPÉCIES'!C:H,4,FALSE()))))</f>
        <v>0</v>
      </c>
      <c r="F935" s="21" t="b">
        <f>IF(AND(A935&lt;&gt;0,B935=0,C935=0),VLOOKUP(A935,'3 - LISTA DE ESPÉCIES'!A:H,2,FALSE()),IF(AND(A935=0,B935&lt;&gt;0,C935=0),VLOOKUP(B935,'3 - LISTA DE ESPÉCIES'!B:H,6,FALSE()),IF(AND(A935=0,B935=0,C935&lt;&gt;0),VLOOKUP(C935,'3 - LISTA DE ESPÉCIES'!C:H,5,FALSE()))))</f>
        <v>0</v>
      </c>
      <c r="G935" s="21" t="b">
        <f>IF(AND(A935&lt;&gt;0,B935=0,C935=0),VLOOKUP(A935,'3 - LISTA DE ESPÉCIES'!A:H,3,FALSE()),IF(AND(A935=0,B935&lt;&gt;0,C935=0),VLOOKUP(B935,'3 - LISTA DE ESPÉCIES'!B:H,7,FALSE()),IF(AND(A935=0,B935=0,C935&lt;&gt;0),VLOOKUP(C935,'3 - LISTA DE ESPÉCIES'!C:H,6,FALSE()))))</f>
        <v>0</v>
      </c>
      <c r="H935" s="21" t="b">
        <f>IF(AND(A935&lt;&gt;0,B935=0,C935=0),VLOOKUP(A935,'3 - LISTA DE ESPÉCIES'!A:H,4,FALSE()),IF(AND(A935=0,B935&lt;&gt;0,C935=0),VLOOKUP(B935,'3 - LISTA DE ESPÉCIES'!B:H,3,FALSE()),IF(AND(A935=0,B935=0,C935&lt;&gt;0),VLOOKUP(C935,'3 - LISTA DE ESPÉCIES'!C:H,2,FALSE()))))</f>
        <v>0</v>
      </c>
      <c r="I935" s="21" t="b">
        <f>IF(AND(A935&lt;&gt;0,B935=0,C935=0),VLOOKUP(A935,'3 - LISTA DE ESPÉCIES'!A:H,5,FALSE()),IF(AND(A935=0,B935&lt;&gt;0,C935=0),VLOOKUP(B935,'3 - LISTA DE ESPÉCIES'!B:H,4,FALSE()),IF(AND(A935=0,B935=0,C935&lt;&gt;0),VLOOKUP(C935,'3 - LISTA DE ESPÉCIES'!C:H,3,FALSE()))))</f>
        <v>0</v>
      </c>
      <c r="J935" s="23"/>
      <c r="K935" s="23"/>
      <c r="L935" s="20"/>
      <c r="M935" s="20"/>
    </row>
    <row r="936" spans="1:13" x14ac:dyDescent="0.25">
      <c r="A936" s="20"/>
      <c r="B936" s="20"/>
      <c r="C936" s="20"/>
      <c r="E936" s="21" t="b">
        <f>IF(AND(A936&lt;&gt;0,B936=0,C936=0),VLOOKUP(A936,'3 - LISTA DE ESPÉCIES'!A:H,1,FALSE()),IF(AND(A936=0,B936&lt;&gt;0,C936=0),VLOOKUP(B936,'3 - LISTA DE ESPÉCIES'!B:H,5,FALSE()),IF(AND(A936=0,B936=0,C936&lt;&gt;0),VLOOKUP(C936,'3 - LISTA DE ESPÉCIES'!C:H,4,FALSE()))))</f>
        <v>0</v>
      </c>
      <c r="F936" s="21" t="b">
        <f>IF(AND(A936&lt;&gt;0,B936=0,C936=0),VLOOKUP(A936,'3 - LISTA DE ESPÉCIES'!A:H,2,FALSE()),IF(AND(A936=0,B936&lt;&gt;0,C936=0),VLOOKUP(B936,'3 - LISTA DE ESPÉCIES'!B:H,6,FALSE()),IF(AND(A936=0,B936=0,C936&lt;&gt;0),VLOOKUP(C936,'3 - LISTA DE ESPÉCIES'!C:H,5,FALSE()))))</f>
        <v>0</v>
      </c>
      <c r="G936" s="21" t="b">
        <f>IF(AND(A936&lt;&gt;0,B936=0,C936=0),VLOOKUP(A936,'3 - LISTA DE ESPÉCIES'!A:H,3,FALSE()),IF(AND(A936=0,B936&lt;&gt;0,C936=0),VLOOKUP(B936,'3 - LISTA DE ESPÉCIES'!B:H,7,FALSE()),IF(AND(A936=0,B936=0,C936&lt;&gt;0),VLOOKUP(C936,'3 - LISTA DE ESPÉCIES'!C:H,6,FALSE()))))</f>
        <v>0</v>
      </c>
      <c r="H936" s="21" t="b">
        <f>IF(AND(A936&lt;&gt;0,B936=0,C936=0),VLOOKUP(A936,'3 - LISTA DE ESPÉCIES'!A:H,4,FALSE()),IF(AND(A936=0,B936&lt;&gt;0,C936=0),VLOOKUP(B936,'3 - LISTA DE ESPÉCIES'!B:H,3,FALSE()),IF(AND(A936=0,B936=0,C936&lt;&gt;0),VLOOKUP(C936,'3 - LISTA DE ESPÉCIES'!C:H,2,FALSE()))))</f>
        <v>0</v>
      </c>
      <c r="I936" s="21" t="b">
        <f>IF(AND(A936&lt;&gt;0,B936=0,C936=0),VLOOKUP(A936,'3 - LISTA DE ESPÉCIES'!A:H,5,FALSE()),IF(AND(A936=0,B936&lt;&gt;0,C936=0),VLOOKUP(B936,'3 - LISTA DE ESPÉCIES'!B:H,4,FALSE()),IF(AND(A936=0,B936=0,C936&lt;&gt;0),VLOOKUP(C936,'3 - LISTA DE ESPÉCIES'!C:H,3,FALSE()))))</f>
        <v>0</v>
      </c>
      <c r="J936" s="23"/>
      <c r="K936" s="23"/>
      <c r="L936" s="20"/>
      <c r="M936" s="20"/>
    </row>
    <row r="937" spans="1:13" x14ac:dyDescent="0.25">
      <c r="A937" s="20"/>
      <c r="B937" s="20"/>
      <c r="C937" s="20"/>
      <c r="E937" s="21" t="b">
        <f>IF(AND(A937&lt;&gt;0,B937=0,C937=0),VLOOKUP(A937,'3 - LISTA DE ESPÉCIES'!A:H,1,FALSE()),IF(AND(A937=0,B937&lt;&gt;0,C937=0),VLOOKUP(B937,'3 - LISTA DE ESPÉCIES'!B:H,5,FALSE()),IF(AND(A937=0,B937=0,C937&lt;&gt;0),VLOOKUP(C937,'3 - LISTA DE ESPÉCIES'!C:H,4,FALSE()))))</f>
        <v>0</v>
      </c>
      <c r="F937" s="21" t="b">
        <f>IF(AND(A937&lt;&gt;0,B937=0,C937=0),VLOOKUP(A937,'3 - LISTA DE ESPÉCIES'!A:H,2,FALSE()),IF(AND(A937=0,B937&lt;&gt;0,C937=0),VLOOKUP(B937,'3 - LISTA DE ESPÉCIES'!B:H,6,FALSE()),IF(AND(A937=0,B937=0,C937&lt;&gt;0),VLOOKUP(C937,'3 - LISTA DE ESPÉCIES'!C:H,5,FALSE()))))</f>
        <v>0</v>
      </c>
      <c r="G937" s="21" t="b">
        <f>IF(AND(A937&lt;&gt;0,B937=0,C937=0),VLOOKUP(A937,'3 - LISTA DE ESPÉCIES'!A:H,3,FALSE()),IF(AND(A937=0,B937&lt;&gt;0,C937=0),VLOOKUP(B937,'3 - LISTA DE ESPÉCIES'!B:H,7,FALSE()),IF(AND(A937=0,B937=0,C937&lt;&gt;0),VLOOKUP(C937,'3 - LISTA DE ESPÉCIES'!C:H,6,FALSE()))))</f>
        <v>0</v>
      </c>
      <c r="H937" s="21" t="b">
        <f>IF(AND(A937&lt;&gt;0,B937=0,C937=0),VLOOKUP(A937,'3 - LISTA DE ESPÉCIES'!A:H,4,FALSE()),IF(AND(A937=0,B937&lt;&gt;0,C937=0),VLOOKUP(B937,'3 - LISTA DE ESPÉCIES'!B:H,3,FALSE()),IF(AND(A937=0,B937=0,C937&lt;&gt;0),VLOOKUP(C937,'3 - LISTA DE ESPÉCIES'!C:H,2,FALSE()))))</f>
        <v>0</v>
      </c>
      <c r="I937" s="21" t="b">
        <f>IF(AND(A937&lt;&gt;0,B937=0,C937=0),VLOOKUP(A937,'3 - LISTA DE ESPÉCIES'!A:H,5,FALSE()),IF(AND(A937=0,B937&lt;&gt;0,C937=0),VLOOKUP(B937,'3 - LISTA DE ESPÉCIES'!B:H,4,FALSE()),IF(AND(A937=0,B937=0,C937&lt;&gt;0),VLOOKUP(C937,'3 - LISTA DE ESPÉCIES'!C:H,3,FALSE()))))</f>
        <v>0</v>
      </c>
      <c r="J937" s="23"/>
      <c r="K937" s="23"/>
      <c r="L937" s="20"/>
      <c r="M937" s="20"/>
    </row>
    <row r="938" spans="1:13" x14ac:dyDescent="0.25">
      <c r="A938" s="20"/>
      <c r="B938" s="20"/>
      <c r="C938" s="20"/>
      <c r="E938" s="21" t="b">
        <f>IF(AND(A938&lt;&gt;0,B938=0,C938=0),VLOOKUP(A938,'3 - LISTA DE ESPÉCIES'!A:H,1,FALSE()),IF(AND(A938=0,B938&lt;&gt;0,C938=0),VLOOKUP(B938,'3 - LISTA DE ESPÉCIES'!B:H,5,FALSE()),IF(AND(A938=0,B938=0,C938&lt;&gt;0),VLOOKUP(C938,'3 - LISTA DE ESPÉCIES'!C:H,4,FALSE()))))</f>
        <v>0</v>
      </c>
      <c r="F938" s="21" t="b">
        <f>IF(AND(A938&lt;&gt;0,B938=0,C938=0),VLOOKUP(A938,'3 - LISTA DE ESPÉCIES'!A:H,2,FALSE()),IF(AND(A938=0,B938&lt;&gt;0,C938=0),VLOOKUP(B938,'3 - LISTA DE ESPÉCIES'!B:H,6,FALSE()),IF(AND(A938=0,B938=0,C938&lt;&gt;0),VLOOKUP(C938,'3 - LISTA DE ESPÉCIES'!C:H,5,FALSE()))))</f>
        <v>0</v>
      </c>
      <c r="G938" s="21" t="b">
        <f>IF(AND(A938&lt;&gt;0,B938=0,C938=0),VLOOKUP(A938,'3 - LISTA DE ESPÉCIES'!A:H,3,FALSE()),IF(AND(A938=0,B938&lt;&gt;0,C938=0),VLOOKUP(B938,'3 - LISTA DE ESPÉCIES'!B:H,7,FALSE()),IF(AND(A938=0,B938=0,C938&lt;&gt;0),VLOOKUP(C938,'3 - LISTA DE ESPÉCIES'!C:H,6,FALSE()))))</f>
        <v>0</v>
      </c>
      <c r="H938" s="21" t="b">
        <f>IF(AND(A938&lt;&gt;0,B938=0,C938=0),VLOOKUP(A938,'3 - LISTA DE ESPÉCIES'!A:H,4,FALSE()),IF(AND(A938=0,B938&lt;&gt;0,C938=0),VLOOKUP(B938,'3 - LISTA DE ESPÉCIES'!B:H,3,FALSE()),IF(AND(A938=0,B938=0,C938&lt;&gt;0),VLOOKUP(C938,'3 - LISTA DE ESPÉCIES'!C:H,2,FALSE()))))</f>
        <v>0</v>
      </c>
      <c r="I938" s="21" t="b">
        <f>IF(AND(A938&lt;&gt;0,B938=0,C938=0),VLOOKUP(A938,'3 - LISTA DE ESPÉCIES'!A:H,5,FALSE()),IF(AND(A938=0,B938&lt;&gt;0,C938=0),VLOOKUP(B938,'3 - LISTA DE ESPÉCIES'!B:H,4,FALSE()),IF(AND(A938=0,B938=0,C938&lt;&gt;0),VLOOKUP(C938,'3 - LISTA DE ESPÉCIES'!C:H,3,FALSE()))))</f>
        <v>0</v>
      </c>
      <c r="J938" s="23"/>
      <c r="K938" s="23"/>
      <c r="L938" s="20"/>
      <c r="M938" s="20"/>
    </row>
    <row r="939" spans="1:13" x14ac:dyDescent="0.25">
      <c r="A939" s="20"/>
      <c r="B939" s="20"/>
      <c r="C939" s="20"/>
      <c r="E939" s="21" t="b">
        <f>IF(AND(A939&lt;&gt;0,B939=0,C939=0),VLOOKUP(A939,'3 - LISTA DE ESPÉCIES'!A:H,1,FALSE()),IF(AND(A939=0,B939&lt;&gt;0,C939=0),VLOOKUP(B939,'3 - LISTA DE ESPÉCIES'!B:H,5,FALSE()),IF(AND(A939=0,B939=0,C939&lt;&gt;0),VLOOKUP(C939,'3 - LISTA DE ESPÉCIES'!C:H,4,FALSE()))))</f>
        <v>0</v>
      </c>
      <c r="F939" s="21" t="b">
        <f>IF(AND(A939&lt;&gt;0,B939=0,C939=0),VLOOKUP(A939,'3 - LISTA DE ESPÉCIES'!A:H,2,FALSE()),IF(AND(A939=0,B939&lt;&gt;0,C939=0),VLOOKUP(B939,'3 - LISTA DE ESPÉCIES'!B:H,6,FALSE()),IF(AND(A939=0,B939=0,C939&lt;&gt;0),VLOOKUP(C939,'3 - LISTA DE ESPÉCIES'!C:H,5,FALSE()))))</f>
        <v>0</v>
      </c>
      <c r="G939" s="21" t="b">
        <f>IF(AND(A939&lt;&gt;0,B939=0,C939=0),VLOOKUP(A939,'3 - LISTA DE ESPÉCIES'!A:H,3,FALSE()),IF(AND(A939=0,B939&lt;&gt;0,C939=0),VLOOKUP(B939,'3 - LISTA DE ESPÉCIES'!B:H,7,FALSE()),IF(AND(A939=0,B939=0,C939&lt;&gt;0),VLOOKUP(C939,'3 - LISTA DE ESPÉCIES'!C:H,6,FALSE()))))</f>
        <v>0</v>
      </c>
      <c r="H939" s="21" t="b">
        <f>IF(AND(A939&lt;&gt;0,B939=0,C939=0),VLOOKUP(A939,'3 - LISTA DE ESPÉCIES'!A:H,4,FALSE()),IF(AND(A939=0,B939&lt;&gt;0,C939=0),VLOOKUP(B939,'3 - LISTA DE ESPÉCIES'!B:H,3,FALSE()),IF(AND(A939=0,B939=0,C939&lt;&gt;0),VLOOKUP(C939,'3 - LISTA DE ESPÉCIES'!C:H,2,FALSE()))))</f>
        <v>0</v>
      </c>
      <c r="I939" s="21" t="b">
        <f>IF(AND(A939&lt;&gt;0,B939=0,C939=0),VLOOKUP(A939,'3 - LISTA DE ESPÉCIES'!A:H,5,FALSE()),IF(AND(A939=0,B939&lt;&gt;0,C939=0),VLOOKUP(B939,'3 - LISTA DE ESPÉCIES'!B:H,4,FALSE()),IF(AND(A939=0,B939=0,C939&lt;&gt;0),VLOOKUP(C939,'3 - LISTA DE ESPÉCIES'!C:H,3,FALSE()))))</f>
        <v>0</v>
      </c>
      <c r="J939" s="23"/>
      <c r="K939" s="23"/>
      <c r="L939" s="20"/>
      <c r="M939" s="20"/>
    </row>
    <row r="940" spans="1:13" x14ac:dyDescent="0.25">
      <c r="A940" s="20"/>
      <c r="B940" s="20"/>
      <c r="C940" s="20"/>
      <c r="E940" s="21" t="b">
        <f>IF(AND(A940&lt;&gt;0,B940=0,C940=0),VLOOKUP(A940,'3 - LISTA DE ESPÉCIES'!A:H,1,FALSE()),IF(AND(A940=0,B940&lt;&gt;0,C940=0),VLOOKUP(B940,'3 - LISTA DE ESPÉCIES'!B:H,5,FALSE()),IF(AND(A940=0,B940=0,C940&lt;&gt;0),VLOOKUP(C940,'3 - LISTA DE ESPÉCIES'!C:H,4,FALSE()))))</f>
        <v>0</v>
      </c>
      <c r="F940" s="21" t="b">
        <f>IF(AND(A940&lt;&gt;0,B940=0,C940=0),VLOOKUP(A940,'3 - LISTA DE ESPÉCIES'!A:H,2,FALSE()),IF(AND(A940=0,B940&lt;&gt;0,C940=0),VLOOKUP(B940,'3 - LISTA DE ESPÉCIES'!B:H,6,FALSE()),IF(AND(A940=0,B940=0,C940&lt;&gt;0),VLOOKUP(C940,'3 - LISTA DE ESPÉCIES'!C:H,5,FALSE()))))</f>
        <v>0</v>
      </c>
      <c r="G940" s="21" t="b">
        <f>IF(AND(A940&lt;&gt;0,B940=0,C940=0),VLOOKUP(A940,'3 - LISTA DE ESPÉCIES'!A:H,3,FALSE()),IF(AND(A940=0,B940&lt;&gt;0,C940=0),VLOOKUP(B940,'3 - LISTA DE ESPÉCIES'!B:H,7,FALSE()),IF(AND(A940=0,B940=0,C940&lt;&gt;0),VLOOKUP(C940,'3 - LISTA DE ESPÉCIES'!C:H,6,FALSE()))))</f>
        <v>0</v>
      </c>
      <c r="H940" s="21" t="b">
        <f>IF(AND(A940&lt;&gt;0,B940=0,C940=0),VLOOKUP(A940,'3 - LISTA DE ESPÉCIES'!A:H,4,FALSE()),IF(AND(A940=0,B940&lt;&gt;0,C940=0),VLOOKUP(B940,'3 - LISTA DE ESPÉCIES'!B:H,3,FALSE()),IF(AND(A940=0,B940=0,C940&lt;&gt;0),VLOOKUP(C940,'3 - LISTA DE ESPÉCIES'!C:H,2,FALSE()))))</f>
        <v>0</v>
      </c>
      <c r="I940" s="21" t="b">
        <f>IF(AND(A940&lt;&gt;0,B940=0,C940=0),VLOOKUP(A940,'3 - LISTA DE ESPÉCIES'!A:H,5,FALSE()),IF(AND(A940=0,B940&lt;&gt;0,C940=0),VLOOKUP(B940,'3 - LISTA DE ESPÉCIES'!B:H,4,FALSE()),IF(AND(A940=0,B940=0,C940&lt;&gt;0),VLOOKUP(C940,'3 - LISTA DE ESPÉCIES'!C:H,3,FALSE()))))</f>
        <v>0</v>
      </c>
      <c r="J940" s="23"/>
      <c r="K940" s="23"/>
      <c r="L940" s="20"/>
      <c r="M940" s="20"/>
    </row>
    <row r="941" spans="1:13" x14ac:dyDescent="0.25">
      <c r="A941" s="20"/>
      <c r="B941" s="20"/>
      <c r="C941" s="20"/>
      <c r="E941" s="21" t="b">
        <f>IF(AND(A941&lt;&gt;0,B941=0,C941=0),VLOOKUP(A941,'3 - LISTA DE ESPÉCIES'!A:H,1,FALSE()),IF(AND(A941=0,B941&lt;&gt;0,C941=0),VLOOKUP(B941,'3 - LISTA DE ESPÉCIES'!B:H,5,FALSE()),IF(AND(A941=0,B941=0,C941&lt;&gt;0),VLOOKUP(C941,'3 - LISTA DE ESPÉCIES'!C:H,4,FALSE()))))</f>
        <v>0</v>
      </c>
      <c r="F941" s="21" t="b">
        <f>IF(AND(A941&lt;&gt;0,B941=0,C941=0),VLOOKUP(A941,'3 - LISTA DE ESPÉCIES'!A:H,2,FALSE()),IF(AND(A941=0,B941&lt;&gt;0,C941=0),VLOOKUP(B941,'3 - LISTA DE ESPÉCIES'!B:H,6,FALSE()),IF(AND(A941=0,B941=0,C941&lt;&gt;0),VLOOKUP(C941,'3 - LISTA DE ESPÉCIES'!C:H,5,FALSE()))))</f>
        <v>0</v>
      </c>
      <c r="G941" s="21" t="b">
        <f>IF(AND(A941&lt;&gt;0,B941=0,C941=0),VLOOKUP(A941,'3 - LISTA DE ESPÉCIES'!A:H,3,FALSE()),IF(AND(A941=0,B941&lt;&gt;0,C941=0),VLOOKUP(B941,'3 - LISTA DE ESPÉCIES'!B:H,7,FALSE()),IF(AND(A941=0,B941=0,C941&lt;&gt;0),VLOOKUP(C941,'3 - LISTA DE ESPÉCIES'!C:H,6,FALSE()))))</f>
        <v>0</v>
      </c>
      <c r="H941" s="21" t="b">
        <f>IF(AND(A941&lt;&gt;0,B941=0,C941=0),VLOOKUP(A941,'3 - LISTA DE ESPÉCIES'!A:H,4,FALSE()),IF(AND(A941=0,B941&lt;&gt;0,C941=0),VLOOKUP(B941,'3 - LISTA DE ESPÉCIES'!B:H,3,FALSE()),IF(AND(A941=0,B941=0,C941&lt;&gt;0),VLOOKUP(C941,'3 - LISTA DE ESPÉCIES'!C:H,2,FALSE()))))</f>
        <v>0</v>
      </c>
      <c r="I941" s="21" t="b">
        <f>IF(AND(A941&lt;&gt;0,B941=0,C941=0),VLOOKUP(A941,'3 - LISTA DE ESPÉCIES'!A:H,5,FALSE()),IF(AND(A941=0,B941&lt;&gt;0,C941=0),VLOOKUP(B941,'3 - LISTA DE ESPÉCIES'!B:H,4,FALSE()),IF(AND(A941=0,B941=0,C941&lt;&gt;0),VLOOKUP(C941,'3 - LISTA DE ESPÉCIES'!C:H,3,FALSE()))))</f>
        <v>0</v>
      </c>
      <c r="J941" s="23"/>
      <c r="K941" s="23"/>
      <c r="L941" s="20"/>
      <c r="M941" s="20"/>
    </row>
    <row r="942" spans="1:13" x14ac:dyDescent="0.25">
      <c r="A942" s="20"/>
      <c r="B942" s="20"/>
      <c r="C942" s="20"/>
      <c r="E942" s="21" t="b">
        <f>IF(AND(A942&lt;&gt;0,B942=0,C942=0),VLOOKUP(A942,'3 - LISTA DE ESPÉCIES'!A:H,1,FALSE()),IF(AND(A942=0,B942&lt;&gt;0,C942=0),VLOOKUP(B942,'3 - LISTA DE ESPÉCIES'!B:H,5,FALSE()),IF(AND(A942=0,B942=0,C942&lt;&gt;0),VLOOKUP(C942,'3 - LISTA DE ESPÉCIES'!C:H,4,FALSE()))))</f>
        <v>0</v>
      </c>
      <c r="F942" s="21" t="b">
        <f>IF(AND(A942&lt;&gt;0,B942=0,C942=0),VLOOKUP(A942,'3 - LISTA DE ESPÉCIES'!A:H,2,FALSE()),IF(AND(A942=0,B942&lt;&gt;0,C942=0),VLOOKUP(B942,'3 - LISTA DE ESPÉCIES'!B:H,6,FALSE()),IF(AND(A942=0,B942=0,C942&lt;&gt;0),VLOOKUP(C942,'3 - LISTA DE ESPÉCIES'!C:H,5,FALSE()))))</f>
        <v>0</v>
      </c>
      <c r="G942" s="21" t="b">
        <f>IF(AND(A942&lt;&gt;0,B942=0,C942=0),VLOOKUP(A942,'3 - LISTA DE ESPÉCIES'!A:H,3,FALSE()),IF(AND(A942=0,B942&lt;&gt;0,C942=0),VLOOKUP(B942,'3 - LISTA DE ESPÉCIES'!B:H,7,FALSE()),IF(AND(A942=0,B942=0,C942&lt;&gt;0),VLOOKUP(C942,'3 - LISTA DE ESPÉCIES'!C:H,6,FALSE()))))</f>
        <v>0</v>
      </c>
      <c r="H942" s="21" t="b">
        <f>IF(AND(A942&lt;&gt;0,B942=0,C942=0),VLOOKUP(A942,'3 - LISTA DE ESPÉCIES'!A:H,4,FALSE()),IF(AND(A942=0,B942&lt;&gt;0,C942=0),VLOOKUP(B942,'3 - LISTA DE ESPÉCIES'!B:H,3,FALSE()),IF(AND(A942=0,B942=0,C942&lt;&gt;0),VLOOKUP(C942,'3 - LISTA DE ESPÉCIES'!C:H,2,FALSE()))))</f>
        <v>0</v>
      </c>
      <c r="I942" s="21" t="b">
        <f>IF(AND(A942&lt;&gt;0,B942=0,C942=0),VLOOKUP(A942,'3 - LISTA DE ESPÉCIES'!A:H,5,FALSE()),IF(AND(A942=0,B942&lt;&gt;0,C942=0),VLOOKUP(B942,'3 - LISTA DE ESPÉCIES'!B:H,4,FALSE()),IF(AND(A942=0,B942=0,C942&lt;&gt;0),VLOOKUP(C942,'3 - LISTA DE ESPÉCIES'!C:H,3,FALSE()))))</f>
        <v>0</v>
      </c>
      <c r="J942" s="23"/>
      <c r="K942" s="23"/>
      <c r="L942" s="20"/>
      <c r="M942" s="20"/>
    </row>
    <row r="943" spans="1:13" x14ac:dyDescent="0.25">
      <c r="A943" s="20"/>
      <c r="B943" s="20"/>
      <c r="C943" s="20"/>
      <c r="E943" s="21" t="b">
        <f>IF(AND(A943&lt;&gt;0,B943=0,C943=0),VLOOKUP(A943,'3 - LISTA DE ESPÉCIES'!A:H,1,FALSE()),IF(AND(A943=0,B943&lt;&gt;0,C943=0),VLOOKUP(B943,'3 - LISTA DE ESPÉCIES'!B:H,5,FALSE()),IF(AND(A943=0,B943=0,C943&lt;&gt;0),VLOOKUP(C943,'3 - LISTA DE ESPÉCIES'!C:H,4,FALSE()))))</f>
        <v>0</v>
      </c>
      <c r="F943" s="21" t="b">
        <f>IF(AND(A943&lt;&gt;0,B943=0,C943=0),VLOOKUP(A943,'3 - LISTA DE ESPÉCIES'!A:H,2,FALSE()),IF(AND(A943=0,B943&lt;&gt;0,C943=0),VLOOKUP(B943,'3 - LISTA DE ESPÉCIES'!B:H,6,FALSE()),IF(AND(A943=0,B943=0,C943&lt;&gt;0),VLOOKUP(C943,'3 - LISTA DE ESPÉCIES'!C:H,5,FALSE()))))</f>
        <v>0</v>
      </c>
      <c r="G943" s="21" t="b">
        <f>IF(AND(A943&lt;&gt;0,B943=0,C943=0),VLOOKUP(A943,'3 - LISTA DE ESPÉCIES'!A:H,3,FALSE()),IF(AND(A943=0,B943&lt;&gt;0,C943=0),VLOOKUP(B943,'3 - LISTA DE ESPÉCIES'!B:H,7,FALSE()),IF(AND(A943=0,B943=0,C943&lt;&gt;0),VLOOKUP(C943,'3 - LISTA DE ESPÉCIES'!C:H,6,FALSE()))))</f>
        <v>0</v>
      </c>
      <c r="H943" s="21" t="b">
        <f>IF(AND(A943&lt;&gt;0,B943=0,C943=0),VLOOKUP(A943,'3 - LISTA DE ESPÉCIES'!A:H,4,FALSE()),IF(AND(A943=0,B943&lt;&gt;0,C943=0),VLOOKUP(B943,'3 - LISTA DE ESPÉCIES'!B:H,3,FALSE()),IF(AND(A943=0,B943=0,C943&lt;&gt;0),VLOOKUP(C943,'3 - LISTA DE ESPÉCIES'!C:H,2,FALSE()))))</f>
        <v>0</v>
      </c>
      <c r="I943" s="21" t="b">
        <f>IF(AND(A943&lt;&gt;0,B943=0,C943=0),VLOOKUP(A943,'3 - LISTA DE ESPÉCIES'!A:H,5,FALSE()),IF(AND(A943=0,B943&lt;&gt;0,C943=0),VLOOKUP(B943,'3 - LISTA DE ESPÉCIES'!B:H,4,FALSE()),IF(AND(A943=0,B943=0,C943&lt;&gt;0),VLOOKUP(C943,'3 - LISTA DE ESPÉCIES'!C:H,3,FALSE()))))</f>
        <v>0</v>
      </c>
      <c r="J943" s="23"/>
      <c r="K943" s="23"/>
      <c r="L943" s="20"/>
      <c r="M943" s="20"/>
    </row>
    <row r="944" spans="1:13" x14ac:dyDescent="0.25">
      <c r="A944" s="20"/>
      <c r="B944" s="20"/>
      <c r="C944" s="20"/>
      <c r="E944" s="21" t="b">
        <f>IF(AND(A944&lt;&gt;0,B944=0,C944=0),VLOOKUP(A944,'3 - LISTA DE ESPÉCIES'!A:H,1,FALSE()),IF(AND(A944=0,B944&lt;&gt;0,C944=0),VLOOKUP(B944,'3 - LISTA DE ESPÉCIES'!B:H,5,FALSE()),IF(AND(A944=0,B944=0,C944&lt;&gt;0),VLOOKUP(C944,'3 - LISTA DE ESPÉCIES'!C:H,4,FALSE()))))</f>
        <v>0</v>
      </c>
      <c r="F944" s="21" t="b">
        <f>IF(AND(A944&lt;&gt;0,B944=0,C944=0),VLOOKUP(A944,'3 - LISTA DE ESPÉCIES'!A:H,2,FALSE()),IF(AND(A944=0,B944&lt;&gt;0,C944=0),VLOOKUP(B944,'3 - LISTA DE ESPÉCIES'!B:H,6,FALSE()),IF(AND(A944=0,B944=0,C944&lt;&gt;0),VLOOKUP(C944,'3 - LISTA DE ESPÉCIES'!C:H,5,FALSE()))))</f>
        <v>0</v>
      </c>
      <c r="G944" s="21" t="b">
        <f>IF(AND(A944&lt;&gt;0,B944=0,C944=0),VLOOKUP(A944,'3 - LISTA DE ESPÉCIES'!A:H,3,FALSE()),IF(AND(A944=0,B944&lt;&gt;0,C944=0),VLOOKUP(B944,'3 - LISTA DE ESPÉCIES'!B:H,7,FALSE()),IF(AND(A944=0,B944=0,C944&lt;&gt;0),VLOOKUP(C944,'3 - LISTA DE ESPÉCIES'!C:H,6,FALSE()))))</f>
        <v>0</v>
      </c>
      <c r="H944" s="21" t="b">
        <f>IF(AND(A944&lt;&gt;0,B944=0,C944=0),VLOOKUP(A944,'3 - LISTA DE ESPÉCIES'!A:H,4,FALSE()),IF(AND(A944=0,B944&lt;&gt;0,C944=0),VLOOKUP(B944,'3 - LISTA DE ESPÉCIES'!B:H,3,FALSE()),IF(AND(A944=0,B944=0,C944&lt;&gt;0),VLOOKUP(C944,'3 - LISTA DE ESPÉCIES'!C:H,2,FALSE()))))</f>
        <v>0</v>
      </c>
      <c r="I944" s="21" t="b">
        <f>IF(AND(A944&lt;&gt;0,B944=0,C944=0),VLOOKUP(A944,'3 - LISTA DE ESPÉCIES'!A:H,5,FALSE()),IF(AND(A944=0,B944&lt;&gt;0,C944=0),VLOOKUP(B944,'3 - LISTA DE ESPÉCIES'!B:H,4,FALSE()),IF(AND(A944=0,B944=0,C944&lt;&gt;0),VLOOKUP(C944,'3 - LISTA DE ESPÉCIES'!C:H,3,FALSE()))))</f>
        <v>0</v>
      </c>
      <c r="J944" s="23"/>
      <c r="K944" s="23"/>
      <c r="L944" s="20"/>
      <c r="M944" s="20"/>
    </row>
    <row r="945" spans="1:13" x14ac:dyDescent="0.25">
      <c r="A945" s="20"/>
      <c r="B945" s="20"/>
      <c r="C945" s="20"/>
      <c r="E945" s="21" t="b">
        <f>IF(AND(A945&lt;&gt;0,B945=0,C945=0),VLOOKUP(A945,'3 - LISTA DE ESPÉCIES'!A:H,1,FALSE()),IF(AND(A945=0,B945&lt;&gt;0,C945=0),VLOOKUP(B945,'3 - LISTA DE ESPÉCIES'!B:H,5,FALSE()),IF(AND(A945=0,B945=0,C945&lt;&gt;0),VLOOKUP(C945,'3 - LISTA DE ESPÉCIES'!C:H,4,FALSE()))))</f>
        <v>0</v>
      </c>
      <c r="F945" s="21" t="b">
        <f>IF(AND(A945&lt;&gt;0,B945=0,C945=0),VLOOKUP(A945,'3 - LISTA DE ESPÉCIES'!A:H,2,FALSE()),IF(AND(A945=0,B945&lt;&gt;0,C945=0),VLOOKUP(B945,'3 - LISTA DE ESPÉCIES'!B:H,6,FALSE()),IF(AND(A945=0,B945=0,C945&lt;&gt;0),VLOOKUP(C945,'3 - LISTA DE ESPÉCIES'!C:H,5,FALSE()))))</f>
        <v>0</v>
      </c>
      <c r="G945" s="21" t="b">
        <f>IF(AND(A945&lt;&gt;0,B945=0,C945=0),VLOOKUP(A945,'3 - LISTA DE ESPÉCIES'!A:H,3,FALSE()),IF(AND(A945=0,B945&lt;&gt;0,C945=0),VLOOKUP(B945,'3 - LISTA DE ESPÉCIES'!B:H,7,FALSE()),IF(AND(A945=0,B945=0,C945&lt;&gt;0),VLOOKUP(C945,'3 - LISTA DE ESPÉCIES'!C:H,6,FALSE()))))</f>
        <v>0</v>
      </c>
      <c r="H945" s="21" t="b">
        <f>IF(AND(A945&lt;&gt;0,B945=0,C945=0),VLOOKUP(A945,'3 - LISTA DE ESPÉCIES'!A:H,4,FALSE()),IF(AND(A945=0,B945&lt;&gt;0,C945=0),VLOOKUP(B945,'3 - LISTA DE ESPÉCIES'!B:H,3,FALSE()),IF(AND(A945=0,B945=0,C945&lt;&gt;0),VLOOKUP(C945,'3 - LISTA DE ESPÉCIES'!C:H,2,FALSE()))))</f>
        <v>0</v>
      </c>
      <c r="I945" s="21" t="b">
        <f>IF(AND(A945&lt;&gt;0,B945=0,C945=0),VLOOKUP(A945,'3 - LISTA DE ESPÉCIES'!A:H,5,FALSE()),IF(AND(A945=0,B945&lt;&gt;0,C945=0),VLOOKUP(B945,'3 - LISTA DE ESPÉCIES'!B:H,4,FALSE()),IF(AND(A945=0,B945=0,C945&lt;&gt;0),VLOOKUP(C945,'3 - LISTA DE ESPÉCIES'!C:H,3,FALSE()))))</f>
        <v>0</v>
      </c>
      <c r="J945" s="23"/>
      <c r="K945" s="23"/>
      <c r="L945" s="20"/>
      <c r="M945" s="20"/>
    </row>
    <row r="946" spans="1:13" x14ac:dyDescent="0.25">
      <c r="A946" s="20"/>
      <c r="B946" s="20"/>
      <c r="C946" s="20"/>
      <c r="E946" s="21" t="b">
        <f>IF(AND(A946&lt;&gt;0,B946=0,C946=0),VLOOKUP(A946,'3 - LISTA DE ESPÉCIES'!A:H,1,FALSE()),IF(AND(A946=0,B946&lt;&gt;0,C946=0),VLOOKUP(B946,'3 - LISTA DE ESPÉCIES'!B:H,5,FALSE()),IF(AND(A946=0,B946=0,C946&lt;&gt;0),VLOOKUP(C946,'3 - LISTA DE ESPÉCIES'!C:H,4,FALSE()))))</f>
        <v>0</v>
      </c>
      <c r="F946" s="21" t="b">
        <f>IF(AND(A946&lt;&gt;0,B946=0,C946=0),VLOOKUP(A946,'3 - LISTA DE ESPÉCIES'!A:H,2,FALSE()),IF(AND(A946=0,B946&lt;&gt;0,C946=0),VLOOKUP(B946,'3 - LISTA DE ESPÉCIES'!B:H,6,FALSE()),IF(AND(A946=0,B946=0,C946&lt;&gt;0),VLOOKUP(C946,'3 - LISTA DE ESPÉCIES'!C:H,5,FALSE()))))</f>
        <v>0</v>
      </c>
      <c r="G946" s="21" t="b">
        <f>IF(AND(A946&lt;&gt;0,B946=0,C946=0),VLOOKUP(A946,'3 - LISTA DE ESPÉCIES'!A:H,3,FALSE()),IF(AND(A946=0,B946&lt;&gt;0,C946=0),VLOOKUP(B946,'3 - LISTA DE ESPÉCIES'!B:H,7,FALSE()),IF(AND(A946=0,B946=0,C946&lt;&gt;0),VLOOKUP(C946,'3 - LISTA DE ESPÉCIES'!C:H,6,FALSE()))))</f>
        <v>0</v>
      </c>
      <c r="H946" s="21" t="b">
        <f>IF(AND(A946&lt;&gt;0,B946=0,C946=0),VLOOKUP(A946,'3 - LISTA DE ESPÉCIES'!A:H,4,FALSE()),IF(AND(A946=0,B946&lt;&gt;0,C946=0),VLOOKUP(B946,'3 - LISTA DE ESPÉCIES'!B:H,3,FALSE()),IF(AND(A946=0,B946=0,C946&lt;&gt;0),VLOOKUP(C946,'3 - LISTA DE ESPÉCIES'!C:H,2,FALSE()))))</f>
        <v>0</v>
      </c>
      <c r="I946" s="21" t="b">
        <f>IF(AND(A946&lt;&gt;0,B946=0,C946=0),VLOOKUP(A946,'3 - LISTA DE ESPÉCIES'!A:H,5,FALSE()),IF(AND(A946=0,B946&lt;&gt;0,C946=0),VLOOKUP(B946,'3 - LISTA DE ESPÉCIES'!B:H,4,FALSE()),IF(AND(A946=0,B946=0,C946&lt;&gt;0),VLOOKUP(C946,'3 - LISTA DE ESPÉCIES'!C:H,3,FALSE()))))</f>
        <v>0</v>
      </c>
      <c r="J946" s="23"/>
      <c r="K946" s="23"/>
      <c r="L946" s="20"/>
      <c r="M946" s="20"/>
    </row>
    <row r="947" spans="1:13" x14ac:dyDescent="0.25">
      <c r="A947" s="20"/>
      <c r="B947" s="20"/>
      <c r="C947" s="20"/>
      <c r="E947" s="21" t="b">
        <f>IF(AND(A947&lt;&gt;0,B947=0,C947=0),VLOOKUP(A947,'3 - LISTA DE ESPÉCIES'!A:H,1,FALSE()),IF(AND(A947=0,B947&lt;&gt;0,C947=0),VLOOKUP(B947,'3 - LISTA DE ESPÉCIES'!B:H,5,FALSE()),IF(AND(A947=0,B947=0,C947&lt;&gt;0),VLOOKUP(C947,'3 - LISTA DE ESPÉCIES'!C:H,4,FALSE()))))</f>
        <v>0</v>
      </c>
      <c r="F947" s="21" t="b">
        <f>IF(AND(A947&lt;&gt;0,B947=0,C947=0),VLOOKUP(A947,'3 - LISTA DE ESPÉCIES'!A:H,2,FALSE()),IF(AND(A947=0,B947&lt;&gt;0,C947=0),VLOOKUP(B947,'3 - LISTA DE ESPÉCIES'!B:H,6,FALSE()),IF(AND(A947=0,B947=0,C947&lt;&gt;0),VLOOKUP(C947,'3 - LISTA DE ESPÉCIES'!C:H,5,FALSE()))))</f>
        <v>0</v>
      </c>
      <c r="G947" s="21" t="b">
        <f>IF(AND(A947&lt;&gt;0,B947=0,C947=0),VLOOKUP(A947,'3 - LISTA DE ESPÉCIES'!A:H,3,FALSE()),IF(AND(A947=0,B947&lt;&gt;0,C947=0),VLOOKUP(B947,'3 - LISTA DE ESPÉCIES'!B:H,7,FALSE()),IF(AND(A947=0,B947=0,C947&lt;&gt;0),VLOOKUP(C947,'3 - LISTA DE ESPÉCIES'!C:H,6,FALSE()))))</f>
        <v>0</v>
      </c>
      <c r="H947" s="21" t="b">
        <f>IF(AND(A947&lt;&gt;0,B947=0,C947=0),VLOOKUP(A947,'3 - LISTA DE ESPÉCIES'!A:H,4,FALSE()),IF(AND(A947=0,B947&lt;&gt;0,C947=0),VLOOKUP(B947,'3 - LISTA DE ESPÉCIES'!B:H,3,FALSE()),IF(AND(A947=0,B947=0,C947&lt;&gt;0),VLOOKUP(C947,'3 - LISTA DE ESPÉCIES'!C:H,2,FALSE()))))</f>
        <v>0</v>
      </c>
      <c r="I947" s="21" t="b">
        <f>IF(AND(A947&lt;&gt;0,B947=0,C947=0),VLOOKUP(A947,'3 - LISTA DE ESPÉCIES'!A:H,5,FALSE()),IF(AND(A947=0,B947&lt;&gt;0,C947=0),VLOOKUP(B947,'3 - LISTA DE ESPÉCIES'!B:H,4,FALSE()),IF(AND(A947=0,B947=0,C947&lt;&gt;0),VLOOKUP(C947,'3 - LISTA DE ESPÉCIES'!C:H,3,FALSE()))))</f>
        <v>0</v>
      </c>
      <c r="J947" s="23"/>
      <c r="K947" s="23"/>
      <c r="L947" s="20"/>
      <c r="M947" s="20"/>
    </row>
    <row r="948" spans="1:13" x14ac:dyDescent="0.25">
      <c r="A948" s="20"/>
      <c r="B948" s="20"/>
      <c r="C948" s="20"/>
      <c r="E948" s="21" t="b">
        <f>IF(AND(A948&lt;&gt;0,B948=0,C948=0),VLOOKUP(A948,'3 - LISTA DE ESPÉCIES'!A:H,1,FALSE()),IF(AND(A948=0,B948&lt;&gt;0,C948=0),VLOOKUP(B948,'3 - LISTA DE ESPÉCIES'!B:H,5,FALSE()),IF(AND(A948=0,B948=0,C948&lt;&gt;0),VLOOKUP(C948,'3 - LISTA DE ESPÉCIES'!C:H,4,FALSE()))))</f>
        <v>0</v>
      </c>
      <c r="F948" s="21" t="b">
        <f>IF(AND(A948&lt;&gt;0,B948=0,C948=0),VLOOKUP(A948,'3 - LISTA DE ESPÉCIES'!A:H,2,FALSE()),IF(AND(A948=0,B948&lt;&gt;0,C948=0),VLOOKUP(B948,'3 - LISTA DE ESPÉCIES'!B:H,6,FALSE()),IF(AND(A948=0,B948=0,C948&lt;&gt;0),VLOOKUP(C948,'3 - LISTA DE ESPÉCIES'!C:H,5,FALSE()))))</f>
        <v>0</v>
      </c>
      <c r="G948" s="21" t="b">
        <f>IF(AND(A948&lt;&gt;0,B948=0,C948=0),VLOOKUP(A948,'3 - LISTA DE ESPÉCIES'!A:H,3,FALSE()),IF(AND(A948=0,B948&lt;&gt;0,C948=0),VLOOKUP(B948,'3 - LISTA DE ESPÉCIES'!B:H,7,FALSE()),IF(AND(A948=0,B948=0,C948&lt;&gt;0),VLOOKUP(C948,'3 - LISTA DE ESPÉCIES'!C:H,6,FALSE()))))</f>
        <v>0</v>
      </c>
      <c r="H948" s="21" t="b">
        <f>IF(AND(A948&lt;&gt;0,B948=0,C948=0),VLOOKUP(A948,'3 - LISTA DE ESPÉCIES'!A:H,4,FALSE()),IF(AND(A948=0,B948&lt;&gt;0,C948=0),VLOOKUP(B948,'3 - LISTA DE ESPÉCIES'!B:H,3,FALSE()),IF(AND(A948=0,B948=0,C948&lt;&gt;0),VLOOKUP(C948,'3 - LISTA DE ESPÉCIES'!C:H,2,FALSE()))))</f>
        <v>0</v>
      </c>
      <c r="I948" s="21" t="b">
        <f>IF(AND(A948&lt;&gt;0,B948=0,C948=0),VLOOKUP(A948,'3 - LISTA DE ESPÉCIES'!A:H,5,FALSE()),IF(AND(A948=0,B948&lt;&gt;0,C948=0),VLOOKUP(B948,'3 - LISTA DE ESPÉCIES'!B:H,4,FALSE()),IF(AND(A948=0,B948=0,C948&lt;&gt;0),VLOOKUP(C948,'3 - LISTA DE ESPÉCIES'!C:H,3,FALSE()))))</f>
        <v>0</v>
      </c>
      <c r="J948" s="23"/>
      <c r="K948" s="23"/>
      <c r="L948" s="20"/>
      <c r="M948" s="20"/>
    </row>
    <row r="949" spans="1:13" x14ac:dyDescent="0.25">
      <c r="A949" s="20"/>
      <c r="B949" s="20"/>
      <c r="C949" s="20"/>
      <c r="E949" s="21" t="b">
        <f>IF(AND(A949&lt;&gt;0,B949=0,C949=0),VLOOKUP(A949,'3 - LISTA DE ESPÉCIES'!A:H,1,FALSE()),IF(AND(A949=0,B949&lt;&gt;0,C949=0),VLOOKUP(B949,'3 - LISTA DE ESPÉCIES'!B:H,5,FALSE()),IF(AND(A949=0,B949=0,C949&lt;&gt;0),VLOOKUP(C949,'3 - LISTA DE ESPÉCIES'!C:H,4,FALSE()))))</f>
        <v>0</v>
      </c>
      <c r="F949" s="21" t="b">
        <f>IF(AND(A949&lt;&gt;0,B949=0,C949=0),VLOOKUP(A949,'3 - LISTA DE ESPÉCIES'!A:H,2,FALSE()),IF(AND(A949=0,B949&lt;&gt;0,C949=0),VLOOKUP(B949,'3 - LISTA DE ESPÉCIES'!B:H,6,FALSE()),IF(AND(A949=0,B949=0,C949&lt;&gt;0),VLOOKUP(C949,'3 - LISTA DE ESPÉCIES'!C:H,5,FALSE()))))</f>
        <v>0</v>
      </c>
      <c r="G949" s="21" t="b">
        <f>IF(AND(A949&lt;&gt;0,B949=0,C949=0),VLOOKUP(A949,'3 - LISTA DE ESPÉCIES'!A:H,3,FALSE()),IF(AND(A949=0,B949&lt;&gt;0,C949=0),VLOOKUP(B949,'3 - LISTA DE ESPÉCIES'!B:H,7,FALSE()),IF(AND(A949=0,B949=0,C949&lt;&gt;0),VLOOKUP(C949,'3 - LISTA DE ESPÉCIES'!C:H,6,FALSE()))))</f>
        <v>0</v>
      </c>
      <c r="H949" s="21" t="b">
        <f>IF(AND(A949&lt;&gt;0,B949=0,C949=0),VLOOKUP(A949,'3 - LISTA DE ESPÉCIES'!A:H,4,FALSE()),IF(AND(A949=0,B949&lt;&gt;0,C949=0),VLOOKUP(B949,'3 - LISTA DE ESPÉCIES'!B:H,3,FALSE()),IF(AND(A949=0,B949=0,C949&lt;&gt;0),VLOOKUP(C949,'3 - LISTA DE ESPÉCIES'!C:H,2,FALSE()))))</f>
        <v>0</v>
      </c>
      <c r="I949" s="21" t="b">
        <f>IF(AND(A949&lt;&gt;0,B949=0,C949=0),VLOOKUP(A949,'3 - LISTA DE ESPÉCIES'!A:H,5,FALSE()),IF(AND(A949=0,B949&lt;&gt;0,C949=0),VLOOKUP(B949,'3 - LISTA DE ESPÉCIES'!B:H,4,FALSE()),IF(AND(A949=0,B949=0,C949&lt;&gt;0),VLOOKUP(C949,'3 - LISTA DE ESPÉCIES'!C:H,3,FALSE()))))</f>
        <v>0</v>
      </c>
      <c r="J949" s="23"/>
      <c r="K949" s="23"/>
      <c r="L949" s="20"/>
      <c r="M949" s="20"/>
    </row>
    <row r="950" spans="1:13" x14ac:dyDescent="0.25">
      <c r="A950" s="20"/>
      <c r="B950" s="20"/>
      <c r="C950" s="20"/>
      <c r="E950" s="21" t="b">
        <f>IF(AND(A950&lt;&gt;0,B950=0,C950=0),VLOOKUP(A950,'3 - LISTA DE ESPÉCIES'!A:H,1,FALSE()),IF(AND(A950=0,B950&lt;&gt;0,C950=0),VLOOKUP(B950,'3 - LISTA DE ESPÉCIES'!B:H,5,FALSE()),IF(AND(A950=0,B950=0,C950&lt;&gt;0),VLOOKUP(C950,'3 - LISTA DE ESPÉCIES'!C:H,4,FALSE()))))</f>
        <v>0</v>
      </c>
      <c r="F950" s="21" t="b">
        <f>IF(AND(A950&lt;&gt;0,B950=0,C950=0),VLOOKUP(A950,'3 - LISTA DE ESPÉCIES'!A:H,2,FALSE()),IF(AND(A950=0,B950&lt;&gt;0,C950=0),VLOOKUP(B950,'3 - LISTA DE ESPÉCIES'!B:H,6,FALSE()),IF(AND(A950=0,B950=0,C950&lt;&gt;0),VLOOKUP(C950,'3 - LISTA DE ESPÉCIES'!C:H,5,FALSE()))))</f>
        <v>0</v>
      </c>
      <c r="G950" s="21" t="b">
        <f>IF(AND(A950&lt;&gt;0,B950=0,C950=0),VLOOKUP(A950,'3 - LISTA DE ESPÉCIES'!A:H,3,FALSE()),IF(AND(A950=0,B950&lt;&gt;0,C950=0),VLOOKUP(B950,'3 - LISTA DE ESPÉCIES'!B:H,7,FALSE()),IF(AND(A950=0,B950=0,C950&lt;&gt;0),VLOOKUP(C950,'3 - LISTA DE ESPÉCIES'!C:H,6,FALSE()))))</f>
        <v>0</v>
      </c>
      <c r="H950" s="21" t="b">
        <f>IF(AND(A950&lt;&gt;0,B950=0,C950=0),VLOOKUP(A950,'3 - LISTA DE ESPÉCIES'!A:H,4,FALSE()),IF(AND(A950=0,B950&lt;&gt;0,C950=0),VLOOKUP(B950,'3 - LISTA DE ESPÉCIES'!B:H,3,FALSE()),IF(AND(A950=0,B950=0,C950&lt;&gt;0),VLOOKUP(C950,'3 - LISTA DE ESPÉCIES'!C:H,2,FALSE()))))</f>
        <v>0</v>
      </c>
      <c r="I950" s="21" t="b">
        <f>IF(AND(A950&lt;&gt;0,B950=0,C950=0),VLOOKUP(A950,'3 - LISTA DE ESPÉCIES'!A:H,5,FALSE()),IF(AND(A950=0,B950&lt;&gt;0,C950=0),VLOOKUP(B950,'3 - LISTA DE ESPÉCIES'!B:H,4,FALSE()),IF(AND(A950=0,B950=0,C950&lt;&gt;0),VLOOKUP(C950,'3 - LISTA DE ESPÉCIES'!C:H,3,FALSE()))))</f>
        <v>0</v>
      </c>
      <c r="J950" s="23"/>
      <c r="K950" s="23"/>
      <c r="L950" s="20"/>
      <c r="M950" s="20"/>
    </row>
    <row r="951" spans="1:13" x14ac:dyDescent="0.25">
      <c r="A951" s="20"/>
      <c r="B951" s="20"/>
      <c r="C951" s="20"/>
      <c r="E951" s="21" t="b">
        <f>IF(AND(A951&lt;&gt;0,B951=0,C951=0),VLOOKUP(A951,'3 - LISTA DE ESPÉCIES'!A:H,1,FALSE()),IF(AND(A951=0,B951&lt;&gt;0,C951=0),VLOOKUP(B951,'3 - LISTA DE ESPÉCIES'!B:H,5,FALSE()),IF(AND(A951=0,B951=0,C951&lt;&gt;0),VLOOKUP(C951,'3 - LISTA DE ESPÉCIES'!C:H,4,FALSE()))))</f>
        <v>0</v>
      </c>
      <c r="F951" s="21" t="b">
        <f>IF(AND(A951&lt;&gt;0,B951=0,C951=0),VLOOKUP(A951,'3 - LISTA DE ESPÉCIES'!A:H,2,FALSE()),IF(AND(A951=0,B951&lt;&gt;0,C951=0),VLOOKUP(B951,'3 - LISTA DE ESPÉCIES'!B:H,6,FALSE()),IF(AND(A951=0,B951=0,C951&lt;&gt;0),VLOOKUP(C951,'3 - LISTA DE ESPÉCIES'!C:H,5,FALSE()))))</f>
        <v>0</v>
      </c>
      <c r="G951" s="21" t="b">
        <f>IF(AND(A951&lt;&gt;0,B951=0,C951=0),VLOOKUP(A951,'3 - LISTA DE ESPÉCIES'!A:H,3,FALSE()),IF(AND(A951=0,B951&lt;&gt;0,C951=0),VLOOKUP(B951,'3 - LISTA DE ESPÉCIES'!B:H,7,FALSE()),IF(AND(A951=0,B951=0,C951&lt;&gt;0),VLOOKUP(C951,'3 - LISTA DE ESPÉCIES'!C:H,6,FALSE()))))</f>
        <v>0</v>
      </c>
      <c r="H951" s="21" t="b">
        <f>IF(AND(A951&lt;&gt;0,B951=0,C951=0),VLOOKUP(A951,'3 - LISTA DE ESPÉCIES'!A:H,4,FALSE()),IF(AND(A951=0,B951&lt;&gt;0,C951=0),VLOOKUP(B951,'3 - LISTA DE ESPÉCIES'!B:H,3,FALSE()),IF(AND(A951=0,B951=0,C951&lt;&gt;0),VLOOKUP(C951,'3 - LISTA DE ESPÉCIES'!C:H,2,FALSE()))))</f>
        <v>0</v>
      </c>
      <c r="I951" s="21" t="b">
        <f>IF(AND(A951&lt;&gt;0,B951=0,C951=0),VLOOKUP(A951,'3 - LISTA DE ESPÉCIES'!A:H,5,FALSE()),IF(AND(A951=0,B951&lt;&gt;0,C951=0),VLOOKUP(B951,'3 - LISTA DE ESPÉCIES'!B:H,4,FALSE()),IF(AND(A951=0,B951=0,C951&lt;&gt;0),VLOOKUP(C951,'3 - LISTA DE ESPÉCIES'!C:H,3,FALSE()))))</f>
        <v>0</v>
      </c>
      <c r="J951" s="23"/>
      <c r="K951" s="23"/>
      <c r="L951" s="20"/>
      <c r="M951" s="20"/>
    </row>
    <row r="952" spans="1:13" x14ac:dyDescent="0.25">
      <c r="A952" s="20"/>
      <c r="B952" s="20"/>
      <c r="C952" s="20"/>
      <c r="E952" s="21" t="b">
        <f>IF(AND(A952&lt;&gt;0,B952=0,C952=0),VLOOKUP(A952,'3 - LISTA DE ESPÉCIES'!A:H,1,FALSE()),IF(AND(A952=0,B952&lt;&gt;0,C952=0),VLOOKUP(B952,'3 - LISTA DE ESPÉCIES'!B:H,5,FALSE()),IF(AND(A952=0,B952=0,C952&lt;&gt;0),VLOOKUP(C952,'3 - LISTA DE ESPÉCIES'!C:H,4,FALSE()))))</f>
        <v>0</v>
      </c>
      <c r="F952" s="21" t="b">
        <f>IF(AND(A952&lt;&gt;0,B952=0,C952=0),VLOOKUP(A952,'3 - LISTA DE ESPÉCIES'!A:H,2,FALSE()),IF(AND(A952=0,B952&lt;&gt;0,C952=0),VLOOKUP(B952,'3 - LISTA DE ESPÉCIES'!B:H,6,FALSE()),IF(AND(A952=0,B952=0,C952&lt;&gt;0),VLOOKUP(C952,'3 - LISTA DE ESPÉCIES'!C:H,5,FALSE()))))</f>
        <v>0</v>
      </c>
      <c r="G952" s="21" t="b">
        <f>IF(AND(A952&lt;&gt;0,B952=0,C952=0),VLOOKUP(A952,'3 - LISTA DE ESPÉCIES'!A:H,3,FALSE()),IF(AND(A952=0,B952&lt;&gt;0,C952=0),VLOOKUP(B952,'3 - LISTA DE ESPÉCIES'!B:H,7,FALSE()),IF(AND(A952=0,B952=0,C952&lt;&gt;0),VLOOKUP(C952,'3 - LISTA DE ESPÉCIES'!C:H,6,FALSE()))))</f>
        <v>0</v>
      </c>
      <c r="H952" s="21" t="b">
        <f>IF(AND(A952&lt;&gt;0,B952=0,C952=0),VLOOKUP(A952,'3 - LISTA DE ESPÉCIES'!A:H,4,FALSE()),IF(AND(A952=0,B952&lt;&gt;0,C952=0),VLOOKUP(B952,'3 - LISTA DE ESPÉCIES'!B:H,3,FALSE()),IF(AND(A952=0,B952=0,C952&lt;&gt;0),VLOOKUP(C952,'3 - LISTA DE ESPÉCIES'!C:H,2,FALSE()))))</f>
        <v>0</v>
      </c>
      <c r="I952" s="21" t="b">
        <f>IF(AND(A952&lt;&gt;0,B952=0,C952=0),VLOOKUP(A952,'3 - LISTA DE ESPÉCIES'!A:H,5,FALSE()),IF(AND(A952=0,B952&lt;&gt;0,C952=0),VLOOKUP(B952,'3 - LISTA DE ESPÉCIES'!B:H,4,FALSE()),IF(AND(A952=0,B952=0,C952&lt;&gt;0),VLOOKUP(C952,'3 - LISTA DE ESPÉCIES'!C:H,3,FALSE()))))</f>
        <v>0</v>
      </c>
      <c r="J952" s="23"/>
      <c r="K952" s="23"/>
      <c r="L952" s="20"/>
      <c r="M952" s="20"/>
    </row>
    <row r="953" spans="1:13" x14ac:dyDescent="0.25">
      <c r="A953" s="20"/>
      <c r="B953" s="20"/>
      <c r="C953" s="20"/>
      <c r="E953" s="21" t="b">
        <f>IF(AND(A953&lt;&gt;0,B953=0,C953=0),VLOOKUP(A953,'3 - LISTA DE ESPÉCIES'!A:H,1,FALSE()),IF(AND(A953=0,B953&lt;&gt;0,C953=0),VLOOKUP(B953,'3 - LISTA DE ESPÉCIES'!B:H,5,FALSE()),IF(AND(A953=0,B953=0,C953&lt;&gt;0),VLOOKUP(C953,'3 - LISTA DE ESPÉCIES'!C:H,4,FALSE()))))</f>
        <v>0</v>
      </c>
      <c r="F953" s="21" t="b">
        <f>IF(AND(A953&lt;&gt;0,B953=0,C953=0),VLOOKUP(A953,'3 - LISTA DE ESPÉCIES'!A:H,2,FALSE()),IF(AND(A953=0,B953&lt;&gt;0,C953=0),VLOOKUP(B953,'3 - LISTA DE ESPÉCIES'!B:H,6,FALSE()),IF(AND(A953=0,B953=0,C953&lt;&gt;0),VLOOKUP(C953,'3 - LISTA DE ESPÉCIES'!C:H,5,FALSE()))))</f>
        <v>0</v>
      </c>
      <c r="G953" s="21" t="b">
        <f>IF(AND(A953&lt;&gt;0,B953=0,C953=0),VLOOKUP(A953,'3 - LISTA DE ESPÉCIES'!A:H,3,FALSE()),IF(AND(A953=0,B953&lt;&gt;0,C953=0),VLOOKUP(B953,'3 - LISTA DE ESPÉCIES'!B:H,7,FALSE()),IF(AND(A953=0,B953=0,C953&lt;&gt;0),VLOOKUP(C953,'3 - LISTA DE ESPÉCIES'!C:H,6,FALSE()))))</f>
        <v>0</v>
      </c>
      <c r="H953" s="21" t="b">
        <f>IF(AND(A953&lt;&gt;0,B953=0,C953=0),VLOOKUP(A953,'3 - LISTA DE ESPÉCIES'!A:H,4,FALSE()),IF(AND(A953=0,B953&lt;&gt;0,C953=0),VLOOKUP(B953,'3 - LISTA DE ESPÉCIES'!B:H,3,FALSE()),IF(AND(A953=0,B953=0,C953&lt;&gt;0),VLOOKUP(C953,'3 - LISTA DE ESPÉCIES'!C:H,2,FALSE()))))</f>
        <v>0</v>
      </c>
      <c r="I953" s="21" t="b">
        <f>IF(AND(A953&lt;&gt;0,B953=0,C953=0),VLOOKUP(A953,'3 - LISTA DE ESPÉCIES'!A:H,5,FALSE()),IF(AND(A953=0,B953&lt;&gt;0,C953=0),VLOOKUP(B953,'3 - LISTA DE ESPÉCIES'!B:H,4,FALSE()),IF(AND(A953=0,B953=0,C953&lt;&gt;0),VLOOKUP(C953,'3 - LISTA DE ESPÉCIES'!C:H,3,FALSE()))))</f>
        <v>0</v>
      </c>
      <c r="J953" s="23"/>
      <c r="K953" s="23"/>
      <c r="L953" s="20"/>
      <c r="M953" s="20"/>
    </row>
    <row r="954" spans="1:13" x14ac:dyDescent="0.25">
      <c r="A954" s="20"/>
      <c r="B954" s="20"/>
      <c r="C954" s="20"/>
      <c r="E954" s="21" t="b">
        <f>IF(AND(A954&lt;&gt;0,B954=0,C954=0),VLOOKUP(A954,'3 - LISTA DE ESPÉCIES'!A:H,1,FALSE()),IF(AND(A954=0,B954&lt;&gt;0,C954=0),VLOOKUP(B954,'3 - LISTA DE ESPÉCIES'!B:H,5,FALSE()),IF(AND(A954=0,B954=0,C954&lt;&gt;0),VLOOKUP(C954,'3 - LISTA DE ESPÉCIES'!C:H,4,FALSE()))))</f>
        <v>0</v>
      </c>
      <c r="F954" s="21" t="b">
        <f>IF(AND(A954&lt;&gt;0,B954=0,C954=0),VLOOKUP(A954,'3 - LISTA DE ESPÉCIES'!A:H,2,FALSE()),IF(AND(A954=0,B954&lt;&gt;0,C954=0),VLOOKUP(B954,'3 - LISTA DE ESPÉCIES'!B:H,6,FALSE()),IF(AND(A954=0,B954=0,C954&lt;&gt;0),VLOOKUP(C954,'3 - LISTA DE ESPÉCIES'!C:H,5,FALSE()))))</f>
        <v>0</v>
      </c>
      <c r="G954" s="21" t="b">
        <f>IF(AND(A954&lt;&gt;0,B954=0,C954=0),VLOOKUP(A954,'3 - LISTA DE ESPÉCIES'!A:H,3,FALSE()),IF(AND(A954=0,B954&lt;&gt;0,C954=0),VLOOKUP(B954,'3 - LISTA DE ESPÉCIES'!B:H,7,FALSE()),IF(AND(A954=0,B954=0,C954&lt;&gt;0),VLOOKUP(C954,'3 - LISTA DE ESPÉCIES'!C:H,6,FALSE()))))</f>
        <v>0</v>
      </c>
      <c r="H954" s="21" t="b">
        <f>IF(AND(A954&lt;&gt;0,B954=0,C954=0),VLOOKUP(A954,'3 - LISTA DE ESPÉCIES'!A:H,4,FALSE()),IF(AND(A954=0,B954&lt;&gt;0,C954=0),VLOOKUP(B954,'3 - LISTA DE ESPÉCIES'!B:H,3,FALSE()),IF(AND(A954=0,B954=0,C954&lt;&gt;0),VLOOKUP(C954,'3 - LISTA DE ESPÉCIES'!C:H,2,FALSE()))))</f>
        <v>0</v>
      </c>
      <c r="I954" s="21" t="b">
        <f>IF(AND(A954&lt;&gt;0,B954=0,C954=0),VLOOKUP(A954,'3 - LISTA DE ESPÉCIES'!A:H,5,FALSE()),IF(AND(A954=0,B954&lt;&gt;0,C954=0),VLOOKUP(B954,'3 - LISTA DE ESPÉCIES'!B:H,4,FALSE()),IF(AND(A954=0,B954=0,C954&lt;&gt;0),VLOOKUP(C954,'3 - LISTA DE ESPÉCIES'!C:H,3,FALSE()))))</f>
        <v>0</v>
      </c>
      <c r="J954" s="23"/>
      <c r="K954" s="23"/>
      <c r="L954" s="20"/>
      <c r="M954" s="20"/>
    </row>
    <row r="955" spans="1:13" x14ac:dyDescent="0.25">
      <c r="A955" s="20"/>
      <c r="B955" s="20"/>
      <c r="C955" s="20"/>
      <c r="E955" s="21" t="b">
        <f>IF(AND(A955&lt;&gt;0,B955=0,C955=0),VLOOKUP(A955,'3 - LISTA DE ESPÉCIES'!A:H,1,FALSE()),IF(AND(A955=0,B955&lt;&gt;0,C955=0),VLOOKUP(B955,'3 - LISTA DE ESPÉCIES'!B:H,5,FALSE()),IF(AND(A955=0,B955=0,C955&lt;&gt;0),VLOOKUP(C955,'3 - LISTA DE ESPÉCIES'!C:H,4,FALSE()))))</f>
        <v>0</v>
      </c>
      <c r="F955" s="21" t="b">
        <f>IF(AND(A955&lt;&gt;0,B955=0,C955=0),VLOOKUP(A955,'3 - LISTA DE ESPÉCIES'!A:H,2,FALSE()),IF(AND(A955=0,B955&lt;&gt;0,C955=0),VLOOKUP(B955,'3 - LISTA DE ESPÉCIES'!B:H,6,FALSE()),IF(AND(A955=0,B955=0,C955&lt;&gt;0),VLOOKUP(C955,'3 - LISTA DE ESPÉCIES'!C:H,5,FALSE()))))</f>
        <v>0</v>
      </c>
      <c r="G955" s="21" t="b">
        <f>IF(AND(A955&lt;&gt;0,B955=0,C955=0),VLOOKUP(A955,'3 - LISTA DE ESPÉCIES'!A:H,3,FALSE()),IF(AND(A955=0,B955&lt;&gt;0,C955=0),VLOOKUP(B955,'3 - LISTA DE ESPÉCIES'!B:H,7,FALSE()),IF(AND(A955=0,B955=0,C955&lt;&gt;0),VLOOKUP(C955,'3 - LISTA DE ESPÉCIES'!C:H,6,FALSE()))))</f>
        <v>0</v>
      </c>
      <c r="H955" s="21" t="b">
        <f>IF(AND(A955&lt;&gt;0,B955=0,C955=0),VLOOKUP(A955,'3 - LISTA DE ESPÉCIES'!A:H,4,FALSE()),IF(AND(A955=0,B955&lt;&gt;0,C955=0),VLOOKUP(B955,'3 - LISTA DE ESPÉCIES'!B:H,3,FALSE()),IF(AND(A955=0,B955=0,C955&lt;&gt;0),VLOOKUP(C955,'3 - LISTA DE ESPÉCIES'!C:H,2,FALSE()))))</f>
        <v>0</v>
      </c>
      <c r="I955" s="21" t="b">
        <f>IF(AND(A955&lt;&gt;0,B955=0,C955=0),VLOOKUP(A955,'3 - LISTA DE ESPÉCIES'!A:H,5,FALSE()),IF(AND(A955=0,B955&lt;&gt;0,C955=0),VLOOKUP(B955,'3 - LISTA DE ESPÉCIES'!B:H,4,FALSE()),IF(AND(A955=0,B955=0,C955&lt;&gt;0),VLOOKUP(C955,'3 - LISTA DE ESPÉCIES'!C:H,3,FALSE()))))</f>
        <v>0</v>
      </c>
      <c r="J955" s="23"/>
      <c r="K955" s="23"/>
      <c r="L955" s="20"/>
      <c r="M955" s="20"/>
    </row>
    <row r="956" spans="1:13" x14ac:dyDescent="0.25">
      <c r="A956" s="20"/>
      <c r="B956" s="20"/>
      <c r="C956" s="20"/>
      <c r="E956" s="21" t="b">
        <f>IF(AND(A956&lt;&gt;0,B956=0,C956=0),VLOOKUP(A956,'3 - LISTA DE ESPÉCIES'!A:H,1,FALSE()),IF(AND(A956=0,B956&lt;&gt;0,C956=0),VLOOKUP(B956,'3 - LISTA DE ESPÉCIES'!B:H,5,FALSE()),IF(AND(A956=0,B956=0,C956&lt;&gt;0),VLOOKUP(C956,'3 - LISTA DE ESPÉCIES'!C:H,4,FALSE()))))</f>
        <v>0</v>
      </c>
      <c r="F956" s="21" t="b">
        <f>IF(AND(A956&lt;&gt;0,B956=0,C956=0),VLOOKUP(A956,'3 - LISTA DE ESPÉCIES'!A:H,2,FALSE()),IF(AND(A956=0,B956&lt;&gt;0,C956=0),VLOOKUP(B956,'3 - LISTA DE ESPÉCIES'!B:H,6,FALSE()),IF(AND(A956=0,B956=0,C956&lt;&gt;0),VLOOKUP(C956,'3 - LISTA DE ESPÉCIES'!C:H,5,FALSE()))))</f>
        <v>0</v>
      </c>
      <c r="G956" s="21" t="b">
        <f>IF(AND(A956&lt;&gt;0,B956=0,C956=0),VLOOKUP(A956,'3 - LISTA DE ESPÉCIES'!A:H,3,FALSE()),IF(AND(A956=0,B956&lt;&gt;0,C956=0),VLOOKUP(B956,'3 - LISTA DE ESPÉCIES'!B:H,7,FALSE()),IF(AND(A956=0,B956=0,C956&lt;&gt;0),VLOOKUP(C956,'3 - LISTA DE ESPÉCIES'!C:H,6,FALSE()))))</f>
        <v>0</v>
      </c>
      <c r="H956" s="21" t="b">
        <f>IF(AND(A956&lt;&gt;0,B956=0,C956=0),VLOOKUP(A956,'3 - LISTA DE ESPÉCIES'!A:H,4,FALSE()),IF(AND(A956=0,B956&lt;&gt;0,C956=0),VLOOKUP(B956,'3 - LISTA DE ESPÉCIES'!B:H,3,FALSE()),IF(AND(A956=0,B956=0,C956&lt;&gt;0),VLOOKUP(C956,'3 - LISTA DE ESPÉCIES'!C:H,2,FALSE()))))</f>
        <v>0</v>
      </c>
      <c r="I956" s="21" t="b">
        <f>IF(AND(A956&lt;&gt;0,B956=0,C956=0),VLOOKUP(A956,'3 - LISTA DE ESPÉCIES'!A:H,5,FALSE()),IF(AND(A956=0,B956&lt;&gt;0,C956=0),VLOOKUP(B956,'3 - LISTA DE ESPÉCIES'!B:H,4,FALSE()),IF(AND(A956=0,B956=0,C956&lt;&gt;0),VLOOKUP(C956,'3 - LISTA DE ESPÉCIES'!C:H,3,FALSE()))))</f>
        <v>0</v>
      </c>
      <c r="J956" s="23"/>
      <c r="K956" s="23"/>
      <c r="L956" s="20"/>
      <c r="M956" s="20"/>
    </row>
    <row r="957" spans="1:13" x14ac:dyDescent="0.25">
      <c r="A957" s="20"/>
      <c r="B957" s="20"/>
      <c r="C957" s="20"/>
      <c r="E957" s="21" t="b">
        <f>IF(AND(A957&lt;&gt;0,B957=0,C957=0),VLOOKUP(A957,'3 - LISTA DE ESPÉCIES'!A:H,1,FALSE()),IF(AND(A957=0,B957&lt;&gt;0,C957=0),VLOOKUP(B957,'3 - LISTA DE ESPÉCIES'!B:H,5,FALSE()),IF(AND(A957=0,B957=0,C957&lt;&gt;0),VLOOKUP(C957,'3 - LISTA DE ESPÉCIES'!C:H,4,FALSE()))))</f>
        <v>0</v>
      </c>
      <c r="F957" s="21" t="b">
        <f>IF(AND(A957&lt;&gt;0,B957=0,C957=0),VLOOKUP(A957,'3 - LISTA DE ESPÉCIES'!A:H,2,FALSE()),IF(AND(A957=0,B957&lt;&gt;0,C957=0),VLOOKUP(B957,'3 - LISTA DE ESPÉCIES'!B:H,6,FALSE()),IF(AND(A957=0,B957=0,C957&lt;&gt;0),VLOOKUP(C957,'3 - LISTA DE ESPÉCIES'!C:H,5,FALSE()))))</f>
        <v>0</v>
      </c>
      <c r="G957" s="21" t="b">
        <f>IF(AND(A957&lt;&gt;0,B957=0,C957=0),VLOOKUP(A957,'3 - LISTA DE ESPÉCIES'!A:H,3,FALSE()),IF(AND(A957=0,B957&lt;&gt;0,C957=0),VLOOKUP(B957,'3 - LISTA DE ESPÉCIES'!B:H,7,FALSE()),IF(AND(A957=0,B957=0,C957&lt;&gt;0),VLOOKUP(C957,'3 - LISTA DE ESPÉCIES'!C:H,6,FALSE()))))</f>
        <v>0</v>
      </c>
      <c r="H957" s="21" t="b">
        <f>IF(AND(A957&lt;&gt;0,B957=0,C957=0),VLOOKUP(A957,'3 - LISTA DE ESPÉCIES'!A:H,4,FALSE()),IF(AND(A957=0,B957&lt;&gt;0,C957=0),VLOOKUP(B957,'3 - LISTA DE ESPÉCIES'!B:H,3,FALSE()),IF(AND(A957=0,B957=0,C957&lt;&gt;0),VLOOKUP(C957,'3 - LISTA DE ESPÉCIES'!C:H,2,FALSE()))))</f>
        <v>0</v>
      </c>
      <c r="I957" s="21" t="b">
        <f>IF(AND(A957&lt;&gt;0,B957=0,C957=0),VLOOKUP(A957,'3 - LISTA DE ESPÉCIES'!A:H,5,FALSE()),IF(AND(A957=0,B957&lt;&gt;0,C957=0),VLOOKUP(B957,'3 - LISTA DE ESPÉCIES'!B:H,4,FALSE()),IF(AND(A957=0,B957=0,C957&lt;&gt;0),VLOOKUP(C957,'3 - LISTA DE ESPÉCIES'!C:H,3,FALSE()))))</f>
        <v>0</v>
      </c>
      <c r="J957" s="23"/>
      <c r="K957" s="23"/>
      <c r="L957" s="20"/>
      <c r="M957" s="20"/>
    </row>
    <row r="958" spans="1:13" x14ac:dyDescent="0.25">
      <c r="A958" s="20"/>
      <c r="B958" s="20"/>
      <c r="C958" s="20"/>
      <c r="E958" s="21" t="b">
        <f>IF(AND(A958&lt;&gt;0,B958=0,C958=0),VLOOKUP(A958,'3 - LISTA DE ESPÉCIES'!A:H,1,FALSE()),IF(AND(A958=0,B958&lt;&gt;0,C958=0),VLOOKUP(B958,'3 - LISTA DE ESPÉCIES'!B:H,5,FALSE()),IF(AND(A958=0,B958=0,C958&lt;&gt;0),VLOOKUP(C958,'3 - LISTA DE ESPÉCIES'!C:H,4,FALSE()))))</f>
        <v>0</v>
      </c>
      <c r="F958" s="21" t="b">
        <f>IF(AND(A958&lt;&gt;0,B958=0,C958=0),VLOOKUP(A958,'3 - LISTA DE ESPÉCIES'!A:H,2,FALSE()),IF(AND(A958=0,B958&lt;&gt;0,C958=0),VLOOKUP(B958,'3 - LISTA DE ESPÉCIES'!B:H,6,FALSE()),IF(AND(A958=0,B958=0,C958&lt;&gt;0),VLOOKUP(C958,'3 - LISTA DE ESPÉCIES'!C:H,5,FALSE()))))</f>
        <v>0</v>
      </c>
      <c r="G958" s="21" t="b">
        <f>IF(AND(A958&lt;&gt;0,B958=0,C958=0),VLOOKUP(A958,'3 - LISTA DE ESPÉCIES'!A:H,3,FALSE()),IF(AND(A958=0,B958&lt;&gt;0,C958=0),VLOOKUP(B958,'3 - LISTA DE ESPÉCIES'!B:H,7,FALSE()),IF(AND(A958=0,B958=0,C958&lt;&gt;0),VLOOKUP(C958,'3 - LISTA DE ESPÉCIES'!C:H,6,FALSE()))))</f>
        <v>0</v>
      </c>
      <c r="H958" s="21" t="b">
        <f>IF(AND(A958&lt;&gt;0,B958=0,C958=0),VLOOKUP(A958,'3 - LISTA DE ESPÉCIES'!A:H,4,FALSE()),IF(AND(A958=0,B958&lt;&gt;0,C958=0),VLOOKUP(B958,'3 - LISTA DE ESPÉCIES'!B:H,3,FALSE()),IF(AND(A958=0,B958=0,C958&lt;&gt;0),VLOOKUP(C958,'3 - LISTA DE ESPÉCIES'!C:H,2,FALSE()))))</f>
        <v>0</v>
      </c>
      <c r="I958" s="21" t="b">
        <f>IF(AND(A958&lt;&gt;0,B958=0,C958=0),VLOOKUP(A958,'3 - LISTA DE ESPÉCIES'!A:H,5,FALSE()),IF(AND(A958=0,B958&lt;&gt;0,C958=0),VLOOKUP(B958,'3 - LISTA DE ESPÉCIES'!B:H,4,FALSE()),IF(AND(A958=0,B958=0,C958&lt;&gt;0),VLOOKUP(C958,'3 - LISTA DE ESPÉCIES'!C:H,3,FALSE()))))</f>
        <v>0</v>
      </c>
      <c r="J958" s="23"/>
      <c r="K958" s="23"/>
      <c r="L958" s="20"/>
      <c r="M958" s="20"/>
    </row>
    <row r="959" spans="1:13" x14ac:dyDescent="0.25">
      <c r="A959" s="20"/>
      <c r="B959" s="20"/>
      <c r="C959" s="20"/>
      <c r="E959" s="21" t="b">
        <f>IF(AND(A959&lt;&gt;0,B959=0,C959=0),VLOOKUP(A959,'3 - LISTA DE ESPÉCIES'!A:H,1,FALSE()),IF(AND(A959=0,B959&lt;&gt;0,C959=0),VLOOKUP(B959,'3 - LISTA DE ESPÉCIES'!B:H,5,FALSE()),IF(AND(A959=0,B959=0,C959&lt;&gt;0),VLOOKUP(C959,'3 - LISTA DE ESPÉCIES'!C:H,4,FALSE()))))</f>
        <v>0</v>
      </c>
      <c r="F959" s="21" t="b">
        <f>IF(AND(A959&lt;&gt;0,B959=0,C959=0),VLOOKUP(A959,'3 - LISTA DE ESPÉCIES'!A:H,2,FALSE()),IF(AND(A959=0,B959&lt;&gt;0,C959=0),VLOOKUP(B959,'3 - LISTA DE ESPÉCIES'!B:H,6,FALSE()),IF(AND(A959=0,B959=0,C959&lt;&gt;0),VLOOKUP(C959,'3 - LISTA DE ESPÉCIES'!C:H,5,FALSE()))))</f>
        <v>0</v>
      </c>
      <c r="G959" s="21" t="b">
        <f>IF(AND(A959&lt;&gt;0,B959=0,C959=0),VLOOKUP(A959,'3 - LISTA DE ESPÉCIES'!A:H,3,FALSE()),IF(AND(A959=0,B959&lt;&gt;0,C959=0),VLOOKUP(B959,'3 - LISTA DE ESPÉCIES'!B:H,7,FALSE()),IF(AND(A959=0,B959=0,C959&lt;&gt;0),VLOOKUP(C959,'3 - LISTA DE ESPÉCIES'!C:H,6,FALSE()))))</f>
        <v>0</v>
      </c>
      <c r="H959" s="21" t="b">
        <f>IF(AND(A959&lt;&gt;0,B959=0,C959=0),VLOOKUP(A959,'3 - LISTA DE ESPÉCIES'!A:H,4,FALSE()),IF(AND(A959=0,B959&lt;&gt;0,C959=0),VLOOKUP(B959,'3 - LISTA DE ESPÉCIES'!B:H,3,FALSE()),IF(AND(A959=0,B959=0,C959&lt;&gt;0),VLOOKUP(C959,'3 - LISTA DE ESPÉCIES'!C:H,2,FALSE()))))</f>
        <v>0</v>
      </c>
      <c r="I959" s="21" t="b">
        <f>IF(AND(A959&lt;&gt;0,B959=0,C959=0),VLOOKUP(A959,'3 - LISTA DE ESPÉCIES'!A:H,5,FALSE()),IF(AND(A959=0,B959&lt;&gt;0,C959=0),VLOOKUP(B959,'3 - LISTA DE ESPÉCIES'!B:H,4,FALSE()),IF(AND(A959=0,B959=0,C959&lt;&gt;0),VLOOKUP(C959,'3 - LISTA DE ESPÉCIES'!C:H,3,FALSE()))))</f>
        <v>0</v>
      </c>
      <c r="J959" s="23"/>
      <c r="K959" s="23"/>
      <c r="L959" s="20"/>
      <c r="M959" s="20"/>
    </row>
    <row r="960" spans="1:13" x14ac:dyDescent="0.25">
      <c r="A960" s="20"/>
      <c r="B960" s="20"/>
      <c r="C960" s="20"/>
      <c r="E960" s="21" t="b">
        <f>IF(AND(A960&lt;&gt;0,B960=0,C960=0),VLOOKUP(A960,'3 - LISTA DE ESPÉCIES'!A:H,1,FALSE()),IF(AND(A960=0,B960&lt;&gt;0,C960=0),VLOOKUP(B960,'3 - LISTA DE ESPÉCIES'!B:H,5,FALSE()),IF(AND(A960=0,B960=0,C960&lt;&gt;0),VLOOKUP(C960,'3 - LISTA DE ESPÉCIES'!C:H,4,FALSE()))))</f>
        <v>0</v>
      </c>
      <c r="F960" s="21" t="b">
        <f>IF(AND(A960&lt;&gt;0,B960=0,C960=0),VLOOKUP(A960,'3 - LISTA DE ESPÉCIES'!A:H,2,FALSE()),IF(AND(A960=0,B960&lt;&gt;0,C960=0),VLOOKUP(B960,'3 - LISTA DE ESPÉCIES'!B:H,6,FALSE()),IF(AND(A960=0,B960=0,C960&lt;&gt;0),VLOOKUP(C960,'3 - LISTA DE ESPÉCIES'!C:H,5,FALSE()))))</f>
        <v>0</v>
      </c>
      <c r="G960" s="21" t="b">
        <f>IF(AND(A960&lt;&gt;0,B960=0,C960=0),VLOOKUP(A960,'3 - LISTA DE ESPÉCIES'!A:H,3,FALSE()),IF(AND(A960=0,B960&lt;&gt;0,C960=0),VLOOKUP(B960,'3 - LISTA DE ESPÉCIES'!B:H,7,FALSE()),IF(AND(A960=0,B960=0,C960&lt;&gt;0),VLOOKUP(C960,'3 - LISTA DE ESPÉCIES'!C:H,6,FALSE()))))</f>
        <v>0</v>
      </c>
      <c r="H960" s="21" t="b">
        <f>IF(AND(A960&lt;&gt;0,B960=0,C960=0),VLOOKUP(A960,'3 - LISTA DE ESPÉCIES'!A:H,4,FALSE()),IF(AND(A960=0,B960&lt;&gt;0,C960=0),VLOOKUP(B960,'3 - LISTA DE ESPÉCIES'!B:H,3,FALSE()),IF(AND(A960=0,B960=0,C960&lt;&gt;0),VLOOKUP(C960,'3 - LISTA DE ESPÉCIES'!C:H,2,FALSE()))))</f>
        <v>0</v>
      </c>
      <c r="I960" s="21" t="b">
        <f>IF(AND(A960&lt;&gt;0,B960=0,C960=0),VLOOKUP(A960,'3 - LISTA DE ESPÉCIES'!A:H,5,FALSE()),IF(AND(A960=0,B960&lt;&gt;0,C960=0),VLOOKUP(B960,'3 - LISTA DE ESPÉCIES'!B:H,4,FALSE()),IF(AND(A960=0,B960=0,C960&lt;&gt;0),VLOOKUP(C960,'3 - LISTA DE ESPÉCIES'!C:H,3,FALSE()))))</f>
        <v>0</v>
      </c>
      <c r="J960" s="23"/>
      <c r="K960" s="23"/>
      <c r="L960" s="20"/>
      <c r="M960" s="20"/>
    </row>
    <row r="961" spans="1:13" x14ac:dyDescent="0.25">
      <c r="A961" s="20"/>
      <c r="B961" s="20"/>
      <c r="C961" s="20"/>
      <c r="E961" s="21" t="b">
        <f>IF(AND(A961&lt;&gt;0,B961=0,C961=0),VLOOKUP(A961,'3 - LISTA DE ESPÉCIES'!A:H,1,FALSE()),IF(AND(A961=0,B961&lt;&gt;0,C961=0),VLOOKUP(B961,'3 - LISTA DE ESPÉCIES'!B:H,5,FALSE()),IF(AND(A961=0,B961=0,C961&lt;&gt;0),VLOOKUP(C961,'3 - LISTA DE ESPÉCIES'!C:H,4,FALSE()))))</f>
        <v>0</v>
      </c>
      <c r="F961" s="21" t="b">
        <f>IF(AND(A961&lt;&gt;0,B961=0,C961=0),VLOOKUP(A961,'3 - LISTA DE ESPÉCIES'!A:H,2,FALSE()),IF(AND(A961=0,B961&lt;&gt;0,C961=0),VLOOKUP(B961,'3 - LISTA DE ESPÉCIES'!B:H,6,FALSE()),IF(AND(A961=0,B961=0,C961&lt;&gt;0),VLOOKUP(C961,'3 - LISTA DE ESPÉCIES'!C:H,5,FALSE()))))</f>
        <v>0</v>
      </c>
      <c r="G961" s="21" t="b">
        <f>IF(AND(A961&lt;&gt;0,B961=0,C961=0),VLOOKUP(A961,'3 - LISTA DE ESPÉCIES'!A:H,3,FALSE()),IF(AND(A961=0,B961&lt;&gt;0,C961=0),VLOOKUP(B961,'3 - LISTA DE ESPÉCIES'!B:H,7,FALSE()),IF(AND(A961=0,B961=0,C961&lt;&gt;0),VLOOKUP(C961,'3 - LISTA DE ESPÉCIES'!C:H,6,FALSE()))))</f>
        <v>0</v>
      </c>
      <c r="H961" s="21" t="b">
        <f>IF(AND(A961&lt;&gt;0,B961=0,C961=0),VLOOKUP(A961,'3 - LISTA DE ESPÉCIES'!A:H,4,FALSE()),IF(AND(A961=0,B961&lt;&gt;0,C961=0),VLOOKUP(B961,'3 - LISTA DE ESPÉCIES'!B:H,3,FALSE()),IF(AND(A961=0,B961=0,C961&lt;&gt;0),VLOOKUP(C961,'3 - LISTA DE ESPÉCIES'!C:H,2,FALSE()))))</f>
        <v>0</v>
      </c>
      <c r="I961" s="21" t="b">
        <f>IF(AND(A961&lt;&gt;0,B961=0,C961=0),VLOOKUP(A961,'3 - LISTA DE ESPÉCIES'!A:H,5,FALSE()),IF(AND(A961=0,B961&lt;&gt;0,C961=0),VLOOKUP(B961,'3 - LISTA DE ESPÉCIES'!B:H,4,FALSE()),IF(AND(A961=0,B961=0,C961&lt;&gt;0),VLOOKUP(C961,'3 - LISTA DE ESPÉCIES'!C:H,3,FALSE()))))</f>
        <v>0</v>
      </c>
      <c r="J961" s="23"/>
      <c r="K961" s="23"/>
      <c r="L961" s="20"/>
      <c r="M961" s="20"/>
    </row>
    <row r="962" spans="1:13" x14ac:dyDescent="0.25">
      <c r="A962" s="20"/>
      <c r="B962" s="20"/>
      <c r="C962" s="20"/>
      <c r="E962" s="21" t="b">
        <f>IF(AND(A962&lt;&gt;0,B962=0,C962=0),VLOOKUP(A962,'3 - LISTA DE ESPÉCIES'!A:H,1,FALSE()),IF(AND(A962=0,B962&lt;&gt;0,C962=0),VLOOKUP(B962,'3 - LISTA DE ESPÉCIES'!B:H,5,FALSE()),IF(AND(A962=0,B962=0,C962&lt;&gt;0),VLOOKUP(C962,'3 - LISTA DE ESPÉCIES'!C:H,4,FALSE()))))</f>
        <v>0</v>
      </c>
      <c r="F962" s="21" t="b">
        <f>IF(AND(A962&lt;&gt;0,B962=0,C962=0),VLOOKUP(A962,'3 - LISTA DE ESPÉCIES'!A:H,2,FALSE()),IF(AND(A962=0,B962&lt;&gt;0,C962=0),VLOOKUP(B962,'3 - LISTA DE ESPÉCIES'!B:H,6,FALSE()),IF(AND(A962=0,B962=0,C962&lt;&gt;0),VLOOKUP(C962,'3 - LISTA DE ESPÉCIES'!C:H,5,FALSE()))))</f>
        <v>0</v>
      </c>
      <c r="G962" s="21" t="b">
        <f>IF(AND(A962&lt;&gt;0,B962=0,C962=0),VLOOKUP(A962,'3 - LISTA DE ESPÉCIES'!A:H,3,FALSE()),IF(AND(A962=0,B962&lt;&gt;0,C962=0),VLOOKUP(B962,'3 - LISTA DE ESPÉCIES'!B:H,7,FALSE()),IF(AND(A962=0,B962=0,C962&lt;&gt;0),VLOOKUP(C962,'3 - LISTA DE ESPÉCIES'!C:H,6,FALSE()))))</f>
        <v>0</v>
      </c>
      <c r="H962" s="21" t="b">
        <f>IF(AND(A962&lt;&gt;0,B962=0,C962=0),VLOOKUP(A962,'3 - LISTA DE ESPÉCIES'!A:H,4,FALSE()),IF(AND(A962=0,B962&lt;&gt;0,C962=0),VLOOKUP(B962,'3 - LISTA DE ESPÉCIES'!B:H,3,FALSE()),IF(AND(A962=0,B962=0,C962&lt;&gt;0),VLOOKUP(C962,'3 - LISTA DE ESPÉCIES'!C:H,2,FALSE()))))</f>
        <v>0</v>
      </c>
      <c r="I962" s="21" t="b">
        <f>IF(AND(A962&lt;&gt;0,B962=0,C962=0),VLOOKUP(A962,'3 - LISTA DE ESPÉCIES'!A:H,5,FALSE()),IF(AND(A962=0,B962&lt;&gt;0,C962=0),VLOOKUP(B962,'3 - LISTA DE ESPÉCIES'!B:H,4,FALSE()),IF(AND(A962=0,B962=0,C962&lt;&gt;0),VLOOKUP(C962,'3 - LISTA DE ESPÉCIES'!C:H,3,FALSE()))))</f>
        <v>0</v>
      </c>
      <c r="J962" s="23"/>
      <c r="K962" s="23"/>
      <c r="L962" s="20"/>
      <c r="M962" s="20"/>
    </row>
    <row r="963" spans="1:13" x14ac:dyDescent="0.25">
      <c r="A963" s="20"/>
      <c r="B963" s="20"/>
      <c r="C963" s="20"/>
      <c r="E963" s="21" t="b">
        <f>IF(AND(A963&lt;&gt;0,B963=0,C963=0),VLOOKUP(A963,'3 - LISTA DE ESPÉCIES'!A:H,1,FALSE()),IF(AND(A963=0,B963&lt;&gt;0,C963=0),VLOOKUP(B963,'3 - LISTA DE ESPÉCIES'!B:H,5,FALSE()),IF(AND(A963=0,B963=0,C963&lt;&gt;0),VLOOKUP(C963,'3 - LISTA DE ESPÉCIES'!C:H,4,FALSE()))))</f>
        <v>0</v>
      </c>
      <c r="F963" s="21" t="b">
        <f>IF(AND(A963&lt;&gt;0,B963=0,C963=0),VLOOKUP(A963,'3 - LISTA DE ESPÉCIES'!A:H,2,FALSE()),IF(AND(A963=0,B963&lt;&gt;0,C963=0),VLOOKUP(B963,'3 - LISTA DE ESPÉCIES'!B:H,6,FALSE()),IF(AND(A963=0,B963=0,C963&lt;&gt;0),VLOOKUP(C963,'3 - LISTA DE ESPÉCIES'!C:H,5,FALSE()))))</f>
        <v>0</v>
      </c>
      <c r="G963" s="21" t="b">
        <f>IF(AND(A963&lt;&gt;0,B963=0,C963=0),VLOOKUP(A963,'3 - LISTA DE ESPÉCIES'!A:H,3,FALSE()),IF(AND(A963=0,B963&lt;&gt;0,C963=0),VLOOKUP(B963,'3 - LISTA DE ESPÉCIES'!B:H,7,FALSE()),IF(AND(A963=0,B963=0,C963&lt;&gt;0),VLOOKUP(C963,'3 - LISTA DE ESPÉCIES'!C:H,6,FALSE()))))</f>
        <v>0</v>
      </c>
      <c r="H963" s="21" t="b">
        <f>IF(AND(A963&lt;&gt;0,B963=0,C963=0),VLOOKUP(A963,'3 - LISTA DE ESPÉCIES'!A:H,4,FALSE()),IF(AND(A963=0,B963&lt;&gt;0,C963=0),VLOOKUP(B963,'3 - LISTA DE ESPÉCIES'!B:H,3,FALSE()),IF(AND(A963=0,B963=0,C963&lt;&gt;0),VLOOKUP(C963,'3 - LISTA DE ESPÉCIES'!C:H,2,FALSE()))))</f>
        <v>0</v>
      </c>
      <c r="I963" s="21" t="b">
        <f>IF(AND(A963&lt;&gt;0,B963=0,C963=0),VLOOKUP(A963,'3 - LISTA DE ESPÉCIES'!A:H,5,FALSE()),IF(AND(A963=0,B963&lt;&gt;0,C963=0),VLOOKUP(B963,'3 - LISTA DE ESPÉCIES'!B:H,4,FALSE()),IF(AND(A963=0,B963=0,C963&lt;&gt;0),VLOOKUP(C963,'3 - LISTA DE ESPÉCIES'!C:H,3,FALSE()))))</f>
        <v>0</v>
      </c>
      <c r="J963" s="23"/>
      <c r="K963" s="23"/>
      <c r="L963" s="20"/>
      <c r="M963" s="20"/>
    </row>
    <row r="964" spans="1:13" x14ac:dyDescent="0.25">
      <c r="A964" s="20"/>
      <c r="B964" s="20"/>
      <c r="C964" s="20"/>
      <c r="E964" s="21" t="b">
        <f>IF(AND(A964&lt;&gt;0,B964=0,C964=0),VLOOKUP(A964,'3 - LISTA DE ESPÉCIES'!A:H,1,FALSE()),IF(AND(A964=0,B964&lt;&gt;0,C964=0),VLOOKUP(B964,'3 - LISTA DE ESPÉCIES'!B:H,5,FALSE()),IF(AND(A964=0,B964=0,C964&lt;&gt;0),VLOOKUP(C964,'3 - LISTA DE ESPÉCIES'!C:H,4,FALSE()))))</f>
        <v>0</v>
      </c>
      <c r="F964" s="21" t="b">
        <f>IF(AND(A964&lt;&gt;0,B964=0,C964=0),VLOOKUP(A964,'3 - LISTA DE ESPÉCIES'!A:H,2,FALSE()),IF(AND(A964=0,B964&lt;&gt;0,C964=0),VLOOKUP(B964,'3 - LISTA DE ESPÉCIES'!B:H,6,FALSE()),IF(AND(A964=0,B964=0,C964&lt;&gt;0),VLOOKUP(C964,'3 - LISTA DE ESPÉCIES'!C:H,5,FALSE()))))</f>
        <v>0</v>
      </c>
      <c r="G964" s="21" t="b">
        <f>IF(AND(A964&lt;&gt;0,B964=0,C964=0),VLOOKUP(A964,'3 - LISTA DE ESPÉCIES'!A:H,3,FALSE()),IF(AND(A964=0,B964&lt;&gt;0,C964=0),VLOOKUP(B964,'3 - LISTA DE ESPÉCIES'!B:H,7,FALSE()),IF(AND(A964=0,B964=0,C964&lt;&gt;0),VLOOKUP(C964,'3 - LISTA DE ESPÉCIES'!C:H,6,FALSE()))))</f>
        <v>0</v>
      </c>
      <c r="H964" s="21" t="b">
        <f>IF(AND(A964&lt;&gt;0,B964=0,C964=0),VLOOKUP(A964,'3 - LISTA DE ESPÉCIES'!A:H,4,FALSE()),IF(AND(A964=0,B964&lt;&gt;0,C964=0),VLOOKUP(B964,'3 - LISTA DE ESPÉCIES'!B:H,3,FALSE()),IF(AND(A964=0,B964=0,C964&lt;&gt;0),VLOOKUP(C964,'3 - LISTA DE ESPÉCIES'!C:H,2,FALSE()))))</f>
        <v>0</v>
      </c>
      <c r="I964" s="21" t="b">
        <f>IF(AND(A964&lt;&gt;0,B964=0,C964=0),VLOOKUP(A964,'3 - LISTA DE ESPÉCIES'!A:H,5,FALSE()),IF(AND(A964=0,B964&lt;&gt;0,C964=0),VLOOKUP(B964,'3 - LISTA DE ESPÉCIES'!B:H,4,FALSE()),IF(AND(A964=0,B964=0,C964&lt;&gt;0),VLOOKUP(C964,'3 - LISTA DE ESPÉCIES'!C:H,3,FALSE()))))</f>
        <v>0</v>
      </c>
      <c r="J964" s="23"/>
      <c r="K964" s="23"/>
      <c r="L964" s="20"/>
      <c r="M964" s="20"/>
    </row>
    <row r="965" spans="1:13" x14ac:dyDescent="0.25">
      <c r="A965" s="20"/>
      <c r="B965" s="20"/>
      <c r="C965" s="20"/>
      <c r="E965" s="21" t="b">
        <f>IF(AND(A965&lt;&gt;0,B965=0,C965=0),VLOOKUP(A965,'3 - LISTA DE ESPÉCIES'!A:H,1,FALSE()),IF(AND(A965=0,B965&lt;&gt;0,C965=0),VLOOKUP(B965,'3 - LISTA DE ESPÉCIES'!B:H,5,FALSE()),IF(AND(A965=0,B965=0,C965&lt;&gt;0),VLOOKUP(C965,'3 - LISTA DE ESPÉCIES'!C:H,4,FALSE()))))</f>
        <v>0</v>
      </c>
      <c r="F965" s="21" t="b">
        <f>IF(AND(A965&lt;&gt;0,B965=0,C965=0),VLOOKUP(A965,'3 - LISTA DE ESPÉCIES'!A:H,2,FALSE()),IF(AND(A965=0,B965&lt;&gt;0,C965=0),VLOOKUP(B965,'3 - LISTA DE ESPÉCIES'!B:H,6,FALSE()),IF(AND(A965=0,B965=0,C965&lt;&gt;0),VLOOKUP(C965,'3 - LISTA DE ESPÉCIES'!C:H,5,FALSE()))))</f>
        <v>0</v>
      </c>
      <c r="G965" s="21" t="b">
        <f>IF(AND(A965&lt;&gt;0,B965=0,C965=0),VLOOKUP(A965,'3 - LISTA DE ESPÉCIES'!A:H,3,FALSE()),IF(AND(A965=0,B965&lt;&gt;0,C965=0),VLOOKUP(B965,'3 - LISTA DE ESPÉCIES'!B:H,7,FALSE()),IF(AND(A965=0,B965=0,C965&lt;&gt;0),VLOOKUP(C965,'3 - LISTA DE ESPÉCIES'!C:H,6,FALSE()))))</f>
        <v>0</v>
      </c>
      <c r="H965" s="21" t="b">
        <f>IF(AND(A965&lt;&gt;0,B965=0,C965=0),VLOOKUP(A965,'3 - LISTA DE ESPÉCIES'!A:H,4,FALSE()),IF(AND(A965=0,B965&lt;&gt;0,C965=0),VLOOKUP(B965,'3 - LISTA DE ESPÉCIES'!B:H,3,FALSE()),IF(AND(A965=0,B965=0,C965&lt;&gt;0),VLOOKUP(C965,'3 - LISTA DE ESPÉCIES'!C:H,2,FALSE()))))</f>
        <v>0</v>
      </c>
      <c r="I965" s="21" t="b">
        <f>IF(AND(A965&lt;&gt;0,B965=0,C965=0),VLOOKUP(A965,'3 - LISTA DE ESPÉCIES'!A:H,5,FALSE()),IF(AND(A965=0,B965&lt;&gt;0,C965=0),VLOOKUP(B965,'3 - LISTA DE ESPÉCIES'!B:H,4,FALSE()),IF(AND(A965=0,B965=0,C965&lt;&gt;0),VLOOKUP(C965,'3 - LISTA DE ESPÉCIES'!C:H,3,FALSE()))))</f>
        <v>0</v>
      </c>
      <c r="J965" s="23"/>
      <c r="K965" s="23"/>
      <c r="L965" s="20"/>
      <c r="M965" s="20"/>
    </row>
    <row r="966" spans="1:13" x14ac:dyDescent="0.25">
      <c r="A966" s="20"/>
      <c r="B966" s="20"/>
      <c r="C966" s="20"/>
      <c r="E966" s="21" t="b">
        <f>IF(AND(A966&lt;&gt;0,B966=0,C966=0),VLOOKUP(A966,'3 - LISTA DE ESPÉCIES'!A:H,1,FALSE()),IF(AND(A966=0,B966&lt;&gt;0,C966=0),VLOOKUP(B966,'3 - LISTA DE ESPÉCIES'!B:H,5,FALSE()),IF(AND(A966=0,B966=0,C966&lt;&gt;0),VLOOKUP(C966,'3 - LISTA DE ESPÉCIES'!C:H,4,FALSE()))))</f>
        <v>0</v>
      </c>
      <c r="F966" s="21" t="b">
        <f>IF(AND(A966&lt;&gt;0,B966=0,C966=0),VLOOKUP(A966,'3 - LISTA DE ESPÉCIES'!A:H,2,FALSE()),IF(AND(A966=0,B966&lt;&gt;0,C966=0),VLOOKUP(B966,'3 - LISTA DE ESPÉCIES'!B:H,6,FALSE()),IF(AND(A966=0,B966=0,C966&lt;&gt;0),VLOOKUP(C966,'3 - LISTA DE ESPÉCIES'!C:H,5,FALSE()))))</f>
        <v>0</v>
      </c>
      <c r="G966" s="21" t="b">
        <f>IF(AND(A966&lt;&gt;0,B966=0,C966=0),VLOOKUP(A966,'3 - LISTA DE ESPÉCIES'!A:H,3,FALSE()),IF(AND(A966=0,B966&lt;&gt;0,C966=0),VLOOKUP(B966,'3 - LISTA DE ESPÉCIES'!B:H,7,FALSE()),IF(AND(A966=0,B966=0,C966&lt;&gt;0),VLOOKUP(C966,'3 - LISTA DE ESPÉCIES'!C:H,6,FALSE()))))</f>
        <v>0</v>
      </c>
      <c r="H966" s="21" t="b">
        <f>IF(AND(A966&lt;&gt;0,B966=0,C966=0),VLOOKUP(A966,'3 - LISTA DE ESPÉCIES'!A:H,4,FALSE()),IF(AND(A966=0,B966&lt;&gt;0,C966=0),VLOOKUP(B966,'3 - LISTA DE ESPÉCIES'!B:H,3,FALSE()),IF(AND(A966=0,B966=0,C966&lt;&gt;0),VLOOKUP(C966,'3 - LISTA DE ESPÉCIES'!C:H,2,FALSE()))))</f>
        <v>0</v>
      </c>
      <c r="I966" s="21" t="b">
        <f>IF(AND(A966&lt;&gt;0,B966=0,C966=0),VLOOKUP(A966,'3 - LISTA DE ESPÉCIES'!A:H,5,FALSE()),IF(AND(A966=0,B966&lt;&gt;0,C966=0),VLOOKUP(B966,'3 - LISTA DE ESPÉCIES'!B:H,4,FALSE()),IF(AND(A966=0,B966=0,C966&lt;&gt;0),VLOOKUP(C966,'3 - LISTA DE ESPÉCIES'!C:H,3,FALSE()))))</f>
        <v>0</v>
      </c>
      <c r="J966" s="23"/>
      <c r="K966" s="23"/>
      <c r="L966" s="20"/>
      <c r="M966" s="20"/>
    </row>
    <row r="967" spans="1:13" x14ac:dyDescent="0.25">
      <c r="A967" s="20"/>
      <c r="B967" s="20"/>
      <c r="C967" s="20"/>
      <c r="E967" s="21" t="b">
        <f>IF(AND(A967&lt;&gt;0,B967=0,C967=0),VLOOKUP(A967,'3 - LISTA DE ESPÉCIES'!A:H,1,FALSE()),IF(AND(A967=0,B967&lt;&gt;0,C967=0),VLOOKUP(B967,'3 - LISTA DE ESPÉCIES'!B:H,5,FALSE()),IF(AND(A967=0,B967=0,C967&lt;&gt;0),VLOOKUP(C967,'3 - LISTA DE ESPÉCIES'!C:H,4,FALSE()))))</f>
        <v>0</v>
      </c>
      <c r="F967" s="21" t="b">
        <f>IF(AND(A967&lt;&gt;0,B967=0,C967=0),VLOOKUP(A967,'3 - LISTA DE ESPÉCIES'!A:H,2,FALSE()),IF(AND(A967=0,B967&lt;&gt;0,C967=0),VLOOKUP(B967,'3 - LISTA DE ESPÉCIES'!B:H,6,FALSE()),IF(AND(A967=0,B967=0,C967&lt;&gt;0),VLOOKUP(C967,'3 - LISTA DE ESPÉCIES'!C:H,5,FALSE()))))</f>
        <v>0</v>
      </c>
      <c r="G967" s="21" t="b">
        <f>IF(AND(A967&lt;&gt;0,B967=0,C967=0),VLOOKUP(A967,'3 - LISTA DE ESPÉCIES'!A:H,3,FALSE()),IF(AND(A967=0,B967&lt;&gt;0,C967=0),VLOOKUP(B967,'3 - LISTA DE ESPÉCIES'!B:H,7,FALSE()),IF(AND(A967=0,B967=0,C967&lt;&gt;0),VLOOKUP(C967,'3 - LISTA DE ESPÉCIES'!C:H,6,FALSE()))))</f>
        <v>0</v>
      </c>
      <c r="H967" s="21" t="b">
        <f>IF(AND(A967&lt;&gt;0,B967=0,C967=0),VLOOKUP(A967,'3 - LISTA DE ESPÉCIES'!A:H,4,FALSE()),IF(AND(A967=0,B967&lt;&gt;0,C967=0),VLOOKUP(B967,'3 - LISTA DE ESPÉCIES'!B:H,3,FALSE()),IF(AND(A967=0,B967=0,C967&lt;&gt;0),VLOOKUP(C967,'3 - LISTA DE ESPÉCIES'!C:H,2,FALSE()))))</f>
        <v>0</v>
      </c>
      <c r="I967" s="21" t="b">
        <f>IF(AND(A967&lt;&gt;0,B967=0,C967=0),VLOOKUP(A967,'3 - LISTA DE ESPÉCIES'!A:H,5,FALSE()),IF(AND(A967=0,B967&lt;&gt;0,C967=0),VLOOKUP(B967,'3 - LISTA DE ESPÉCIES'!B:H,4,FALSE()),IF(AND(A967=0,B967=0,C967&lt;&gt;0),VLOOKUP(C967,'3 - LISTA DE ESPÉCIES'!C:H,3,FALSE()))))</f>
        <v>0</v>
      </c>
      <c r="J967" s="23"/>
      <c r="K967" s="23"/>
      <c r="L967" s="20"/>
      <c r="M967" s="20"/>
    </row>
    <row r="968" spans="1:13" x14ac:dyDescent="0.25">
      <c r="A968" s="20"/>
      <c r="B968" s="20"/>
      <c r="C968" s="20"/>
      <c r="E968" s="21" t="b">
        <f>IF(AND(A968&lt;&gt;0,B968=0,C968=0),VLOOKUP(A968,'3 - LISTA DE ESPÉCIES'!A:H,1,FALSE()),IF(AND(A968=0,B968&lt;&gt;0,C968=0),VLOOKUP(B968,'3 - LISTA DE ESPÉCIES'!B:H,5,FALSE()),IF(AND(A968=0,B968=0,C968&lt;&gt;0),VLOOKUP(C968,'3 - LISTA DE ESPÉCIES'!C:H,4,FALSE()))))</f>
        <v>0</v>
      </c>
      <c r="F968" s="21" t="b">
        <f>IF(AND(A968&lt;&gt;0,B968=0,C968=0),VLOOKUP(A968,'3 - LISTA DE ESPÉCIES'!A:H,2,FALSE()),IF(AND(A968=0,B968&lt;&gt;0,C968=0),VLOOKUP(B968,'3 - LISTA DE ESPÉCIES'!B:H,6,FALSE()),IF(AND(A968=0,B968=0,C968&lt;&gt;0),VLOOKUP(C968,'3 - LISTA DE ESPÉCIES'!C:H,5,FALSE()))))</f>
        <v>0</v>
      </c>
      <c r="G968" s="21" t="b">
        <f>IF(AND(A968&lt;&gt;0,B968=0,C968=0),VLOOKUP(A968,'3 - LISTA DE ESPÉCIES'!A:H,3,FALSE()),IF(AND(A968=0,B968&lt;&gt;0,C968=0),VLOOKUP(B968,'3 - LISTA DE ESPÉCIES'!B:H,7,FALSE()),IF(AND(A968=0,B968=0,C968&lt;&gt;0),VLOOKUP(C968,'3 - LISTA DE ESPÉCIES'!C:H,6,FALSE()))))</f>
        <v>0</v>
      </c>
      <c r="H968" s="21" t="b">
        <f>IF(AND(A968&lt;&gt;0,B968=0,C968=0),VLOOKUP(A968,'3 - LISTA DE ESPÉCIES'!A:H,4,FALSE()),IF(AND(A968=0,B968&lt;&gt;0,C968=0),VLOOKUP(B968,'3 - LISTA DE ESPÉCIES'!B:H,3,FALSE()),IF(AND(A968=0,B968=0,C968&lt;&gt;0),VLOOKUP(C968,'3 - LISTA DE ESPÉCIES'!C:H,2,FALSE()))))</f>
        <v>0</v>
      </c>
      <c r="I968" s="21" t="b">
        <f>IF(AND(A968&lt;&gt;0,B968=0,C968=0),VLOOKUP(A968,'3 - LISTA DE ESPÉCIES'!A:H,5,FALSE()),IF(AND(A968=0,B968&lt;&gt;0,C968=0),VLOOKUP(B968,'3 - LISTA DE ESPÉCIES'!B:H,4,FALSE()),IF(AND(A968=0,B968=0,C968&lt;&gt;0),VLOOKUP(C968,'3 - LISTA DE ESPÉCIES'!C:H,3,FALSE()))))</f>
        <v>0</v>
      </c>
      <c r="J968" s="23"/>
      <c r="K968" s="23"/>
      <c r="L968" s="20"/>
      <c r="M968" s="20"/>
    </row>
    <row r="969" spans="1:13" x14ac:dyDescent="0.25">
      <c r="A969" s="20"/>
      <c r="B969" s="20"/>
      <c r="C969" s="20"/>
      <c r="E969" s="21" t="b">
        <f>IF(AND(A969&lt;&gt;0,B969=0,C969=0),VLOOKUP(A969,'3 - LISTA DE ESPÉCIES'!A:H,1,FALSE()),IF(AND(A969=0,B969&lt;&gt;0,C969=0),VLOOKUP(B969,'3 - LISTA DE ESPÉCIES'!B:H,5,FALSE()),IF(AND(A969=0,B969=0,C969&lt;&gt;0),VLOOKUP(C969,'3 - LISTA DE ESPÉCIES'!C:H,4,FALSE()))))</f>
        <v>0</v>
      </c>
      <c r="F969" s="21" t="b">
        <f>IF(AND(A969&lt;&gt;0,B969=0,C969=0),VLOOKUP(A969,'3 - LISTA DE ESPÉCIES'!A:H,2,FALSE()),IF(AND(A969=0,B969&lt;&gt;0,C969=0),VLOOKUP(B969,'3 - LISTA DE ESPÉCIES'!B:H,6,FALSE()),IF(AND(A969=0,B969=0,C969&lt;&gt;0),VLOOKUP(C969,'3 - LISTA DE ESPÉCIES'!C:H,5,FALSE()))))</f>
        <v>0</v>
      </c>
      <c r="G969" s="21" t="b">
        <f>IF(AND(A969&lt;&gt;0,B969=0,C969=0),VLOOKUP(A969,'3 - LISTA DE ESPÉCIES'!A:H,3,FALSE()),IF(AND(A969=0,B969&lt;&gt;0,C969=0),VLOOKUP(B969,'3 - LISTA DE ESPÉCIES'!B:H,7,FALSE()),IF(AND(A969=0,B969=0,C969&lt;&gt;0),VLOOKUP(C969,'3 - LISTA DE ESPÉCIES'!C:H,6,FALSE()))))</f>
        <v>0</v>
      </c>
      <c r="H969" s="21" t="b">
        <f>IF(AND(A969&lt;&gt;0,B969=0,C969=0),VLOOKUP(A969,'3 - LISTA DE ESPÉCIES'!A:H,4,FALSE()),IF(AND(A969=0,B969&lt;&gt;0,C969=0),VLOOKUP(B969,'3 - LISTA DE ESPÉCIES'!B:H,3,FALSE()),IF(AND(A969=0,B969=0,C969&lt;&gt;0),VLOOKUP(C969,'3 - LISTA DE ESPÉCIES'!C:H,2,FALSE()))))</f>
        <v>0</v>
      </c>
      <c r="I969" s="21" t="b">
        <f>IF(AND(A969&lt;&gt;0,B969=0,C969=0),VLOOKUP(A969,'3 - LISTA DE ESPÉCIES'!A:H,5,FALSE()),IF(AND(A969=0,B969&lt;&gt;0,C969=0),VLOOKUP(B969,'3 - LISTA DE ESPÉCIES'!B:H,4,FALSE()),IF(AND(A969=0,B969=0,C969&lt;&gt;0),VLOOKUP(C969,'3 - LISTA DE ESPÉCIES'!C:H,3,FALSE()))))</f>
        <v>0</v>
      </c>
      <c r="J969" s="23"/>
      <c r="K969" s="23"/>
      <c r="L969" s="20"/>
      <c r="M969" s="20"/>
    </row>
    <row r="970" spans="1:13" x14ac:dyDescent="0.25">
      <c r="A970" s="20"/>
      <c r="B970" s="20"/>
      <c r="C970" s="20"/>
      <c r="E970" s="21" t="b">
        <f>IF(AND(A970&lt;&gt;0,B970=0,C970=0),VLOOKUP(A970,'3 - LISTA DE ESPÉCIES'!A:H,1,FALSE()),IF(AND(A970=0,B970&lt;&gt;0,C970=0),VLOOKUP(B970,'3 - LISTA DE ESPÉCIES'!B:H,5,FALSE()),IF(AND(A970=0,B970=0,C970&lt;&gt;0),VLOOKUP(C970,'3 - LISTA DE ESPÉCIES'!C:H,4,FALSE()))))</f>
        <v>0</v>
      </c>
      <c r="F970" s="21" t="b">
        <f>IF(AND(A970&lt;&gt;0,B970=0,C970=0),VLOOKUP(A970,'3 - LISTA DE ESPÉCIES'!A:H,2,FALSE()),IF(AND(A970=0,B970&lt;&gt;0,C970=0),VLOOKUP(B970,'3 - LISTA DE ESPÉCIES'!B:H,6,FALSE()),IF(AND(A970=0,B970=0,C970&lt;&gt;0),VLOOKUP(C970,'3 - LISTA DE ESPÉCIES'!C:H,5,FALSE()))))</f>
        <v>0</v>
      </c>
      <c r="G970" s="21" t="b">
        <f>IF(AND(A970&lt;&gt;0,B970=0,C970=0),VLOOKUP(A970,'3 - LISTA DE ESPÉCIES'!A:H,3,FALSE()),IF(AND(A970=0,B970&lt;&gt;0,C970=0),VLOOKUP(B970,'3 - LISTA DE ESPÉCIES'!B:H,7,FALSE()),IF(AND(A970=0,B970=0,C970&lt;&gt;0),VLOOKUP(C970,'3 - LISTA DE ESPÉCIES'!C:H,6,FALSE()))))</f>
        <v>0</v>
      </c>
      <c r="H970" s="21" t="b">
        <f>IF(AND(A970&lt;&gt;0,B970=0,C970=0),VLOOKUP(A970,'3 - LISTA DE ESPÉCIES'!A:H,4,FALSE()),IF(AND(A970=0,B970&lt;&gt;0,C970=0),VLOOKUP(B970,'3 - LISTA DE ESPÉCIES'!B:H,3,FALSE()),IF(AND(A970=0,B970=0,C970&lt;&gt;0),VLOOKUP(C970,'3 - LISTA DE ESPÉCIES'!C:H,2,FALSE()))))</f>
        <v>0</v>
      </c>
      <c r="I970" s="21" t="b">
        <f>IF(AND(A970&lt;&gt;0,B970=0,C970=0),VLOOKUP(A970,'3 - LISTA DE ESPÉCIES'!A:H,5,FALSE()),IF(AND(A970=0,B970&lt;&gt;0,C970=0),VLOOKUP(B970,'3 - LISTA DE ESPÉCIES'!B:H,4,FALSE()),IF(AND(A970=0,B970=0,C970&lt;&gt;0),VLOOKUP(C970,'3 - LISTA DE ESPÉCIES'!C:H,3,FALSE()))))</f>
        <v>0</v>
      </c>
      <c r="J970" s="23"/>
      <c r="K970" s="23"/>
      <c r="L970" s="20"/>
      <c r="M970" s="20"/>
    </row>
    <row r="971" spans="1:13" x14ac:dyDescent="0.25">
      <c r="A971" s="20"/>
      <c r="B971" s="20"/>
      <c r="C971" s="20"/>
      <c r="E971" s="21" t="b">
        <f>IF(AND(A971&lt;&gt;0,B971=0,C971=0),VLOOKUP(A971,'3 - LISTA DE ESPÉCIES'!A:H,1,FALSE()),IF(AND(A971=0,B971&lt;&gt;0,C971=0),VLOOKUP(B971,'3 - LISTA DE ESPÉCIES'!B:H,5,FALSE()),IF(AND(A971=0,B971=0,C971&lt;&gt;0),VLOOKUP(C971,'3 - LISTA DE ESPÉCIES'!C:H,4,FALSE()))))</f>
        <v>0</v>
      </c>
      <c r="F971" s="21" t="b">
        <f>IF(AND(A971&lt;&gt;0,B971=0,C971=0),VLOOKUP(A971,'3 - LISTA DE ESPÉCIES'!A:H,2,FALSE()),IF(AND(A971=0,B971&lt;&gt;0,C971=0),VLOOKUP(B971,'3 - LISTA DE ESPÉCIES'!B:H,6,FALSE()),IF(AND(A971=0,B971=0,C971&lt;&gt;0),VLOOKUP(C971,'3 - LISTA DE ESPÉCIES'!C:H,5,FALSE()))))</f>
        <v>0</v>
      </c>
      <c r="G971" s="21" t="b">
        <f>IF(AND(A971&lt;&gt;0,B971=0,C971=0),VLOOKUP(A971,'3 - LISTA DE ESPÉCIES'!A:H,3,FALSE()),IF(AND(A971=0,B971&lt;&gt;0,C971=0),VLOOKUP(B971,'3 - LISTA DE ESPÉCIES'!B:H,7,FALSE()),IF(AND(A971=0,B971=0,C971&lt;&gt;0),VLOOKUP(C971,'3 - LISTA DE ESPÉCIES'!C:H,6,FALSE()))))</f>
        <v>0</v>
      </c>
      <c r="H971" s="21" t="b">
        <f>IF(AND(A971&lt;&gt;0,B971=0,C971=0),VLOOKUP(A971,'3 - LISTA DE ESPÉCIES'!A:H,4,FALSE()),IF(AND(A971=0,B971&lt;&gt;0,C971=0),VLOOKUP(B971,'3 - LISTA DE ESPÉCIES'!B:H,3,FALSE()),IF(AND(A971=0,B971=0,C971&lt;&gt;0),VLOOKUP(C971,'3 - LISTA DE ESPÉCIES'!C:H,2,FALSE()))))</f>
        <v>0</v>
      </c>
      <c r="I971" s="21" t="b">
        <f>IF(AND(A971&lt;&gt;0,B971=0,C971=0),VLOOKUP(A971,'3 - LISTA DE ESPÉCIES'!A:H,5,FALSE()),IF(AND(A971=0,B971&lt;&gt;0,C971=0),VLOOKUP(B971,'3 - LISTA DE ESPÉCIES'!B:H,4,FALSE()),IF(AND(A971=0,B971=0,C971&lt;&gt;0),VLOOKUP(C971,'3 - LISTA DE ESPÉCIES'!C:H,3,FALSE()))))</f>
        <v>0</v>
      </c>
      <c r="J971" s="23"/>
      <c r="K971" s="23"/>
      <c r="L971" s="20"/>
      <c r="M971" s="20"/>
    </row>
    <row r="972" spans="1:13" x14ac:dyDescent="0.25">
      <c r="A972" s="20"/>
      <c r="B972" s="20"/>
      <c r="C972" s="20"/>
      <c r="E972" s="21" t="b">
        <f>IF(AND(A972&lt;&gt;0,B972=0,C972=0),VLOOKUP(A972,'3 - LISTA DE ESPÉCIES'!A:H,1,FALSE()),IF(AND(A972=0,B972&lt;&gt;0,C972=0),VLOOKUP(B972,'3 - LISTA DE ESPÉCIES'!B:H,5,FALSE()),IF(AND(A972=0,B972=0,C972&lt;&gt;0),VLOOKUP(C972,'3 - LISTA DE ESPÉCIES'!C:H,4,FALSE()))))</f>
        <v>0</v>
      </c>
      <c r="F972" s="21" t="b">
        <f>IF(AND(A972&lt;&gt;0,B972=0,C972=0),VLOOKUP(A972,'3 - LISTA DE ESPÉCIES'!A:H,2,FALSE()),IF(AND(A972=0,B972&lt;&gt;0,C972=0),VLOOKUP(B972,'3 - LISTA DE ESPÉCIES'!B:H,6,FALSE()),IF(AND(A972=0,B972=0,C972&lt;&gt;0),VLOOKUP(C972,'3 - LISTA DE ESPÉCIES'!C:H,5,FALSE()))))</f>
        <v>0</v>
      </c>
      <c r="G972" s="21" t="b">
        <f>IF(AND(A972&lt;&gt;0,B972=0,C972=0),VLOOKUP(A972,'3 - LISTA DE ESPÉCIES'!A:H,3,FALSE()),IF(AND(A972=0,B972&lt;&gt;0,C972=0),VLOOKUP(B972,'3 - LISTA DE ESPÉCIES'!B:H,7,FALSE()),IF(AND(A972=0,B972=0,C972&lt;&gt;0),VLOOKUP(C972,'3 - LISTA DE ESPÉCIES'!C:H,6,FALSE()))))</f>
        <v>0</v>
      </c>
      <c r="H972" s="21" t="b">
        <f>IF(AND(A972&lt;&gt;0,B972=0,C972=0),VLOOKUP(A972,'3 - LISTA DE ESPÉCIES'!A:H,4,FALSE()),IF(AND(A972=0,B972&lt;&gt;0,C972=0),VLOOKUP(B972,'3 - LISTA DE ESPÉCIES'!B:H,3,FALSE()),IF(AND(A972=0,B972=0,C972&lt;&gt;0),VLOOKUP(C972,'3 - LISTA DE ESPÉCIES'!C:H,2,FALSE()))))</f>
        <v>0</v>
      </c>
      <c r="I972" s="21" t="b">
        <f>IF(AND(A972&lt;&gt;0,B972=0,C972=0),VLOOKUP(A972,'3 - LISTA DE ESPÉCIES'!A:H,5,FALSE()),IF(AND(A972=0,B972&lt;&gt;0,C972=0),VLOOKUP(B972,'3 - LISTA DE ESPÉCIES'!B:H,4,FALSE()),IF(AND(A972=0,B972=0,C972&lt;&gt;0),VLOOKUP(C972,'3 - LISTA DE ESPÉCIES'!C:H,3,FALSE()))))</f>
        <v>0</v>
      </c>
      <c r="J972" s="23"/>
      <c r="K972" s="23"/>
      <c r="L972" s="20"/>
      <c r="M972" s="20"/>
    </row>
    <row r="973" spans="1:13" x14ac:dyDescent="0.25">
      <c r="A973" s="20"/>
      <c r="B973" s="20"/>
      <c r="C973" s="20"/>
      <c r="E973" s="21" t="b">
        <f>IF(AND(A973&lt;&gt;0,B973=0,C973=0),VLOOKUP(A973,'3 - LISTA DE ESPÉCIES'!A:H,1,FALSE()),IF(AND(A973=0,B973&lt;&gt;0,C973=0),VLOOKUP(B973,'3 - LISTA DE ESPÉCIES'!B:H,5,FALSE()),IF(AND(A973=0,B973=0,C973&lt;&gt;0),VLOOKUP(C973,'3 - LISTA DE ESPÉCIES'!C:H,4,FALSE()))))</f>
        <v>0</v>
      </c>
      <c r="F973" s="21" t="b">
        <f>IF(AND(A973&lt;&gt;0,B973=0,C973=0),VLOOKUP(A973,'3 - LISTA DE ESPÉCIES'!A:H,2,FALSE()),IF(AND(A973=0,B973&lt;&gt;0,C973=0),VLOOKUP(B973,'3 - LISTA DE ESPÉCIES'!B:H,6,FALSE()),IF(AND(A973=0,B973=0,C973&lt;&gt;0),VLOOKUP(C973,'3 - LISTA DE ESPÉCIES'!C:H,5,FALSE()))))</f>
        <v>0</v>
      </c>
      <c r="G973" s="21" t="b">
        <f>IF(AND(A973&lt;&gt;0,B973=0,C973=0),VLOOKUP(A973,'3 - LISTA DE ESPÉCIES'!A:H,3,FALSE()),IF(AND(A973=0,B973&lt;&gt;0,C973=0),VLOOKUP(B973,'3 - LISTA DE ESPÉCIES'!B:H,7,FALSE()),IF(AND(A973=0,B973=0,C973&lt;&gt;0),VLOOKUP(C973,'3 - LISTA DE ESPÉCIES'!C:H,6,FALSE()))))</f>
        <v>0</v>
      </c>
      <c r="H973" s="21" t="b">
        <f>IF(AND(A973&lt;&gt;0,B973=0,C973=0),VLOOKUP(A973,'3 - LISTA DE ESPÉCIES'!A:H,4,FALSE()),IF(AND(A973=0,B973&lt;&gt;0,C973=0),VLOOKUP(B973,'3 - LISTA DE ESPÉCIES'!B:H,3,FALSE()),IF(AND(A973=0,B973=0,C973&lt;&gt;0),VLOOKUP(C973,'3 - LISTA DE ESPÉCIES'!C:H,2,FALSE()))))</f>
        <v>0</v>
      </c>
      <c r="I973" s="21" t="b">
        <f>IF(AND(A973&lt;&gt;0,B973=0,C973=0),VLOOKUP(A973,'3 - LISTA DE ESPÉCIES'!A:H,5,FALSE()),IF(AND(A973=0,B973&lt;&gt;0,C973=0),VLOOKUP(B973,'3 - LISTA DE ESPÉCIES'!B:H,4,FALSE()),IF(AND(A973=0,B973=0,C973&lt;&gt;0),VLOOKUP(C973,'3 - LISTA DE ESPÉCIES'!C:H,3,FALSE()))))</f>
        <v>0</v>
      </c>
      <c r="J973" s="23"/>
      <c r="K973" s="23"/>
      <c r="L973" s="20"/>
      <c r="M973" s="20"/>
    </row>
    <row r="974" spans="1:13" x14ac:dyDescent="0.25">
      <c r="A974" s="20"/>
      <c r="B974" s="20"/>
      <c r="C974" s="20"/>
      <c r="E974" s="21" t="b">
        <f>IF(AND(A974&lt;&gt;0,B974=0,C974=0),VLOOKUP(A974,'3 - LISTA DE ESPÉCIES'!A:H,1,FALSE()),IF(AND(A974=0,B974&lt;&gt;0,C974=0),VLOOKUP(B974,'3 - LISTA DE ESPÉCIES'!B:H,5,FALSE()),IF(AND(A974=0,B974=0,C974&lt;&gt;0),VLOOKUP(C974,'3 - LISTA DE ESPÉCIES'!C:H,4,FALSE()))))</f>
        <v>0</v>
      </c>
      <c r="F974" s="21" t="b">
        <f>IF(AND(A974&lt;&gt;0,B974=0,C974=0),VLOOKUP(A974,'3 - LISTA DE ESPÉCIES'!A:H,2,FALSE()),IF(AND(A974=0,B974&lt;&gt;0,C974=0),VLOOKUP(B974,'3 - LISTA DE ESPÉCIES'!B:H,6,FALSE()),IF(AND(A974=0,B974=0,C974&lt;&gt;0),VLOOKUP(C974,'3 - LISTA DE ESPÉCIES'!C:H,5,FALSE()))))</f>
        <v>0</v>
      </c>
      <c r="G974" s="21" t="b">
        <f>IF(AND(A974&lt;&gt;0,B974=0,C974=0),VLOOKUP(A974,'3 - LISTA DE ESPÉCIES'!A:H,3,FALSE()),IF(AND(A974=0,B974&lt;&gt;0,C974=0),VLOOKUP(B974,'3 - LISTA DE ESPÉCIES'!B:H,7,FALSE()),IF(AND(A974=0,B974=0,C974&lt;&gt;0),VLOOKUP(C974,'3 - LISTA DE ESPÉCIES'!C:H,6,FALSE()))))</f>
        <v>0</v>
      </c>
      <c r="H974" s="21" t="b">
        <f>IF(AND(A974&lt;&gt;0,B974=0,C974=0),VLOOKUP(A974,'3 - LISTA DE ESPÉCIES'!A:H,4,FALSE()),IF(AND(A974=0,B974&lt;&gt;0,C974=0),VLOOKUP(B974,'3 - LISTA DE ESPÉCIES'!B:H,3,FALSE()),IF(AND(A974=0,B974=0,C974&lt;&gt;0),VLOOKUP(C974,'3 - LISTA DE ESPÉCIES'!C:H,2,FALSE()))))</f>
        <v>0</v>
      </c>
      <c r="I974" s="21" t="b">
        <f>IF(AND(A974&lt;&gt;0,B974=0,C974=0),VLOOKUP(A974,'3 - LISTA DE ESPÉCIES'!A:H,5,FALSE()),IF(AND(A974=0,B974&lt;&gt;0,C974=0),VLOOKUP(B974,'3 - LISTA DE ESPÉCIES'!B:H,4,FALSE()),IF(AND(A974=0,B974=0,C974&lt;&gt;0),VLOOKUP(C974,'3 - LISTA DE ESPÉCIES'!C:H,3,FALSE()))))</f>
        <v>0</v>
      </c>
      <c r="J974" s="23"/>
      <c r="K974" s="23"/>
      <c r="L974" s="20"/>
      <c r="M974" s="20"/>
    </row>
    <row r="975" spans="1:13" x14ac:dyDescent="0.25">
      <c r="A975" s="20"/>
      <c r="B975" s="20"/>
      <c r="C975" s="20"/>
      <c r="E975" s="21" t="b">
        <f>IF(AND(A975&lt;&gt;0,B975=0,C975=0),VLOOKUP(A975,'3 - LISTA DE ESPÉCIES'!A:H,1,FALSE()),IF(AND(A975=0,B975&lt;&gt;0,C975=0),VLOOKUP(B975,'3 - LISTA DE ESPÉCIES'!B:H,5,FALSE()),IF(AND(A975=0,B975=0,C975&lt;&gt;0),VLOOKUP(C975,'3 - LISTA DE ESPÉCIES'!C:H,4,FALSE()))))</f>
        <v>0</v>
      </c>
      <c r="F975" s="21" t="b">
        <f>IF(AND(A975&lt;&gt;0,B975=0,C975=0),VLOOKUP(A975,'3 - LISTA DE ESPÉCIES'!A:H,2,FALSE()),IF(AND(A975=0,B975&lt;&gt;0,C975=0),VLOOKUP(B975,'3 - LISTA DE ESPÉCIES'!B:H,6,FALSE()),IF(AND(A975=0,B975=0,C975&lt;&gt;0),VLOOKUP(C975,'3 - LISTA DE ESPÉCIES'!C:H,5,FALSE()))))</f>
        <v>0</v>
      </c>
      <c r="G975" s="21" t="b">
        <f>IF(AND(A975&lt;&gt;0,B975=0,C975=0),VLOOKUP(A975,'3 - LISTA DE ESPÉCIES'!A:H,3,FALSE()),IF(AND(A975=0,B975&lt;&gt;0,C975=0),VLOOKUP(B975,'3 - LISTA DE ESPÉCIES'!B:H,7,FALSE()),IF(AND(A975=0,B975=0,C975&lt;&gt;0),VLOOKUP(C975,'3 - LISTA DE ESPÉCIES'!C:H,6,FALSE()))))</f>
        <v>0</v>
      </c>
      <c r="H975" s="21" t="b">
        <f>IF(AND(A975&lt;&gt;0,B975=0,C975=0),VLOOKUP(A975,'3 - LISTA DE ESPÉCIES'!A:H,4,FALSE()),IF(AND(A975=0,B975&lt;&gt;0,C975=0),VLOOKUP(B975,'3 - LISTA DE ESPÉCIES'!B:H,3,FALSE()),IF(AND(A975=0,B975=0,C975&lt;&gt;0),VLOOKUP(C975,'3 - LISTA DE ESPÉCIES'!C:H,2,FALSE()))))</f>
        <v>0</v>
      </c>
      <c r="I975" s="21" t="b">
        <f>IF(AND(A975&lt;&gt;0,B975=0,C975=0),VLOOKUP(A975,'3 - LISTA DE ESPÉCIES'!A:H,5,FALSE()),IF(AND(A975=0,B975&lt;&gt;0,C975=0),VLOOKUP(B975,'3 - LISTA DE ESPÉCIES'!B:H,4,FALSE()),IF(AND(A975=0,B975=0,C975&lt;&gt;0),VLOOKUP(C975,'3 - LISTA DE ESPÉCIES'!C:H,3,FALSE()))))</f>
        <v>0</v>
      </c>
      <c r="J975" s="23"/>
      <c r="K975" s="23"/>
      <c r="L975" s="20"/>
      <c r="M975" s="20"/>
    </row>
    <row r="976" spans="1:13" x14ac:dyDescent="0.25">
      <c r="A976" s="20"/>
      <c r="B976" s="20"/>
      <c r="C976" s="20"/>
      <c r="E976" s="21" t="b">
        <f>IF(AND(A976&lt;&gt;0,B976=0,C976=0),VLOOKUP(A976,'3 - LISTA DE ESPÉCIES'!A:H,1,FALSE()),IF(AND(A976=0,B976&lt;&gt;0,C976=0),VLOOKUP(B976,'3 - LISTA DE ESPÉCIES'!B:H,5,FALSE()),IF(AND(A976=0,B976=0,C976&lt;&gt;0),VLOOKUP(C976,'3 - LISTA DE ESPÉCIES'!C:H,4,FALSE()))))</f>
        <v>0</v>
      </c>
      <c r="F976" s="21" t="b">
        <f>IF(AND(A976&lt;&gt;0,B976=0,C976=0),VLOOKUP(A976,'3 - LISTA DE ESPÉCIES'!A:H,2,FALSE()),IF(AND(A976=0,B976&lt;&gt;0,C976=0),VLOOKUP(B976,'3 - LISTA DE ESPÉCIES'!B:H,6,FALSE()),IF(AND(A976=0,B976=0,C976&lt;&gt;0),VLOOKUP(C976,'3 - LISTA DE ESPÉCIES'!C:H,5,FALSE()))))</f>
        <v>0</v>
      </c>
      <c r="G976" s="21" t="b">
        <f>IF(AND(A976&lt;&gt;0,B976=0,C976=0),VLOOKUP(A976,'3 - LISTA DE ESPÉCIES'!A:H,3,FALSE()),IF(AND(A976=0,B976&lt;&gt;0,C976=0),VLOOKUP(B976,'3 - LISTA DE ESPÉCIES'!B:H,7,FALSE()),IF(AND(A976=0,B976=0,C976&lt;&gt;0),VLOOKUP(C976,'3 - LISTA DE ESPÉCIES'!C:H,6,FALSE()))))</f>
        <v>0</v>
      </c>
      <c r="H976" s="21" t="b">
        <f>IF(AND(A976&lt;&gt;0,B976=0,C976=0),VLOOKUP(A976,'3 - LISTA DE ESPÉCIES'!A:H,4,FALSE()),IF(AND(A976=0,B976&lt;&gt;0,C976=0),VLOOKUP(B976,'3 - LISTA DE ESPÉCIES'!B:H,3,FALSE()),IF(AND(A976=0,B976=0,C976&lt;&gt;0),VLOOKUP(C976,'3 - LISTA DE ESPÉCIES'!C:H,2,FALSE()))))</f>
        <v>0</v>
      </c>
      <c r="I976" s="21" t="b">
        <f>IF(AND(A976&lt;&gt;0,B976=0,C976=0),VLOOKUP(A976,'3 - LISTA DE ESPÉCIES'!A:H,5,FALSE()),IF(AND(A976=0,B976&lt;&gt;0,C976=0),VLOOKUP(B976,'3 - LISTA DE ESPÉCIES'!B:H,4,FALSE()),IF(AND(A976=0,B976=0,C976&lt;&gt;0),VLOOKUP(C976,'3 - LISTA DE ESPÉCIES'!C:H,3,FALSE()))))</f>
        <v>0</v>
      </c>
      <c r="J976" s="23"/>
      <c r="K976" s="23"/>
      <c r="L976" s="20"/>
      <c r="M976" s="20"/>
    </row>
    <row r="977" spans="1:13" x14ac:dyDescent="0.25">
      <c r="A977" s="20"/>
      <c r="B977" s="20"/>
      <c r="C977" s="20"/>
      <c r="E977" s="21" t="b">
        <f>IF(AND(A977&lt;&gt;0,B977=0,C977=0),VLOOKUP(A977,'3 - LISTA DE ESPÉCIES'!A:H,1,FALSE()),IF(AND(A977=0,B977&lt;&gt;0,C977=0),VLOOKUP(B977,'3 - LISTA DE ESPÉCIES'!B:H,5,FALSE()),IF(AND(A977=0,B977=0,C977&lt;&gt;0),VLOOKUP(C977,'3 - LISTA DE ESPÉCIES'!C:H,4,FALSE()))))</f>
        <v>0</v>
      </c>
      <c r="F977" s="21" t="b">
        <f>IF(AND(A977&lt;&gt;0,B977=0,C977=0),VLOOKUP(A977,'3 - LISTA DE ESPÉCIES'!A:H,2,FALSE()),IF(AND(A977=0,B977&lt;&gt;0,C977=0),VLOOKUP(B977,'3 - LISTA DE ESPÉCIES'!B:H,6,FALSE()),IF(AND(A977=0,B977=0,C977&lt;&gt;0),VLOOKUP(C977,'3 - LISTA DE ESPÉCIES'!C:H,5,FALSE()))))</f>
        <v>0</v>
      </c>
      <c r="G977" s="21" t="b">
        <f>IF(AND(A977&lt;&gt;0,B977=0,C977=0),VLOOKUP(A977,'3 - LISTA DE ESPÉCIES'!A:H,3,FALSE()),IF(AND(A977=0,B977&lt;&gt;0,C977=0),VLOOKUP(B977,'3 - LISTA DE ESPÉCIES'!B:H,7,FALSE()),IF(AND(A977=0,B977=0,C977&lt;&gt;0),VLOOKUP(C977,'3 - LISTA DE ESPÉCIES'!C:H,6,FALSE()))))</f>
        <v>0</v>
      </c>
      <c r="H977" s="21" t="b">
        <f>IF(AND(A977&lt;&gt;0,B977=0,C977=0),VLOOKUP(A977,'3 - LISTA DE ESPÉCIES'!A:H,4,FALSE()),IF(AND(A977=0,B977&lt;&gt;0,C977=0),VLOOKUP(B977,'3 - LISTA DE ESPÉCIES'!B:H,3,FALSE()),IF(AND(A977=0,B977=0,C977&lt;&gt;0),VLOOKUP(C977,'3 - LISTA DE ESPÉCIES'!C:H,2,FALSE()))))</f>
        <v>0</v>
      </c>
      <c r="I977" s="21" t="b">
        <f>IF(AND(A977&lt;&gt;0,B977=0,C977=0),VLOOKUP(A977,'3 - LISTA DE ESPÉCIES'!A:H,5,FALSE()),IF(AND(A977=0,B977&lt;&gt;0,C977=0),VLOOKUP(B977,'3 - LISTA DE ESPÉCIES'!B:H,4,FALSE()),IF(AND(A977=0,B977=0,C977&lt;&gt;0),VLOOKUP(C977,'3 - LISTA DE ESPÉCIES'!C:H,3,FALSE()))))</f>
        <v>0</v>
      </c>
      <c r="J977" s="23"/>
      <c r="K977" s="23"/>
      <c r="L977" s="20"/>
      <c r="M977" s="20"/>
    </row>
    <row r="978" spans="1:13" x14ac:dyDescent="0.25">
      <c r="A978" s="20"/>
      <c r="B978" s="20"/>
      <c r="C978" s="20"/>
      <c r="E978" s="21" t="b">
        <f>IF(AND(A978&lt;&gt;0,B978=0,C978=0),VLOOKUP(A978,'3 - LISTA DE ESPÉCIES'!A:H,1,FALSE()),IF(AND(A978=0,B978&lt;&gt;0,C978=0),VLOOKUP(B978,'3 - LISTA DE ESPÉCIES'!B:H,5,FALSE()),IF(AND(A978=0,B978=0,C978&lt;&gt;0),VLOOKUP(C978,'3 - LISTA DE ESPÉCIES'!C:H,4,FALSE()))))</f>
        <v>0</v>
      </c>
      <c r="F978" s="21" t="b">
        <f>IF(AND(A978&lt;&gt;0,B978=0,C978=0),VLOOKUP(A978,'3 - LISTA DE ESPÉCIES'!A:H,2,FALSE()),IF(AND(A978=0,B978&lt;&gt;0,C978=0),VLOOKUP(B978,'3 - LISTA DE ESPÉCIES'!B:H,6,FALSE()),IF(AND(A978=0,B978=0,C978&lt;&gt;0),VLOOKUP(C978,'3 - LISTA DE ESPÉCIES'!C:H,5,FALSE()))))</f>
        <v>0</v>
      </c>
      <c r="G978" s="21" t="b">
        <f>IF(AND(A978&lt;&gt;0,B978=0,C978=0),VLOOKUP(A978,'3 - LISTA DE ESPÉCIES'!A:H,3,FALSE()),IF(AND(A978=0,B978&lt;&gt;0,C978=0),VLOOKUP(B978,'3 - LISTA DE ESPÉCIES'!B:H,7,FALSE()),IF(AND(A978=0,B978=0,C978&lt;&gt;0),VLOOKUP(C978,'3 - LISTA DE ESPÉCIES'!C:H,6,FALSE()))))</f>
        <v>0</v>
      </c>
      <c r="H978" s="21" t="b">
        <f>IF(AND(A978&lt;&gt;0,B978=0,C978=0),VLOOKUP(A978,'3 - LISTA DE ESPÉCIES'!A:H,4,FALSE()),IF(AND(A978=0,B978&lt;&gt;0,C978=0),VLOOKUP(B978,'3 - LISTA DE ESPÉCIES'!B:H,3,FALSE()),IF(AND(A978=0,B978=0,C978&lt;&gt;0),VLOOKUP(C978,'3 - LISTA DE ESPÉCIES'!C:H,2,FALSE()))))</f>
        <v>0</v>
      </c>
      <c r="I978" s="21" t="b">
        <f>IF(AND(A978&lt;&gt;0,B978=0,C978=0),VLOOKUP(A978,'3 - LISTA DE ESPÉCIES'!A:H,5,FALSE()),IF(AND(A978=0,B978&lt;&gt;0,C978=0),VLOOKUP(B978,'3 - LISTA DE ESPÉCIES'!B:H,4,FALSE()),IF(AND(A978=0,B978=0,C978&lt;&gt;0),VLOOKUP(C978,'3 - LISTA DE ESPÉCIES'!C:H,3,FALSE()))))</f>
        <v>0</v>
      </c>
      <c r="J978" s="23"/>
      <c r="K978" s="23"/>
      <c r="L978" s="20"/>
      <c r="M978" s="20"/>
    </row>
    <row r="979" spans="1:13" x14ac:dyDescent="0.25">
      <c r="A979" s="20"/>
      <c r="B979" s="20"/>
      <c r="C979" s="20"/>
      <c r="E979" s="21" t="b">
        <f>IF(AND(A979&lt;&gt;0,B979=0,C979=0),VLOOKUP(A979,'3 - LISTA DE ESPÉCIES'!A:H,1,FALSE()),IF(AND(A979=0,B979&lt;&gt;0,C979=0),VLOOKUP(B979,'3 - LISTA DE ESPÉCIES'!B:H,5,FALSE()),IF(AND(A979=0,B979=0,C979&lt;&gt;0),VLOOKUP(C979,'3 - LISTA DE ESPÉCIES'!C:H,4,FALSE()))))</f>
        <v>0</v>
      </c>
      <c r="F979" s="21" t="b">
        <f>IF(AND(A979&lt;&gt;0,B979=0,C979=0),VLOOKUP(A979,'3 - LISTA DE ESPÉCIES'!A:H,2,FALSE()),IF(AND(A979=0,B979&lt;&gt;0,C979=0),VLOOKUP(B979,'3 - LISTA DE ESPÉCIES'!B:H,6,FALSE()),IF(AND(A979=0,B979=0,C979&lt;&gt;0),VLOOKUP(C979,'3 - LISTA DE ESPÉCIES'!C:H,5,FALSE()))))</f>
        <v>0</v>
      </c>
      <c r="G979" s="21" t="b">
        <f>IF(AND(A979&lt;&gt;0,B979=0,C979=0),VLOOKUP(A979,'3 - LISTA DE ESPÉCIES'!A:H,3,FALSE()),IF(AND(A979=0,B979&lt;&gt;0,C979=0),VLOOKUP(B979,'3 - LISTA DE ESPÉCIES'!B:H,7,FALSE()),IF(AND(A979=0,B979=0,C979&lt;&gt;0),VLOOKUP(C979,'3 - LISTA DE ESPÉCIES'!C:H,6,FALSE()))))</f>
        <v>0</v>
      </c>
      <c r="H979" s="21" t="b">
        <f>IF(AND(A979&lt;&gt;0,B979=0,C979=0),VLOOKUP(A979,'3 - LISTA DE ESPÉCIES'!A:H,4,FALSE()),IF(AND(A979=0,B979&lt;&gt;0,C979=0),VLOOKUP(B979,'3 - LISTA DE ESPÉCIES'!B:H,3,FALSE()),IF(AND(A979=0,B979=0,C979&lt;&gt;0),VLOOKUP(C979,'3 - LISTA DE ESPÉCIES'!C:H,2,FALSE()))))</f>
        <v>0</v>
      </c>
      <c r="I979" s="21" t="b">
        <f>IF(AND(A979&lt;&gt;0,B979=0,C979=0),VLOOKUP(A979,'3 - LISTA DE ESPÉCIES'!A:H,5,FALSE()),IF(AND(A979=0,B979&lt;&gt;0,C979=0),VLOOKUP(B979,'3 - LISTA DE ESPÉCIES'!B:H,4,FALSE()),IF(AND(A979=0,B979=0,C979&lt;&gt;0),VLOOKUP(C979,'3 - LISTA DE ESPÉCIES'!C:H,3,FALSE()))))</f>
        <v>0</v>
      </c>
      <c r="J979" s="23"/>
      <c r="K979" s="23"/>
      <c r="L979" s="20"/>
      <c r="M979" s="20"/>
    </row>
    <row r="980" spans="1:13" x14ac:dyDescent="0.25">
      <c r="A980" s="20"/>
      <c r="B980" s="20"/>
      <c r="C980" s="20"/>
      <c r="E980" s="21" t="b">
        <f>IF(AND(A980&lt;&gt;0,B980=0,C980=0),VLOOKUP(A980,'3 - LISTA DE ESPÉCIES'!A:H,1,FALSE()),IF(AND(A980=0,B980&lt;&gt;0,C980=0),VLOOKUP(B980,'3 - LISTA DE ESPÉCIES'!B:H,5,FALSE()),IF(AND(A980=0,B980=0,C980&lt;&gt;0),VLOOKUP(C980,'3 - LISTA DE ESPÉCIES'!C:H,4,FALSE()))))</f>
        <v>0</v>
      </c>
      <c r="F980" s="21" t="b">
        <f>IF(AND(A980&lt;&gt;0,B980=0,C980=0),VLOOKUP(A980,'3 - LISTA DE ESPÉCIES'!A:H,2,FALSE()),IF(AND(A980=0,B980&lt;&gt;0,C980=0),VLOOKUP(B980,'3 - LISTA DE ESPÉCIES'!B:H,6,FALSE()),IF(AND(A980=0,B980=0,C980&lt;&gt;0),VLOOKUP(C980,'3 - LISTA DE ESPÉCIES'!C:H,5,FALSE()))))</f>
        <v>0</v>
      </c>
      <c r="G980" s="21" t="b">
        <f>IF(AND(A980&lt;&gt;0,B980=0,C980=0),VLOOKUP(A980,'3 - LISTA DE ESPÉCIES'!A:H,3,FALSE()),IF(AND(A980=0,B980&lt;&gt;0,C980=0),VLOOKUP(B980,'3 - LISTA DE ESPÉCIES'!B:H,7,FALSE()),IF(AND(A980=0,B980=0,C980&lt;&gt;0),VLOOKUP(C980,'3 - LISTA DE ESPÉCIES'!C:H,6,FALSE()))))</f>
        <v>0</v>
      </c>
      <c r="H980" s="21" t="b">
        <f>IF(AND(A980&lt;&gt;0,B980=0,C980=0),VLOOKUP(A980,'3 - LISTA DE ESPÉCIES'!A:H,4,FALSE()),IF(AND(A980=0,B980&lt;&gt;0,C980=0),VLOOKUP(B980,'3 - LISTA DE ESPÉCIES'!B:H,3,FALSE()),IF(AND(A980=0,B980=0,C980&lt;&gt;0),VLOOKUP(C980,'3 - LISTA DE ESPÉCIES'!C:H,2,FALSE()))))</f>
        <v>0</v>
      </c>
      <c r="I980" s="21" t="b">
        <f>IF(AND(A980&lt;&gt;0,B980=0,C980=0),VLOOKUP(A980,'3 - LISTA DE ESPÉCIES'!A:H,5,FALSE()),IF(AND(A980=0,B980&lt;&gt;0,C980=0),VLOOKUP(B980,'3 - LISTA DE ESPÉCIES'!B:H,4,FALSE()),IF(AND(A980=0,B980=0,C980&lt;&gt;0),VLOOKUP(C980,'3 - LISTA DE ESPÉCIES'!C:H,3,FALSE()))))</f>
        <v>0</v>
      </c>
      <c r="J980" s="23"/>
      <c r="K980" s="23"/>
      <c r="L980" s="20"/>
      <c r="M980" s="20"/>
    </row>
    <row r="981" spans="1:13" x14ac:dyDescent="0.25">
      <c r="A981" s="20"/>
      <c r="B981" s="20"/>
      <c r="C981" s="20"/>
      <c r="E981" s="21" t="b">
        <f>IF(AND(A981&lt;&gt;0,B981=0,C981=0),VLOOKUP(A981,'3 - LISTA DE ESPÉCIES'!A:H,1,FALSE()),IF(AND(A981=0,B981&lt;&gt;0,C981=0),VLOOKUP(B981,'3 - LISTA DE ESPÉCIES'!B:H,5,FALSE()),IF(AND(A981=0,B981=0,C981&lt;&gt;0),VLOOKUP(C981,'3 - LISTA DE ESPÉCIES'!C:H,4,FALSE()))))</f>
        <v>0</v>
      </c>
      <c r="F981" s="21" t="b">
        <f>IF(AND(A981&lt;&gt;0,B981=0,C981=0),VLOOKUP(A981,'3 - LISTA DE ESPÉCIES'!A:H,2,FALSE()),IF(AND(A981=0,B981&lt;&gt;0,C981=0),VLOOKUP(B981,'3 - LISTA DE ESPÉCIES'!B:H,6,FALSE()),IF(AND(A981=0,B981=0,C981&lt;&gt;0),VLOOKUP(C981,'3 - LISTA DE ESPÉCIES'!C:H,5,FALSE()))))</f>
        <v>0</v>
      </c>
      <c r="G981" s="21" t="b">
        <f>IF(AND(A981&lt;&gt;0,B981=0,C981=0),VLOOKUP(A981,'3 - LISTA DE ESPÉCIES'!A:H,3,FALSE()),IF(AND(A981=0,B981&lt;&gt;0,C981=0),VLOOKUP(B981,'3 - LISTA DE ESPÉCIES'!B:H,7,FALSE()),IF(AND(A981=0,B981=0,C981&lt;&gt;0),VLOOKUP(C981,'3 - LISTA DE ESPÉCIES'!C:H,6,FALSE()))))</f>
        <v>0</v>
      </c>
      <c r="H981" s="21" t="b">
        <f>IF(AND(A981&lt;&gt;0,B981=0,C981=0),VLOOKUP(A981,'3 - LISTA DE ESPÉCIES'!A:H,4,FALSE()),IF(AND(A981=0,B981&lt;&gt;0,C981=0),VLOOKUP(B981,'3 - LISTA DE ESPÉCIES'!B:H,3,FALSE()),IF(AND(A981=0,B981=0,C981&lt;&gt;0),VLOOKUP(C981,'3 - LISTA DE ESPÉCIES'!C:H,2,FALSE()))))</f>
        <v>0</v>
      </c>
      <c r="I981" s="21" t="b">
        <f>IF(AND(A981&lt;&gt;0,B981=0,C981=0),VLOOKUP(A981,'3 - LISTA DE ESPÉCIES'!A:H,5,FALSE()),IF(AND(A981=0,B981&lt;&gt;0,C981=0),VLOOKUP(B981,'3 - LISTA DE ESPÉCIES'!B:H,4,FALSE()),IF(AND(A981=0,B981=0,C981&lt;&gt;0),VLOOKUP(C981,'3 - LISTA DE ESPÉCIES'!C:H,3,FALSE()))))</f>
        <v>0</v>
      </c>
      <c r="J981" s="23"/>
      <c r="K981" s="23"/>
      <c r="L981" s="20"/>
      <c r="M981" s="20"/>
    </row>
    <row r="982" spans="1:13" x14ac:dyDescent="0.25">
      <c r="A982" s="20"/>
      <c r="B982" s="20"/>
      <c r="C982" s="20"/>
      <c r="E982" s="21" t="b">
        <f>IF(AND(A982&lt;&gt;0,B982=0,C982=0),VLOOKUP(A982,'3 - LISTA DE ESPÉCIES'!A:H,1,FALSE()),IF(AND(A982=0,B982&lt;&gt;0,C982=0),VLOOKUP(B982,'3 - LISTA DE ESPÉCIES'!B:H,5,FALSE()),IF(AND(A982=0,B982=0,C982&lt;&gt;0),VLOOKUP(C982,'3 - LISTA DE ESPÉCIES'!C:H,4,FALSE()))))</f>
        <v>0</v>
      </c>
      <c r="F982" s="21" t="b">
        <f>IF(AND(A982&lt;&gt;0,B982=0,C982=0),VLOOKUP(A982,'3 - LISTA DE ESPÉCIES'!A:H,2,FALSE()),IF(AND(A982=0,B982&lt;&gt;0,C982=0),VLOOKUP(B982,'3 - LISTA DE ESPÉCIES'!B:H,6,FALSE()),IF(AND(A982=0,B982=0,C982&lt;&gt;0),VLOOKUP(C982,'3 - LISTA DE ESPÉCIES'!C:H,5,FALSE()))))</f>
        <v>0</v>
      </c>
      <c r="G982" s="21" t="b">
        <f>IF(AND(A982&lt;&gt;0,B982=0,C982=0),VLOOKUP(A982,'3 - LISTA DE ESPÉCIES'!A:H,3,FALSE()),IF(AND(A982=0,B982&lt;&gt;0,C982=0),VLOOKUP(B982,'3 - LISTA DE ESPÉCIES'!B:H,7,FALSE()),IF(AND(A982=0,B982=0,C982&lt;&gt;0),VLOOKUP(C982,'3 - LISTA DE ESPÉCIES'!C:H,6,FALSE()))))</f>
        <v>0</v>
      </c>
      <c r="H982" s="21" t="b">
        <f>IF(AND(A982&lt;&gt;0,B982=0,C982=0),VLOOKUP(A982,'3 - LISTA DE ESPÉCIES'!A:H,4,FALSE()),IF(AND(A982=0,B982&lt;&gt;0,C982=0),VLOOKUP(B982,'3 - LISTA DE ESPÉCIES'!B:H,3,FALSE()),IF(AND(A982=0,B982=0,C982&lt;&gt;0),VLOOKUP(C982,'3 - LISTA DE ESPÉCIES'!C:H,2,FALSE()))))</f>
        <v>0</v>
      </c>
      <c r="I982" s="21" t="b">
        <f>IF(AND(A982&lt;&gt;0,B982=0,C982=0),VLOOKUP(A982,'3 - LISTA DE ESPÉCIES'!A:H,5,FALSE()),IF(AND(A982=0,B982&lt;&gt;0,C982=0),VLOOKUP(B982,'3 - LISTA DE ESPÉCIES'!B:H,4,FALSE()),IF(AND(A982=0,B982=0,C982&lt;&gt;0),VLOOKUP(C982,'3 - LISTA DE ESPÉCIES'!C:H,3,FALSE()))))</f>
        <v>0</v>
      </c>
      <c r="J982" s="23"/>
      <c r="K982" s="23"/>
      <c r="L982" s="20"/>
      <c r="M982" s="20"/>
    </row>
    <row r="983" spans="1:13" x14ac:dyDescent="0.25">
      <c r="A983" s="20"/>
      <c r="B983" s="20"/>
      <c r="C983" s="20"/>
      <c r="E983" s="21" t="b">
        <f>IF(AND(A983&lt;&gt;0,B983=0,C983=0),VLOOKUP(A983,'3 - LISTA DE ESPÉCIES'!A:H,1,FALSE()),IF(AND(A983=0,B983&lt;&gt;0,C983=0),VLOOKUP(B983,'3 - LISTA DE ESPÉCIES'!B:H,5,FALSE()),IF(AND(A983=0,B983=0,C983&lt;&gt;0),VLOOKUP(C983,'3 - LISTA DE ESPÉCIES'!C:H,4,FALSE()))))</f>
        <v>0</v>
      </c>
      <c r="F983" s="21" t="b">
        <f>IF(AND(A983&lt;&gt;0,B983=0,C983=0),VLOOKUP(A983,'3 - LISTA DE ESPÉCIES'!A:H,2,FALSE()),IF(AND(A983=0,B983&lt;&gt;0,C983=0),VLOOKUP(B983,'3 - LISTA DE ESPÉCIES'!B:H,6,FALSE()),IF(AND(A983=0,B983=0,C983&lt;&gt;0),VLOOKUP(C983,'3 - LISTA DE ESPÉCIES'!C:H,5,FALSE()))))</f>
        <v>0</v>
      </c>
      <c r="G983" s="21" t="b">
        <f>IF(AND(A983&lt;&gt;0,B983=0,C983=0),VLOOKUP(A983,'3 - LISTA DE ESPÉCIES'!A:H,3,FALSE()),IF(AND(A983=0,B983&lt;&gt;0,C983=0),VLOOKUP(B983,'3 - LISTA DE ESPÉCIES'!B:H,7,FALSE()),IF(AND(A983=0,B983=0,C983&lt;&gt;0),VLOOKUP(C983,'3 - LISTA DE ESPÉCIES'!C:H,6,FALSE()))))</f>
        <v>0</v>
      </c>
      <c r="H983" s="21" t="b">
        <f>IF(AND(A983&lt;&gt;0,B983=0,C983=0),VLOOKUP(A983,'3 - LISTA DE ESPÉCIES'!A:H,4,FALSE()),IF(AND(A983=0,B983&lt;&gt;0,C983=0),VLOOKUP(B983,'3 - LISTA DE ESPÉCIES'!B:H,3,FALSE()),IF(AND(A983=0,B983=0,C983&lt;&gt;0),VLOOKUP(C983,'3 - LISTA DE ESPÉCIES'!C:H,2,FALSE()))))</f>
        <v>0</v>
      </c>
      <c r="I983" s="21" t="b">
        <f>IF(AND(A983&lt;&gt;0,B983=0,C983=0),VLOOKUP(A983,'3 - LISTA DE ESPÉCIES'!A:H,5,FALSE()),IF(AND(A983=0,B983&lt;&gt;0,C983=0),VLOOKUP(B983,'3 - LISTA DE ESPÉCIES'!B:H,4,FALSE()),IF(AND(A983=0,B983=0,C983&lt;&gt;0),VLOOKUP(C983,'3 - LISTA DE ESPÉCIES'!C:H,3,FALSE()))))</f>
        <v>0</v>
      </c>
      <c r="J983" s="23"/>
      <c r="K983" s="23"/>
      <c r="L983" s="20"/>
      <c r="M983" s="20"/>
    </row>
    <row r="984" spans="1:13" x14ac:dyDescent="0.25">
      <c r="A984" s="20"/>
      <c r="B984" s="20"/>
      <c r="C984" s="20"/>
      <c r="E984" s="21" t="b">
        <f>IF(AND(A984&lt;&gt;0,B984=0,C984=0),VLOOKUP(A984,'3 - LISTA DE ESPÉCIES'!A:H,1,FALSE()),IF(AND(A984=0,B984&lt;&gt;0,C984=0),VLOOKUP(B984,'3 - LISTA DE ESPÉCIES'!B:H,5,FALSE()),IF(AND(A984=0,B984=0,C984&lt;&gt;0),VLOOKUP(C984,'3 - LISTA DE ESPÉCIES'!C:H,4,FALSE()))))</f>
        <v>0</v>
      </c>
      <c r="F984" s="21" t="b">
        <f>IF(AND(A984&lt;&gt;0,B984=0,C984=0),VLOOKUP(A984,'3 - LISTA DE ESPÉCIES'!A:H,2,FALSE()),IF(AND(A984=0,B984&lt;&gt;0,C984=0),VLOOKUP(B984,'3 - LISTA DE ESPÉCIES'!B:H,6,FALSE()),IF(AND(A984=0,B984=0,C984&lt;&gt;0),VLOOKUP(C984,'3 - LISTA DE ESPÉCIES'!C:H,5,FALSE()))))</f>
        <v>0</v>
      </c>
      <c r="G984" s="21" t="b">
        <f>IF(AND(A984&lt;&gt;0,B984=0,C984=0),VLOOKUP(A984,'3 - LISTA DE ESPÉCIES'!A:H,3,FALSE()),IF(AND(A984=0,B984&lt;&gt;0,C984=0),VLOOKUP(B984,'3 - LISTA DE ESPÉCIES'!B:H,7,FALSE()),IF(AND(A984=0,B984=0,C984&lt;&gt;0),VLOOKUP(C984,'3 - LISTA DE ESPÉCIES'!C:H,6,FALSE()))))</f>
        <v>0</v>
      </c>
      <c r="H984" s="21" t="b">
        <f>IF(AND(A984&lt;&gt;0,B984=0,C984=0),VLOOKUP(A984,'3 - LISTA DE ESPÉCIES'!A:H,4,FALSE()),IF(AND(A984=0,B984&lt;&gt;0,C984=0),VLOOKUP(B984,'3 - LISTA DE ESPÉCIES'!B:H,3,FALSE()),IF(AND(A984=0,B984=0,C984&lt;&gt;0),VLOOKUP(C984,'3 - LISTA DE ESPÉCIES'!C:H,2,FALSE()))))</f>
        <v>0</v>
      </c>
      <c r="I984" s="21" t="b">
        <f>IF(AND(A984&lt;&gt;0,B984=0,C984=0),VLOOKUP(A984,'3 - LISTA DE ESPÉCIES'!A:H,5,FALSE()),IF(AND(A984=0,B984&lt;&gt;0,C984=0),VLOOKUP(B984,'3 - LISTA DE ESPÉCIES'!B:H,4,FALSE()),IF(AND(A984=0,B984=0,C984&lt;&gt;0),VLOOKUP(C984,'3 - LISTA DE ESPÉCIES'!C:H,3,FALSE()))))</f>
        <v>0</v>
      </c>
      <c r="J984" s="23"/>
      <c r="K984" s="23"/>
      <c r="L984" s="20"/>
      <c r="M984" s="20"/>
    </row>
    <row r="985" spans="1:13" x14ac:dyDescent="0.25">
      <c r="A985" s="20"/>
      <c r="B985" s="20"/>
      <c r="C985" s="20"/>
      <c r="E985" s="21" t="b">
        <f>IF(AND(A985&lt;&gt;0,B985=0,C985=0),VLOOKUP(A985,'3 - LISTA DE ESPÉCIES'!A:H,1,FALSE()),IF(AND(A985=0,B985&lt;&gt;0,C985=0),VLOOKUP(B985,'3 - LISTA DE ESPÉCIES'!B:H,5,FALSE()),IF(AND(A985=0,B985=0,C985&lt;&gt;0),VLOOKUP(C985,'3 - LISTA DE ESPÉCIES'!C:H,4,FALSE()))))</f>
        <v>0</v>
      </c>
      <c r="F985" s="21" t="b">
        <f>IF(AND(A985&lt;&gt;0,B985=0,C985=0),VLOOKUP(A985,'3 - LISTA DE ESPÉCIES'!A:H,2,FALSE()),IF(AND(A985=0,B985&lt;&gt;0,C985=0),VLOOKUP(B985,'3 - LISTA DE ESPÉCIES'!B:H,6,FALSE()),IF(AND(A985=0,B985=0,C985&lt;&gt;0),VLOOKUP(C985,'3 - LISTA DE ESPÉCIES'!C:H,5,FALSE()))))</f>
        <v>0</v>
      </c>
      <c r="G985" s="21" t="b">
        <f>IF(AND(A985&lt;&gt;0,B985=0,C985=0),VLOOKUP(A985,'3 - LISTA DE ESPÉCIES'!A:H,3,FALSE()),IF(AND(A985=0,B985&lt;&gt;0,C985=0),VLOOKUP(B985,'3 - LISTA DE ESPÉCIES'!B:H,7,FALSE()),IF(AND(A985=0,B985=0,C985&lt;&gt;0),VLOOKUP(C985,'3 - LISTA DE ESPÉCIES'!C:H,6,FALSE()))))</f>
        <v>0</v>
      </c>
      <c r="H985" s="21" t="b">
        <f>IF(AND(A985&lt;&gt;0,B985=0,C985=0),VLOOKUP(A985,'3 - LISTA DE ESPÉCIES'!A:H,4,FALSE()),IF(AND(A985=0,B985&lt;&gt;0,C985=0),VLOOKUP(B985,'3 - LISTA DE ESPÉCIES'!B:H,3,FALSE()),IF(AND(A985=0,B985=0,C985&lt;&gt;0),VLOOKUP(C985,'3 - LISTA DE ESPÉCIES'!C:H,2,FALSE()))))</f>
        <v>0</v>
      </c>
      <c r="I985" s="21" t="b">
        <f>IF(AND(A985&lt;&gt;0,B985=0,C985=0),VLOOKUP(A985,'3 - LISTA DE ESPÉCIES'!A:H,5,FALSE()),IF(AND(A985=0,B985&lt;&gt;0,C985=0),VLOOKUP(B985,'3 - LISTA DE ESPÉCIES'!B:H,4,FALSE()),IF(AND(A985=0,B985=0,C985&lt;&gt;0),VLOOKUP(C985,'3 - LISTA DE ESPÉCIES'!C:H,3,FALSE()))))</f>
        <v>0</v>
      </c>
      <c r="J985" s="23"/>
      <c r="K985" s="23"/>
      <c r="L985" s="20"/>
      <c r="M985" s="20"/>
    </row>
    <row r="986" spans="1:13" x14ac:dyDescent="0.25">
      <c r="A986" s="20"/>
      <c r="B986" s="20"/>
      <c r="C986" s="20"/>
      <c r="E986" s="21" t="b">
        <f>IF(AND(A986&lt;&gt;0,B986=0,C986=0),VLOOKUP(A986,'3 - LISTA DE ESPÉCIES'!A:H,1,FALSE()),IF(AND(A986=0,B986&lt;&gt;0,C986=0),VLOOKUP(B986,'3 - LISTA DE ESPÉCIES'!B:H,5,FALSE()),IF(AND(A986=0,B986=0,C986&lt;&gt;0),VLOOKUP(C986,'3 - LISTA DE ESPÉCIES'!C:H,4,FALSE()))))</f>
        <v>0</v>
      </c>
      <c r="F986" s="21" t="b">
        <f>IF(AND(A986&lt;&gt;0,B986=0,C986=0),VLOOKUP(A986,'3 - LISTA DE ESPÉCIES'!A:H,2,FALSE()),IF(AND(A986=0,B986&lt;&gt;0,C986=0),VLOOKUP(B986,'3 - LISTA DE ESPÉCIES'!B:H,6,FALSE()),IF(AND(A986=0,B986=0,C986&lt;&gt;0),VLOOKUP(C986,'3 - LISTA DE ESPÉCIES'!C:H,5,FALSE()))))</f>
        <v>0</v>
      </c>
      <c r="G986" s="21" t="b">
        <f>IF(AND(A986&lt;&gt;0,B986=0,C986=0),VLOOKUP(A986,'3 - LISTA DE ESPÉCIES'!A:H,3,FALSE()),IF(AND(A986=0,B986&lt;&gt;0,C986=0),VLOOKUP(B986,'3 - LISTA DE ESPÉCIES'!B:H,7,FALSE()),IF(AND(A986=0,B986=0,C986&lt;&gt;0),VLOOKUP(C986,'3 - LISTA DE ESPÉCIES'!C:H,6,FALSE()))))</f>
        <v>0</v>
      </c>
      <c r="H986" s="21" t="b">
        <f>IF(AND(A986&lt;&gt;0,B986=0,C986=0),VLOOKUP(A986,'3 - LISTA DE ESPÉCIES'!A:H,4,FALSE()),IF(AND(A986=0,B986&lt;&gt;0,C986=0),VLOOKUP(B986,'3 - LISTA DE ESPÉCIES'!B:H,3,FALSE()),IF(AND(A986=0,B986=0,C986&lt;&gt;0),VLOOKUP(C986,'3 - LISTA DE ESPÉCIES'!C:H,2,FALSE()))))</f>
        <v>0</v>
      </c>
      <c r="I986" s="21" t="b">
        <f>IF(AND(A986&lt;&gt;0,B986=0,C986=0),VLOOKUP(A986,'3 - LISTA DE ESPÉCIES'!A:H,5,FALSE()),IF(AND(A986=0,B986&lt;&gt;0,C986=0),VLOOKUP(B986,'3 - LISTA DE ESPÉCIES'!B:H,4,FALSE()),IF(AND(A986=0,B986=0,C986&lt;&gt;0),VLOOKUP(C986,'3 - LISTA DE ESPÉCIES'!C:H,3,FALSE()))))</f>
        <v>0</v>
      </c>
      <c r="J986" s="23"/>
      <c r="K986" s="23"/>
      <c r="L986" s="20"/>
      <c r="M986" s="20"/>
    </row>
    <row r="987" spans="1:13" x14ac:dyDescent="0.25">
      <c r="A987" s="20"/>
      <c r="B987" s="20"/>
      <c r="C987" s="20"/>
      <c r="E987" s="21" t="b">
        <f>IF(AND(A987&lt;&gt;0,B987=0,C987=0),VLOOKUP(A987,'3 - LISTA DE ESPÉCIES'!A:H,1,FALSE()),IF(AND(A987=0,B987&lt;&gt;0,C987=0),VLOOKUP(B987,'3 - LISTA DE ESPÉCIES'!B:H,5,FALSE()),IF(AND(A987=0,B987=0,C987&lt;&gt;0),VLOOKUP(C987,'3 - LISTA DE ESPÉCIES'!C:H,4,FALSE()))))</f>
        <v>0</v>
      </c>
      <c r="F987" s="21" t="b">
        <f>IF(AND(A987&lt;&gt;0,B987=0,C987=0),VLOOKUP(A987,'3 - LISTA DE ESPÉCIES'!A:H,2,FALSE()),IF(AND(A987=0,B987&lt;&gt;0,C987=0),VLOOKUP(B987,'3 - LISTA DE ESPÉCIES'!B:H,6,FALSE()),IF(AND(A987=0,B987=0,C987&lt;&gt;0),VLOOKUP(C987,'3 - LISTA DE ESPÉCIES'!C:H,5,FALSE()))))</f>
        <v>0</v>
      </c>
      <c r="G987" s="21" t="b">
        <f>IF(AND(A987&lt;&gt;0,B987=0,C987=0),VLOOKUP(A987,'3 - LISTA DE ESPÉCIES'!A:H,3,FALSE()),IF(AND(A987=0,B987&lt;&gt;0,C987=0),VLOOKUP(B987,'3 - LISTA DE ESPÉCIES'!B:H,7,FALSE()),IF(AND(A987=0,B987=0,C987&lt;&gt;0),VLOOKUP(C987,'3 - LISTA DE ESPÉCIES'!C:H,6,FALSE()))))</f>
        <v>0</v>
      </c>
      <c r="H987" s="21" t="b">
        <f>IF(AND(A987&lt;&gt;0,B987=0,C987=0),VLOOKUP(A987,'3 - LISTA DE ESPÉCIES'!A:H,4,FALSE()),IF(AND(A987=0,B987&lt;&gt;0,C987=0),VLOOKUP(B987,'3 - LISTA DE ESPÉCIES'!B:H,3,FALSE()),IF(AND(A987=0,B987=0,C987&lt;&gt;0),VLOOKUP(C987,'3 - LISTA DE ESPÉCIES'!C:H,2,FALSE()))))</f>
        <v>0</v>
      </c>
      <c r="I987" s="21" t="b">
        <f>IF(AND(A987&lt;&gt;0,B987=0,C987=0),VLOOKUP(A987,'3 - LISTA DE ESPÉCIES'!A:H,5,FALSE()),IF(AND(A987=0,B987&lt;&gt;0,C987=0),VLOOKUP(B987,'3 - LISTA DE ESPÉCIES'!B:H,4,FALSE()),IF(AND(A987=0,B987=0,C987&lt;&gt;0),VLOOKUP(C987,'3 - LISTA DE ESPÉCIES'!C:H,3,FALSE()))))</f>
        <v>0</v>
      </c>
      <c r="J987" s="23"/>
      <c r="K987" s="23"/>
      <c r="L987" s="20"/>
      <c r="M987" s="20"/>
    </row>
    <row r="988" spans="1:13" x14ac:dyDescent="0.25">
      <c r="A988" s="20"/>
      <c r="B988" s="20"/>
      <c r="C988" s="20"/>
      <c r="E988" s="21" t="b">
        <f>IF(AND(A988&lt;&gt;0,B988=0,C988=0),VLOOKUP(A988,'3 - LISTA DE ESPÉCIES'!A:H,1,FALSE()),IF(AND(A988=0,B988&lt;&gt;0,C988=0),VLOOKUP(B988,'3 - LISTA DE ESPÉCIES'!B:H,5,FALSE()),IF(AND(A988=0,B988=0,C988&lt;&gt;0),VLOOKUP(C988,'3 - LISTA DE ESPÉCIES'!C:H,4,FALSE()))))</f>
        <v>0</v>
      </c>
      <c r="F988" s="21" t="b">
        <f>IF(AND(A988&lt;&gt;0,B988=0,C988=0),VLOOKUP(A988,'3 - LISTA DE ESPÉCIES'!A:H,2,FALSE()),IF(AND(A988=0,B988&lt;&gt;0,C988=0),VLOOKUP(B988,'3 - LISTA DE ESPÉCIES'!B:H,6,FALSE()),IF(AND(A988=0,B988=0,C988&lt;&gt;0),VLOOKUP(C988,'3 - LISTA DE ESPÉCIES'!C:H,5,FALSE()))))</f>
        <v>0</v>
      </c>
      <c r="G988" s="21" t="b">
        <f>IF(AND(A988&lt;&gt;0,B988=0,C988=0),VLOOKUP(A988,'3 - LISTA DE ESPÉCIES'!A:H,3,FALSE()),IF(AND(A988=0,B988&lt;&gt;0,C988=0),VLOOKUP(B988,'3 - LISTA DE ESPÉCIES'!B:H,7,FALSE()),IF(AND(A988=0,B988=0,C988&lt;&gt;0),VLOOKUP(C988,'3 - LISTA DE ESPÉCIES'!C:H,6,FALSE()))))</f>
        <v>0</v>
      </c>
      <c r="H988" s="21" t="b">
        <f>IF(AND(A988&lt;&gt;0,B988=0,C988=0),VLOOKUP(A988,'3 - LISTA DE ESPÉCIES'!A:H,4,FALSE()),IF(AND(A988=0,B988&lt;&gt;0,C988=0),VLOOKUP(B988,'3 - LISTA DE ESPÉCIES'!B:H,3,FALSE()),IF(AND(A988=0,B988=0,C988&lt;&gt;0),VLOOKUP(C988,'3 - LISTA DE ESPÉCIES'!C:H,2,FALSE()))))</f>
        <v>0</v>
      </c>
      <c r="I988" s="21" t="b">
        <f>IF(AND(A988&lt;&gt;0,B988=0,C988=0),VLOOKUP(A988,'3 - LISTA DE ESPÉCIES'!A:H,5,FALSE()),IF(AND(A988=0,B988&lt;&gt;0,C988=0),VLOOKUP(B988,'3 - LISTA DE ESPÉCIES'!B:H,4,FALSE()),IF(AND(A988=0,B988=0,C988&lt;&gt;0),VLOOKUP(C988,'3 - LISTA DE ESPÉCIES'!C:H,3,FALSE()))))</f>
        <v>0</v>
      </c>
      <c r="J988" s="23"/>
      <c r="K988" s="23"/>
      <c r="L988" s="20"/>
      <c r="M988" s="20"/>
    </row>
    <row r="989" spans="1:13" x14ac:dyDescent="0.25">
      <c r="A989" s="20"/>
      <c r="B989" s="20"/>
      <c r="C989" s="20"/>
      <c r="E989" s="21" t="b">
        <f>IF(AND(A989&lt;&gt;0,B989=0,C989=0),VLOOKUP(A989,'3 - LISTA DE ESPÉCIES'!A:H,1,FALSE()),IF(AND(A989=0,B989&lt;&gt;0,C989=0),VLOOKUP(B989,'3 - LISTA DE ESPÉCIES'!B:H,5,FALSE()),IF(AND(A989=0,B989=0,C989&lt;&gt;0),VLOOKUP(C989,'3 - LISTA DE ESPÉCIES'!C:H,4,FALSE()))))</f>
        <v>0</v>
      </c>
      <c r="F989" s="21" t="b">
        <f>IF(AND(A989&lt;&gt;0,B989=0,C989=0),VLOOKUP(A989,'3 - LISTA DE ESPÉCIES'!A:H,2,FALSE()),IF(AND(A989=0,B989&lt;&gt;0,C989=0),VLOOKUP(B989,'3 - LISTA DE ESPÉCIES'!B:H,6,FALSE()),IF(AND(A989=0,B989=0,C989&lt;&gt;0),VLOOKUP(C989,'3 - LISTA DE ESPÉCIES'!C:H,5,FALSE()))))</f>
        <v>0</v>
      </c>
      <c r="G989" s="21" t="b">
        <f>IF(AND(A989&lt;&gt;0,B989=0,C989=0),VLOOKUP(A989,'3 - LISTA DE ESPÉCIES'!A:H,3,FALSE()),IF(AND(A989=0,B989&lt;&gt;0,C989=0),VLOOKUP(B989,'3 - LISTA DE ESPÉCIES'!B:H,7,FALSE()),IF(AND(A989=0,B989=0,C989&lt;&gt;0),VLOOKUP(C989,'3 - LISTA DE ESPÉCIES'!C:H,6,FALSE()))))</f>
        <v>0</v>
      </c>
      <c r="H989" s="21" t="b">
        <f>IF(AND(A989&lt;&gt;0,B989=0,C989=0),VLOOKUP(A989,'3 - LISTA DE ESPÉCIES'!A:H,4,FALSE()),IF(AND(A989=0,B989&lt;&gt;0,C989=0),VLOOKUP(B989,'3 - LISTA DE ESPÉCIES'!B:H,3,FALSE()),IF(AND(A989=0,B989=0,C989&lt;&gt;0),VLOOKUP(C989,'3 - LISTA DE ESPÉCIES'!C:H,2,FALSE()))))</f>
        <v>0</v>
      </c>
      <c r="I989" s="21" t="b">
        <f>IF(AND(A989&lt;&gt;0,B989=0,C989=0),VLOOKUP(A989,'3 - LISTA DE ESPÉCIES'!A:H,5,FALSE()),IF(AND(A989=0,B989&lt;&gt;0,C989=0),VLOOKUP(B989,'3 - LISTA DE ESPÉCIES'!B:H,4,FALSE()),IF(AND(A989=0,B989=0,C989&lt;&gt;0),VLOOKUP(C989,'3 - LISTA DE ESPÉCIES'!C:H,3,FALSE()))))</f>
        <v>0</v>
      </c>
      <c r="J989" s="23"/>
      <c r="K989" s="23"/>
      <c r="L989" s="20"/>
      <c r="M989" s="20"/>
    </row>
    <row r="990" spans="1:13" x14ac:dyDescent="0.25">
      <c r="A990" s="20"/>
      <c r="B990" s="20"/>
      <c r="C990" s="20"/>
      <c r="E990" s="21" t="b">
        <f>IF(AND(A990&lt;&gt;0,B990=0,C990=0),VLOOKUP(A990,'3 - LISTA DE ESPÉCIES'!A:H,1,FALSE()),IF(AND(A990=0,B990&lt;&gt;0,C990=0),VLOOKUP(B990,'3 - LISTA DE ESPÉCIES'!B:H,5,FALSE()),IF(AND(A990=0,B990=0,C990&lt;&gt;0),VLOOKUP(C990,'3 - LISTA DE ESPÉCIES'!C:H,4,FALSE()))))</f>
        <v>0</v>
      </c>
      <c r="F990" s="21" t="b">
        <f>IF(AND(A990&lt;&gt;0,B990=0,C990=0),VLOOKUP(A990,'3 - LISTA DE ESPÉCIES'!A:H,2,FALSE()),IF(AND(A990=0,B990&lt;&gt;0,C990=0),VLOOKUP(B990,'3 - LISTA DE ESPÉCIES'!B:H,6,FALSE()),IF(AND(A990=0,B990=0,C990&lt;&gt;0),VLOOKUP(C990,'3 - LISTA DE ESPÉCIES'!C:H,5,FALSE()))))</f>
        <v>0</v>
      </c>
      <c r="G990" s="21" t="b">
        <f>IF(AND(A990&lt;&gt;0,B990=0,C990=0),VLOOKUP(A990,'3 - LISTA DE ESPÉCIES'!A:H,3,FALSE()),IF(AND(A990=0,B990&lt;&gt;0,C990=0),VLOOKUP(B990,'3 - LISTA DE ESPÉCIES'!B:H,7,FALSE()),IF(AND(A990=0,B990=0,C990&lt;&gt;0),VLOOKUP(C990,'3 - LISTA DE ESPÉCIES'!C:H,6,FALSE()))))</f>
        <v>0</v>
      </c>
      <c r="H990" s="21" t="b">
        <f>IF(AND(A990&lt;&gt;0,B990=0,C990=0),VLOOKUP(A990,'3 - LISTA DE ESPÉCIES'!A:H,4,FALSE()),IF(AND(A990=0,B990&lt;&gt;0,C990=0),VLOOKUP(B990,'3 - LISTA DE ESPÉCIES'!B:H,3,FALSE()),IF(AND(A990=0,B990=0,C990&lt;&gt;0),VLOOKUP(C990,'3 - LISTA DE ESPÉCIES'!C:H,2,FALSE()))))</f>
        <v>0</v>
      </c>
      <c r="I990" s="21" t="b">
        <f>IF(AND(A990&lt;&gt;0,B990=0,C990=0),VLOOKUP(A990,'3 - LISTA DE ESPÉCIES'!A:H,5,FALSE()),IF(AND(A990=0,B990&lt;&gt;0,C990=0),VLOOKUP(B990,'3 - LISTA DE ESPÉCIES'!B:H,4,FALSE()),IF(AND(A990=0,B990=0,C990&lt;&gt;0),VLOOKUP(C990,'3 - LISTA DE ESPÉCIES'!C:H,3,FALSE()))))</f>
        <v>0</v>
      </c>
      <c r="J990" s="23"/>
      <c r="K990" s="23"/>
      <c r="L990" s="20"/>
      <c r="M990" s="20"/>
    </row>
    <row r="991" spans="1:13" x14ac:dyDescent="0.25">
      <c r="A991" s="20"/>
      <c r="B991" s="20"/>
      <c r="C991" s="20"/>
      <c r="E991" s="21" t="b">
        <f>IF(AND(A991&lt;&gt;0,B991=0,C991=0),VLOOKUP(A991,'3 - LISTA DE ESPÉCIES'!A:H,1,FALSE()),IF(AND(A991=0,B991&lt;&gt;0,C991=0),VLOOKUP(B991,'3 - LISTA DE ESPÉCIES'!B:H,5,FALSE()),IF(AND(A991=0,B991=0,C991&lt;&gt;0),VLOOKUP(C991,'3 - LISTA DE ESPÉCIES'!C:H,4,FALSE()))))</f>
        <v>0</v>
      </c>
      <c r="F991" s="21" t="b">
        <f>IF(AND(A991&lt;&gt;0,B991=0,C991=0),VLOOKUP(A991,'3 - LISTA DE ESPÉCIES'!A:H,2,FALSE()),IF(AND(A991=0,B991&lt;&gt;0,C991=0),VLOOKUP(B991,'3 - LISTA DE ESPÉCIES'!B:H,6,FALSE()),IF(AND(A991=0,B991=0,C991&lt;&gt;0),VLOOKUP(C991,'3 - LISTA DE ESPÉCIES'!C:H,5,FALSE()))))</f>
        <v>0</v>
      </c>
      <c r="G991" s="21" t="b">
        <f>IF(AND(A991&lt;&gt;0,B991=0,C991=0),VLOOKUP(A991,'3 - LISTA DE ESPÉCIES'!A:H,3,FALSE()),IF(AND(A991=0,B991&lt;&gt;0,C991=0),VLOOKUP(B991,'3 - LISTA DE ESPÉCIES'!B:H,7,FALSE()),IF(AND(A991=0,B991=0,C991&lt;&gt;0),VLOOKUP(C991,'3 - LISTA DE ESPÉCIES'!C:H,6,FALSE()))))</f>
        <v>0</v>
      </c>
      <c r="H991" s="21" t="b">
        <f>IF(AND(A991&lt;&gt;0,B991=0,C991=0),VLOOKUP(A991,'3 - LISTA DE ESPÉCIES'!A:H,4,FALSE()),IF(AND(A991=0,B991&lt;&gt;0,C991=0),VLOOKUP(B991,'3 - LISTA DE ESPÉCIES'!B:H,3,FALSE()),IF(AND(A991=0,B991=0,C991&lt;&gt;0),VLOOKUP(C991,'3 - LISTA DE ESPÉCIES'!C:H,2,FALSE()))))</f>
        <v>0</v>
      </c>
      <c r="I991" s="21" t="b">
        <f>IF(AND(A991&lt;&gt;0,B991=0,C991=0),VLOOKUP(A991,'3 - LISTA DE ESPÉCIES'!A:H,5,FALSE()),IF(AND(A991=0,B991&lt;&gt;0,C991=0),VLOOKUP(B991,'3 - LISTA DE ESPÉCIES'!B:H,4,FALSE()),IF(AND(A991=0,B991=0,C991&lt;&gt;0),VLOOKUP(C991,'3 - LISTA DE ESPÉCIES'!C:H,3,FALSE()))))</f>
        <v>0</v>
      </c>
      <c r="J991" s="23"/>
      <c r="K991" s="23"/>
      <c r="L991" s="20"/>
      <c r="M991" s="20"/>
    </row>
    <row r="992" spans="1:13" x14ac:dyDescent="0.25">
      <c r="A992" s="20"/>
      <c r="B992" s="20"/>
      <c r="C992" s="20"/>
      <c r="E992" s="21" t="b">
        <f>IF(AND(A992&lt;&gt;0,B992=0,C992=0),VLOOKUP(A992,'3 - LISTA DE ESPÉCIES'!A:H,1,FALSE()),IF(AND(A992=0,B992&lt;&gt;0,C992=0),VLOOKUP(B992,'3 - LISTA DE ESPÉCIES'!B:H,5,FALSE()),IF(AND(A992=0,B992=0,C992&lt;&gt;0),VLOOKUP(C992,'3 - LISTA DE ESPÉCIES'!C:H,4,FALSE()))))</f>
        <v>0</v>
      </c>
      <c r="F992" s="21" t="b">
        <f>IF(AND(A992&lt;&gt;0,B992=0,C992=0),VLOOKUP(A992,'3 - LISTA DE ESPÉCIES'!A:H,2,FALSE()),IF(AND(A992=0,B992&lt;&gt;0,C992=0),VLOOKUP(B992,'3 - LISTA DE ESPÉCIES'!B:H,6,FALSE()),IF(AND(A992=0,B992=0,C992&lt;&gt;0),VLOOKUP(C992,'3 - LISTA DE ESPÉCIES'!C:H,5,FALSE()))))</f>
        <v>0</v>
      </c>
      <c r="G992" s="21" t="b">
        <f>IF(AND(A992&lt;&gt;0,B992=0,C992=0),VLOOKUP(A992,'3 - LISTA DE ESPÉCIES'!A:H,3,FALSE()),IF(AND(A992=0,B992&lt;&gt;0,C992=0),VLOOKUP(B992,'3 - LISTA DE ESPÉCIES'!B:H,7,FALSE()),IF(AND(A992=0,B992=0,C992&lt;&gt;0),VLOOKUP(C992,'3 - LISTA DE ESPÉCIES'!C:H,6,FALSE()))))</f>
        <v>0</v>
      </c>
      <c r="H992" s="21" t="b">
        <f>IF(AND(A992&lt;&gt;0,B992=0,C992=0),VLOOKUP(A992,'3 - LISTA DE ESPÉCIES'!A:H,4,FALSE()),IF(AND(A992=0,B992&lt;&gt;0,C992=0),VLOOKUP(B992,'3 - LISTA DE ESPÉCIES'!B:H,3,FALSE()),IF(AND(A992=0,B992=0,C992&lt;&gt;0),VLOOKUP(C992,'3 - LISTA DE ESPÉCIES'!C:H,2,FALSE()))))</f>
        <v>0</v>
      </c>
      <c r="I992" s="21" t="b">
        <f>IF(AND(A992&lt;&gt;0,B992=0,C992=0),VLOOKUP(A992,'3 - LISTA DE ESPÉCIES'!A:H,5,FALSE()),IF(AND(A992=0,B992&lt;&gt;0,C992=0),VLOOKUP(B992,'3 - LISTA DE ESPÉCIES'!B:H,4,FALSE()),IF(AND(A992=0,B992=0,C992&lt;&gt;0),VLOOKUP(C992,'3 - LISTA DE ESPÉCIES'!C:H,3,FALSE()))))</f>
        <v>0</v>
      </c>
      <c r="J992" s="23"/>
      <c r="K992" s="23"/>
      <c r="L992" s="20"/>
      <c r="M992" s="20"/>
    </row>
    <row r="993" spans="1:13" x14ac:dyDescent="0.25">
      <c r="A993" s="20"/>
      <c r="B993" s="20"/>
      <c r="C993" s="20"/>
      <c r="E993" s="21" t="b">
        <f>IF(AND(A993&lt;&gt;0,B993=0,C993=0),VLOOKUP(A993,'3 - LISTA DE ESPÉCIES'!A:H,1,FALSE()),IF(AND(A993=0,B993&lt;&gt;0,C993=0),VLOOKUP(B993,'3 - LISTA DE ESPÉCIES'!B:H,5,FALSE()),IF(AND(A993=0,B993=0,C993&lt;&gt;0),VLOOKUP(C993,'3 - LISTA DE ESPÉCIES'!C:H,4,FALSE()))))</f>
        <v>0</v>
      </c>
      <c r="F993" s="21" t="b">
        <f>IF(AND(A993&lt;&gt;0,B993=0,C993=0),VLOOKUP(A993,'3 - LISTA DE ESPÉCIES'!A:H,2,FALSE()),IF(AND(A993=0,B993&lt;&gt;0,C993=0),VLOOKUP(B993,'3 - LISTA DE ESPÉCIES'!B:H,6,FALSE()),IF(AND(A993=0,B993=0,C993&lt;&gt;0),VLOOKUP(C993,'3 - LISTA DE ESPÉCIES'!C:H,5,FALSE()))))</f>
        <v>0</v>
      </c>
      <c r="G993" s="21" t="b">
        <f>IF(AND(A993&lt;&gt;0,B993=0,C993=0),VLOOKUP(A993,'3 - LISTA DE ESPÉCIES'!A:H,3,FALSE()),IF(AND(A993=0,B993&lt;&gt;0,C993=0),VLOOKUP(B993,'3 - LISTA DE ESPÉCIES'!B:H,7,FALSE()),IF(AND(A993=0,B993=0,C993&lt;&gt;0),VLOOKUP(C993,'3 - LISTA DE ESPÉCIES'!C:H,6,FALSE()))))</f>
        <v>0</v>
      </c>
      <c r="H993" s="21" t="b">
        <f>IF(AND(A993&lt;&gt;0,B993=0,C993=0),VLOOKUP(A993,'3 - LISTA DE ESPÉCIES'!A:H,4,FALSE()),IF(AND(A993=0,B993&lt;&gt;0,C993=0),VLOOKUP(B993,'3 - LISTA DE ESPÉCIES'!B:H,3,FALSE()),IF(AND(A993=0,B993=0,C993&lt;&gt;0),VLOOKUP(C993,'3 - LISTA DE ESPÉCIES'!C:H,2,FALSE()))))</f>
        <v>0</v>
      </c>
      <c r="I993" s="21" t="b">
        <f>IF(AND(A993&lt;&gt;0,B993=0,C993=0),VLOOKUP(A993,'3 - LISTA DE ESPÉCIES'!A:H,5,FALSE()),IF(AND(A993=0,B993&lt;&gt;0,C993=0),VLOOKUP(B993,'3 - LISTA DE ESPÉCIES'!B:H,4,FALSE()),IF(AND(A993=0,B993=0,C993&lt;&gt;0),VLOOKUP(C993,'3 - LISTA DE ESPÉCIES'!C:H,3,FALSE()))))</f>
        <v>0</v>
      </c>
      <c r="J993" s="23"/>
      <c r="K993" s="23"/>
      <c r="L993" s="20"/>
      <c r="M993" s="20"/>
    </row>
    <row r="994" spans="1:13" x14ac:dyDescent="0.25">
      <c r="A994" s="20"/>
      <c r="B994" s="20"/>
      <c r="C994" s="20"/>
      <c r="E994" s="21" t="b">
        <f>IF(AND(A994&lt;&gt;0,B994=0,C994=0),VLOOKUP(A994,'3 - LISTA DE ESPÉCIES'!A:H,1,FALSE()),IF(AND(A994=0,B994&lt;&gt;0,C994=0),VLOOKUP(B994,'3 - LISTA DE ESPÉCIES'!B:H,5,FALSE()),IF(AND(A994=0,B994=0,C994&lt;&gt;0),VLOOKUP(C994,'3 - LISTA DE ESPÉCIES'!C:H,4,FALSE()))))</f>
        <v>0</v>
      </c>
      <c r="F994" s="21" t="b">
        <f>IF(AND(A994&lt;&gt;0,B994=0,C994=0),VLOOKUP(A994,'3 - LISTA DE ESPÉCIES'!A:H,2,FALSE()),IF(AND(A994=0,B994&lt;&gt;0,C994=0),VLOOKUP(B994,'3 - LISTA DE ESPÉCIES'!B:H,6,FALSE()),IF(AND(A994=0,B994=0,C994&lt;&gt;0),VLOOKUP(C994,'3 - LISTA DE ESPÉCIES'!C:H,5,FALSE()))))</f>
        <v>0</v>
      </c>
      <c r="G994" s="21" t="b">
        <f>IF(AND(A994&lt;&gt;0,B994=0,C994=0),VLOOKUP(A994,'3 - LISTA DE ESPÉCIES'!A:H,3,FALSE()),IF(AND(A994=0,B994&lt;&gt;0,C994=0),VLOOKUP(B994,'3 - LISTA DE ESPÉCIES'!B:H,7,FALSE()),IF(AND(A994=0,B994=0,C994&lt;&gt;0),VLOOKUP(C994,'3 - LISTA DE ESPÉCIES'!C:H,6,FALSE()))))</f>
        <v>0</v>
      </c>
      <c r="H994" s="21" t="b">
        <f>IF(AND(A994&lt;&gt;0,B994=0,C994=0),VLOOKUP(A994,'3 - LISTA DE ESPÉCIES'!A:H,4,FALSE()),IF(AND(A994=0,B994&lt;&gt;0,C994=0),VLOOKUP(B994,'3 - LISTA DE ESPÉCIES'!B:H,3,FALSE()),IF(AND(A994=0,B994=0,C994&lt;&gt;0),VLOOKUP(C994,'3 - LISTA DE ESPÉCIES'!C:H,2,FALSE()))))</f>
        <v>0</v>
      </c>
      <c r="I994" s="21" t="b">
        <f>IF(AND(A994&lt;&gt;0,B994=0,C994=0),VLOOKUP(A994,'3 - LISTA DE ESPÉCIES'!A:H,5,FALSE()),IF(AND(A994=0,B994&lt;&gt;0,C994=0),VLOOKUP(B994,'3 - LISTA DE ESPÉCIES'!B:H,4,FALSE()),IF(AND(A994=0,B994=0,C994&lt;&gt;0),VLOOKUP(C994,'3 - LISTA DE ESPÉCIES'!C:H,3,FALSE()))))</f>
        <v>0</v>
      </c>
      <c r="J994" s="23"/>
      <c r="K994" s="23"/>
      <c r="L994" s="20"/>
      <c r="M994" s="20"/>
    </row>
    <row r="995" spans="1:13" x14ac:dyDescent="0.25">
      <c r="A995" s="20"/>
      <c r="B995" s="20"/>
      <c r="C995" s="20"/>
      <c r="E995" s="21" t="b">
        <f>IF(AND(A995&lt;&gt;0,B995=0,C995=0),VLOOKUP(A995,'3 - LISTA DE ESPÉCIES'!A:H,1,FALSE()),IF(AND(A995=0,B995&lt;&gt;0,C995=0),VLOOKUP(B995,'3 - LISTA DE ESPÉCIES'!B:H,5,FALSE()),IF(AND(A995=0,B995=0,C995&lt;&gt;0),VLOOKUP(C995,'3 - LISTA DE ESPÉCIES'!C:H,4,FALSE()))))</f>
        <v>0</v>
      </c>
      <c r="F995" s="21" t="b">
        <f>IF(AND(A995&lt;&gt;0,B995=0,C995=0),VLOOKUP(A995,'3 - LISTA DE ESPÉCIES'!A:H,2,FALSE()),IF(AND(A995=0,B995&lt;&gt;0,C995=0),VLOOKUP(B995,'3 - LISTA DE ESPÉCIES'!B:H,6,FALSE()),IF(AND(A995=0,B995=0,C995&lt;&gt;0),VLOOKUP(C995,'3 - LISTA DE ESPÉCIES'!C:H,5,FALSE()))))</f>
        <v>0</v>
      </c>
      <c r="G995" s="21" t="b">
        <f>IF(AND(A995&lt;&gt;0,B995=0,C995=0),VLOOKUP(A995,'3 - LISTA DE ESPÉCIES'!A:H,3,FALSE()),IF(AND(A995=0,B995&lt;&gt;0,C995=0),VLOOKUP(B995,'3 - LISTA DE ESPÉCIES'!B:H,7,FALSE()),IF(AND(A995=0,B995=0,C995&lt;&gt;0),VLOOKUP(C995,'3 - LISTA DE ESPÉCIES'!C:H,6,FALSE()))))</f>
        <v>0</v>
      </c>
      <c r="H995" s="21" t="b">
        <f>IF(AND(A995&lt;&gt;0,B995=0,C995=0),VLOOKUP(A995,'3 - LISTA DE ESPÉCIES'!A:H,4,FALSE()),IF(AND(A995=0,B995&lt;&gt;0,C995=0),VLOOKUP(B995,'3 - LISTA DE ESPÉCIES'!B:H,3,FALSE()),IF(AND(A995=0,B995=0,C995&lt;&gt;0),VLOOKUP(C995,'3 - LISTA DE ESPÉCIES'!C:H,2,FALSE()))))</f>
        <v>0</v>
      </c>
      <c r="I995" s="21" t="b">
        <f>IF(AND(A995&lt;&gt;0,B995=0,C995=0),VLOOKUP(A995,'3 - LISTA DE ESPÉCIES'!A:H,5,FALSE()),IF(AND(A995=0,B995&lt;&gt;0,C995=0),VLOOKUP(B995,'3 - LISTA DE ESPÉCIES'!B:H,4,FALSE()),IF(AND(A995=0,B995=0,C995&lt;&gt;0),VLOOKUP(C995,'3 - LISTA DE ESPÉCIES'!C:H,3,FALSE()))))</f>
        <v>0</v>
      </c>
      <c r="J995" s="23"/>
      <c r="K995" s="23"/>
      <c r="L995" s="20"/>
      <c r="M995" s="20"/>
    </row>
    <row r="996" spans="1:13" x14ac:dyDescent="0.25">
      <c r="A996" s="20"/>
      <c r="B996" s="20"/>
      <c r="C996" s="20"/>
      <c r="E996" s="21" t="b">
        <f>IF(AND(A996&lt;&gt;0,B996=0,C996=0),VLOOKUP(A996,'3 - LISTA DE ESPÉCIES'!A:H,1,FALSE()),IF(AND(A996=0,B996&lt;&gt;0,C996=0),VLOOKUP(B996,'3 - LISTA DE ESPÉCIES'!B:H,5,FALSE()),IF(AND(A996=0,B996=0,C996&lt;&gt;0),VLOOKUP(C996,'3 - LISTA DE ESPÉCIES'!C:H,4,FALSE()))))</f>
        <v>0</v>
      </c>
      <c r="F996" s="21" t="b">
        <f>IF(AND(A996&lt;&gt;0,B996=0,C996=0),VLOOKUP(A996,'3 - LISTA DE ESPÉCIES'!A:H,2,FALSE()),IF(AND(A996=0,B996&lt;&gt;0,C996=0),VLOOKUP(B996,'3 - LISTA DE ESPÉCIES'!B:H,6,FALSE()),IF(AND(A996=0,B996=0,C996&lt;&gt;0),VLOOKUP(C996,'3 - LISTA DE ESPÉCIES'!C:H,5,FALSE()))))</f>
        <v>0</v>
      </c>
      <c r="G996" s="21" t="b">
        <f>IF(AND(A996&lt;&gt;0,B996=0,C996=0),VLOOKUP(A996,'3 - LISTA DE ESPÉCIES'!A:H,3,FALSE()),IF(AND(A996=0,B996&lt;&gt;0,C996=0),VLOOKUP(B996,'3 - LISTA DE ESPÉCIES'!B:H,7,FALSE()),IF(AND(A996=0,B996=0,C996&lt;&gt;0),VLOOKUP(C996,'3 - LISTA DE ESPÉCIES'!C:H,6,FALSE()))))</f>
        <v>0</v>
      </c>
      <c r="H996" s="21" t="b">
        <f>IF(AND(A996&lt;&gt;0,B996=0,C996=0),VLOOKUP(A996,'3 - LISTA DE ESPÉCIES'!A:H,4,FALSE()),IF(AND(A996=0,B996&lt;&gt;0,C996=0),VLOOKUP(B996,'3 - LISTA DE ESPÉCIES'!B:H,3,FALSE()),IF(AND(A996=0,B996=0,C996&lt;&gt;0),VLOOKUP(C996,'3 - LISTA DE ESPÉCIES'!C:H,2,FALSE()))))</f>
        <v>0</v>
      </c>
      <c r="I996" s="21" t="b">
        <f>IF(AND(A996&lt;&gt;0,B996=0,C996=0),VLOOKUP(A996,'3 - LISTA DE ESPÉCIES'!A:H,5,FALSE()),IF(AND(A996=0,B996&lt;&gt;0,C996=0),VLOOKUP(B996,'3 - LISTA DE ESPÉCIES'!B:H,4,FALSE()),IF(AND(A996=0,B996=0,C996&lt;&gt;0),VLOOKUP(C996,'3 - LISTA DE ESPÉCIES'!C:H,3,FALSE()))))</f>
        <v>0</v>
      </c>
      <c r="J996" s="23"/>
      <c r="K996" s="23"/>
      <c r="L996" s="20"/>
      <c r="M996" s="20"/>
    </row>
    <row r="997" spans="1:13" x14ac:dyDescent="0.25">
      <c r="A997" s="20"/>
      <c r="B997" s="20"/>
      <c r="C997" s="20"/>
      <c r="E997" s="21" t="b">
        <f>IF(AND(A997&lt;&gt;0,B997=0,C997=0),VLOOKUP(A997,'3 - LISTA DE ESPÉCIES'!A:H,1,FALSE()),IF(AND(A997=0,B997&lt;&gt;0,C997=0),VLOOKUP(B997,'3 - LISTA DE ESPÉCIES'!B:H,5,FALSE()),IF(AND(A997=0,B997=0,C997&lt;&gt;0),VLOOKUP(C997,'3 - LISTA DE ESPÉCIES'!C:H,4,FALSE()))))</f>
        <v>0</v>
      </c>
      <c r="F997" s="21" t="b">
        <f>IF(AND(A997&lt;&gt;0,B997=0,C997=0),VLOOKUP(A997,'3 - LISTA DE ESPÉCIES'!A:H,2,FALSE()),IF(AND(A997=0,B997&lt;&gt;0,C997=0),VLOOKUP(B997,'3 - LISTA DE ESPÉCIES'!B:H,6,FALSE()),IF(AND(A997=0,B997=0,C997&lt;&gt;0),VLOOKUP(C997,'3 - LISTA DE ESPÉCIES'!C:H,5,FALSE()))))</f>
        <v>0</v>
      </c>
      <c r="G997" s="21" t="b">
        <f>IF(AND(A997&lt;&gt;0,B997=0,C997=0),VLOOKUP(A997,'3 - LISTA DE ESPÉCIES'!A:H,3,FALSE()),IF(AND(A997=0,B997&lt;&gt;0,C997=0),VLOOKUP(B997,'3 - LISTA DE ESPÉCIES'!B:H,7,FALSE()),IF(AND(A997=0,B997=0,C997&lt;&gt;0),VLOOKUP(C997,'3 - LISTA DE ESPÉCIES'!C:H,6,FALSE()))))</f>
        <v>0</v>
      </c>
      <c r="H997" s="21" t="b">
        <f>IF(AND(A997&lt;&gt;0,B997=0,C997=0),VLOOKUP(A997,'3 - LISTA DE ESPÉCIES'!A:H,4,FALSE()),IF(AND(A997=0,B997&lt;&gt;0,C997=0),VLOOKUP(B997,'3 - LISTA DE ESPÉCIES'!B:H,3,FALSE()),IF(AND(A997=0,B997=0,C997&lt;&gt;0),VLOOKUP(C997,'3 - LISTA DE ESPÉCIES'!C:H,2,FALSE()))))</f>
        <v>0</v>
      </c>
      <c r="I997" s="21" t="b">
        <f>IF(AND(A997&lt;&gt;0,B997=0,C997=0),VLOOKUP(A997,'3 - LISTA DE ESPÉCIES'!A:H,5,FALSE()),IF(AND(A997=0,B997&lt;&gt;0,C997=0),VLOOKUP(B997,'3 - LISTA DE ESPÉCIES'!B:H,4,FALSE()),IF(AND(A997=0,B997=0,C997&lt;&gt;0),VLOOKUP(C997,'3 - LISTA DE ESPÉCIES'!C:H,3,FALSE()))))</f>
        <v>0</v>
      </c>
      <c r="J997" s="23"/>
      <c r="K997" s="23"/>
      <c r="L997" s="20"/>
      <c r="M997" s="20"/>
    </row>
    <row r="998" spans="1:13" x14ac:dyDescent="0.25">
      <c r="A998" s="20"/>
      <c r="B998" s="20"/>
      <c r="C998" s="20"/>
      <c r="E998" s="21" t="b">
        <f>IF(AND(A998&lt;&gt;0,B998=0,C998=0),VLOOKUP(A998,'3 - LISTA DE ESPÉCIES'!A:H,1,FALSE()),IF(AND(A998=0,B998&lt;&gt;0,C998=0),VLOOKUP(B998,'3 - LISTA DE ESPÉCIES'!B:H,5,FALSE()),IF(AND(A998=0,B998=0,C998&lt;&gt;0),VLOOKUP(C998,'3 - LISTA DE ESPÉCIES'!C:H,4,FALSE()))))</f>
        <v>0</v>
      </c>
      <c r="F998" s="21" t="b">
        <f>IF(AND(A998&lt;&gt;0,B998=0,C998=0),VLOOKUP(A998,'3 - LISTA DE ESPÉCIES'!A:H,2,FALSE()),IF(AND(A998=0,B998&lt;&gt;0,C998=0),VLOOKUP(B998,'3 - LISTA DE ESPÉCIES'!B:H,6,FALSE()),IF(AND(A998=0,B998=0,C998&lt;&gt;0),VLOOKUP(C998,'3 - LISTA DE ESPÉCIES'!C:H,5,FALSE()))))</f>
        <v>0</v>
      </c>
      <c r="G998" s="21" t="b">
        <f>IF(AND(A998&lt;&gt;0,B998=0,C998=0),VLOOKUP(A998,'3 - LISTA DE ESPÉCIES'!A:H,3,FALSE()),IF(AND(A998=0,B998&lt;&gt;0,C998=0),VLOOKUP(B998,'3 - LISTA DE ESPÉCIES'!B:H,7,FALSE()),IF(AND(A998=0,B998=0,C998&lt;&gt;0),VLOOKUP(C998,'3 - LISTA DE ESPÉCIES'!C:H,6,FALSE()))))</f>
        <v>0</v>
      </c>
      <c r="H998" s="21" t="b">
        <f>IF(AND(A998&lt;&gt;0,B998=0,C998=0),VLOOKUP(A998,'3 - LISTA DE ESPÉCIES'!A:H,4,FALSE()),IF(AND(A998=0,B998&lt;&gt;0,C998=0),VLOOKUP(B998,'3 - LISTA DE ESPÉCIES'!B:H,3,FALSE()),IF(AND(A998=0,B998=0,C998&lt;&gt;0),VLOOKUP(C998,'3 - LISTA DE ESPÉCIES'!C:H,2,FALSE()))))</f>
        <v>0</v>
      </c>
      <c r="I998" s="21" t="b">
        <f>IF(AND(A998&lt;&gt;0,B998=0,C998=0),VLOOKUP(A998,'3 - LISTA DE ESPÉCIES'!A:H,5,FALSE()),IF(AND(A998=0,B998&lt;&gt;0,C998=0),VLOOKUP(B998,'3 - LISTA DE ESPÉCIES'!B:H,4,FALSE()),IF(AND(A998=0,B998=0,C998&lt;&gt;0),VLOOKUP(C998,'3 - LISTA DE ESPÉCIES'!C:H,3,FALSE()))))</f>
        <v>0</v>
      </c>
      <c r="J998" s="23"/>
      <c r="K998" s="23"/>
      <c r="L998" s="20"/>
      <c r="M998" s="20"/>
    </row>
    <row r="999" spans="1:13" x14ac:dyDescent="0.25">
      <c r="A999" s="20"/>
      <c r="B999" s="20"/>
      <c r="C999" s="20"/>
      <c r="E999" s="21" t="b">
        <f>IF(AND(A999&lt;&gt;0,B999=0,C999=0),VLOOKUP(A999,'3 - LISTA DE ESPÉCIES'!A:H,1,FALSE()),IF(AND(A999=0,B999&lt;&gt;0,C999=0),VLOOKUP(B999,'3 - LISTA DE ESPÉCIES'!B:H,5,FALSE()),IF(AND(A999=0,B999=0,C999&lt;&gt;0),VLOOKUP(C999,'3 - LISTA DE ESPÉCIES'!C:H,4,FALSE()))))</f>
        <v>0</v>
      </c>
      <c r="F999" s="21" t="b">
        <f>IF(AND(A999&lt;&gt;0,B999=0,C999=0),VLOOKUP(A999,'3 - LISTA DE ESPÉCIES'!A:H,2,FALSE()),IF(AND(A999=0,B999&lt;&gt;0,C999=0),VLOOKUP(B999,'3 - LISTA DE ESPÉCIES'!B:H,6,FALSE()),IF(AND(A999=0,B999=0,C999&lt;&gt;0),VLOOKUP(C999,'3 - LISTA DE ESPÉCIES'!C:H,5,FALSE()))))</f>
        <v>0</v>
      </c>
      <c r="G999" s="21" t="b">
        <f>IF(AND(A999&lt;&gt;0,B999=0,C999=0),VLOOKUP(A999,'3 - LISTA DE ESPÉCIES'!A:H,3,FALSE()),IF(AND(A999=0,B999&lt;&gt;0,C999=0),VLOOKUP(B999,'3 - LISTA DE ESPÉCIES'!B:H,7,FALSE()),IF(AND(A999=0,B999=0,C999&lt;&gt;0),VLOOKUP(C999,'3 - LISTA DE ESPÉCIES'!C:H,6,FALSE()))))</f>
        <v>0</v>
      </c>
      <c r="H999" s="21" t="b">
        <f>IF(AND(A999&lt;&gt;0,B999=0,C999=0),VLOOKUP(A999,'3 - LISTA DE ESPÉCIES'!A:H,4,FALSE()),IF(AND(A999=0,B999&lt;&gt;0,C999=0),VLOOKUP(B999,'3 - LISTA DE ESPÉCIES'!B:H,3,FALSE()),IF(AND(A999=0,B999=0,C999&lt;&gt;0),VLOOKUP(C999,'3 - LISTA DE ESPÉCIES'!C:H,2,FALSE()))))</f>
        <v>0</v>
      </c>
      <c r="I999" s="21" t="b">
        <f>IF(AND(A999&lt;&gt;0,B999=0,C999=0),VLOOKUP(A999,'3 - LISTA DE ESPÉCIES'!A:H,5,FALSE()),IF(AND(A999=0,B999&lt;&gt;0,C999=0),VLOOKUP(B999,'3 - LISTA DE ESPÉCIES'!B:H,4,FALSE()),IF(AND(A999=0,B999=0,C999&lt;&gt;0),VLOOKUP(C999,'3 - LISTA DE ESPÉCIES'!C:H,3,FALSE()))))</f>
        <v>0</v>
      </c>
      <c r="J999" s="23"/>
      <c r="K999" s="23"/>
      <c r="L999" s="20"/>
      <c r="M999" s="20"/>
    </row>
    <row r="1000" spans="1:13" x14ac:dyDescent="0.25">
      <c r="A1000" s="20"/>
      <c r="B1000" s="20"/>
      <c r="C1000" s="20"/>
      <c r="E1000" s="21" t="b">
        <f>IF(AND(A1000&lt;&gt;0,B1000=0,C1000=0),VLOOKUP(A1000,'3 - LISTA DE ESPÉCIES'!A:H,1,FALSE()),IF(AND(A1000=0,B1000&lt;&gt;0,C1000=0),VLOOKUP(B1000,'3 - LISTA DE ESPÉCIES'!B:H,5,FALSE()),IF(AND(A1000=0,B1000=0,C1000&lt;&gt;0),VLOOKUP(C1000,'3 - LISTA DE ESPÉCIES'!C:H,4,FALSE()))))</f>
        <v>0</v>
      </c>
      <c r="F1000" s="21" t="b">
        <f>IF(AND(A1000&lt;&gt;0,B1000=0,C1000=0),VLOOKUP(A1000,'3 - LISTA DE ESPÉCIES'!A:H,2,FALSE()),IF(AND(A1000=0,B1000&lt;&gt;0,C1000=0),VLOOKUP(B1000,'3 - LISTA DE ESPÉCIES'!B:H,6,FALSE()),IF(AND(A1000=0,B1000=0,C1000&lt;&gt;0),VLOOKUP(C1000,'3 - LISTA DE ESPÉCIES'!C:H,5,FALSE()))))</f>
        <v>0</v>
      </c>
      <c r="G1000" s="21" t="b">
        <f>IF(AND(A1000&lt;&gt;0,B1000=0,C1000=0),VLOOKUP(A1000,'3 - LISTA DE ESPÉCIES'!A:H,3,FALSE()),IF(AND(A1000=0,B1000&lt;&gt;0,C1000=0),VLOOKUP(B1000,'3 - LISTA DE ESPÉCIES'!B:H,7,FALSE()),IF(AND(A1000=0,B1000=0,C1000&lt;&gt;0),VLOOKUP(C1000,'3 - LISTA DE ESPÉCIES'!C:H,6,FALSE()))))</f>
        <v>0</v>
      </c>
      <c r="H1000" s="21" t="b">
        <f>IF(AND(A1000&lt;&gt;0,B1000=0,C1000=0),VLOOKUP(A1000,'3 - LISTA DE ESPÉCIES'!A:H,4,FALSE()),IF(AND(A1000=0,B1000&lt;&gt;0,C1000=0),VLOOKUP(B1000,'3 - LISTA DE ESPÉCIES'!B:H,3,FALSE()),IF(AND(A1000=0,B1000=0,C1000&lt;&gt;0),VLOOKUP(C1000,'3 - LISTA DE ESPÉCIES'!C:H,2,FALSE()))))</f>
        <v>0</v>
      </c>
      <c r="I1000" s="21" t="b">
        <f>IF(AND(A1000&lt;&gt;0,B1000=0,C1000=0),VLOOKUP(A1000,'3 - LISTA DE ESPÉCIES'!A:H,5,FALSE()),IF(AND(A1000=0,B1000&lt;&gt;0,C1000=0),VLOOKUP(B1000,'3 - LISTA DE ESPÉCIES'!B:H,4,FALSE()),IF(AND(A1000=0,B1000=0,C1000&lt;&gt;0),VLOOKUP(C1000,'3 - LISTA DE ESPÉCIES'!C:H,3,FALSE()))))</f>
        <v>0</v>
      </c>
      <c r="J1000" s="23"/>
      <c r="K1000" s="23"/>
      <c r="L1000" s="20"/>
      <c r="M1000" s="20"/>
    </row>
    <row r="1001" spans="1:13" x14ac:dyDescent="0.25">
      <c r="A1001" s="20"/>
      <c r="B1001" s="20"/>
      <c r="C1001" s="20"/>
      <c r="E1001" s="21" t="b">
        <f>IF(AND(A1001&lt;&gt;0,B1001=0,C1001=0),VLOOKUP(A1001,'3 - LISTA DE ESPÉCIES'!A:H,1,FALSE()),IF(AND(A1001=0,B1001&lt;&gt;0,C1001=0),VLOOKUP(B1001,'3 - LISTA DE ESPÉCIES'!B:H,5,FALSE()),IF(AND(A1001=0,B1001=0,C1001&lt;&gt;0),VLOOKUP(C1001,'3 - LISTA DE ESPÉCIES'!C:H,4,FALSE()))))</f>
        <v>0</v>
      </c>
      <c r="F1001" s="21" t="b">
        <f>IF(AND(A1001&lt;&gt;0,B1001=0,C1001=0),VLOOKUP(A1001,'3 - LISTA DE ESPÉCIES'!A:H,2,FALSE()),IF(AND(A1001=0,B1001&lt;&gt;0,C1001=0),VLOOKUP(B1001,'3 - LISTA DE ESPÉCIES'!B:H,6,FALSE()),IF(AND(A1001=0,B1001=0,C1001&lt;&gt;0),VLOOKUP(C1001,'3 - LISTA DE ESPÉCIES'!C:H,5,FALSE()))))</f>
        <v>0</v>
      </c>
      <c r="G1001" s="21" t="b">
        <f>IF(AND(A1001&lt;&gt;0,B1001=0,C1001=0),VLOOKUP(A1001,'3 - LISTA DE ESPÉCIES'!A:H,3,FALSE()),IF(AND(A1001=0,B1001&lt;&gt;0,C1001=0),VLOOKUP(B1001,'3 - LISTA DE ESPÉCIES'!B:H,7,FALSE()),IF(AND(A1001=0,B1001=0,C1001&lt;&gt;0),VLOOKUP(C1001,'3 - LISTA DE ESPÉCIES'!C:H,6,FALSE()))))</f>
        <v>0</v>
      </c>
      <c r="H1001" s="21" t="b">
        <f>IF(AND(A1001&lt;&gt;0,B1001=0,C1001=0),VLOOKUP(A1001,'3 - LISTA DE ESPÉCIES'!A:H,4,FALSE()),IF(AND(A1001=0,B1001&lt;&gt;0,C1001=0),VLOOKUP(B1001,'3 - LISTA DE ESPÉCIES'!B:H,3,FALSE()),IF(AND(A1001=0,B1001=0,C1001&lt;&gt;0),VLOOKUP(C1001,'3 - LISTA DE ESPÉCIES'!C:H,2,FALSE()))))</f>
        <v>0</v>
      </c>
      <c r="I1001" s="21" t="b">
        <f>IF(AND(A1001&lt;&gt;0,B1001=0,C1001=0),VLOOKUP(A1001,'3 - LISTA DE ESPÉCIES'!A:H,5,FALSE()),IF(AND(A1001=0,B1001&lt;&gt;0,C1001=0),VLOOKUP(B1001,'3 - LISTA DE ESPÉCIES'!B:H,4,FALSE()),IF(AND(A1001=0,B1001=0,C1001&lt;&gt;0),VLOOKUP(C1001,'3 - LISTA DE ESPÉCIES'!C:H,3,FALSE()))))</f>
        <v>0</v>
      </c>
      <c r="J1001" s="23"/>
      <c r="K1001" s="23"/>
      <c r="L1001" s="20"/>
      <c r="M1001" s="20"/>
    </row>
    <row r="1002" spans="1:13" x14ac:dyDescent="0.25">
      <c r="A1002" s="20"/>
      <c r="B1002" s="20"/>
      <c r="C1002" s="20"/>
      <c r="E1002" s="21" t="b">
        <f>IF(AND(A1002&lt;&gt;0,B1002=0,C1002=0),VLOOKUP(A1002,'3 - LISTA DE ESPÉCIES'!A:H,1,FALSE()),IF(AND(A1002=0,B1002&lt;&gt;0,C1002=0),VLOOKUP(B1002,'3 - LISTA DE ESPÉCIES'!B:H,5,FALSE()),IF(AND(A1002=0,B1002=0,C1002&lt;&gt;0),VLOOKUP(C1002,'3 - LISTA DE ESPÉCIES'!C:H,4,FALSE()))))</f>
        <v>0</v>
      </c>
      <c r="F1002" s="21" t="b">
        <f>IF(AND(A1002&lt;&gt;0,B1002=0,C1002=0),VLOOKUP(A1002,'3 - LISTA DE ESPÉCIES'!A:H,2,FALSE()),IF(AND(A1002=0,B1002&lt;&gt;0,C1002=0),VLOOKUP(B1002,'3 - LISTA DE ESPÉCIES'!B:H,6,FALSE()),IF(AND(A1002=0,B1002=0,C1002&lt;&gt;0),VLOOKUP(C1002,'3 - LISTA DE ESPÉCIES'!C:H,5,FALSE()))))</f>
        <v>0</v>
      </c>
      <c r="G1002" s="21" t="b">
        <f>IF(AND(A1002&lt;&gt;0,B1002=0,C1002=0),VLOOKUP(A1002,'3 - LISTA DE ESPÉCIES'!A:H,3,FALSE()),IF(AND(A1002=0,B1002&lt;&gt;0,C1002=0),VLOOKUP(B1002,'3 - LISTA DE ESPÉCIES'!B:H,7,FALSE()),IF(AND(A1002=0,B1002=0,C1002&lt;&gt;0),VLOOKUP(C1002,'3 - LISTA DE ESPÉCIES'!C:H,6,FALSE()))))</f>
        <v>0</v>
      </c>
      <c r="H1002" s="21" t="b">
        <f>IF(AND(A1002&lt;&gt;0,B1002=0,C1002=0),VLOOKUP(A1002,'3 - LISTA DE ESPÉCIES'!A:H,4,FALSE()),IF(AND(A1002=0,B1002&lt;&gt;0,C1002=0),VLOOKUP(B1002,'3 - LISTA DE ESPÉCIES'!B:H,3,FALSE()),IF(AND(A1002=0,B1002=0,C1002&lt;&gt;0),VLOOKUP(C1002,'3 - LISTA DE ESPÉCIES'!C:H,2,FALSE()))))</f>
        <v>0</v>
      </c>
      <c r="I1002" s="21" t="b">
        <f>IF(AND(A1002&lt;&gt;0,B1002=0,C1002=0),VLOOKUP(A1002,'3 - LISTA DE ESPÉCIES'!A:H,5,FALSE()),IF(AND(A1002=0,B1002&lt;&gt;0,C1002=0),VLOOKUP(B1002,'3 - LISTA DE ESPÉCIES'!B:H,4,FALSE()),IF(AND(A1002=0,B1002=0,C1002&lt;&gt;0),VLOOKUP(C1002,'3 - LISTA DE ESPÉCIES'!C:H,3,FALSE()))))</f>
        <v>0</v>
      </c>
      <c r="J1002" s="23"/>
      <c r="K1002" s="23"/>
      <c r="L1002" s="20"/>
      <c r="M1002" s="20"/>
    </row>
    <row r="1003" spans="1:13" x14ac:dyDescent="0.25">
      <c r="A1003" s="20"/>
      <c r="B1003" s="20"/>
      <c r="C1003" s="20"/>
      <c r="E1003" s="21" t="b">
        <f>IF(AND(A1003&lt;&gt;0,B1003=0,C1003=0),VLOOKUP(A1003,'3 - LISTA DE ESPÉCIES'!A:H,1,FALSE()),IF(AND(A1003=0,B1003&lt;&gt;0,C1003=0),VLOOKUP(B1003,'3 - LISTA DE ESPÉCIES'!B:H,5,FALSE()),IF(AND(A1003=0,B1003=0,C1003&lt;&gt;0),VLOOKUP(C1003,'3 - LISTA DE ESPÉCIES'!C:H,4,FALSE()))))</f>
        <v>0</v>
      </c>
      <c r="F1003" s="21" t="b">
        <f>IF(AND(A1003&lt;&gt;0,B1003=0,C1003=0),VLOOKUP(A1003,'3 - LISTA DE ESPÉCIES'!A:H,2,FALSE()),IF(AND(A1003=0,B1003&lt;&gt;0,C1003=0),VLOOKUP(B1003,'3 - LISTA DE ESPÉCIES'!B:H,6,FALSE()),IF(AND(A1003=0,B1003=0,C1003&lt;&gt;0),VLOOKUP(C1003,'3 - LISTA DE ESPÉCIES'!C:H,5,FALSE()))))</f>
        <v>0</v>
      </c>
      <c r="G1003" s="21" t="b">
        <f>IF(AND(A1003&lt;&gt;0,B1003=0,C1003=0),VLOOKUP(A1003,'3 - LISTA DE ESPÉCIES'!A:H,3,FALSE()),IF(AND(A1003=0,B1003&lt;&gt;0,C1003=0),VLOOKUP(B1003,'3 - LISTA DE ESPÉCIES'!B:H,7,FALSE()),IF(AND(A1003=0,B1003=0,C1003&lt;&gt;0),VLOOKUP(C1003,'3 - LISTA DE ESPÉCIES'!C:H,6,FALSE()))))</f>
        <v>0</v>
      </c>
      <c r="H1003" s="21" t="b">
        <f>IF(AND(A1003&lt;&gt;0,B1003=0,C1003=0),VLOOKUP(A1003,'3 - LISTA DE ESPÉCIES'!A:H,4,FALSE()),IF(AND(A1003=0,B1003&lt;&gt;0,C1003=0),VLOOKUP(B1003,'3 - LISTA DE ESPÉCIES'!B:H,3,FALSE()),IF(AND(A1003=0,B1003=0,C1003&lt;&gt;0),VLOOKUP(C1003,'3 - LISTA DE ESPÉCIES'!C:H,2,FALSE()))))</f>
        <v>0</v>
      </c>
      <c r="I1003" s="21" t="b">
        <f>IF(AND(A1003&lt;&gt;0,B1003=0,C1003=0),VLOOKUP(A1003,'3 - LISTA DE ESPÉCIES'!A:H,5,FALSE()),IF(AND(A1003=0,B1003&lt;&gt;0,C1003=0),VLOOKUP(B1003,'3 - LISTA DE ESPÉCIES'!B:H,4,FALSE()),IF(AND(A1003=0,B1003=0,C1003&lt;&gt;0),VLOOKUP(C1003,'3 - LISTA DE ESPÉCIES'!C:H,3,FALSE()))))</f>
        <v>0</v>
      </c>
      <c r="J1003" s="23"/>
      <c r="K1003" s="23"/>
      <c r="L1003" s="20"/>
      <c r="M1003" s="20"/>
    </row>
    <row r="1004" spans="1:13" x14ac:dyDescent="0.25">
      <c r="A1004" s="20"/>
      <c r="B1004" s="20"/>
      <c r="C1004" s="20"/>
      <c r="E1004" s="21" t="b">
        <f>IF(AND(A1004&lt;&gt;0,B1004=0,C1004=0),VLOOKUP(A1004,'3 - LISTA DE ESPÉCIES'!A:H,1,FALSE()),IF(AND(A1004=0,B1004&lt;&gt;0,C1004=0),VLOOKUP(B1004,'3 - LISTA DE ESPÉCIES'!B:H,5,FALSE()),IF(AND(A1004=0,B1004=0,C1004&lt;&gt;0),VLOOKUP(C1004,'3 - LISTA DE ESPÉCIES'!C:H,4,FALSE()))))</f>
        <v>0</v>
      </c>
      <c r="F1004" s="21" t="b">
        <f>IF(AND(A1004&lt;&gt;0,B1004=0,C1004=0),VLOOKUP(A1004,'3 - LISTA DE ESPÉCIES'!A:H,2,FALSE()),IF(AND(A1004=0,B1004&lt;&gt;0,C1004=0),VLOOKUP(B1004,'3 - LISTA DE ESPÉCIES'!B:H,6,FALSE()),IF(AND(A1004=0,B1004=0,C1004&lt;&gt;0),VLOOKUP(C1004,'3 - LISTA DE ESPÉCIES'!C:H,5,FALSE()))))</f>
        <v>0</v>
      </c>
      <c r="G1004" s="21" t="b">
        <f>IF(AND(A1004&lt;&gt;0,B1004=0,C1004=0),VLOOKUP(A1004,'3 - LISTA DE ESPÉCIES'!A:H,3,FALSE()),IF(AND(A1004=0,B1004&lt;&gt;0,C1004=0),VLOOKUP(B1004,'3 - LISTA DE ESPÉCIES'!B:H,7,FALSE()),IF(AND(A1004=0,B1004=0,C1004&lt;&gt;0),VLOOKUP(C1004,'3 - LISTA DE ESPÉCIES'!C:H,6,FALSE()))))</f>
        <v>0</v>
      </c>
      <c r="H1004" s="21" t="b">
        <f>IF(AND(A1004&lt;&gt;0,B1004=0,C1004=0),VLOOKUP(A1004,'3 - LISTA DE ESPÉCIES'!A:H,4,FALSE()),IF(AND(A1004=0,B1004&lt;&gt;0,C1004=0),VLOOKUP(B1004,'3 - LISTA DE ESPÉCIES'!B:H,3,FALSE()),IF(AND(A1004=0,B1004=0,C1004&lt;&gt;0),VLOOKUP(C1004,'3 - LISTA DE ESPÉCIES'!C:H,2,FALSE()))))</f>
        <v>0</v>
      </c>
      <c r="I1004" s="21" t="b">
        <f>IF(AND(A1004&lt;&gt;0,B1004=0,C1004=0),VLOOKUP(A1004,'3 - LISTA DE ESPÉCIES'!A:H,5,FALSE()),IF(AND(A1004=0,B1004&lt;&gt;0,C1004=0),VLOOKUP(B1004,'3 - LISTA DE ESPÉCIES'!B:H,4,FALSE()),IF(AND(A1004=0,B1004=0,C1004&lt;&gt;0),VLOOKUP(C1004,'3 - LISTA DE ESPÉCIES'!C:H,3,FALSE()))))</f>
        <v>0</v>
      </c>
      <c r="J1004" s="23"/>
      <c r="K1004" s="23"/>
      <c r="L1004" s="20"/>
      <c r="M1004" s="20"/>
    </row>
    <row r="1005" spans="1:13" x14ac:dyDescent="0.25">
      <c r="A1005" s="20"/>
      <c r="B1005" s="20"/>
      <c r="C1005" s="20"/>
      <c r="E1005" s="21" t="b">
        <f>IF(AND(A1005&lt;&gt;0,B1005=0,C1005=0),VLOOKUP(A1005,'3 - LISTA DE ESPÉCIES'!A:H,1,FALSE()),IF(AND(A1005=0,B1005&lt;&gt;0,C1005=0),VLOOKUP(B1005,'3 - LISTA DE ESPÉCIES'!B:H,5,FALSE()),IF(AND(A1005=0,B1005=0,C1005&lt;&gt;0),VLOOKUP(C1005,'3 - LISTA DE ESPÉCIES'!C:H,4,FALSE()))))</f>
        <v>0</v>
      </c>
      <c r="F1005" s="21" t="b">
        <f>IF(AND(A1005&lt;&gt;0,B1005=0,C1005=0),VLOOKUP(A1005,'3 - LISTA DE ESPÉCIES'!A:H,2,FALSE()),IF(AND(A1005=0,B1005&lt;&gt;0,C1005=0),VLOOKUP(B1005,'3 - LISTA DE ESPÉCIES'!B:H,6,FALSE()),IF(AND(A1005=0,B1005=0,C1005&lt;&gt;0),VLOOKUP(C1005,'3 - LISTA DE ESPÉCIES'!C:H,5,FALSE()))))</f>
        <v>0</v>
      </c>
      <c r="G1005" s="21" t="b">
        <f>IF(AND(A1005&lt;&gt;0,B1005=0,C1005=0),VLOOKUP(A1005,'3 - LISTA DE ESPÉCIES'!A:H,3,FALSE()),IF(AND(A1005=0,B1005&lt;&gt;0,C1005=0),VLOOKUP(B1005,'3 - LISTA DE ESPÉCIES'!B:H,7,FALSE()),IF(AND(A1005=0,B1005=0,C1005&lt;&gt;0),VLOOKUP(C1005,'3 - LISTA DE ESPÉCIES'!C:H,6,FALSE()))))</f>
        <v>0</v>
      </c>
      <c r="H1005" s="21" t="b">
        <f>IF(AND(A1005&lt;&gt;0,B1005=0,C1005=0),VLOOKUP(A1005,'3 - LISTA DE ESPÉCIES'!A:H,4,FALSE()),IF(AND(A1005=0,B1005&lt;&gt;0,C1005=0),VLOOKUP(B1005,'3 - LISTA DE ESPÉCIES'!B:H,3,FALSE()),IF(AND(A1005=0,B1005=0,C1005&lt;&gt;0),VLOOKUP(C1005,'3 - LISTA DE ESPÉCIES'!C:H,2,FALSE()))))</f>
        <v>0</v>
      </c>
      <c r="I1005" s="21" t="b">
        <f>IF(AND(A1005&lt;&gt;0,B1005=0,C1005=0),VLOOKUP(A1005,'3 - LISTA DE ESPÉCIES'!A:H,5,FALSE()),IF(AND(A1005=0,B1005&lt;&gt;0,C1005=0),VLOOKUP(B1005,'3 - LISTA DE ESPÉCIES'!B:H,4,FALSE()),IF(AND(A1005=0,B1005=0,C1005&lt;&gt;0),VLOOKUP(C1005,'3 - LISTA DE ESPÉCIES'!C:H,3,FALSE()))))</f>
        <v>0</v>
      </c>
      <c r="J1005" s="23"/>
      <c r="K1005" s="23"/>
      <c r="L1005" s="20"/>
      <c r="M1005" s="20"/>
    </row>
  </sheetData>
  <mergeCells count="3">
    <mergeCell ref="A1:M3"/>
    <mergeCell ref="A4:C4"/>
    <mergeCell ref="E4:M4"/>
  </mergeCells>
  <pageMargins left="0.51180555555555596" right="0.51180555555555596" top="0.78749999999999998" bottom="0.78749999999999998"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'3 - LISTA DE ESPÉCIES'!$B$5:$B$1718</xm:f>
          </x14:formula1>
          <x14:formula2>
            <xm:f>0</xm:f>
          </x14:formula2>
          <xm:sqref>B6:B1005</xm:sqref>
        </x14:dataValidation>
        <x14:dataValidation type="list" allowBlank="1" showInputMessage="1" showErrorMessage="1" xr:uid="{00000000-0002-0000-0100-000001000000}">
          <x14:formula1>
            <xm:f>'3 - LISTA DE ESPÉCIES'!$A$5:$A$1718</xm:f>
          </x14:formula1>
          <x14:formula2>
            <xm:f>0</xm:f>
          </x14:formula2>
          <xm:sqref>A6:A1005</xm:sqref>
        </x14:dataValidation>
        <x14:dataValidation type="list" allowBlank="1" showInputMessage="1" showErrorMessage="1" xr:uid="{00000000-0002-0000-0100-000002000000}">
          <x14:formula1>
            <xm:f>'3 - LISTA DE ESPÉCIES'!$C$5:$C$1718</xm:f>
          </x14:formula1>
          <x14:formula2>
            <xm:f>0</xm:f>
          </x14:formula2>
          <xm:sqref>C6:C1005</xm:sqref>
        </x14:dataValidation>
        <x14:dataValidation type="list" allowBlank="1" showInputMessage="1" showErrorMessage="1" xr:uid="{00000000-0002-0000-0100-000003000000}">
          <x14:formula1>
            <xm:f>'4 - LISTA DOS TIPOS DE PRODUTOS'!$A:$A</xm:f>
          </x14:formula1>
          <x14:formula2>
            <xm:f>0</xm:f>
          </x14:formula2>
          <xm:sqref>L6:L1005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77839"/>
  </sheetPr>
  <dimension ref="A1:H1807"/>
  <sheetViews>
    <sheetView zoomScaleNormal="100" workbookViewId="0">
      <selection activeCell="B5" sqref="B5"/>
    </sheetView>
  </sheetViews>
  <sheetFormatPr defaultColWidth="8.7109375" defaultRowHeight="15" x14ac:dyDescent="0.25"/>
  <cols>
    <col min="1" max="1" width="9.42578125" customWidth="1"/>
    <col min="2" max="2" width="51.42578125" customWidth="1"/>
    <col min="3" max="3" width="33.85546875" customWidth="1"/>
    <col min="4" max="4" width="17.140625" customWidth="1"/>
    <col min="5" max="5" width="15.28515625" customWidth="1"/>
    <col min="6" max="6" width="12.140625" style="24" customWidth="1"/>
    <col min="7" max="7" width="22.85546875" style="40" customWidth="1"/>
    <col min="8" max="8" width="35.140625" style="24" customWidth="1"/>
  </cols>
  <sheetData>
    <row r="1" spans="1:8" ht="18.75" customHeight="1" x14ac:dyDescent="0.25">
      <c r="A1" s="44" t="s">
        <v>19</v>
      </c>
      <c r="B1" s="44"/>
      <c r="C1" s="44"/>
      <c r="D1" s="44"/>
      <c r="E1" s="44"/>
      <c r="F1" s="44"/>
      <c r="G1" s="44"/>
      <c r="H1" s="44"/>
    </row>
    <row r="2" spans="1:8" x14ac:dyDescent="0.25">
      <c r="A2" s="44"/>
      <c r="B2" s="44"/>
      <c r="C2" s="44"/>
      <c r="D2" s="44"/>
      <c r="E2" s="44"/>
      <c r="F2" s="44"/>
      <c r="G2" s="44"/>
      <c r="H2" s="44"/>
    </row>
    <row r="3" spans="1:8" x14ac:dyDescent="0.25">
      <c r="A3" s="44"/>
      <c r="B3" s="44"/>
      <c r="C3" s="44"/>
      <c r="D3" s="44"/>
      <c r="E3" s="44"/>
      <c r="F3" s="44"/>
      <c r="G3" s="44"/>
      <c r="H3" s="44"/>
    </row>
    <row r="4" spans="1:8" x14ac:dyDescent="0.25">
      <c r="A4" s="25" t="s">
        <v>22</v>
      </c>
      <c r="B4" s="25" t="s">
        <v>31</v>
      </c>
      <c r="C4" s="25" t="s">
        <v>32</v>
      </c>
      <c r="D4" s="25" t="s">
        <v>25</v>
      </c>
      <c r="E4" s="25" t="s">
        <v>26</v>
      </c>
      <c r="F4" s="25" t="s">
        <v>33</v>
      </c>
      <c r="G4" s="41" t="s">
        <v>34</v>
      </c>
      <c r="H4" s="25" t="s">
        <v>35</v>
      </c>
    </row>
    <row r="5" spans="1:8" x14ac:dyDescent="0.25">
      <c r="A5">
        <v>119</v>
      </c>
      <c r="B5" t="s">
        <v>2552</v>
      </c>
      <c r="C5" t="s">
        <v>2553</v>
      </c>
      <c r="D5" t="s">
        <v>38</v>
      </c>
      <c r="E5">
        <v>32211</v>
      </c>
      <c r="F5" s="24">
        <f>especies_ativa_codibama[[#This Row],[Código]]</f>
        <v>119</v>
      </c>
      <c r="G5" s="40" t="str">
        <f>especies_ativa_codibama[[#This Row],[Nome popular]]</f>
        <v>Goiabeira-serrana</v>
      </c>
      <c r="H5" s="40" t="str">
        <f>especies_ativa_codibama[[#This Row],[Nome científico]]</f>
        <v>Acca sellowiana</v>
      </c>
    </row>
    <row r="6" spans="1:8" x14ac:dyDescent="0.25">
      <c r="A6">
        <v>221</v>
      </c>
      <c r="B6" t="s">
        <v>36</v>
      </c>
      <c r="C6" t="s">
        <v>37</v>
      </c>
      <c r="D6" t="s">
        <v>38</v>
      </c>
      <c r="E6">
        <v>35763</v>
      </c>
      <c r="F6" s="24">
        <f>especies_ativa_codibama[[#This Row],[Código]]</f>
        <v>221</v>
      </c>
      <c r="G6" s="40" t="str">
        <f>especies_ativa_codibama[[#This Row],[Nome popular]]</f>
        <v>Barreiro, branquinho e laranjeira-do-mato, Guamirim, laranjeira-brava, laranjeira-do-mato, Limoeiro, pau-rainha , Canela-de-veado, feicassé, laranjeira-brava</v>
      </c>
      <c r="H6" s="40" t="str">
        <f>especies_ativa_codibama[[#This Row],[Nome científico]]</f>
        <v>Actinostemon concolor</v>
      </c>
    </row>
    <row r="7" spans="1:8" x14ac:dyDescent="0.25">
      <c r="A7">
        <v>233</v>
      </c>
      <c r="B7" t="s">
        <v>2554</v>
      </c>
      <c r="C7" t="s">
        <v>2555</v>
      </c>
      <c r="D7" t="s">
        <v>38</v>
      </c>
      <c r="E7">
        <v>35269</v>
      </c>
      <c r="F7" s="24">
        <f>especies_ativa_codibama[[#This Row],[Código]]</f>
        <v>233</v>
      </c>
      <c r="G7" s="40" t="str">
        <f>especies_ativa_codibama[[#This Row],[Nome popular]]</f>
        <v>Tento-carolina</v>
      </c>
      <c r="H7" s="40" t="str">
        <f>especies_ativa_codibama[[#This Row],[Nome científico]]</f>
        <v>Adenanthera pavonina</v>
      </c>
    </row>
    <row r="8" spans="1:8" x14ac:dyDescent="0.25">
      <c r="A8">
        <v>411</v>
      </c>
      <c r="B8" t="s">
        <v>2556</v>
      </c>
      <c r="C8" t="s">
        <v>2557</v>
      </c>
      <c r="D8" t="s">
        <v>38</v>
      </c>
      <c r="E8">
        <v>32857</v>
      </c>
      <c r="F8" s="24">
        <f>especies_ativa_codibama[[#This Row],[Código]]</f>
        <v>411</v>
      </c>
      <c r="G8" s="40" t="str">
        <f>especies_ativa_codibama[[#This Row],[Nome popular]]</f>
        <v>Ébano-europeu</v>
      </c>
      <c r="H8" s="40" t="str">
        <f>especies_ativa_codibama[[#This Row],[Nome científico]]</f>
        <v>Albizia lebbeck</v>
      </c>
    </row>
    <row r="9" spans="1:8" x14ac:dyDescent="0.25">
      <c r="A9">
        <v>412</v>
      </c>
      <c r="B9" t="s">
        <v>2558</v>
      </c>
      <c r="C9" t="s">
        <v>2557</v>
      </c>
      <c r="D9" t="s">
        <v>38</v>
      </c>
      <c r="E9">
        <v>32857</v>
      </c>
      <c r="F9" s="24">
        <f>especies_ativa_codibama[[#This Row],[Código]]</f>
        <v>412</v>
      </c>
      <c r="G9" s="40" t="str">
        <f>especies_ativa_codibama[[#This Row],[Nome popular]]</f>
        <v>Coração-de-negro</v>
      </c>
      <c r="H9" s="40" t="str">
        <f>especies_ativa_codibama[[#This Row],[Nome científico]]</f>
        <v>Albizia lebbeck</v>
      </c>
    </row>
    <row r="10" spans="1:8" x14ac:dyDescent="0.25">
      <c r="A10">
        <v>413</v>
      </c>
      <c r="B10" t="s">
        <v>2559</v>
      </c>
      <c r="C10" t="s">
        <v>2557</v>
      </c>
      <c r="D10" t="s">
        <v>38</v>
      </c>
      <c r="E10">
        <v>32857</v>
      </c>
      <c r="F10" s="24">
        <f>especies_ativa_codibama[[#This Row],[Código]]</f>
        <v>413</v>
      </c>
      <c r="G10" s="40" t="str">
        <f>especies_ativa_codibama[[#This Row],[Nome popular]]</f>
        <v>Ébano-oriental</v>
      </c>
      <c r="H10" s="40" t="str">
        <f>especies_ativa_codibama[[#This Row],[Nome científico]]</f>
        <v>Albizia lebbeck</v>
      </c>
    </row>
    <row r="11" spans="1:8" x14ac:dyDescent="0.25">
      <c r="A11">
        <v>557</v>
      </c>
      <c r="B11" t="s">
        <v>39</v>
      </c>
      <c r="C11" t="s">
        <v>40</v>
      </c>
      <c r="D11" t="s">
        <v>38</v>
      </c>
      <c r="E11">
        <v>34693</v>
      </c>
      <c r="F11" s="24">
        <f>especies_ativa_codibama[[#This Row],[Código]]</f>
        <v>557</v>
      </c>
      <c r="G11" s="40" t="str">
        <f>especies_ativa_codibama[[#This Row],[Nome popular]]</f>
        <v>Apuruí, Arapuruí</v>
      </c>
      <c r="H11" s="40" t="str">
        <f>especies_ativa_codibama[[#This Row],[Nome científico]]</f>
        <v>Alibertia edulis</v>
      </c>
    </row>
    <row r="12" spans="1:8" x14ac:dyDescent="0.25">
      <c r="A12">
        <v>808</v>
      </c>
      <c r="B12" t="s">
        <v>1298</v>
      </c>
      <c r="C12" t="s">
        <v>1299</v>
      </c>
      <c r="D12" t="s">
        <v>205</v>
      </c>
      <c r="E12">
        <v>34091</v>
      </c>
      <c r="F12" s="24">
        <f>especies_ativa_codibama[[#This Row],[Código]]</f>
        <v>808</v>
      </c>
      <c r="G12" s="40" t="str">
        <f>especies_ativa_codibama[[#This Row],[Nome popular]]</f>
        <v>Angico-branco, Angico, Angico-branco-liso, Curupaí, Curupaíba, Angico-coco, Angico-escuro, Angico-liso, Angico-vermelho, Cambuí-angico</v>
      </c>
      <c r="H12" s="40" t="str">
        <f>especies_ativa_codibama[[#This Row],[Nome científico]]</f>
        <v>Anadenanthera colubrina</v>
      </c>
    </row>
    <row r="13" spans="1:8" x14ac:dyDescent="0.25">
      <c r="A13">
        <v>906</v>
      </c>
      <c r="B13" t="s">
        <v>41</v>
      </c>
      <c r="C13" t="s">
        <v>42</v>
      </c>
      <c r="D13" t="s">
        <v>38</v>
      </c>
      <c r="E13">
        <v>2010077</v>
      </c>
      <c r="F13" s="24">
        <f>especies_ativa_codibama[[#This Row],[Código]]</f>
        <v>906</v>
      </c>
      <c r="G13" s="40" t="str">
        <f>especies_ativa_codibama[[#This Row],[Nome popular]]</f>
        <v>Angelim-do-cerrado</v>
      </c>
      <c r="H13" s="40" t="str">
        <f>especies_ativa_codibama[[#This Row],[Nome científico]]</f>
        <v>Andira cujabensis</v>
      </c>
    </row>
    <row r="14" spans="1:8" x14ac:dyDescent="0.25">
      <c r="A14">
        <v>1963</v>
      </c>
      <c r="B14" t="s">
        <v>2560</v>
      </c>
      <c r="C14" t="s">
        <v>2561</v>
      </c>
      <c r="D14" t="s">
        <v>38</v>
      </c>
      <c r="E14">
        <v>35292</v>
      </c>
      <c r="F14" s="24">
        <f>especies_ativa_codibama[[#This Row],[Código]]</f>
        <v>1963</v>
      </c>
      <c r="G14" s="40" t="str">
        <f>especies_ativa_codibama[[#This Row],[Nome popular]]</f>
        <v>Amargoso</v>
      </c>
      <c r="H14" s="40" t="str">
        <f>especies_ativa_codibama[[#This Row],[Nome científico]]</f>
        <v>Aspidosperma spruceanum</v>
      </c>
    </row>
    <row r="15" spans="1:8" x14ac:dyDescent="0.25">
      <c r="A15">
        <v>1977</v>
      </c>
      <c r="B15" t="s">
        <v>2562</v>
      </c>
      <c r="C15" t="s">
        <v>2561</v>
      </c>
      <c r="D15" t="s">
        <v>38</v>
      </c>
      <c r="E15">
        <v>35292</v>
      </c>
      <c r="F15" s="24">
        <f>especies_ativa_codibama[[#This Row],[Código]]</f>
        <v>1977</v>
      </c>
      <c r="G15" s="40" t="str">
        <f>especies_ativa_codibama[[#This Row],[Nome popular]]</f>
        <v>Araracanga</v>
      </c>
      <c r="H15" s="40" t="str">
        <f>especies_ativa_codibama[[#This Row],[Nome científico]]</f>
        <v>Aspidosperma spruceanum</v>
      </c>
    </row>
    <row r="16" spans="1:8" x14ac:dyDescent="0.25">
      <c r="A16">
        <v>2289</v>
      </c>
      <c r="B16" t="s">
        <v>2563</v>
      </c>
      <c r="C16" t="s">
        <v>2564</v>
      </c>
      <c r="D16" t="s">
        <v>38</v>
      </c>
      <c r="E16">
        <v>35225</v>
      </c>
      <c r="F16" s="24">
        <f>especies_ativa_codibama[[#This Row],[Código]]</f>
        <v>2289</v>
      </c>
      <c r="G16" s="40" t="str">
        <f>especies_ativa_codibama[[#This Row],[Nome popular]]</f>
        <v>indaia, babassu, catolé</v>
      </c>
      <c r="H16" s="40" t="str">
        <f>especies_ativa_codibama[[#This Row],[Nome científico]]</f>
        <v>Attalea compta</v>
      </c>
    </row>
    <row r="17" spans="1:8" x14ac:dyDescent="0.25">
      <c r="A17">
        <v>2324</v>
      </c>
      <c r="B17" t="s">
        <v>43</v>
      </c>
      <c r="C17" t="s">
        <v>44</v>
      </c>
      <c r="D17" t="s">
        <v>38</v>
      </c>
      <c r="E17">
        <v>35296</v>
      </c>
      <c r="F17" s="24">
        <f>especies_ativa_codibama[[#This Row],[Código]]</f>
        <v>2324</v>
      </c>
      <c r="G17" s="40" t="str">
        <f>especies_ativa_codibama[[#This Row],[Nome popular]]</f>
        <v>Coco-de-palmeira</v>
      </c>
      <c r="H17" s="40" t="str">
        <f>especies_ativa_codibama[[#This Row],[Nome científico]]</f>
        <v>Attalea speciosa</v>
      </c>
    </row>
    <row r="18" spans="1:8" x14ac:dyDescent="0.25">
      <c r="A18">
        <v>2326</v>
      </c>
      <c r="B18" t="s">
        <v>45</v>
      </c>
      <c r="C18" t="s">
        <v>44</v>
      </c>
      <c r="D18" t="s">
        <v>38</v>
      </c>
      <c r="E18">
        <v>35296</v>
      </c>
      <c r="F18" s="24">
        <f>especies_ativa_codibama[[#This Row],[Código]]</f>
        <v>2326</v>
      </c>
      <c r="G18" s="40" t="str">
        <f>especies_ativa_codibama[[#This Row],[Nome popular]]</f>
        <v>Babaçu</v>
      </c>
      <c r="H18" s="40" t="str">
        <f>especies_ativa_codibama[[#This Row],[Nome científico]]</f>
        <v>Attalea speciosa</v>
      </c>
    </row>
    <row r="19" spans="1:8" x14ac:dyDescent="0.25">
      <c r="A19">
        <v>2639</v>
      </c>
      <c r="B19" t="s">
        <v>2565</v>
      </c>
      <c r="C19" t="s">
        <v>46</v>
      </c>
      <c r="D19" t="s">
        <v>38</v>
      </c>
      <c r="E19">
        <v>35299</v>
      </c>
      <c r="F19" s="24">
        <f>especies_ativa_codibama[[#This Row],[Código]]</f>
        <v>2639</v>
      </c>
      <c r="G19" s="40" t="str">
        <f>especies_ativa_codibama[[#This Row],[Nome popular]]</f>
        <v>Árvore-de-São-thomaz</v>
      </c>
      <c r="H19" s="40" t="str">
        <f>especies_ativa_codibama[[#This Row],[Nome científico]]</f>
        <v>Bauhinia variegata</v>
      </c>
    </row>
    <row r="20" spans="1:8" x14ac:dyDescent="0.25">
      <c r="A20">
        <v>5097</v>
      </c>
      <c r="B20" t="s">
        <v>2566</v>
      </c>
      <c r="C20" t="s">
        <v>2495</v>
      </c>
      <c r="D20" t="s">
        <v>38</v>
      </c>
      <c r="E20">
        <v>34757</v>
      </c>
      <c r="F20" s="24">
        <f>especies_ativa_codibama[[#This Row],[Código]]</f>
        <v>5097</v>
      </c>
      <c r="G20" s="40" t="str">
        <f>especies_ativa_codibama[[#This Row],[Nome popular]]</f>
        <v>Vinagreiro</v>
      </c>
      <c r="H20" s="40" t="str">
        <f>especies_ativa_codibama[[#This Row],[Nome científico]]</f>
        <v>Caryocar villosum</v>
      </c>
    </row>
    <row r="21" spans="1:8" x14ac:dyDescent="0.25">
      <c r="A21">
        <v>6327</v>
      </c>
      <c r="B21" t="s">
        <v>47</v>
      </c>
      <c r="C21" t="s">
        <v>48</v>
      </c>
      <c r="D21" t="s">
        <v>38</v>
      </c>
      <c r="E21">
        <v>31664</v>
      </c>
      <c r="F21" s="24">
        <f>especies_ativa_codibama[[#This Row],[Código]]</f>
        <v>6327</v>
      </c>
      <c r="G21" s="40" t="str">
        <f>especies_ativa_codibama[[#This Row],[Nome popular]]</f>
        <v>Barriguda</v>
      </c>
      <c r="H21" s="40" t="str">
        <f>especies_ativa_codibama[[#This Row],[Nome científico]]</f>
        <v>Chorisia glaziovii</v>
      </c>
    </row>
    <row r="22" spans="1:8" x14ac:dyDescent="0.25">
      <c r="A22">
        <v>6328</v>
      </c>
      <c r="B22" t="s">
        <v>49</v>
      </c>
      <c r="C22" t="s">
        <v>48</v>
      </c>
      <c r="D22" t="s">
        <v>38</v>
      </c>
      <c r="E22">
        <v>31664</v>
      </c>
      <c r="F22" s="24">
        <f>especies_ativa_codibama[[#This Row],[Código]]</f>
        <v>6328</v>
      </c>
      <c r="G22" s="40" t="str">
        <f>especies_ativa_codibama[[#This Row],[Nome popular]]</f>
        <v>Paineira-branca</v>
      </c>
      <c r="H22" s="40" t="str">
        <f>especies_ativa_codibama[[#This Row],[Nome científico]]</f>
        <v>Chorisia glaziovii</v>
      </c>
    </row>
    <row r="23" spans="1:8" x14ac:dyDescent="0.25">
      <c r="A23">
        <v>6329</v>
      </c>
      <c r="B23" t="s">
        <v>50</v>
      </c>
      <c r="C23" t="s">
        <v>48</v>
      </c>
      <c r="D23" t="s">
        <v>38</v>
      </c>
      <c r="E23">
        <v>31664</v>
      </c>
      <c r="F23" s="24">
        <f>especies_ativa_codibama[[#This Row],[Código]]</f>
        <v>6329</v>
      </c>
      <c r="G23" s="40" t="str">
        <f>especies_ativa_codibama[[#This Row],[Nome popular]]</f>
        <v>Paineira-de-espinho</v>
      </c>
      <c r="H23" s="40" t="str">
        <f>especies_ativa_codibama[[#This Row],[Nome científico]]</f>
        <v>Chorisia glaziovii</v>
      </c>
    </row>
    <row r="24" spans="1:8" x14ac:dyDescent="0.25">
      <c r="A24">
        <v>7285</v>
      </c>
      <c r="B24" t="s">
        <v>51</v>
      </c>
      <c r="C24" t="s">
        <v>52</v>
      </c>
      <c r="D24" t="s">
        <v>38</v>
      </c>
      <c r="E24">
        <v>33526</v>
      </c>
      <c r="F24" s="24">
        <f>especies_ativa_codibama[[#This Row],[Código]]</f>
        <v>7285</v>
      </c>
      <c r="G24" s="40" t="str">
        <f>especies_ativa_codibama[[#This Row],[Nome popular]]</f>
        <v>Pau-ferro</v>
      </c>
      <c r="H24" s="40" t="str">
        <f>especies_ativa_codibama[[#This Row],[Nome científico]]</f>
        <v>Connarus suberosus</v>
      </c>
    </row>
    <row r="25" spans="1:8" x14ac:dyDescent="0.25">
      <c r="A25">
        <v>7805</v>
      </c>
      <c r="B25" t="s">
        <v>2567</v>
      </c>
      <c r="C25" t="s">
        <v>2568</v>
      </c>
      <c r="D25" t="s">
        <v>38</v>
      </c>
      <c r="E25">
        <v>35349</v>
      </c>
      <c r="F25" s="24">
        <f>especies_ativa_codibama[[#This Row],[Código]]</f>
        <v>7805</v>
      </c>
      <c r="G25" s="40" t="str">
        <f>especies_ativa_codibama[[#This Row],[Nome popular]]</f>
        <v>Camama, Castanha-de-cutia, Camará, Oiti-do-pará</v>
      </c>
      <c r="H25" s="40" t="str">
        <f>especies_ativa_codibama[[#This Row],[Nome científico]]</f>
        <v>Couepia guianensis</v>
      </c>
    </row>
    <row r="26" spans="1:8" x14ac:dyDescent="0.25">
      <c r="A26">
        <v>7961</v>
      </c>
      <c r="B26" t="s">
        <v>53</v>
      </c>
      <c r="C26" t="s">
        <v>54</v>
      </c>
      <c r="D26" t="s">
        <v>38</v>
      </c>
      <c r="E26">
        <v>1861220</v>
      </c>
      <c r="F26" s="24">
        <f>especies_ativa_codibama[[#This Row],[Código]]</f>
        <v>7961</v>
      </c>
      <c r="G26" s="40" t="str">
        <f>especies_ativa_codibama[[#This Row],[Nome popular]]</f>
        <v>Bugre-branco</v>
      </c>
      <c r="H26" s="40" t="str">
        <f>especies_ativa_codibama[[#This Row],[Nome científico]]</f>
        <v>Coussarea hydrangeifolia</v>
      </c>
    </row>
    <row r="27" spans="1:8" x14ac:dyDescent="0.25">
      <c r="A27">
        <v>7962</v>
      </c>
      <c r="B27" t="s">
        <v>55</v>
      </c>
      <c r="C27" t="s">
        <v>54</v>
      </c>
      <c r="D27" t="s">
        <v>38</v>
      </c>
      <c r="E27">
        <v>1861220</v>
      </c>
      <c r="F27" s="24">
        <f>especies_ativa_codibama[[#This Row],[Código]]</f>
        <v>7962</v>
      </c>
      <c r="G27" s="40" t="str">
        <f>especies_ativa_codibama[[#This Row],[Nome popular]]</f>
        <v>Café-do-mato</v>
      </c>
      <c r="H27" s="40" t="str">
        <f>especies_ativa_codibama[[#This Row],[Nome científico]]</f>
        <v>Coussarea hydrangeifolia</v>
      </c>
    </row>
    <row r="28" spans="1:8" x14ac:dyDescent="0.25">
      <c r="A28">
        <v>7963</v>
      </c>
      <c r="B28" t="s">
        <v>56</v>
      </c>
      <c r="C28" t="s">
        <v>54</v>
      </c>
      <c r="D28" t="s">
        <v>38</v>
      </c>
      <c r="E28">
        <v>1861220</v>
      </c>
      <c r="F28" s="24">
        <f>especies_ativa_codibama[[#This Row],[Código]]</f>
        <v>7963</v>
      </c>
      <c r="G28" s="40" t="str">
        <f>especies_ativa_codibama[[#This Row],[Nome popular]]</f>
        <v>Falsa-quina</v>
      </c>
      <c r="H28" s="40" t="str">
        <f>especies_ativa_codibama[[#This Row],[Nome científico]]</f>
        <v>Coussarea hydrangeifolia</v>
      </c>
    </row>
    <row r="29" spans="1:8" x14ac:dyDescent="0.25">
      <c r="A29">
        <v>8336</v>
      </c>
      <c r="B29" t="s">
        <v>57</v>
      </c>
      <c r="C29" t="s">
        <v>58</v>
      </c>
      <c r="D29" t="s">
        <v>38</v>
      </c>
      <c r="E29">
        <v>32334</v>
      </c>
      <c r="F29" s="24">
        <f>especies_ativa_codibama[[#This Row],[Código]]</f>
        <v>8336</v>
      </c>
      <c r="G29" s="40" t="str">
        <f>especies_ativa_codibama[[#This Row],[Nome popular]]</f>
        <v>Louveira</v>
      </c>
      <c r="H29" s="40" t="str">
        <f>especies_ativa_codibama[[#This Row],[Nome científico]]</f>
        <v>Cyclolobium vecchii</v>
      </c>
    </row>
    <row r="30" spans="1:8" x14ac:dyDescent="0.25">
      <c r="A30">
        <v>8337</v>
      </c>
      <c r="B30" t="s">
        <v>51</v>
      </c>
      <c r="C30" t="s">
        <v>58</v>
      </c>
      <c r="D30" t="s">
        <v>38</v>
      </c>
      <c r="E30">
        <v>32334</v>
      </c>
      <c r="F30" s="24">
        <f>especies_ativa_codibama[[#This Row],[Código]]</f>
        <v>8337</v>
      </c>
      <c r="G30" s="40" t="str">
        <f>especies_ativa_codibama[[#This Row],[Nome popular]]</f>
        <v>Pau-ferro</v>
      </c>
      <c r="H30" s="40" t="str">
        <f>especies_ativa_codibama[[#This Row],[Nome científico]]</f>
        <v>Cyclolobium vecchii</v>
      </c>
    </row>
    <row r="31" spans="1:8" x14ac:dyDescent="0.25">
      <c r="A31">
        <v>8338</v>
      </c>
      <c r="B31" t="s">
        <v>59</v>
      </c>
      <c r="C31" t="s">
        <v>58</v>
      </c>
      <c r="D31" t="s">
        <v>38</v>
      </c>
      <c r="E31">
        <v>32334</v>
      </c>
      <c r="F31" s="24">
        <f>especies_ativa_codibama[[#This Row],[Código]]</f>
        <v>8338</v>
      </c>
      <c r="G31" s="40" t="str">
        <f>especies_ativa_codibama[[#This Row],[Nome popular]]</f>
        <v>Cabriutinga</v>
      </c>
      <c r="H31" s="40" t="str">
        <f>especies_ativa_codibama[[#This Row],[Nome científico]]</f>
        <v>Cyclolobium vecchii</v>
      </c>
    </row>
    <row r="32" spans="1:8" x14ac:dyDescent="0.25">
      <c r="A32">
        <v>8973</v>
      </c>
      <c r="B32" t="s">
        <v>60</v>
      </c>
      <c r="C32" t="s">
        <v>61</v>
      </c>
      <c r="D32" t="s">
        <v>38</v>
      </c>
      <c r="E32">
        <v>35361</v>
      </c>
      <c r="F32" s="24">
        <f>especies_ativa_codibama[[#This Row],[Código]]</f>
        <v>8973</v>
      </c>
      <c r="G32" s="40" t="str">
        <f>especies_ativa_codibama[[#This Row],[Nome popular]]</f>
        <v>Cipó-violeta</v>
      </c>
      <c r="H32" s="40" t="str">
        <f>especies_ativa_codibama[[#This Row],[Nome científico]]</f>
        <v>Dalbergia frutescens</v>
      </c>
    </row>
    <row r="33" spans="1:8" x14ac:dyDescent="0.25">
      <c r="A33">
        <v>8974</v>
      </c>
      <c r="B33" t="s">
        <v>62</v>
      </c>
      <c r="C33" t="s">
        <v>61</v>
      </c>
      <c r="D33" t="s">
        <v>38</v>
      </c>
      <c r="E33">
        <v>35361</v>
      </c>
      <c r="F33" s="24">
        <f>especies_ativa_codibama[[#This Row],[Código]]</f>
        <v>8974</v>
      </c>
      <c r="G33" s="40" t="str">
        <f>especies_ativa_codibama[[#This Row],[Nome popular]]</f>
        <v>Pau-de-fuso</v>
      </c>
      <c r="H33" s="40" t="str">
        <f>especies_ativa_codibama[[#This Row],[Nome científico]]</f>
        <v>Dalbergia frutescens</v>
      </c>
    </row>
    <row r="34" spans="1:8" x14ac:dyDescent="0.25">
      <c r="A34">
        <v>8975</v>
      </c>
      <c r="B34" t="s">
        <v>63</v>
      </c>
      <c r="C34" t="s">
        <v>61</v>
      </c>
      <c r="D34" t="s">
        <v>38</v>
      </c>
      <c r="E34">
        <v>35361</v>
      </c>
      <c r="F34" s="24">
        <f>especies_ativa_codibama[[#This Row],[Código]]</f>
        <v>8975</v>
      </c>
      <c r="G34" s="40" t="str">
        <f>especies_ativa_codibama[[#This Row],[Nome popular]]</f>
        <v>Sebastião-de-arruda</v>
      </c>
      <c r="H34" s="40" t="str">
        <f>especies_ativa_codibama[[#This Row],[Nome científico]]</f>
        <v>Dalbergia frutescens</v>
      </c>
    </row>
    <row r="35" spans="1:8" x14ac:dyDescent="0.25">
      <c r="A35">
        <v>8976</v>
      </c>
      <c r="B35" t="s">
        <v>64</v>
      </c>
      <c r="C35" t="s">
        <v>61</v>
      </c>
      <c r="D35" t="s">
        <v>38</v>
      </c>
      <c r="E35">
        <v>35361</v>
      </c>
      <c r="F35" s="24">
        <f>especies_ativa_codibama[[#This Row],[Código]]</f>
        <v>8976</v>
      </c>
      <c r="G35" s="40" t="str">
        <f>especies_ativa_codibama[[#This Row],[Nome popular]]</f>
        <v>Jacarandá-rosa</v>
      </c>
      <c r="H35" s="40" t="str">
        <f>especies_ativa_codibama[[#This Row],[Nome científico]]</f>
        <v>Dalbergia frutescens</v>
      </c>
    </row>
    <row r="36" spans="1:8" x14ac:dyDescent="0.25">
      <c r="A36">
        <v>8977</v>
      </c>
      <c r="B36" t="s">
        <v>65</v>
      </c>
      <c r="C36" t="s">
        <v>61</v>
      </c>
      <c r="D36" t="s">
        <v>38</v>
      </c>
      <c r="E36">
        <v>35361</v>
      </c>
      <c r="F36" s="24">
        <f>especies_ativa_codibama[[#This Row],[Código]]</f>
        <v>8977</v>
      </c>
      <c r="G36" s="40" t="str">
        <f>especies_ativa_codibama[[#This Row],[Nome popular]]</f>
        <v>Pau-rosa</v>
      </c>
      <c r="H36" s="40" t="str">
        <f>especies_ativa_codibama[[#This Row],[Nome científico]]</f>
        <v>Dalbergia frutescens</v>
      </c>
    </row>
    <row r="37" spans="1:8" x14ac:dyDescent="0.25">
      <c r="A37">
        <v>8978</v>
      </c>
      <c r="B37" t="s">
        <v>66</v>
      </c>
      <c r="C37" t="s">
        <v>61</v>
      </c>
      <c r="D37" t="s">
        <v>38</v>
      </c>
      <c r="E37">
        <v>35361</v>
      </c>
      <c r="F37" s="24">
        <f>especies_ativa_codibama[[#This Row],[Código]]</f>
        <v>8978</v>
      </c>
      <c r="G37" s="40" t="str">
        <f>especies_ativa_codibama[[#This Row],[Nome popular]]</f>
        <v>Pau-de-estribo</v>
      </c>
      <c r="H37" s="40" t="str">
        <f>especies_ativa_codibama[[#This Row],[Nome científico]]</f>
        <v>Dalbergia frutescens</v>
      </c>
    </row>
    <row r="38" spans="1:8" x14ac:dyDescent="0.25">
      <c r="A38">
        <v>8979</v>
      </c>
      <c r="B38" t="s">
        <v>67</v>
      </c>
      <c r="C38" t="s">
        <v>61</v>
      </c>
      <c r="D38" t="s">
        <v>38</v>
      </c>
      <c r="E38">
        <v>35361</v>
      </c>
      <c r="F38" s="24">
        <f>especies_ativa_codibama[[#This Row],[Código]]</f>
        <v>8979</v>
      </c>
      <c r="G38" s="40" t="str">
        <f>especies_ativa_codibama[[#This Row],[Nome popular]]</f>
        <v>Rabo-de-bugio</v>
      </c>
      <c r="H38" s="40" t="str">
        <f>especies_ativa_codibama[[#This Row],[Nome científico]]</f>
        <v>Dalbergia frutescens</v>
      </c>
    </row>
    <row r="39" spans="1:8" x14ac:dyDescent="0.25">
      <c r="A39">
        <v>8980</v>
      </c>
      <c r="B39" t="s">
        <v>68</v>
      </c>
      <c r="C39" t="s">
        <v>61</v>
      </c>
      <c r="D39" t="s">
        <v>38</v>
      </c>
      <c r="E39">
        <v>35361</v>
      </c>
      <c r="F39" s="24">
        <f>especies_ativa_codibama[[#This Row],[Código]]</f>
        <v>8980</v>
      </c>
      <c r="G39" s="40" t="str">
        <f>especies_ativa_codibama[[#This Row],[Nome popular]]</f>
        <v>Cega-machado</v>
      </c>
      <c r="H39" s="40" t="str">
        <f>especies_ativa_codibama[[#This Row],[Nome científico]]</f>
        <v>Dalbergia frutescens</v>
      </c>
    </row>
    <row r="40" spans="1:8" x14ac:dyDescent="0.25">
      <c r="A40">
        <v>8981</v>
      </c>
      <c r="B40" t="s">
        <v>69</v>
      </c>
      <c r="C40" t="s">
        <v>61</v>
      </c>
      <c r="D40" t="s">
        <v>38</v>
      </c>
      <c r="E40">
        <v>35361</v>
      </c>
      <c r="F40" s="24">
        <f>especies_ativa_codibama[[#This Row],[Código]]</f>
        <v>8981</v>
      </c>
      <c r="G40" s="40" t="str">
        <f>especies_ativa_codibama[[#This Row],[Nome popular]]</f>
        <v>Sebastião-arruda</v>
      </c>
      <c r="H40" s="40" t="str">
        <f>especies_ativa_codibama[[#This Row],[Nome científico]]</f>
        <v>Dalbergia frutescens</v>
      </c>
    </row>
    <row r="41" spans="1:8" x14ac:dyDescent="0.25">
      <c r="A41">
        <v>8982</v>
      </c>
      <c r="B41" t="s">
        <v>70</v>
      </c>
      <c r="C41" t="s">
        <v>71</v>
      </c>
      <c r="D41" t="s">
        <v>38</v>
      </c>
      <c r="E41">
        <v>36541</v>
      </c>
      <c r="F41" s="24">
        <f>especies_ativa_codibama[[#This Row],[Código]]</f>
        <v>8982</v>
      </c>
      <c r="G41" s="40" t="str">
        <f>especies_ativa_codibama[[#This Row],[Nome popular]]</f>
        <v>Grão-de-porco</v>
      </c>
      <c r="H41" s="40" t="str">
        <f>especies_ativa_codibama[[#This Row],[Nome científico]]</f>
        <v>Dalbergia frutescens tometosa</v>
      </c>
    </row>
    <row r="42" spans="1:8" x14ac:dyDescent="0.25">
      <c r="A42">
        <v>9699</v>
      </c>
      <c r="B42" t="s">
        <v>72</v>
      </c>
      <c r="C42" t="s">
        <v>73</v>
      </c>
      <c r="D42" t="s">
        <v>38</v>
      </c>
      <c r="E42">
        <v>34810</v>
      </c>
      <c r="F42" s="24">
        <f>especies_ativa_codibama[[#This Row],[Código]]</f>
        <v>9699</v>
      </c>
      <c r="G42" s="40" t="str">
        <f>especies_ativa_codibama[[#This Row],[Nome popular]]</f>
        <v>Maria-mole</v>
      </c>
      <c r="H42" s="40" t="str">
        <f>especies_ativa_codibama[[#This Row],[Nome científico]]</f>
        <v>Dendropanax cuneatum</v>
      </c>
    </row>
    <row r="43" spans="1:8" x14ac:dyDescent="0.25">
      <c r="A43">
        <v>9830</v>
      </c>
      <c r="B43" t="s">
        <v>74</v>
      </c>
      <c r="C43" t="s">
        <v>75</v>
      </c>
      <c r="D43" t="s">
        <v>38</v>
      </c>
      <c r="E43">
        <v>32343</v>
      </c>
      <c r="F43" s="24">
        <f>especies_ativa_codibama[[#This Row],[Código]]</f>
        <v>9830</v>
      </c>
      <c r="G43" s="40" t="str">
        <f>especies_ativa_codibama[[#This Row],[Nome popular]]</f>
        <v>Mandiocão</v>
      </c>
      <c r="H43" s="40" t="str">
        <f>especies_ativa_codibama[[#This Row],[Nome científico]]</f>
        <v>Didymopanax calvum</v>
      </c>
    </row>
    <row r="44" spans="1:8" x14ac:dyDescent="0.25">
      <c r="A44">
        <v>9839</v>
      </c>
      <c r="B44" t="s">
        <v>74</v>
      </c>
      <c r="C44" t="s">
        <v>76</v>
      </c>
      <c r="D44" t="s">
        <v>38</v>
      </c>
      <c r="E44">
        <v>33546</v>
      </c>
      <c r="F44" s="24">
        <f>especies_ativa_codibama[[#This Row],[Código]]</f>
        <v>9839</v>
      </c>
      <c r="G44" s="40" t="str">
        <f>especies_ativa_codibama[[#This Row],[Nome popular]]</f>
        <v>Mandiocão</v>
      </c>
      <c r="H44" s="40" t="str">
        <f>especies_ativa_codibama[[#This Row],[Nome científico]]</f>
        <v>Didymopanax macrocarpum</v>
      </c>
    </row>
    <row r="45" spans="1:8" x14ac:dyDescent="0.25">
      <c r="A45">
        <v>9954</v>
      </c>
      <c r="B45" t="s">
        <v>77</v>
      </c>
      <c r="C45" t="s">
        <v>78</v>
      </c>
      <c r="D45" t="s">
        <v>79</v>
      </c>
      <c r="E45">
        <v>34812</v>
      </c>
      <c r="F45" s="24">
        <f>especies_ativa_codibama[[#This Row],[Código]]</f>
        <v>9954</v>
      </c>
      <c r="G45" s="40" t="str">
        <f>especies_ativa_codibama[[#This Row],[Nome popular]]</f>
        <v>Olho-de-boi</v>
      </c>
      <c r="H45" s="40" t="str">
        <f>especies_ativa_codibama[[#This Row],[Nome científico]]</f>
        <v>Diospyros brasiliensis</v>
      </c>
    </row>
    <row r="46" spans="1:8" x14ac:dyDescent="0.25">
      <c r="A46">
        <v>9955</v>
      </c>
      <c r="B46" t="s">
        <v>80</v>
      </c>
      <c r="C46" t="s">
        <v>78</v>
      </c>
      <c r="D46" t="s">
        <v>79</v>
      </c>
      <c r="E46">
        <v>34812</v>
      </c>
      <c r="F46" s="24">
        <f>especies_ativa_codibama[[#This Row],[Código]]</f>
        <v>9955</v>
      </c>
      <c r="G46" s="40" t="str">
        <f>especies_ativa_codibama[[#This Row],[Nome popular]]</f>
        <v>Caqui-do-mato</v>
      </c>
      <c r="H46" s="40" t="str">
        <f>especies_ativa_codibama[[#This Row],[Nome científico]]</f>
        <v>Diospyros brasiliensis</v>
      </c>
    </row>
    <row r="47" spans="1:8" x14ac:dyDescent="0.25">
      <c r="A47">
        <v>9956</v>
      </c>
      <c r="B47" t="s">
        <v>81</v>
      </c>
      <c r="C47" t="s">
        <v>78</v>
      </c>
      <c r="D47" t="s">
        <v>79</v>
      </c>
      <c r="E47">
        <v>34812</v>
      </c>
      <c r="F47" s="24">
        <f>especies_ativa_codibama[[#This Row],[Código]]</f>
        <v>9956</v>
      </c>
      <c r="G47" s="40" t="str">
        <f>especies_ativa_codibama[[#This Row],[Nome popular]]</f>
        <v>Fruta-de-boi</v>
      </c>
      <c r="H47" s="40" t="str">
        <f>especies_ativa_codibama[[#This Row],[Nome científico]]</f>
        <v>Diospyros brasiliensis</v>
      </c>
    </row>
    <row r="48" spans="1:8" x14ac:dyDescent="0.25">
      <c r="A48">
        <v>9957</v>
      </c>
      <c r="B48" t="s">
        <v>82</v>
      </c>
      <c r="C48" t="s">
        <v>83</v>
      </c>
      <c r="D48" t="s">
        <v>38</v>
      </c>
      <c r="E48">
        <v>34194</v>
      </c>
      <c r="F48" s="24">
        <f>especies_ativa_codibama[[#This Row],[Código]]</f>
        <v>9957</v>
      </c>
      <c r="G48" s="40" t="str">
        <f>especies_ativa_codibama[[#This Row],[Nome popular]]</f>
        <v>Marmelada-brava</v>
      </c>
      <c r="H48" s="40" t="str">
        <f>especies_ativa_codibama[[#This Row],[Nome científico]]</f>
        <v>Diospyros burchellii</v>
      </c>
    </row>
    <row r="49" spans="1:8" x14ac:dyDescent="0.25">
      <c r="A49">
        <v>9958</v>
      </c>
      <c r="B49" t="s">
        <v>84</v>
      </c>
      <c r="C49" t="s">
        <v>83</v>
      </c>
      <c r="D49" t="s">
        <v>38</v>
      </c>
      <c r="E49">
        <v>34194</v>
      </c>
      <c r="F49" s="24">
        <f>especies_ativa_codibama[[#This Row],[Código]]</f>
        <v>9958</v>
      </c>
      <c r="G49" s="40" t="str">
        <f>especies_ativa_codibama[[#This Row],[Nome popular]]</f>
        <v>Caquizeiro-do-cerrado</v>
      </c>
      <c r="H49" s="40" t="str">
        <f>especies_ativa_codibama[[#This Row],[Nome científico]]</f>
        <v>Diospyros burchellii</v>
      </c>
    </row>
    <row r="50" spans="1:8" x14ac:dyDescent="0.25">
      <c r="A50">
        <v>9959</v>
      </c>
      <c r="B50" t="s">
        <v>85</v>
      </c>
      <c r="C50" t="s">
        <v>83</v>
      </c>
      <c r="D50" t="s">
        <v>38</v>
      </c>
      <c r="E50">
        <v>34194</v>
      </c>
      <c r="F50" s="24">
        <f>especies_ativa_codibama[[#This Row],[Código]]</f>
        <v>9959</v>
      </c>
      <c r="G50" s="40" t="str">
        <f>especies_ativa_codibama[[#This Row],[Nome popular]]</f>
        <v>Sobro</v>
      </c>
      <c r="H50" s="40" t="str">
        <f>especies_ativa_codibama[[#This Row],[Nome científico]]</f>
        <v>Diospyros burchellii</v>
      </c>
    </row>
    <row r="51" spans="1:8" x14ac:dyDescent="0.25">
      <c r="A51">
        <v>11127</v>
      </c>
      <c r="B51" t="s">
        <v>86</v>
      </c>
      <c r="C51" t="s">
        <v>87</v>
      </c>
      <c r="D51" t="s">
        <v>38</v>
      </c>
      <c r="E51">
        <v>34203</v>
      </c>
      <c r="F51" s="24">
        <f>especies_ativa_codibama[[#This Row],[Código]]</f>
        <v>11127</v>
      </c>
      <c r="G51" s="40" t="str">
        <f>especies_ativa_codibama[[#This Row],[Nome popular]]</f>
        <v>Timbari</v>
      </c>
      <c r="H51" s="40" t="str">
        <f>especies_ativa_codibama[[#This Row],[Nome científico]]</f>
        <v>Enterolobium contortisiliquum</v>
      </c>
    </row>
    <row r="52" spans="1:8" x14ac:dyDescent="0.25">
      <c r="A52">
        <v>11129</v>
      </c>
      <c r="B52" t="s">
        <v>88</v>
      </c>
      <c r="C52" t="s">
        <v>87</v>
      </c>
      <c r="D52" t="s">
        <v>38</v>
      </c>
      <c r="E52">
        <v>34203</v>
      </c>
      <c r="F52" s="24">
        <f>especies_ativa_codibama[[#This Row],[Código]]</f>
        <v>11129</v>
      </c>
      <c r="G52" s="40" t="str">
        <f>especies_ativa_codibama[[#This Row],[Nome popular]]</f>
        <v>Timbuíba</v>
      </c>
      <c r="H52" s="40" t="str">
        <f>especies_ativa_codibama[[#This Row],[Nome científico]]</f>
        <v>Enterolobium contortisiliquum</v>
      </c>
    </row>
    <row r="53" spans="1:8" x14ac:dyDescent="0.25">
      <c r="A53">
        <v>11130</v>
      </c>
      <c r="B53" t="s">
        <v>89</v>
      </c>
      <c r="C53" t="s">
        <v>87</v>
      </c>
      <c r="D53" t="s">
        <v>38</v>
      </c>
      <c r="E53">
        <v>34203</v>
      </c>
      <c r="F53" s="24">
        <f>especies_ativa_codibama[[#This Row],[Código]]</f>
        <v>11130</v>
      </c>
      <c r="G53" s="40" t="str">
        <f>especies_ativa_codibama[[#This Row],[Nome popular]]</f>
        <v>Timburim</v>
      </c>
      <c r="H53" s="40" t="str">
        <f>especies_ativa_codibama[[#This Row],[Nome científico]]</f>
        <v>Enterolobium contortisiliquum</v>
      </c>
    </row>
    <row r="54" spans="1:8" x14ac:dyDescent="0.25">
      <c r="A54">
        <v>11141</v>
      </c>
      <c r="B54" t="s">
        <v>90</v>
      </c>
      <c r="C54" t="s">
        <v>87</v>
      </c>
      <c r="D54" t="s">
        <v>38</v>
      </c>
      <c r="E54">
        <v>34203</v>
      </c>
      <c r="F54" s="24">
        <f>especies_ativa_codibama[[#This Row],[Código]]</f>
        <v>11141</v>
      </c>
      <c r="G54" s="40" t="str">
        <f>especies_ativa_codibama[[#This Row],[Nome popular]]</f>
        <v>Tamboril-da-mata</v>
      </c>
      <c r="H54" s="40" t="str">
        <f>especies_ativa_codibama[[#This Row],[Nome científico]]</f>
        <v>Enterolobium contortisiliquum</v>
      </c>
    </row>
    <row r="55" spans="1:8" x14ac:dyDescent="0.25">
      <c r="A55">
        <v>11157</v>
      </c>
      <c r="B55" t="s">
        <v>91</v>
      </c>
      <c r="C55" t="s">
        <v>87</v>
      </c>
      <c r="D55" t="s">
        <v>38</v>
      </c>
      <c r="E55">
        <v>34203</v>
      </c>
      <c r="F55" s="24">
        <f>especies_ativa_codibama[[#This Row],[Código]]</f>
        <v>11157</v>
      </c>
      <c r="G55" s="40" t="str">
        <f>especies_ativa_codibama[[#This Row],[Nome popular]]</f>
        <v>Tamboril-pardo</v>
      </c>
      <c r="H55" s="40" t="str">
        <f>especies_ativa_codibama[[#This Row],[Nome científico]]</f>
        <v>Enterolobium contortisiliquum</v>
      </c>
    </row>
    <row r="56" spans="1:8" x14ac:dyDescent="0.25">
      <c r="A56">
        <v>11165</v>
      </c>
      <c r="B56" t="s">
        <v>92</v>
      </c>
      <c r="C56" t="s">
        <v>87</v>
      </c>
      <c r="D56" t="s">
        <v>38</v>
      </c>
      <c r="E56">
        <v>34203</v>
      </c>
      <c r="F56" s="24">
        <f>especies_ativa_codibama[[#This Row],[Código]]</f>
        <v>11165</v>
      </c>
      <c r="G56" s="40" t="str">
        <f>especies_ativa_codibama[[#This Row],[Nome popular]]</f>
        <v>Tamboril</v>
      </c>
      <c r="H56" s="40" t="str">
        <f>especies_ativa_codibama[[#This Row],[Nome científico]]</f>
        <v>Enterolobium contortisiliquum</v>
      </c>
    </row>
    <row r="57" spans="1:8" x14ac:dyDescent="0.25">
      <c r="A57">
        <v>12407</v>
      </c>
      <c r="B57" t="s">
        <v>93</v>
      </c>
      <c r="C57" t="s">
        <v>94</v>
      </c>
      <c r="D57" t="s">
        <v>38</v>
      </c>
      <c r="E57">
        <v>34547</v>
      </c>
      <c r="F57" s="24">
        <f>especies_ativa_codibama[[#This Row],[Código]]</f>
        <v>12407</v>
      </c>
      <c r="G57" s="40" t="str">
        <f>especies_ativa_codibama[[#This Row],[Nome popular]]</f>
        <v>Eucalipto</v>
      </c>
      <c r="H57" s="40" t="str">
        <f>especies_ativa_codibama[[#This Row],[Nome científico]]</f>
        <v>Eucalyptus camaldulensis</v>
      </c>
    </row>
    <row r="58" spans="1:8" x14ac:dyDescent="0.25">
      <c r="A58">
        <v>12434</v>
      </c>
      <c r="B58" t="s">
        <v>93</v>
      </c>
      <c r="C58" t="s">
        <v>95</v>
      </c>
      <c r="D58" t="s">
        <v>38</v>
      </c>
      <c r="E58">
        <v>34548</v>
      </c>
      <c r="F58" s="24">
        <f>especies_ativa_codibama[[#This Row],[Código]]</f>
        <v>12434</v>
      </c>
      <c r="G58" s="40" t="str">
        <f>especies_ativa_codibama[[#This Row],[Nome popular]]</f>
        <v>Eucalipto</v>
      </c>
      <c r="H58" s="40" t="str">
        <f>especies_ativa_codibama[[#This Row],[Nome científico]]</f>
        <v>Eucalyptus grandis</v>
      </c>
    </row>
    <row r="59" spans="1:8" x14ac:dyDescent="0.25">
      <c r="A59">
        <v>12579</v>
      </c>
      <c r="B59" t="s">
        <v>2569</v>
      </c>
      <c r="C59" t="s">
        <v>2570</v>
      </c>
      <c r="D59" t="s">
        <v>38</v>
      </c>
      <c r="E59">
        <v>33571</v>
      </c>
      <c r="F59" s="24">
        <f>especies_ativa_codibama[[#This Row],[Código]]</f>
        <v>12579</v>
      </c>
      <c r="G59" s="40" t="str">
        <f>especies_ativa_codibama[[#This Row],[Nome popular]]</f>
        <v>Jambo</v>
      </c>
      <c r="H59" s="40" t="str">
        <f>especies_ativa_codibama[[#This Row],[Nome científico]]</f>
        <v>Eugenia jambos</v>
      </c>
    </row>
    <row r="60" spans="1:8" x14ac:dyDescent="0.25">
      <c r="A60">
        <v>12731</v>
      </c>
      <c r="B60" t="s">
        <v>2571</v>
      </c>
      <c r="C60" t="s">
        <v>2572</v>
      </c>
      <c r="D60" t="s">
        <v>38</v>
      </c>
      <c r="E60">
        <v>33899</v>
      </c>
      <c r="F60" s="24">
        <f>especies_ativa_codibama[[#This Row],[Código]]</f>
        <v>12731</v>
      </c>
      <c r="G60" s="40" t="str">
        <f>especies_ativa_codibama[[#This Row],[Nome popular]]</f>
        <v>Pitanga</v>
      </c>
      <c r="H60" s="40" t="str">
        <f>especies_ativa_codibama[[#This Row],[Nome científico]]</f>
        <v>Eugenia uniflora</v>
      </c>
    </row>
    <row r="61" spans="1:8" x14ac:dyDescent="0.25">
      <c r="A61">
        <v>12929</v>
      </c>
      <c r="B61" t="s">
        <v>96</v>
      </c>
      <c r="C61" t="s">
        <v>97</v>
      </c>
      <c r="D61" t="s">
        <v>79</v>
      </c>
      <c r="E61">
        <v>31740</v>
      </c>
      <c r="F61" s="24">
        <f>especies_ativa_codibama[[#This Row],[Código]]</f>
        <v>12929</v>
      </c>
      <c r="G61" s="40" t="str">
        <f>especies_ativa_codibama[[#This Row],[Nome popular]]</f>
        <v>Cafezinho</v>
      </c>
      <c r="H61" s="40" t="str">
        <f>especies_ativa_codibama[[#This Row],[Nome científico]]</f>
        <v>Faramea cyanea</v>
      </c>
    </row>
    <row r="62" spans="1:8" x14ac:dyDescent="0.25">
      <c r="A62">
        <v>13011</v>
      </c>
      <c r="B62" t="s">
        <v>98</v>
      </c>
      <c r="C62" t="s">
        <v>99</v>
      </c>
      <c r="D62" t="s">
        <v>38</v>
      </c>
      <c r="E62">
        <v>32086</v>
      </c>
      <c r="F62" s="24">
        <f>especies_ativa_codibama[[#This Row],[Código]]</f>
        <v>13011</v>
      </c>
      <c r="G62" s="40" t="str">
        <f>especies_ativa_codibama[[#This Row],[Nome popular]]</f>
        <v>Gameleira</v>
      </c>
      <c r="H62" s="40" t="str">
        <f>especies_ativa_codibama[[#This Row],[Nome científico]]</f>
        <v>Ficus adhatodaefolia</v>
      </c>
    </row>
    <row r="63" spans="1:8" x14ac:dyDescent="0.25">
      <c r="A63">
        <v>13052</v>
      </c>
      <c r="B63" t="s">
        <v>100</v>
      </c>
      <c r="C63" t="s">
        <v>101</v>
      </c>
      <c r="D63" t="s">
        <v>38</v>
      </c>
      <c r="E63">
        <v>32995</v>
      </c>
      <c r="F63" s="24">
        <f>especies_ativa_codibama[[#This Row],[Código]]</f>
        <v>13052</v>
      </c>
      <c r="G63" s="40" t="str">
        <f>especies_ativa_codibama[[#This Row],[Nome popular]]</f>
        <v>Árvore-da-borracha</v>
      </c>
      <c r="H63" s="40" t="str">
        <f>especies_ativa_codibama[[#This Row],[Nome científico]]</f>
        <v>Ficus elastica</v>
      </c>
    </row>
    <row r="64" spans="1:8" x14ac:dyDescent="0.25">
      <c r="A64">
        <v>13053</v>
      </c>
      <c r="B64" t="s">
        <v>102</v>
      </c>
      <c r="C64" t="s">
        <v>101</v>
      </c>
      <c r="D64" t="s">
        <v>38</v>
      </c>
      <c r="E64">
        <v>32995</v>
      </c>
      <c r="F64" s="24">
        <f>especies_ativa_codibama[[#This Row],[Código]]</f>
        <v>13053</v>
      </c>
      <c r="G64" s="40" t="str">
        <f>especies_ativa_codibama[[#This Row],[Nome popular]]</f>
        <v>Árvore-da-goma-elástica</v>
      </c>
      <c r="H64" s="40" t="str">
        <f>especies_ativa_codibama[[#This Row],[Nome científico]]</f>
        <v>Ficus elastica</v>
      </c>
    </row>
    <row r="65" spans="1:8" x14ac:dyDescent="0.25">
      <c r="A65">
        <v>13096</v>
      </c>
      <c r="B65" t="s">
        <v>2573</v>
      </c>
      <c r="C65" t="s">
        <v>2574</v>
      </c>
      <c r="D65" t="s">
        <v>38</v>
      </c>
      <c r="E65">
        <v>36012</v>
      </c>
      <c r="F65" s="24">
        <f>especies_ativa_codibama[[#This Row],[Código]]</f>
        <v>13096</v>
      </c>
      <c r="G65" s="40" t="str">
        <f>especies_ativa_codibama[[#This Row],[Nome popular]]</f>
        <v>Caxinguba</v>
      </c>
      <c r="H65" s="40" t="str">
        <f>especies_ativa_codibama[[#This Row],[Nome científico]]</f>
        <v>Ficus guianensis</v>
      </c>
    </row>
    <row r="66" spans="1:8" x14ac:dyDescent="0.25">
      <c r="A66">
        <v>13107</v>
      </c>
      <c r="B66" t="s">
        <v>98</v>
      </c>
      <c r="C66" t="s">
        <v>103</v>
      </c>
      <c r="D66" t="s">
        <v>38</v>
      </c>
      <c r="E66">
        <v>36013</v>
      </c>
      <c r="F66" s="24">
        <f>especies_ativa_codibama[[#This Row],[Código]]</f>
        <v>13107</v>
      </c>
      <c r="G66" s="40" t="str">
        <f>especies_ativa_codibama[[#This Row],[Nome popular]]</f>
        <v>Gameleira</v>
      </c>
      <c r="H66" s="40" t="str">
        <f>especies_ativa_codibama[[#This Row],[Nome científico]]</f>
        <v>Ficus insipida</v>
      </c>
    </row>
    <row r="67" spans="1:8" x14ac:dyDescent="0.25">
      <c r="A67">
        <v>14284</v>
      </c>
      <c r="B67" t="s">
        <v>104</v>
      </c>
      <c r="C67" t="s">
        <v>105</v>
      </c>
      <c r="D67" t="s">
        <v>38</v>
      </c>
      <c r="E67">
        <v>36030</v>
      </c>
      <c r="F67" s="24">
        <f>especies_ativa_codibama[[#This Row],[Código]]</f>
        <v>14284</v>
      </c>
      <c r="G67" s="40" t="str">
        <f>especies_ativa_codibama[[#This Row],[Nome popular]]</f>
        <v>Seringueira</v>
      </c>
      <c r="H67" s="40" t="str">
        <f>especies_ativa_codibama[[#This Row],[Nome científico]]</f>
        <v>Hevea brasiliensis</v>
      </c>
    </row>
    <row r="68" spans="1:8" x14ac:dyDescent="0.25">
      <c r="A68">
        <v>14408</v>
      </c>
      <c r="B68" t="s">
        <v>106</v>
      </c>
      <c r="C68" t="s">
        <v>107</v>
      </c>
      <c r="D68" t="s">
        <v>38</v>
      </c>
      <c r="E68">
        <v>34478</v>
      </c>
      <c r="F68" s="24">
        <f>especies_ativa_codibama[[#This Row],[Código]]</f>
        <v>14408</v>
      </c>
      <c r="G68" s="40" t="str">
        <f>especies_ativa_codibama[[#This Row],[Nome popular]]</f>
        <v>---</v>
      </c>
      <c r="H68" s="40" t="str">
        <f>especies_ativa_codibama[[#This Row],[Nome científico]]</f>
        <v>Hieronyma alchorneoides</v>
      </c>
    </row>
    <row r="69" spans="1:8" x14ac:dyDescent="0.25">
      <c r="A69">
        <v>14844</v>
      </c>
      <c r="B69" t="s">
        <v>108</v>
      </c>
      <c r="C69" t="s">
        <v>109</v>
      </c>
      <c r="D69" t="s">
        <v>79</v>
      </c>
      <c r="E69">
        <v>33022</v>
      </c>
      <c r="F69" s="24">
        <f>especies_ativa_codibama[[#This Row],[Código]]</f>
        <v>14844</v>
      </c>
      <c r="G69" s="40" t="str">
        <f>especies_ativa_codibama[[#This Row],[Nome popular]]</f>
        <v>Amendoim</v>
      </c>
      <c r="H69" s="40" t="str">
        <f>especies_ativa_codibama[[#This Row],[Nome científico]]</f>
        <v>Hymenolobium heringerianum</v>
      </c>
    </row>
    <row r="70" spans="1:8" x14ac:dyDescent="0.25">
      <c r="A70">
        <v>14845</v>
      </c>
      <c r="B70" t="s">
        <v>110</v>
      </c>
      <c r="C70" t="s">
        <v>109</v>
      </c>
      <c r="D70" t="s">
        <v>79</v>
      </c>
      <c r="E70">
        <v>33022</v>
      </c>
      <c r="F70" s="24">
        <f>especies_ativa_codibama[[#This Row],[Código]]</f>
        <v>14845</v>
      </c>
      <c r="G70" s="40" t="str">
        <f>especies_ativa_codibama[[#This Row],[Nome popular]]</f>
        <v>Angelim</v>
      </c>
      <c r="H70" s="40" t="str">
        <f>especies_ativa_codibama[[#This Row],[Nome científico]]</f>
        <v>Hymenolobium heringerianum</v>
      </c>
    </row>
    <row r="71" spans="1:8" x14ac:dyDescent="0.25">
      <c r="A71">
        <v>15389</v>
      </c>
      <c r="B71" t="s">
        <v>111</v>
      </c>
      <c r="C71" t="s">
        <v>112</v>
      </c>
      <c r="D71" t="s">
        <v>38</v>
      </c>
      <c r="E71">
        <v>34873</v>
      </c>
      <c r="F71" s="24">
        <f>especies_ativa_codibama[[#This Row],[Código]]</f>
        <v>15389</v>
      </c>
      <c r="G71" s="40" t="str">
        <f>especies_ativa_codibama[[#This Row],[Nome popular]]</f>
        <v>Araribe</v>
      </c>
      <c r="H71" s="40" t="str">
        <f>especies_ativa_codibama[[#This Row],[Nome científico]]</f>
        <v>Ixora warmingii</v>
      </c>
    </row>
    <row r="72" spans="1:8" x14ac:dyDescent="0.25">
      <c r="A72">
        <v>15390</v>
      </c>
      <c r="B72" t="s">
        <v>113</v>
      </c>
      <c r="C72" t="s">
        <v>112</v>
      </c>
      <c r="D72" t="s">
        <v>38</v>
      </c>
      <c r="E72">
        <v>34873</v>
      </c>
      <c r="F72" s="24">
        <f>especies_ativa_codibama[[#This Row],[Código]]</f>
        <v>15390</v>
      </c>
      <c r="G72" s="40" t="str">
        <f>especies_ativa_codibama[[#This Row],[Nome popular]]</f>
        <v>Ixora-do-mato</v>
      </c>
      <c r="H72" s="40" t="str">
        <f>especies_ativa_codibama[[#This Row],[Nome científico]]</f>
        <v>Ixora warmingii</v>
      </c>
    </row>
    <row r="73" spans="1:8" x14ac:dyDescent="0.25">
      <c r="A73">
        <v>15493</v>
      </c>
      <c r="B73" t="s">
        <v>114</v>
      </c>
      <c r="C73" t="s">
        <v>115</v>
      </c>
      <c r="D73" t="s">
        <v>38</v>
      </c>
      <c r="E73">
        <v>33038</v>
      </c>
      <c r="F73" s="24">
        <f>especies_ativa_codibama[[#This Row],[Código]]</f>
        <v>15493</v>
      </c>
      <c r="G73" s="40" t="str">
        <f>especies_ativa_codibama[[#This Row],[Nome popular]]</f>
        <v>Jacarandá-mimoso</v>
      </c>
      <c r="H73" s="40" t="str">
        <f>especies_ativa_codibama[[#This Row],[Nome científico]]</f>
        <v>Jacaranda mimosifolia</v>
      </c>
    </row>
    <row r="74" spans="1:8" x14ac:dyDescent="0.25">
      <c r="A74">
        <v>15494</v>
      </c>
      <c r="B74" t="s">
        <v>116</v>
      </c>
      <c r="C74" t="s">
        <v>115</v>
      </c>
      <c r="D74" t="s">
        <v>38</v>
      </c>
      <c r="E74">
        <v>33038</v>
      </c>
      <c r="F74" s="24">
        <f>especies_ativa_codibama[[#This Row],[Código]]</f>
        <v>15494</v>
      </c>
      <c r="G74" s="40" t="str">
        <f>especies_ativa_codibama[[#This Row],[Nome popular]]</f>
        <v>Jacarandá</v>
      </c>
      <c r="H74" s="40" t="str">
        <f>especies_ativa_codibama[[#This Row],[Nome científico]]</f>
        <v>Jacaranda mimosifolia</v>
      </c>
    </row>
    <row r="75" spans="1:8" x14ac:dyDescent="0.25">
      <c r="A75">
        <v>15660</v>
      </c>
      <c r="B75" t="s">
        <v>117</v>
      </c>
      <c r="C75" t="s">
        <v>118</v>
      </c>
      <c r="D75" t="s">
        <v>38</v>
      </c>
      <c r="E75">
        <v>1320501</v>
      </c>
      <c r="F75" s="24">
        <f>especies_ativa_codibama[[#This Row],[Código]]</f>
        <v>15660</v>
      </c>
      <c r="G75" s="40" t="str">
        <f>especies_ativa_codibama[[#This Row],[Nome popular]]</f>
        <v>mogno africano</v>
      </c>
      <c r="H75" s="40" t="str">
        <f>especies_ativa_codibama[[#This Row],[Nome científico]]</f>
        <v>Khaya ivorensis</v>
      </c>
    </row>
    <row r="76" spans="1:8" x14ac:dyDescent="0.25">
      <c r="A76">
        <v>15683</v>
      </c>
      <c r="B76" t="s">
        <v>2575</v>
      </c>
      <c r="C76" t="s">
        <v>2576</v>
      </c>
      <c r="D76" t="s">
        <v>38</v>
      </c>
      <c r="E76">
        <v>35452</v>
      </c>
      <c r="F76" s="24">
        <f>especies_ativa_codibama[[#This Row],[Código]]</f>
        <v>15683</v>
      </c>
      <c r="G76" s="40" t="str">
        <f>especies_ativa_codibama[[#This Row],[Nome popular]]</f>
        <v>Saco-de-boi</v>
      </c>
      <c r="H76" s="40" t="str">
        <f>especies_ativa_codibama[[#This Row],[Nome científico]]</f>
        <v>Kielmeyera variabilis</v>
      </c>
    </row>
    <row r="77" spans="1:8" x14ac:dyDescent="0.25">
      <c r="A77">
        <v>15684</v>
      </c>
      <c r="B77" t="s">
        <v>2577</v>
      </c>
      <c r="C77" t="s">
        <v>2576</v>
      </c>
      <c r="D77" t="s">
        <v>38</v>
      </c>
      <c r="E77">
        <v>35452</v>
      </c>
      <c r="F77" s="24">
        <f>especies_ativa_codibama[[#This Row],[Código]]</f>
        <v>15684</v>
      </c>
      <c r="G77" s="40" t="str">
        <f>especies_ativa_codibama[[#This Row],[Nome popular]]</f>
        <v>Pau-de-São-João</v>
      </c>
      <c r="H77" s="40" t="str">
        <f>especies_ativa_codibama[[#This Row],[Nome científico]]</f>
        <v>Kielmeyera variabilis</v>
      </c>
    </row>
    <row r="78" spans="1:8" x14ac:dyDescent="0.25">
      <c r="A78">
        <v>15685</v>
      </c>
      <c r="B78" t="s">
        <v>2578</v>
      </c>
      <c r="C78" t="s">
        <v>2576</v>
      </c>
      <c r="D78" t="s">
        <v>38</v>
      </c>
      <c r="E78">
        <v>35452</v>
      </c>
      <c r="F78" s="24">
        <f>especies_ativa_codibama[[#This Row],[Código]]</f>
        <v>15685</v>
      </c>
      <c r="G78" s="40" t="str">
        <f>especies_ativa_codibama[[#This Row],[Nome popular]]</f>
        <v>Folha-santa</v>
      </c>
      <c r="H78" s="40" t="str">
        <f>especies_ativa_codibama[[#This Row],[Nome científico]]</f>
        <v>Kielmeyera variabilis</v>
      </c>
    </row>
    <row r="79" spans="1:8" x14ac:dyDescent="0.25">
      <c r="A79">
        <v>15686</v>
      </c>
      <c r="B79" t="s">
        <v>627</v>
      </c>
      <c r="C79" t="s">
        <v>2576</v>
      </c>
      <c r="D79" t="s">
        <v>38</v>
      </c>
      <c r="E79">
        <v>35452</v>
      </c>
      <c r="F79" s="24">
        <f>especies_ativa_codibama[[#This Row],[Código]]</f>
        <v>15686</v>
      </c>
      <c r="G79" s="40" t="str">
        <f>especies_ativa_codibama[[#This Row],[Nome popular]]</f>
        <v>Pau-santo</v>
      </c>
      <c r="H79" s="40" t="str">
        <f>especies_ativa_codibama[[#This Row],[Nome científico]]</f>
        <v>Kielmeyera variabilis</v>
      </c>
    </row>
    <row r="80" spans="1:8" x14ac:dyDescent="0.25">
      <c r="A80">
        <v>16341</v>
      </c>
      <c r="B80" t="s">
        <v>119</v>
      </c>
      <c r="C80" t="s">
        <v>120</v>
      </c>
      <c r="D80" t="s">
        <v>38</v>
      </c>
      <c r="E80">
        <v>1047257</v>
      </c>
      <c r="F80" s="24">
        <f>especies_ativa_codibama[[#This Row],[Código]]</f>
        <v>16341</v>
      </c>
      <c r="G80" s="40" t="str">
        <f>especies_ativa_codibama[[#This Row],[Nome popular]]</f>
        <v>Leucena</v>
      </c>
      <c r="H80" s="40" t="str">
        <f>especies_ativa_codibama[[#This Row],[Nome científico]]</f>
        <v>Leucaena leucocephala</v>
      </c>
    </row>
    <row r="81" spans="1:8" x14ac:dyDescent="0.25">
      <c r="A81">
        <v>16342</v>
      </c>
      <c r="B81" t="s">
        <v>121</v>
      </c>
      <c r="C81" t="s">
        <v>120</v>
      </c>
      <c r="D81" t="s">
        <v>38</v>
      </c>
      <c r="E81">
        <v>1047257</v>
      </c>
      <c r="F81" s="24">
        <f>especies_ativa_codibama[[#This Row],[Código]]</f>
        <v>16342</v>
      </c>
      <c r="G81" s="40" t="str">
        <f>especies_ativa_codibama[[#This Row],[Nome popular]]</f>
        <v>Wild-tamarind</v>
      </c>
      <c r="H81" s="40" t="str">
        <f>especies_ativa_codibama[[#This Row],[Nome científico]]</f>
        <v>Leucaena leucocephala</v>
      </c>
    </row>
    <row r="82" spans="1:8" x14ac:dyDescent="0.25">
      <c r="A82">
        <v>16361</v>
      </c>
      <c r="B82" t="s">
        <v>122</v>
      </c>
      <c r="C82" t="s">
        <v>123</v>
      </c>
      <c r="D82" t="s">
        <v>38</v>
      </c>
      <c r="E82">
        <v>34884</v>
      </c>
      <c r="F82" s="24">
        <f>especies_ativa_codibama[[#This Row],[Código]]</f>
        <v>16361</v>
      </c>
      <c r="G82" s="40" t="str">
        <f>especies_ativa_codibama[[#This Row],[Nome popular]]</f>
        <v>Ajuru</v>
      </c>
      <c r="H82" s="40" t="str">
        <f>especies_ativa_codibama[[#This Row],[Nome científico]]</f>
        <v>Licania apetala</v>
      </c>
    </row>
    <row r="83" spans="1:8" x14ac:dyDescent="0.25">
      <c r="A83">
        <v>16978</v>
      </c>
      <c r="B83" t="s">
        <v>2579</v>
      </c>
      <c r="C83" t="s">
        <v>124</v>
      </c>
      <c r="D83" t="s">
        <v>38</v>
      </c>
      <c r="E83">
        <v>33055</v>
      </c>
      <c r="F83" s="24">
        <f>especies_ativa_codibama[[#This Row],[Código]]</f>
        <v>16978</v>
      </c>
      <c r="G83" s="40" t="str">
        <f>especies_ativa_codibama[[#This Row],[Nome popular]]</f>
        <v>Jacarandá-de-espinho, escada-de-macaco</v>
      </c>
      <c r="H83" s="40" t="str">
        <f>especies_ativa_codibama[[#This Row],[Nome científico]]</f>
        <v>Machaerium aculeatum</v>
      </c>
    </row>
    <row r="84" spans="1:8" x14ac:dyDescent="0.25">
      <c r="A84">
        <v>17054</v>
      </c>
      <c r="B84" t="s">
        <v>2580</v>
      </c>
      <c r="C84" t="s">
        <v>2581</v>
      </c>
      <c r="D84" t="s">
        <v>38</v>
      </c>
      <c r="E84">
        <v>31807</v>
      </c>
      <c r="F84" s="24">
        <f>especies_ativa_codibama[[#This Row],[Código]]</f>
        <v>17054</v>
      </c>
      <c r="G84" s="40" t="str">
        <f>especies_ativa_codibama[[#This Row],[Nome popular]]</f>
        <v>Jacarandá-bico-de-pato</v>
      </c>
      <c r="H84" s="40" t="str">
        <f>especies_ativa_codibama[[#This Row],[Nome científico]]</f>
        <v>Machaerium nictitans</v>
      </c>
    </row>
    <row r="85" spans="1:8" x14ac:dyDescent="0.25">
      <c r="A85">
        <v>17420</v>
      </c>
      <c r="B85" t="s">
        <v>2582</v>
      </c>
      <c r="C85" t="s">
        <v>2583</v>
      </c>
      <c r="D85" t="s">
        <v>38</v>
      </c>
      <c r="E85">
        <v>720045</v>
      </c>
      <c r="F85" s="24">
        <f>especies_ativa_codibama[[#This Row],[Código]]</f>
        <v>17420</v>
      </c>
      <c r="G85" s="40" t="str">
        <f>especies_ativa_codibama[[#This Row],[Nome popular]]</f>
        <v>Acerola</v>
      </c>
      <c r="H85" s="40" t="str">
        <f>especies_ativa_codibama[[#This Row],[Nome científico]]</f>
        <v>Malpighia emarginata</v>
      </c>
    </row>
    <row r="86" spans="1:8" x14ac:dyDescent="0.25">
      <c r="A86">
        <v>18626</v>
      </c>
      <c r="B86" t="s">
        <v>106</v>
      </c>
      <c r="C86" t="s">
        <v>125</v>
      </c>
      <c r="D86" t="s">
        <v>126</v>
      </c>
      <c r="E86">
        <v>35748</v>
      </c>
      <c r="F86" s="24">
        <f>especies_ativa_codibama[[#This Row],[Código]]</f>
        <v>18626</v>
      </c>
      <c r="G86" s="40" t="str">
        <f>especies_ativa_codibama[[#This Row],[Nome popular]]</f>
        <v>---</v>
      </c>
      <c r="H86" s="40" t="str">
        <f>especies_ativa_codibama[[#This Row],[Nome científico]]</f>
        <v>Maytenus floribunda</v>
      </c>
    </row>
    <row r="87" spans="1:8" x14ac:dyDescent="0.25">
      <c r="A87">
        <v>19508</v>
      </c>
      <c r="B87" t="s">
        <v>127</v>
      </c>
      <c r="C87" t="s">
        <v>128</v>
      </c>
      <c r="D87" t="s">
        <v>38</v>
      </c>
      <c r="E87">
        <v>32474</v>
      </c>
      <c r="F87" s="24">
        <f>especies_ativa_codibama[[#This Row],[Código]]</f>
        <v>19508</v>
      </c>
      <c r="G87" s="40" t="str">
        <f>especies_ativa_codibama[[#This Row],[Nome popular]]</f>
        <v>Guamirim-cascudo</v>
      </c>
      <c r="H87" s="40" t="str">
        <f>especies_ativa_codibama[[#This Row],[Nome científico]]</f>
        <v>Myrcia arborescens</v>
      </c>
    </row>
    <row r="88" spans="1:8" x14ac:dyDescent="0.25">
      <c r="A88">
        <v>19509</v>
      </c>
      <c r="B88" t="s">
        <v>129</v>
      </c>
      <c r="C88" t="s">
        <v>128</v>
      </c>
      <c r="D88" t="s">
        <v>38</v>
      </c>
      <c r="E88">
        <v>32474</v>
      </c>
      <c r="F88" s="24">
        <f>especies_ativa_codibama[[#This Row],[Código]]</f>
        <v>19509</v>
      </c>
      <c r="G88" s="40" t="str">
        <f>especies_ativa_codibama[[#This Row],[Nome popular]]</f>
        <v>Guamirim-ferro</v>
      </c>
      <c r="H88" s="40" t="str">
        <f>especies_ativa_codibama[[#This Row],[Nome científico]]</f>
        <v>Myrcia arborescens</v>
      </c>
    </row>
    <row r="89" spans="1:8" x14ac:dyDescent="0.25">
      <c r="A89">
        <v>19510</v>
      </c>
      <c r="B89" t="s">
        <v>130</v>
      </c>
      <c r="C89" t="s">
        <v>128</v>
      </c>
      <c r="D89" t="s">
        <v>38</v>
      </c>
      <c r="E89">
        <v>32474</v>
      </c>
      <c r="F89" s="24">
        <f>especies_ativa_codibama[[#This Row],[Código]]</f>
        <v>19510</v>
      </c>
      <c r="G89" s="40" t="str">
        <f>especies_ativa_codibama[[#This Row],[Nome popular]]</f>
        <v>Guamirim</v>
      </c>
      <c r="H89" s="40" t="str">
        <f>especies_ativa_codibama[[#This Row],[Nome científico]]</f>
        <v>Myrcia arborescens</v>
      </c>
    </row>
    <row r="90" spans="1:8" x14ac:dyDescent="0.25">
      <c r="A90">
        <v>19569</v>
      </c>
      <c r="B90" t="s">
        <v>131</v>
      </c>
      <c r="C90" t="s">
        <v>132</v>
      </c>
      <c r="D90" t="s">
        <v>38</v>
      </c>
      <c r="E90">
        <v>1802859</v>
      </c>
      <c r="F90" s="24">
        <f>especies_ativa_codibama[[#This Row],[Código]]</f>
        <v>19569</v>
      </c>
      <c r="G90" s="40" t="str">
        <f>especies_ativa_codibama[[#This Row],[Nome popular]]</f>
        <v>Guamirim-de-folha-fina</v>
      </c>
      <c r="H90" s="40" t="str">
        <f>especies_ativa_codibama[[#This Row],[Nome científico]]</f>
        <v>Myrcia splendens</v>
      </c>
    </row>
    <row r="91" spans="1:8" x14ac:dyDescent="0.25">
      <c r="A91">
        <v>19733</v>
      </c>
      <c r="B91" t="s">
        <v>133</v>
      </c>
      <c r="C91" t="s">
        <v>134</v>
      </c>
      <c r="D91" t="s">
        <v>38</v>
      </c>
      <c r="E91">
        <v>32708</v>
      </c>
      <c r="F91" s="24">
        <f>especies_ativa_codibama[[#This Row],[Código]]</f>
        <v>19733</v>
      </c>
      <c r="G91" s="40" t="str">
        <f>especies_ativa_codibama[[#This Row],[Nome popular]]</f>
        <v>Óleo-vermelho</v>
      </c>
      <c r="H91" s="40" t="str">
        <f>especies_ativa_codibama[[#This Row],[Nome científico]]</f>
        <v>Myroxylon balsamum</v>
      </c>
    </row>
    <row r="92" spans="1:8" x14ac:dyDescent="0.25">
      <c r="A92">
        <v>19734</v>
      </c>
      <c r="B92" t="s">
        <v>135</v>
      </c>
      <c r="C92" t="s">
        <v>134</v>
      </c>
      <c r="D92" t="s">
        <v>38</v>
      </c>
      <c r="E92">
        <v>32708</v>
      </c>
      <c r="F92" s="24">
        <f>especies_ativa_codibama[[#This Row],[Código]]</f>
        <v>19734</v>
      </c>
      <c r="G92" s="40" t="str">
        <f>especies_ativa_codibama[[#This Row],[Nome popular]]</f>
        <v>Pau-vermelho</v>
      </c>
      <c r="H92" s="40" t="str">
        <f>especies_ativa_codibama[[#This Row],[Nome científico]]</f>
        <v>Myroxylon balsamum</v>
      </c>
    </row>
    <row r="93" spans="1:8" x14ac:dyDescent="0.25">
      <c r="A93">
        <v>19797</v>
      </c>
      <c r="B93" t="s">
        <v>136</v>
      </c>
      <c r="C93" t="s">
        <v>137</v>
      </c>
      <c r="D93" t="s">
        <v>38</v>
      </c>
      <c r="E93">
        <v>31846</v>
      </c>
      <c r="F93" s="24">
        <f>especies_ativa_codibama[[#This Row],[Código]]</f>
        <v>19797</v>
      </c>
      <c r="G93" s="40" t="str">
        <f>especies_ativa_codibama[[#This Row],[Nome popular]]</f>
        <v>Canjiquinha</v>
      </c>
      <c r="H93" s="40" t="str">
        <f>especies_ativa_codibama[[#This Row],[Nome científico]]</f>
        <v>Myrsine gardneriana</v>
      </c>
    </row>
    <row r="94" spans="1:8" x14ac:dyDescent="0.25">
      <c r="A94">
        <v>19982</v>
      </c>
      <c r="B94" t="s">
        <v>138</v>
      </c>
      <c r="C94" t="s">
        <v>139</v>
      </c>
      <c r="D94" t="s">
        <v>38</v>
      </c>
      <c r="E94">
        <v>35511</v>
      </c>
      <c r="F94" s="24">
        <f>especies_ativa_codibama[[#This Row],[Código]]</f>
        <v>19982</v>
      </c>
      <c r="G94" s="40" t="str">
        <f>especies_ativa_codibama[[#This Row],[Nome popular]]</f>
        <v>Canela-ferrugem</v>
      </c>
      <c r="H94" s="40" t="str">
        <f>especies_ativa_codibama[[#This Row],[Nome científico]]</f>
        <v>Nectandra oppositifolia</v>
      </c>
    </row>
    <row r="95" spans="1:8" x14ac:dyDescent="0.25">
      <c r="A95">
        <v>20305</v>
      </c>
      <c r="B95" t="s">
        <v>2584</v>
      </c>
      <c r="C95" t="s">
        <v>2585</v>
      </c>
      <c r="D95" t="s">
        <v>38</v>
      </c>
      <c r="E95">
        <v>33095</v>
      </c>
      <c r="F95" s="24">
        <f>especies_ativa_codibama[[#This Row],[Código]]</f>
        <v>20305</v>
      </c>
      <c r="G95" s="40" t="str">
        <f>especies_ativa_codibama[[#This Row],[Nome popular]]</f>
        <v>Pau-de-balsa</v>
      </c>
      <c r="H95" s="40" t="str">
        <f>especies_ativa_codibama[[#This Row],[Nome científico]]</f>
        <v>Ochroma pyramidale</v>
      </c>
    </row>
    <row r="96" spans="1:8" x14ac:dyDescent="0.25">
      <c r="A96">
        <v>21924</v>
      </c>
      <c r="B96" t="s">
        <v>140</v>
      </c>
      <c r="C96" t="s">
        <v>141</v>
      </c>
      <c r="D96" t="s">
        <v>38</v>
      </c>
      <c r="E96">
        <v>33106</v>
      </c>
      <c r="F96" s="24">
        <f>especies_ativa_codibama[[#This Row],[Código]]</f>
        <v>21924</v>
      </c>
      <c r="G96" s="40" t="str">
        <f>especies_ativa_codibama[[#This Row],[Nome popular]]</f>
        <v>Chapéu-de-couro</v>
      </c>
      <c r="H96" s="40" t="str">
        <f>especies_ativa_codibama[[#This Row],[Nome científico]]</f>
        <v>Palicourea rigida</v>
      </c>
    </row>
    <row r="97" spans="1:8" x14ac:dyDescent="0.25">
      <c r="A97">
        <v>21925</v>
      </c>
      <c r="B97" t="s">
        <v>142</v>
      </c>
      <c r="C97" t="s">
        <v>141</v>
      </c>
      <c r="D97" t="s">
        <v>38</v>
      </c>
      <c r="E97">
        <v>33106</v>
      </c>
      <c r="F97" s="24">
        <f>especies_ativa_codibama[[#This Row],[Código]]</f>
        <v>21925</v>
      </c>
      <c r="G97" s="40" t="str">
        <f>especies_ativa_codibama[[#This Row],[Nome popular]]</f>
        <v>Bate-caixa</v>
      </c>
      <c r="H97" s="40" t="str">
        <f>especies_ativa_codibama[[#This Row],[Nome científico]]</f>
        <v>Palicourea rigida</v>
      </c>
    </row>
    <row r="98" spans="1:8" x14ac:dyDescent="0.25">
      <c r="A98">
        <v>23202</v>
      </c>
      <c r="B98" t="s">
        <v>143</v>
      </c>
      <c r="C98" t="s">
        <v>144</v>
      </c>
      <c r="D98" t="s">
        <v>38</v>
      </c>
      <c r="E98">
        <v>33120</v>
      </c>
      <c r="F98" s="24">
        <f>especies_ativa_codibama[[#This Row],[Código]]</f>
        <v>23202</v>
      </c>
      <c r="G98" s="40" t="str">
        <f>especies_ativa_codibama[[#This Row],[Nome popular]]</f>
        <v>Camboatã</v>
      </c>
      <c r="H98" s="40" t="str">
        <f>especies_ativa_codibama[[#This Row],[Nome científico]]</f>
        <v>Picramnia camboita</v>
      </c>
    </row>
    <row r="99" spans="1:8" x14ac:dyDescent="0.25">
      <c r="A99">
        <v>23934</v>
      </c>
      <c r="B99" t="s">
        <v>2586</v>
      </c>
      <c r="C99" t="s">
        <v>2587</v>
      </c>
      <c r="D99" t="s">
        <v>38</v>
      </c>
      <c r="E99">
        <v>2024621</v>
      </c>
      <c r="F99" s="24">
        <f>especies_ativa_codibama[[#This Row],[Código]]</f>
        <v>23934</v>
      </c>
      <c r="G99" s="40" t="str">
        <f>especies_ativa_codibama[[#This Row],[Nome popular]]</f>
        <v>Queresmeira</v>
      </c>
      <c r="H99" s="40" t="str">
        <f>especies_ativa_codibama[[#This Row],[Nome científico]]</f>
        <v>Pleroma granulosum</v>
      </c>
    </row>
    <row r="100" spans="1:8" x14ac:dyDescent="0.25">
      <c r="A100">
        <v>24579</v>
      </c>
      <c r="B100" t="s">
        <v>2588</v>
      </c>
      <c r="C100" t="s">
        <v>2589</v>
      </c>
      <c r="D100" t="s">
        <v>38</v>
      </c>
      <c r="E100">
        <v>33134</v>
      </c>
      <c r="F100" s="24">
        <f>especies_ativa_codibama[[#This Row],[Código]]</f>
        <v>24579</v>
      </c>
      <c r="G100" s="40" t="str">
        <f>especies_ativa_codibama[[#This Row],[Nome popular]]</f>
        <v>Coração</v>
      </c>
      <c r="H100" s="40" t="str">
        <f>especies_ativa_codibama[[#This Row],[Nome científico]]</f>
        <v>Poecilanthe parviflora</v>
      </c>
    </row>
    <row r="101" spans="1:8" x14ac:dyDescent="0.25">
      <c r="A101">
        <v>25486</v>
      </c>
      <c r="B101" t="s">
        <v>1834</v>
      </c>
      <c r="C101" t="s">
        <v>2590</v>
      </c>
      <c r="D101" t="s">
        <v>38</v>
      </c>
      <c r="E101">
        <v>34562</v>
      </c>
      <c r="F101" s="24">
        <f>especies_ativa_codibama[[#This Row],[Código]]</f>
        <v>25486</v>
      </c>
      <c r="G101" s="40" t="str">
        <f>especies_ativa_codibama[[#This Row],[Nome popular]]</f>
        <v>Araçá</v>
      </c>
      <c r="H101" s="40" t="str">
        <f>especies_ativa_codibama[[#This Row],[Nome científico]]</f>
        <v>Psidium grandifolium</v>
      </c>
    </row>
    <row r="102" spans="1:8" x14ac:dyDescent="0.25">
      <c r="A102">
        <v>25513</v>
      </c>
      <c r="B102" t="s">
        <v>2591</v>
      </c>
      <c r="C102" t="s">
        <v>2592</v>
      </c>
      <c r="D102" t="s">
        <v>38</v>
      </c>
      <c r="E102">
        <v>33745</v>
      </c>
      <c r="F102" s="24">
        <f>especies_ativa_codibama[[#This Row],[Código]]</f>
        <v>25513</v>
      </c>
      <c r="G102" s="40" t="str">
        <f>especies_ativa_codibama[[#This Row],[Nome popular]]</f>
        <v>cafezinho</v>
      </c>
      <c r="H102" s="40" t="str">
        <f>especies_ativa_codibama[[#This Row],[Nome científico]]</f>
        <v>Psidium pohlianum</v>
      </c>
    </row>
    <row r="103" spans="1:8" x14ac:dyDescent="0.25">
      <c r="A103">
        <v>26113</v>
      </c>
      <c r="B103" t="s">
        <v>145</v>
      </c>
      <c r="C103" t="s">
        <v>146</v>
      </c>
      <c r="D103" t="s">
        <v>38</v>
      </c>
      <c r="E103">
        <v>34994</v>
      </c>
      <c r="F103" s="24">
        <f>especies_ativa_codibama[[#This Row],[Código]]</f>
        <v>26113</v>
      </c>
      <c r="G103" s="40" t="str">
        <f>especies_ativa_codibama[[#This Row],[Nome popular]]</f>
        <v>Canjica</v>
      </c>
      <c r="H103" s="40" t="str">
        <f>especies_ativa_codibama[[#This Row],[Nome científico]]</f>
        <v>Rhamnus sphaerosperma</v>
      </c>
    </row>
    <row r="104" spans="1:8" x14ac:dyDescent="0.25">
      <c r="A104">
        <v>26813</v>
      </c>
      <c r="B104" t="s">
        <v>147</v>
      </c>
      <c r="C104" t="s">
        <v>148</v>
      </c>
      <c r="D104" t="s">
        <v>38</v>
      </c>
      <c r="E104">
        <v>1127500</v>
      </c>
      <c r="F104" s="24">
        <f>especies_ativa_codibama[[#This Row],[Código]]</f>
        <v>26813</v>
      </c>
      <c r="G104" s="40" t="str">
        <f>especies_ativa_codibama[[#This Row],[Nome popular]]</f>
        <v>burra-leiteira, janaguba, seringarana</v>
      </c>
      <c r="H104" s="40" t="str">
        <f>especies_ativa_codibama[[#This Row],[Nome científico]]</f>
        <v>Sapium glandulosum</v>
      </c>
    </row>
    <row r="105" spans="1:8" x14ac:dyDescent="0.25">
      <c r="A105">
        <v>26891</v>
      </c>
      <c r="B105" t="s">
        <v>149</v>
      </c>
      <c r="C105" t="s">
        <v>150</v>
      </c>
      <c r="D105" t="s">
        <v>38</v>
      </c>
      <c r="E105">
        <v>712561</v>
      </c>
      <c r="F105" s="24">
        <f>especies_ativa_codibama[[#This Row],[Código]]</f>
        <v>26891</v>
      </c>
      <c r="G105" s="40" t="str">
        <f>especies_ativa_codibama[[#This Row],[Nome popular]]</f>
        <v>Mandiocão-docerrado</v>
      </c>
      <c r="H105" s="40" t="str">
        <f>especies_ativa_codibama[[#This Row],[Nome científico]]</f>
        <v>Schefflera macrocarpa</v>
      </c>
    </row>
    <row r="106" spans="1:8" x14ac:dyDescent="0.25">
      <c r="A106">
        <v>27306</v>
      </c>
      <c r="B106" t="s">
        <v>151</v>
      </c>
      <c r="C106" t="s">
        <v>152</v>
      </c>
      <c r="D106" t="s">
        <v>38</v>
      </c>
      <c r="E106">
        <v>36203</v>
      </c>
      <c r="F106" s="24">
        <f>especies_ativa_codibama[[#This Row],[Código]]</f>
        <v>27306</v>
      </c>
      <c r="G106" s="40" t="str">
        <f>especies_ativa_codibama[[#This Row],[Nome popular]]</f>
        <v>Carvoeiro-do-cerrado</v>
      </c>
      <c r="H106" s="40" t="str">
        <f>especies_ativa_codibama[[#This Row],[Nome científico]]</f>
        <v>Sclerolobium paniculatum</v>
      </c>
    </row>
    <row r="107" spans="1:8" x14ac:dyDescent="0.25">
      <c r="A107">
        <v>27316</v>
      </c>
      <c r="B107" t="s">
        <v>153</v>
      </c>
      <c r="C107" t="s">
        <v>152</v>
      </c>
      <c r="D107" t="s">
        <v>38</v>
      </c>
      <c r="E107">
        <v>36203</v>
      </c>
      <c r="F107" s="24">
        <f>especies_ativa_codibama[[#This Row],[Código]]</f>
        <v>27316</v>
      </c>
      <c r="G107" s="40" t="str">
        <f>especies_ativa_codibama[[#This Row],[Nome popular]]</f>
        <v>Taxi-branco</v>
      </c>
      <c r="H107" s="40" t="str">
        <f>especies_ativa_codibama[[#This Row],[Nome científico]]</f>
        <v>Sclerolobium paniculatum</v>
      </c>
    </row>
    <row r="108" spans="1:8" x14ac:dyDescent="0.25">
      <c r="A108">
        <v>27318</v>
      </c>
      <c r="B108" t="s">
        <v>154</v>
      </c>
      <c r="C108" t="s">
        <v>152</v>
      </c>
      <c r="D108" t="s">
        <v>38</v>
      </c>
      <c r="E108">
        <v>36203</v>
      </c>
      <c r="F108" s="24">
        <f>especies_ativa_codibama[[#This Row],[Código]]</f>
        <v>27318</v>
      </c>
      <c r="G108" s="40" t="str">
        <f>especies_ativa_codibama[[#This Row],[Nome popular]]</f>
        <v>Carvoeiro</v>
      </c>
      <c r="H108" s="40" t="str">
        <f>especies_ativa_codibama[[#This Row],[Nome científico]]</f>
        <v>Sclerolobium paniculatum</v>
      </c>
    </row>
    <row r="109" spans="1:8" x14ac:dyDescent="0.25">
      <c r="A109">
        <v>27324</v>
      </c>
      <c r="B109" t="s">
        <v>155</v>
      </c>
      <c r="C109" t="s">
        <v>152</v>
      </c>
      <c r="D109" t="s">
        <v>38</v>
      </c>
      <c r="E109">
        <v>36203</v>
      </c>
      <c r="F109" s="24">
        <f>especies_ativa_codibama[[#This Row],[Código]]</f>
        <v>27324</v>
      </c>
      <c r="G109" s="40" t="str">
        <f>especies_ativa_codibama[[#This Row],[Nome popular]]</f>
        <v>Pau-bosta</v>
      </c>
      <c r="H109" s="40" t="str">
        <f>especies_ativa_codibama[[#This Row],[Nome científico]]</f>
        <v>Sclerolobium paniculatum</v>
      </c>
    </row>
    <row r="110" spans="1:8" x14ac:dyDescent="0.25">
      <c r="A110">
        <v>27411</v>
      </c>
      <c r="B110" t="s">
        <v>106</v>
      </c>
      <c r="C110" t="s">
        <v>156</v>
      </c>
      <c r="D110" t="s">
        <v>38</v>
      </c>
      <c r="E110">
        <v>32850</v>
      </c>
      <c r="F110" s="24">
        <f>especies_ativa_codibama[[#This Row],[Código]]</f>
        <v>27411</v>
      </c>
      <c r="G110" s="40" t="str">
        <f>especies_ativa_codibama[[#This Row],[Nome popular]]</f>
        <v>---</v>
      </c>
      <c r="H110" s="40" t="str">
        <f>especies_ativa_codibama[[#This Row],[Nome científico]]</f>
        <v>Sebastiania brasiliensis</v>
      </c>
    </row>
    <row r="111" spans="1:8" x14ac:dyDescent="0.25">
      <c r="A111">
        <v>27433</v>
      </c>
      <c r="B111" t="s">
        <v>157</v>
      </c>
      <c r="C111" t="s">
        <v>158</v>
      </c>
      <c r="D111" t="s">
        <v>38</v>
      </c>
      <c r="E111">
        <v>35597</v>
      </c>
      <c r="F111" s="24">
        <f>especies_ativa_codibama[[#This Row],[Código]]</f>
        <v>27433</v>
      </c>
      <c r="G111" s="40" t="str">
        <f>especies_ativa_codibama[[#This Row],[Nome popular]]</f>
        <v>Rebenta-laço</v>
      </c>
      <c r="H111" s="40" t="str">
        <f>especies_ativa_codibama[[#This Row],[Nome científico]]</f>
        <v>Sebastiania membranifolia</v>
      </c>
    </row>
    <row r="112" spans="1:8" x14ac:dyDescent="0.25">
      <c r="A112">
        <v>27434</v>
      </c>
      <c r="B112" t="s">
        <v>159</v>
      </c>
      <c r="C112" t="s">
        <v>158</v>
      </c>
      <c r="D112" t="s">
        <v>38</v>
      </c>
      <c r="E112">
        <v>35597</v>
      </c>
      <c r="F112" s="24">
        <f>especies_ativa_codibama[[#This Row],[Código]]</f>
        <v>27434</v>
      </c>
      <c r="G112" s="40" t="str">
        <f>especies_ativa_codibama[[#This Row],[Nome popular]]</f>
        <v>Muquém</v>
      </c>
      <c r="H112" s="40" t="str">
        <f>especies_ativa_codibama[[#This Row],[Nome científico]]</f>
        <v>Sebastiania membranifolia</v>
      </c>
    </row>
    <row r="113" spans="1:8" x14ac:dyDescent="0.25">
      <c r="A113">
        <v>27435</v>
      </c>
      <c r="B113" t="s">
        <v>160</v>
      </c>
      <c r="C113" t="s">
        <v>158</v>
      </c>
      <c r="D113" t="s">
        <v>38</v>
      </c>
      <c r="E113">
        <v>35597</v>
      </c>
      <c r="F113" s="24">
        <f>especies_ativa_codibama[[#This Row],[Código]]</f>
        <v>27435</v>
      </c>
      <c r="G113" s="40" t="str">
        <f>especies_ativa_codibama[[#This Row],[Nome popular]]</f>
        <v>Sabibeira</v>
      </c>
      <c r="H113" s="40" t="str">
        <f>especies_ativa_codibama[[#This Row],[Nome científico]]</f>
        <v>Sebastiania membranifolia</v>
      </c>
    </row>
    <row r="114" spans="1:8" x14ac:dyDescent="0.25">
      <c r="A114">
        <v>27436</v>
      </c>
      <c r="B114" t="s">
        <v>161</v>
      </c>
      <c r="C114" t="s">
        <v>158</v>
      </c>
      <c r="D114" t="s">
        <v>38</v>
      </c>
      <c r="E114">
        <v>35597</v>
      </c>
      <c r="F114" s="24">
        <f>especies_ativa_codibama[[#This Row],[Código]]</f>
        <v>27436</v>
      </c>
      <c r="G114" s="40" t="str">
        <f>especies_ativa_codibama[[#This Row],[Nome popular]]</f>
        <v>Durão</v>
      </c>
      <c r="H114" s="40" t="str">
        <f>especies_ativa_codibama[[#This Row],[Nome científico]]</f>
        <v>Sebastiania membranifolia</v>
      </c>
    </row>
    <row r="115" spans="1:8" x14ac:dyDescent="0.25">
      <c r="A115">
        <v>27437</v>
      </c>
      <c r="B115" t="s">
        <v>162</v>
      </c>
      <c r="C115" t="s">
        <v>158</v>
      </c>
      <c r="D115" t="s">
        <v>38</v>
      </c>
      <c r="E115">
        <v>35597</v>
      </c>
      <c r="F115" s="24">
        <f>especies_ativa_codibama[[#This Row],[Código]]</f>
        <v>27437</v>
      </c>
      <c r="G115" s="40" t="str">
        <f>especies_ativa_codibama[[#This Row],[Nome popular]]</f>
        <v>Sarandi</v>
      </c>
      <c r="H115" s="40" t="str">
        <f>especies_ativa_codibama[[#This Row],[Nome científico]]</f>
        <v>Sebastiania membranifolia</v>
      </c>
    </row>
    <row r="116" spans="1:8" x14ac:dyDescent="0.25">
      <c r="A116">
        <v>27438</v>
      </c>
      <c r="B116" t="s">
        <v>163</v>
      </c>
      <c r="C116" t="s">
        <v>158</v>
      </c>
      <c r="D116" t="s">
        <v>38</v>
      </c>
      <c r="E116">
        <v>35597</v>
      </c>
      <c r="F116" s="24">
        <f>especies_ativa_codibama[[#This Row],[Código]]</f>
        <v>27438</v>
      </c>
      <c r="G116" s="40" t="str">
        <f>especies_ativa_codibama[[#This Row],[Nome popular]]</f>
        <v>Sardinheira</v>
      </c>
      <c r="H116" s="40" t="str">
        <f>especies_ativa_codibama[[#This Row],[Nome científico]]</f>
        <v>Sebastiania membranifolia</v>
      </c>
    </row>
    <row r="117" spans="1:8" x14ac:dyDescent="0.25">
      <c r="A117">
        <v>27439</v>
      </c>
      <c r="B117" t="s">
        <v>164</v>
      </c>
      <c r="C117" t="s">
        <v>158</v>
      </c>
      <c r="D117" t="s">
        <v>38</v>
      </c>
      <c r="E117">
        <v>35597</v>
      </c>
      <c r="F117" s="24">
        <f>especies_ativa_codibama[[#This Row],[Código]]</f>
        <v>27439</v>
      </c>
      <c r="G117" s="40" t="str">
        <f>especies_ativa_codibama[[#This Row],[Nome popular]]</f>
        <v>Creri</v>
      </c>
      <c r="H117" s="40" t="str">
        <f>especies_ativa_codibama[[#This Row],[Nome científico]]</f>
        <v>Sebastiania membranifolia</v>
      </c>
    </row>
    <row r="118" spans="1:8" x14ac:dyDescent="0.25">
      <c r="A118">
        <v>28092</v>
      </c>
      <c r="B118" t="s">
        <v>2593</v>
      </c>
      <c r="C118" t="s">
        <v>2594</v>
      </c>
      <c r="D118" t="s">
        <v>38</v>
      </c>
      <c r="E118">
        <v>34396</v>
      </c>
      <c r="F118" s="24">
        <f>especies_ativa_codibama[[#This Row],[Código]]</f>
        <v>28092</v>
      </c>
      <c r="G118" s="40" t="str">
        <f>especies_ativa_codibama[[#This Row],[Nome popular]]</f>
        <v>Cajarana</v>
      </c>
      <c r="H118" s="40" t="str">
        <f>especies_ativa_codibama[[#This Row],[Nome científico]]</f>
        <v>Spondias dulcis</v>
      </c>
    </row>
    <row r="119" spans="1:8" x14ac:dyDescent="0.25">
      <c r="A119">
        <v>28096</v>
      </c>
      <c r="B119" t="s">
        <v>2595</v>
      </c>
      <c r="C119" t="s">
        <v>2594</v>
      </c>
      <c r="D119" t="s">
        <v>38</v>
      </c>
      <c r="E119">
        <v>34396</v>
      </c>
      <c r="F119" s="24">
        <f>especies_ativa_codibama[[#This Row],[Código]]</f>
        <v>28096</v>
      </c>
      <c r="G119" s="40" t="str">
        <f>especies_ativa_codibama[[#This Row],[Nome popular]]</f>
        <v>Taperebá-açu</v>
      </c>
      <c r="H119" s="40" t="str">
        <f>especies_ativa_codibama[[#This Row],[Nome científico]]</f>
        <v>Spondias dulcis</v>
      </c>
    </row>
    <row r="120" spans="1:8" x14ac:dyDescent="0.25">
      <c r="A120">
        <v>28103</v>
      </c>
      <c r="B120" t="s">
        <v>2596</v>
      </c>
      <c r="C120" t="s">
        <v>2594</v>
      </c>
      <c r="D120" t="s">
        <v>38</v>
      </c>
      <c r="E120">
        <v>34396</v>
      </c>
      <c r="F120" s="24">
        <f>especies_ativa_codibama[[#This Row],[Código]]</f>
        <v>28103</v>
      </c>
      <c r="G120" s="40" t="str">
        <f>especies_ativa_codibama[[#This Row],[Nome popular]]</f>
        <v>Cajá-açu</v>
      </c>
      <c r="H120" s="40" t="str">
        <f>especies_ativa_codibama[[#This Row],[Nome científico]]</f>
        <v>Spondias dulcis</v>
      </c>
    </row>
    <row r="121" spans="1:8" x14ac:dyDescent="0.25">
      <c r="A121">
        <v>28106</v>
      </c>
      <c r="B121" t="s">
        <v>2597</v>
      </c>
      <c r="C121" t="s">
        <v>2594</v>
      </c>
      <c r="D121" t="s">
        <v>38</v>
      </c>
      <c r="E121">
        <v>34396</v>
      </c>
      <c r="F121" s="24">
        <f>especies_ativa_codibama[[#This Row],[Código]]</f>
        <v>28106</v>
      </c>
      <c r="G121" s="40" t="str">
        <f>especies_ativa_codibama[[#This Row],[Nome popular]]</f>
        <v>Cajá-manga</v>
      </c>
      <c r="H121" s="40" t="str">
        <f>especies_ativa_codibama[[#This Row],[Nome científico]]</f>
        <v>Spondias dulcis</v>
      </c>
    </row>
    <row r="122" spans="1:8" x14ac:dyDescent="0.25">
      <c r="A122">
        <v>28386</v>
      </c>
      <c r="B122" t="s">
        <v>2598</v>
      </c>
      <c r="C122" t="s">
        <v>2599</v>
      </c>
      <c r="D122" t="s">
        <v>38</v>
      </c>
      <c r="E122">
        <v>33194</v>
      </c>
      <c r="F122" s="24">
        <f>especies_ativa_codibama[[#This Row],[Código]]</f>
        <v>28386</v>
      </c>
      <c r="G122" s="40" t="str">
        <f>especies_ativa_codibama[[#This Row],[Nome popular]]</f>
        <v>Taboca</v>
      </c>
      <c r="H122" s="40" t="str">
        <f>especies_ativa_codibama[[#This Row],[Nome científico]]</f>
        <v>Sterculia pilosa</v>
      </c>
    </row>
    <row r="123" spans="1:8" x14ac:dyDescent="0.25">
      <c r="A123">
        <v>28539</v>
      </c>
      <c r="B123" t="s">
        <v>165</v>
      </c>
      <c r="C123" t="s">
        <v>166</v>
      </c>
      <c r="D123" t="s">
        <v>38</v>
      </c>
      <c r="E123">
        <v>32581</v>
      </c>
      <c r="F123" s="24">
        <f>especies_ativa_codibama[[#This Row],[Código]]</f>
        <v>28539</v>
      </c>
      <c r="G123" s="40" t="str">
        <f>especies_ativa_codibama[[#This Row],[Nome popular]]</f>
        <v>Carne-de-vaca</v>
      </c>
      <c r="H123" s="40" t="str">
        <f>especies_ativa_codibama[[#This Row],[Nome científico]]</f>
        <v>Styrax latifolium</v>
      </c>
    </row>
    <row r="124" spans="1:8" x14ac:dyDescent="0.25">
      <c r="A124">
        <v>28540</v>
      </c>
      <c r="B124" t="s">
        <v>167</v>
      </c>
      <c r="C124" t="s">
        <v>166</v>
      </c>
      <c r="D124" t="s">
        <v>38</v>
      </c>
      <c r="E124">
        <v>32581</v>
      </c>
      <c r="F124" s="24">
        <f>especies_ativa_codibama[[#This Row],[Código]]</f>
        <v>28540</v>
      </c>
      <c r="G124" s="40" t="str">
        <f>especies_ativa_codibama[[#This Row],[Nome popular]]</f>
        <v>Mangue</v>
      </c>
      <c r="H124" s="40" t="str">
        <f>especies_ativa_codibama[[#This Row],[Nome científico]]</f>
        <v>Styrax latifolium</v>
      </c>
    </row>
    <row r="125" spans="1:8" x14ac:dyDescent="0.25">
      <c r="A125">
        <v>28541</v>
      </c>
      <c r="B125" t="s">
        <v>168</v>
      </c>
      <c r="C125" t="s">
        <v>166</v>
      </c>
      <c r="D125" t="s">
        <v>38</v>
      </c>
      <c r="E125">
        <v>32581</v>
      </c>
      <c r="F125" s="24">
        <f>especies_ativa_codibama[[#This Row],[Código]]</f>
        <v>28541</v>
      </c>
      <c r="G125" s="40" t="str">
        <f>especies_ativa_codibama[[#This Row],[Nome popular]]</f>
        <v>Pau-tinta</v>
      </c>
      <c r="H125" s="40" t="str">
        <f>especies_ativa_codibama[[#This Row],[Nome científico]]</f>
        <v>Styrax latifolium</v>
      </c>
    </row>
    <row r="126" spans="1:8" x14ac:dyDescent="0.25">
      <c r="A126">
        <v>28542</v>
      </c>
      <c r="B126" t="s">
        <v>169</v>
      </c>
      <c r="C126" t="s">
        <v>166</v>
      </c>
      <c r="D126" t="s">
        <v>38</v>
      </c>
      <c r="E126">
        <v>32581</v>
      </c>
      <c r="F126" s="24">
        <f>especies_ativa_codibama[[#This Row],[Código]]</f>
        <v>28542</v>
      </c>
      <c r="G126" s="40" t="str">
        <f>especies_ativa_codibama[[#This Row],[Nome popular]]</f>
        <v>Canela-poca</v>
      </c>
      <c r="H126" s="40" t="str">
        <f>especies_ativa_codibama[[#This Row],[Nome científico]]</f>
        <v>Styrax latifolium</v>
      </c>
    </row>
    <row r="127" spans="1:8" x14ac:dyDescent="0.25">
      <c r="A127">
        <v>29533</v>
      </c>
      <c r="B127" t="s">
        <v>170</v>
      </c>
      <c r="C127" t="s">
        <v>171</v>
      </c>
      <c r="D127" t="s">
        <v>38</v>
      </c>
      <c r="E127">
        <v>34596</v>
      </c>
      <c r="F127" s="24">
        <f>especies_ativa_codibama[[#This Row],[Código]]</f>
        <v>29533</v>
      </c>
      <c r="G127" s="40" t="str">
        <f>especies_ativa_codibama[[#This Row],[Nome popular]]</f>
        <v>Teca</v>
      </c>
      <c r="H127" s="40" t="str">
        <f>especies_ativa_codibama[[#This Row],[Nome científico]]</f>
        <v>Tectona grandis</v>
      </c>
    </row>
    <row r="128" spans="1:8" x14ac:dyDescent="0.25">
      <c r="A128">
        <v>29570</v>
      </c>
      <c r="B128" t="s">
        <v>2600</v>
      </c>
      <c r="C128" t="s">
        <v>172</v>
      </c>
      <c r="D128" t="s">
        <v>38</v>
      </c>
      <c r="E128">
        <v>34420</v>
      </c>
      <c r="F128" s="24">
        <f>especies_ativa_codibama[[#This Row],[Código]]</f>
        <v>29570</v>
      </c>
      <c r="G128" s="40" t="str">
        <f>especies_ativa_codibama[[#This Row],[Nome popular]]</f>
        <v>Cachaporra-do-gentio , Capitão-do-mato, Caxapora-do-gentio, Pau-garrote, Capitão-do-campo, Mirindiba, Cinzeiro, Tanibuca, Capitão, Cuia</v>
      </c>
      <c r="H128" s="40" t="str">
        <f>especies_ativa_codibama[[#This Row],[Nome científico]]</f>
        <v>Terminalia argentea</v>
      </c>
    </row>
    <row r="129" spans="1:8" x14ac:dyDescent="0.25">
      <c r="A129">
        <v>29854</v>
      </c>
      <c r="B129" t="s">
        <v>173</v>
      </c>
      <c r="C129" t="s">
        <v>174</v>
      </c>
      <c r="D129" t="s">
        <v>79</v>
      </c>
      <c r="E129">
        <v>32605</v>
      </c>
      <c r="F129" s="24">
        <f>especies_ativa_codibama[[#This Row],[Código]]</f>
        <v>29854</v>
      </c>
      <c r="G129" s="40" t="str">
        <f>especies_ativa_codibama[[#This Row],[Nome popular]]</f>
        <v>Quaresma</v>
      </c>
      <c r="H129" s="40" t="str">
        <f>especies_ativa_codibama[[#This Row],[Nome científico]]</f>
        <v>Tibouchina candolleana</v>
      </c>
    </row>
    <row r="130" spans="1:8" x14ac:dyDescent="0.25">
      <c r="A130">
        <v>29855</v>
      </c>
      <c r="B130" t="s">
        <v>175</v>
      </c>
      <c r="C130" t="s">
        <v>174</v>
      </c>
      <c r="D130" t="s">
        <v>79</v>
      </c>
      <c r="E130">
        <v>32605</v>
      </c>
      <c r="F130" s="24">
        <f>especies_ativa_codibama[[#This Row],[Código]]</f>
        <v>29855</v>
      </c>
      <c r="G130" s="40" t="str">
        <f>especies_ativa_codibama[[#This Row],[Nome popular]]</f>
        <v>Quaresmeira</v>
      </c>
      <c r="H130" s="40" t="str">
        <f>especies_ativa_codibama[[#This Row],[Nome científico]]</f>
        <v>Tibouchina candolleana</v>
      </c>
    </row>
    <row r="131" spans="1:8" x14ac:dyDescent="0.25">
      <c r="A131">
        <v>29856</v>
      </c>
      <c r="B131" t="s">
        <v>176</v>
      </c>
      <c r="C131" t="s">
        <v>174</v>
      </c>
      <c r="D131" t="s">
        <v>79</v>
      </c>
      <c r="E131">
        <v>32605</v>
      </c>
      <c r="F131" s="24">
        <f>especies_ativa_codibama[[#This Row],[Código]]</f>
        <v>29856</v>
      </c>
      <c r="G131" s="40" t="str">
        <f>especies_ativa_codibama[[#This Row],[Nome popular]]</f>
        <v>Flor-de-quaresma</v>
      </c>
      <c r="H131" s="40" t="str">
        <f>especies_ativa_codibama[[#This Row],[Nome científico]]</f>
        <v>Tibouchina candolleana</v>
      </c>
    </row>
    <row r="132" spans="1:8" x14ac:dyDescent="0.25">
      <c r="A132">
        <v>29857</v>
      </c>
      <c r="B132" t="s">
        <v>177</v>
      </c>
      <c r="C132" t="s">
        <v>174</v>
      </c>
      <c r="D132" t="s">
        <v>79</v>
      </c>
      <c r="E132">
        <v>32605</v>
      </c>
      <c r="F132" s="24">
        <f>especies_ativa_codibama[[#This Row],[Código]]</f>
        <v>29857</v>
      </c>
      <c r="G132" s="40" t="str">
        <f>especies_ativa_codibama[[#This Row],[Nome popular]]</f>
        <v>Quaresmeira-da-serra</v>
      </c>
      <c r="H132" s="40" t="str">
        <f>especies_ativa_codibama[[#This Row],[Nome científico]]</f>
        <v>Tibouchina candolleana</v>
      </c>
    </row>
    <row r="133" spans="1:8" x14ac:dyDescent="0.25">
      <c r="A133">
        <v>29900</v>
      </c>
      <c r="B133" t="s">
        <v>2601</v>
      </c>
      <c r="C133" t="s">
        <v>2602</v>
      </c>
      <c r="D133" t="s">
        <v>79</v>
      </c>
      <c r="E133">
        <v>33808</v>
      </c>
      <c r="F133" s="24">
        <f>especies_ativa_codibama[[#This Row],[Código]]</f>
        <v>29900</v>
      </c>
      <c r="G133" s="40" t="str">
        <f>especies_ativa_codibama[[#This Row],[Nome popular]]</f>
        <v>Flor-de-quaresma, Quaresma, Quaresmão, Quaresmeira, Cuiupeva</v>
      </c>
      <c r="H133" s="40" t="str">
        <f>especies_ativa_codibama[[#This Row],[Nome científico]]</f>
        <v>Tibouchina stenocarpa</v>
      </c>
    </row>
    <row r="134" spans="1:8" x14ac:dyDescent="0.25">
      <c r="A134">
        <v>29969</v>
      </c>
      <c r="B134" t="s">
        <v>178</v>
      </c>
      <c r="C134" t="s">
        <v>179</v>
      </c>
      <c r="D134" t="s">
        <v>38</v>
      </c>
      <c r="E134">
        <v>34430</v>
      </c>
      <c r="F134" s="24">
        <f>especies_ativa_codibama[[#This Row],[Código]]</f>
        <v>29969</v>
      </c>
      <c r="G134" s="40" t="str">
        <f>especies_ativa_codibama[[#This Row],[Nome popular]]</f>
        <v>Jenipapo</v>
      </c>
      <c r="H134" s="40" t="str">
        <f>especies_ativa_codibama[[#This Row],[Nome científico]]</f>
        <v>Tocoyena formosa</v>
      </c>
    </row>
    <row r="135" spans="1:8" x14ac:dyDescent="0.25">
      <c r="A135">
        <v>29970</v>
      </c>
      <c r="B135" t="s">
        <v>180</v>
      </c>
      <c r="C135" t="s">
        <v>179</v>
      </c>
      <c r="D135" t="s">
        <v>38</v>
      </c>
      <c r="E135">
        <v>34430</v>
      </c>
      <c r="F135" s="24">
        <f>especies_ativa_codibama[[#This Row],[Código]]</f>
        <v>29970</v>
      </c>
      <c r="G135" s="40" t="str">
        <f>especies_ativa_codibama[[#This Row],[Nome popular]]</f>
        <v>genipapo-bravo</v>
      </c>
      <c r="H135" s="40" t="str">
        <f>especies_ativa_codibama[[#This Row],[Nome científico]]</f>
        <v>Tocoyena formosa</v>
      </c>
    </row>
    <row r="136" spans="1:8" x14ac:dyDescent="0.25">
      <c r="A136">
        <v>30103</v>
      </c>
      <c r="B136" t="s">
        <v>2603</v>
      </c>
      <c r="C136" t="s">
        <v>2604</v>
      </c>
      <c r="D136" t="s">
        <v>38</v>
      </c>
      <c r="E136">
        <v>32609</v>
      </c>
      <c r="F136" s="24">
        <f>especies_ativa_codibama[[#This Row],[Código]]</f>
        <v>30103</v>
      </c>
      <c r="G136" s="40" t="str">
        <f>especies_ativa_codibama[[#This Row],[Nome popular]]</f>
        <v>Catiguá</v>
      </c>
      <c r="H136" s="40" t="str">
        <f>especies_ativa_codibama[[#This Row],[Nome científico]]</f>
        <v>Trichilia claussenii</v>
      </c>
    </row>
    <row r="137" spans="1:8" x14ac:dyDescent="0.25">
      <c r="A137">
        <v>30320</v>
      </c>
      <c r="B137" t="s">
        <v>181</v>
      </c>
      <c r="C137" t="s">
        <v>182</v>
      </c>
      <c r="D137" t="s">
        <v>38</v>
      </c>
      <c r="E137">
        <v>31988</v>
      </c>
      <c r="F137" s="24">
        <f>especies_ativa_codibama[[#This Row],[Código]]</f>
        <v>30320</v>
      </c>
      <c r="G137" s="40" t="str">
        <f>especies_ativa_codibama[[#This Row],[Nome popular]]</f>
        <v>Embira</v>
      </c>
      <c r="H137" s="40" t="str">
        <f>especies_ativa_codibama[[#This Row],[Nome científico]]</f>
        <v>Unonopsis guatterioides</v>
      </c>
    </row>
    <row r="138" spans="1:8" x14ac:dyDescent="0.25">
      <c r="A138">
        <v>30321</v>
      </c>
      <c r="B138" t="s">
        <v>183</v>
      </c>
      <c r="C138" t="s">
        <v>182</v>
      </c>
      <c r="D138" t="s">
        <v>38</v>
      </c>
      <c r="E138">
        <v>31988</v>
      </c>
      <c r="F138" s="24">
        <f>especies_ativa_codibama[[#This Row],[Código]]</f>
        <v>30321</v>
      </c>
      <c r="G138" s="40" t="str">
        <f>especies_ativa_codibama[[#This Row],[Nome popular]]</f>
        <v>Embira-surucucu</v>
      </c>
      <c r="H138" s="40" t="str">
        <f>especies_ativa_codibama[[#This Row],[Nome científico]]</f>
        <v>Unonopsis guatterioides</v>
      </c>
    </row>
    <row r="139" spans="1:8" x14ac:dyDescent="0.25">
      <c r="A139">
        <v>30322</v>
      </c>
      <c r="B139" t="s">
        <v>184</v>
      </c>
      <c r="C139" t="s">
        <v>182</v>
      </c>
      <c r="D139" t="s">
        <v>38</v>
      </c>
      <c r="E139">
        <v>31988</v>
      </c>
      <c r="F139" s="24">
        <f>especies_ativa_codibama[[#This Row],[Código]]</f>
        <v>30322</v>
      </c>
      <c r="G139" s="40" t="str">
        <f>especies_ativa_codibama[[#This Row],[Nome popular]]</f>
        <v>Embira-surucucu-da-várzea</v>
      </c>
      <c r="H139" s="40" t="str">
        <f>especies_ativa_codibama[[#This Row],[Nome científico]]</f>
        <v>Unonopsis guatterioides</v>
      </c>
    </row>
    <row r="140" spans="1:8" x14ac:dyDescent="0.25">
      <c r="A140">
        <v>30323</v>
      </c>
      <c r="B140" t="s">
        <v>185</v>
      </c>
      <c r="C140" t="s">
        <v>182</v>
      </c>
      <c r="D140" t="s">
        <v>38</v>
      </c>
      <c r="E140">
        <v>31988</v>
      </c>
      <c r="F140" s="24">
        <f>especies_ativa_codibama[[#This Row],[Código]]</f>
        <v>30323</v>
      </c>
      <c r="G140" s="40" t="str">
        <f>especies_ativa_codibama[[#This Row],[Nome popular]]</f>
        <v>Ata-do-igapó</v>
      </c>
      <c r="H140" s="40" t="str">
        <f>especies_ativa_codibama[[#This Row],[Nome científico]]</f>
        <v>Unonopsis guatterioides</v>
      </c>
    </row>
    <row r="141" spans="1:8" x14ac:dyDescent="0.25">
      <c r="A141">
        <v>30585</v>
      </c>
      <c r="B141" t="s">
        <v>186</v>
      </c>
      <c r="C141" t="s">
        <v>187</v>
      </c>
      <c r="D141" t="s">
        <v>38</v>
      </c>
      <c r="E141">
        <v>2024469</v>
      </c>
      <c r="F141" s="24">
        <f>especies_ativa_codibama[[#This Row],[Código]]</f>
        <v>30585</v>
      </c>
      <c r="G141" s="40" t="str">
        <f>especies_ativa_codibama[[#This Row],[Nome popular]]</f>
        <v>--</v>
      </c>
      <c r="H141" s="40" t="str">
        <f>especies_ativa_codibama[[#This Row],[Nome científico]]</f>
        <v>Vernonanthura polyanthes</v>
      </c>
    </row>
    <row r="142" spans="1:8" x14ac:dyDescent="0.25">
      <c r="A142">
        <v>31304</v>
      </c>
      <c r="B142" t="s">
        <v>188</v>
      </c>
      <c r="C142" t="s">
        <v>189</v>
      </c>
      <c r="D142" t="s">
        <v>38</v>
      </c>
      <c r="E142">
        <v>33254</v>
      </c>
      <c r="F142" s="24">
        <f>especies_ativa_codibama[[#This Row],[Código]]</f>
        <v>31304</v>
      </c>
      <c r="G142" s="40" t="str">
        <f>especies_ativa_codibama[[#This Row],[Nome popular]]</f>
        <v>Naranjinho</v>
      </c>
      <c r="H142" s="40" t="str">
        <f>especies_ativa_codibama[[#This Row],[Nome científico]]</f>
        <v>Zanthoxylum narangillo</v>
      </c>
    </row>
    <row r="143" spans="1:8" x14ac:dyDescent="0.25">
      <c r="A143">
        <v>31305</v>
      </c>
      <c r="B143" t="s">
        <v>190</v>
      </c>
      <c r="C143" t="s">
        <v>189</v>
      </c>
      <c r="D143" t="s">
        <v>38</v>
      </c>
      <c r="E143">
        <v>33254</v>
      </c>
      <c r="F143" s="24">
        <f>especies_ativa_codibama[[#This Row],[Código]]</f>
        <v>31305</v>
      </c>
      <c r="G143" s="40" t="str">
        <f>especies_ativa_codibama[[#This Row],[Nome popular]]</f>
        <v>Mamica-de-cadela-de-folha-comprida</v>
      </c>
      <c r="H143" s="40" t="str">
        <f>especies_ativa_codibama[[#This Row],[Nome científico]]</f>
        <v>Zanthoxylum narangillo</v>
      </c>
    </row>
    <row r="144" spans="1:8" x14ac:dyDescent="0.25">
      <c r="A144">
        <v>31571</v>
      </c>
      <c r="B144" t="s">
        <v>106</v>
      </c>
      <c r="C144" t="s">
        <v>191</v>
      </c>
      <c r="D144" t="s">
        <v>38</v>
      </c>
      <c r="E144">
        <v>35464</v>
      </c>
      <c r="F144" s="24">
        <f>especies_ativa_codibama[[#This Row],[Código]]</f>
        <v>31571</v>
      </c>
      <c r="G144" s="40" t="str">
        <f>especies_ativa_codibama[[#This Row],[Nome popular]]</f>
        <v>---</v>
      </c>
      <c r="H144" s="40" t="str">
        <f>especies_ativa_codibama[[#This Row],[Nome científico]]</f>
        <v>Lindackeria paludosa</v>
      </c>
    </row>
    <row r="145" spans="1:8" x14ac:dyDescent="0.25">
      <c r="A145">
        <v>31575</v>
      </c>
      <c r="B145" t="s">
        <v>106</v>
      </c>
      <c r="C145" t="s">
        <v>192</v>
      </c>
      <c r="D145" t="s">
        <v>38</v>
      </c>
      <c r="E145">
        <v>35320</v>
      </c>
      <c r="F145" s="24">
        <f>especies_ativa_codibama[[#This Row],[Código]]</f>
        <v>31575</v>
      </c>
      <c r="G145" s="40" t="str">
        <f>especies_ativa_codibama[[#This Row],[Nome popular]]</f>
        <v>---</v>
      </c>
      <c r="H145" s="40" t="str">
        <f>especies_ativa_codibama[[#This Row],[Nome científico]]</f>
        <v>Carpotroche brasiliensis</v>
      </c>
    </row>
    <row r="146" spans="1:8" x14ac:dyDescent="0.25">
      <c r="A146">
        <v>31576</v>
      </c>
      <c r="B146" t="s">
        <v>193</v>
      </c>
      <c r="C146" t="s">
        <v>194</v>
      </c>
      <c r="D146" t="s">
        <v>126</v>
      </c>
      <c r="E146">
        <v>34631</v>
      </c>
      <c r="F146" s="24">
        <f>especies_ativa_codibama[[#This Row],[Código]]</f>
        <v>31576</v>
      </c>
      <c r="G146" s="40" t="str">
        <f>especies_ativa_codibama[[#This Row],[Nome popular]]</f>
        <v>Cabo de Lança</v>
      </c>
      <c r="H146" s="40" t="str">
        <f>especies_ativa_codibama[[#This Row],[Nome científico]]</f>
        <v>Achatocarpus praecox</v>
      </c>
    </row>
    <row r="147" spans="1:8" x14ac:dyDescent="0.25">
      <c r="A147">
        <v>31578</v>
      </c>
      <c r="B147" t="s">
        <v>106</v>
      </c>
      <c r="C147" t="s">
        <v>195</v>
      </c>
      <c r="D147" t="s">
        <v>196</v>
      </c>
      <c r="E147">
        <v>31941</v>
      </c>
      <c r="F147" s="24">
        <f>especies_ativa_codibama[[#This Row],[Código]]</f>
        <v>31578</v>
      </c>
      <c r="G147" s="40" t="str">
        <f>especies_ativa_codibama[[#This Row],[Nome popular]]</f>
        <v>---</v>
      </c>
      <c r="H147" s="40" t="str">
        <f>especies_ativa_codibama[[#This Row],[Nome científico]]</f>
        <v>Schinopsis balansae</v>
      </c>
    </row>
    <row r="148" spans="1:8" x14ac:dyDescent="0.25">
      <c r="A148">
        <v>31580</v>
      </c>
      <c r="B148" t="s">
        <v>197</v>
      </c>
      <c r="C148" t="s">
        <v>198</v>
      </c>
      <c r="D148" t="s">
        <v>79</v>
      </c>
      <c r="E148">
        <v>34397</v>
      </c>
      <c r="F148" s="24">
        <f>especies_ativa_codibama[[#This Row],[Código]]</f>
        <v>31580</v>
      </c>
      <c r="G148" s="40" t="str">
        <f>especies_ativa_codibama[[#This Row],[Nome popular]]</f>
        <v>cajá, cajazeira</v>
      </c>
      <c r="H148" s="40" t="str">
        <f>especies_ativa_codibama[[#This Row],[Nome científico]]</f>
        <v>Spondias venulosa</v>
      </c>
    </row>
    <row r="149" spans="1:8" x14ac:dyDescent="0.25">
      <c r="A149">
        <v>31582</v>
      </c>
      <c r="B149" t="s">
        <v>199</v>
      </c>
      <c r="C149" t="s">
        <v>200</v>
      </c>
      <c r="D149" t="s">
        <v>79</v>
      </c>
      <c r="E149">
        <v>36377</v>
      </c>
      <c r="F149" s="24">
        <f>especies_ativa_codibama[[#This Row],[Código]]</f>
        <v>31582</v>
      </c>
      <c r="G149" s="40" t="str">
        <f>especies_ativa_codibama[[#This Row],[Nome popular]]</f>
        <v>cajá-redondo, cajazeiro, cajá-mirim</v>
      </c>
      <c r="H149" s="40" t="str">
        <f>especies_ativa_codibama[[#This Row],[Nome científico]]</f>
        <v>Spondias macrocarpa</v>
      </c>
    </row>
    <row r="150" spans="1:8" x14ac:dyDescent="0.25">
      <c r="A150">
        <v>31583</v>
      </c>
      <c r="B150" t="s">
        <v>201</v>
      </c>
      <c r="C150" t="s">
        <v>202</v>
      </c>
      <c r="D150" t="s">
        <v>126</v>
      </c>
      <c r="E150">
        <v>31615</v>
      </c>
      <c r="F150" s="24">
        <f>especies_ativa_codibama[[#This Row],[Código]]</f>
        <v>31583</v>
      </c>
      <c r="G150" s="40" t="str">
        <f>especies_ativa_codibama[[#This Row],[Nome popular]]</f>
        <v>aderne, gibatan, guaritá, ubatan</v>
      </c>
      <c r="H150" s="40" t="str">
        <f>especies_ativa_codibama[[#This Row],[Nome científico]]</f>
        <v>Astronium graveolens</v>
      </c>
    </row>
    <row r="151" spans="1:8" x14ac:dyDescent="0.25">
      <c r="A151">
        <v>31584</v>
      </c>
      <c r="B151" t="s">
        <v>203</v>
      </c>
      <c r="C151" t="s">
        <v>204</v>
      </c>
      <c r="D151" t="s">
        <v>205</v>
      </c>
      <c r="E151">
        <v>33773</v>
      </c>
      <c r="F151" s="24">
        <f>especies_ativa_codibama[[#This Row],[Código]]</f>
        <v>31584</v>
      </c>
      <c r="G151" s="40" t="str">
        <f>especies_ativa_codibama[[#This Row],[Nome popular]]</f>
        <v>baraúna, braúna</v>
      </c>
      <c r="H151" s="40" t="str">
        <f>especies_ativa_codibama[[#This Row],[Nome científico]]</f>
        <v>Schinopsis brasiliensis</v>
      </c>
    </row>
    <row r="152" spans="1:8" x14ac:dyDescent="0.25">
      <c r="A152">
        <v>31585</v>
      </c>
      <c r="B152" t="s">
        <v>2605</v>
      </c>
      <c r="C152" t="s">
        <v>206</v>
      </c>
      <c r="D152" t="s">
        <v>126</v>
      </c>
      <c r="E152">
        <v>2007966</v>
      </c>
      <c r="F152" s="24">
        <f>especies_ativa_codibama[[#This Row],[Código]]</f>
        <v>31585</v>
      </c>
      <c r="G152" s="40" t="str">
        <f>especies_ativa_codibama[[#This Row],[Nome popular]]</f>
        <v>caju-do-cerrado, cajuzinho-do-cerrado, caju-anão, caju-do-campo, cajuí­, cajuhy, caju-mirim, caju-rasteiro, cajuzinho, cajuzinho-do-campo</v>
      </c>
      <c r="H152" s="40" t="str">
        <f>especies_ativa_codibama[[#This Row],[Nome científico]]</f>
        <v>Anacardium humile</v>
      </c>
    </row>
    <row r="153" spans="1:8" x14ac:dyDescent="0.25">
      <c r="A153">
        <v>31586</v>
      </c>
      <c r="B153" t="s">
        <v>207</v>
      </c>
      <c r="C153" t="s">
        <v>208</v>
      </c>
      <c r="D153" t="s">
        <v>126</v>
      </c>
      <c r="E153">
        <v>2008035</v>
      </c>
      <c r="F153" s="24">
        <f>especies_ativa_codibama[[#This Row],[Código]]</f>
        <v>31586</v>
      </c>
      <c r="G153" s="40" t="str">
        <f>especies_ativa_codibama[[#This Row],[Nome popular]]</f>
        <v>canjera, cedro-brabo</v>
      </c>
      <c r="H153" s="40" t="str">
        <f>especies_ativa_codibama[[#This Row],[Nome científico]]</f>
        <v>Cyrtocarpa caatingae</v>
      </c>
    </row>
    <row r="154" spans="1:8" x14ac:dyDescent="0.25">
      <c r="A154">
        <v>31587</v>
      </c>
      <c r="B154" t="s">
        <v>209</v>
      </c>
      <c r="C154" t="s">
        <v>210</v>
      </c>
      <c r="D154" t="s">
        <v>38</v>
      </c>
      <c r="E154">
        <v>31599</v>
      </c>
      <c r="F154" s="24">
        <f>especies_ativa_codibama[[#This Row],[Código]]</f>
        <v>31587</v>
      </c>
      <c r="G154" s="40" t="str">
        <f>especies_ativa_codibama[[#This Row],[Nome popular]]</f>
        <v>acajaiba, caju, caju-anão, cajueiro,</v>
      </c>
      <c r="H154" s="40" t="str">
        <f>especies_ativa_codibama[[#This Row],[Nome científico]]</f>
        <v>Anacardium occidentale</v>
      </c>
    </row>
    <row r="155" spans="1:8" x14ac:dyDescent="0.25">
      <c r="A155">
        <v>31589</v>
      </c>
      <c r="B155" t="s">
        <v>211</v>
      </c>
      <c r="C155" t="s">
        <v>212</v>
      </c>
      <c r="D155" t="s">
        <v>38</v>
      </c>
      <c r="E155">
        <v>32604</v>
      </c>
      <c r="F155" s="24">
        <f>especies_ativa_codibama[[#This Row],[Código]]</f>
        <v>31589</v>
      </c>
      <c r="G155" s="40" t="str">
        <f>especies_ativa_codibama[[#This Row],[Nome popular]]</f>
        <v>amapara, manga-brava, mututura, tutuzuba-da-várzea</v>
      </c>
      <c r="H155" s="40" t="str">
        <f>especies_ativa_codibama[[#This Row],[Nome científico]]</f>
        <v>Thyrsodium spruceanum</v>
      </c>
    </row>
    <row r="156" spans="1:8" x14ac:dyDescent="0.25">
      <c r="A156">
        <v>31590</v>
      </c>
      <c r="B156" t="s">
        <v>106</v>
      </c>
      <c r="C156" t="s">
        <v>213</v>
      </c>
      <c r="D156" t="s">
        <v>38</v>
      </c>
      <c r="E156">
        <v>32236</v>
      </c>
      <c r="F156" s="24">
        <f>especies_ativa_codibama[[#This Row],[Código]]</f>
        <v>31590</v>
      </c>
      <c r="G156" s="40" t="str">
        <f>especies_ativa_codibama[[#This Row],[Nome popular]]</f>
        <v>---</v>
      </c>
      <c r="H156" s="40" t="str">
        <f>especies_ativa_codibama[[#This Row],[Nome científico]]</f>
        <v>Astronium nelson-rosae</v>
      </c>
    </row>
    <row r="157" spans="1:8" x14ac:dyDescent="0.25">
      <c r="A157">
        <v>31591</v>
      </c>
      <c r="B157" t="s">
        <v>214</v>
      </c>
      <c r="C157" t="s">
        <v>215</v>
      </c>
      <c r="D157" t="s">
        <v>38</v>
      </c>
      <c r="E157">
        <v>36526</v>
      </c>
      <c r="F157" s="24">
        <f>especies_ativa_codibama[[#This Row],[Código]]</f>
        <v>31591</v>
      </c>
      <c r="G157" s="40" t="str">
        <f>especies_ativa_codibama[[#This Row],[Nome popular]]</f>
        <v>aroeira-negra</v>
      </c>
      <c r="H157" s="40" t="str">
        <f>especies_ativa_codibama[[#This Row],[Nome científico]]</f>
        <v>Schinus terebinthifolia var. pohliana</v>
      </c>
    </row>
    <row r="158" spans="1:8" x14ac:dyDescent="0.25">
      <c r="A158">
        <v>31592</v>
      </c>
      <c r="B158" t="s">
        <v>216</v>
      </c>
      <c r="C158" t="s">
        <v>217</v>
      </c>
      <c r="D158" t="s">
        <v>38</v>
      </c>
      <c r="E158">
        <v>33774</v>
      </c>
      <c r="F158" s="24">
        <f>especies_ativa_codibama[[#This Row],[Código]]</f>
        <v>31592</v>
      </c>
      <c r="G158" s="40" t="str">
        <f>especies_ativa_codibama[[#This Row],[Nome popular]]</f>
        <v>aroeira-da-praia, aroeira-de-remédio, aroeira-mansa, aroeira-vermelha</v>
      </c>
      <c r="H158" s="40" t="str">
        <f>especies_ativa_codibama[[#This Row],[Nome científico]]</f>
        <v>Schinus terebinthifolia</v>
      </c>
    </row>
    <row r="159" spans="1:8" x14ac:dyDescent="0.25">
      <c r="A159">
        <v>31593</v>
      </c>
      <c r="B159" t="s">
        <v>218</v>
      </c>
      <c r="C159" t="s">
        <v>219</v>
      </c>
      <c r="D159" t="s">
        <v>38</v>
      </c>
      <c r="E159">
        <v>36549</v>
      </c>
      <c r="F159" s="24">
        <f>especies_ativa_codibama[[#This Row],[Código]]</f>
        <v>31593</v>
      </c>
      <c r="G159" s="40" t="str">
        <f>especies_ativa_codibama[[#This Row],[Nome popular]]</f>
        <v>aroeira-de-brejo, aroeira-da-praia</v>
      </c>
      <c r="H159" s="40" t="str">
        <f>especies_ativa_codibama[[#This Row],[Nome científico]]</f>
        <v>Schinus terebinthifolia var. raddiana</v>
      </c>
    </row>
    <row r="160" spans="1:8" x14ac:dyDescent="0.25">
      <c r="A160">
        <v>31594</v>
      </c>
      <c r="B160" t="s">
        <v>220</v>
      </c>
      <c r="C160" t="s">
        <v>221</v>
      </c>
      <c r="D160" t="s">
        <v>38</v>
      </c>
      <c r="E160">
        <v>33178</v>
      </c>
      <c r="F160" s="24">
        <f>especies_ativa_codibama[[#This Row],[Código]]</f>
        <v>31594</v>
      </c>
      <c r="G160" s="40" t="str">
        <f>especies_ativa_codibama[[#This Row],[Nome popular]]</f>
        <v>aroeira-do-campo, carobá</v>
      </c>
      <c r="H160" s="40" t="str">
        <f>especies_ativa_codibama[[#This Row],[Nome científico]]</f>
        <v>Schinus lentiscifolia</v>
      </c>
    </row>
    <row r="161" spans="1:8" x14ac:dyDescent="0.25">
      <c r="A161">
        <v>31595</v>
      </c>
      <c r="B161" t="s">
        <v>222</v>
      </c>
      <c r="C161" t="s">
        <v>223</v>
      </c>
      <c r="D161" t="s">
        <v>38</v>
      </c>
      <c r="E161">
        <v>36490</v>
      </c>
      <c r="F161" s="24">
        <f>especies_ativa_codibama[[#This Row],[Código]]</f>
        <v>31595</v>
      </c>
      <c r="G161" s="40" t="str">
        <f>especies_ativa_codibama[[#This Row],[Nome popular]]</f>
        <v>aroeira-do-Paraná, aroeira-mansa, aroeira-vermelha,</v>
      </c>
      <c r="H161" s="40" t="str">
        <f>especies_ativa_codibama[[#This Row],[Nome científico]]</f>
        <v>Schinus terebinthifolia var. acutifolia</v>
      </c>
    </row>
    <row r="162" spans="1:8" x14ac:dyDescent="0.25">
      <c r="A162">
        <v>31596</v>
      </c>
      <c r="B162" t="s">
        <v>224</v>
      </c>
      <c r="C162" t="s">
        <v>225</v>
      </c>
      <c r="D162" t="s">
        <v>38</v>
      </c>
      <c r="E162">
        <v>2008027</v>
      </c>
      <c r="F162" s="24">
        <f>especies_ativa_codibama[[#This Row],[Código]]</f>
        <v>31596</v>
      </c>
      <c r="G162" s="40" t="str">
        <f>especies_ativa_codibama[[#This Row],[Nome popular]]</f>
        <v>aroeira-mole, paraíba</v>
      </c>
      <c r="H162" s="40" t="str">
        <f>especies_ativa_codibama[[#This Row],[Nome científico]]</f>
        <v>Apterokarpos gardneri</v>
      </c>
    </row>
    <row r="163" spans="1:8" x14ac:dyDescent="0.25">
      <c r="A163">
        <v>31597</v>
      </c>
      <c r="B163" t="s">
        <v>226</v>
      </c>
      <c r="C163" t="s">
        <v>227</v>
      </c>
      <c r="D163" t="s">
        <v>38</v>
      </c>
      <c r="E163">
        <v>35880</v>
      </c>
      <c r="F163" s="24">
        <f>especies_ativa_codibama[[#This Row],[Código]]</f>
        <v>31597</v>
      </c>
      <c r="G163" s="40" t="str">
        <f>especies_ativa_codibama[[#This Row],[Nome popular]]</f>
        <v>aroeira-rajada, guarubu-violeta, itapicuru-ferreiro, mucuri</v>
      </c>
      <c r="H163" s="40" t="str">
        <f>especies_ativa_codibama[[#This Row],[Nome científico]]</f>
        <v>Astronium concinnum</v>
      </c>
    </row>
    <row r="164" spans="1:8" x14ac:dyDescent="0.25">
      <c r="A164">
        <v>31598</v>
      </c>
      <c r="B164" t="s">
        <v>228</v>
      </c>
      <c r="C164" t="s">
        <v>229</v>
      </c>
      <c r="D164" t="s">
        <v>38</v>
      </c>
      <c r="E164">
        <v>34104</v>
      </c>
      <c r="F164" s="24">
        <f>especies_ativa_codibama[[#This Row],[Código]]</f>
        <v>31598</v>
      </c>
      <c r="G164" s="40" t="str">
        <f>especies_ativa_codibama[[#This Row],[Nome popular]]</f>
        <v>arueira, muiracatiara</v>
      </c>
      <c r="H164" s="40" t="str">
        <f>especies_ativa_codibama[[#This Row],[Nome científico]]</f>
        <v>Astronium lecointei</v>
      </c>
    </row>
    <row r="165" spans="1:8" x14ac:dyDescent="0.25">
      <c r="A165">
        <v>31599</v>
      </c>
      <c r="B165" t="s">
        <v>230</v>
      </c>
      <c r="C165" t="s">
        <v>231</v>
      </c>
      <c r="D165" t="s">
        <v>38</v>
      </c>
      <c r="E165">
        <v>36216</v>
      </c>
      <c r="F165" s="24">
        <f>especies_ativa_codibama[[#This Row],[Código]]</f>
        <v>31599</v>
      </c>
      <c r="G165" s="40" t="str">
        <f>especies_ativa_codibama[[#This Row],[Nome popular]]</f>
        <v>cajá, cajá-mirim, cajara, cajazeira, cajazinho, taperebá</v>
      </c>
      <c r="H165" s="40" t="str">
        <f>especies_ativa_codibama[[#This Row],[Nome científico]]</f>
        <v>Spondias mombin</v>
      </c>
    </row>
    <row r="166" spans="1:8" x14ac:dyDescent="0.25">
      <c r="A166">
        <v>31600</v>
      </c>
      <c r="B166" t="s">
        <v>232</v>
      </c>
      <c r="C166" t="s">
        <v>233</v>
      </c>
      <c r="D166" t="s">
        <v>38</v>
      </c>
      <c r="E166">
        <v>35278</v>
      </c>
      <c r="F166" s="24">
        <f>especies_ativa_codibama[[#This Row],[Código]]</f>
        <v>31600</v>
      </c>
      <c r="G166" s="40" t="str">
        <f>especies_ativa_codibama[[#This Row],[Nome popular]]</f>
        <v>cajuaçu, caju-açu, caju-da-mata, cajuí</v>
      </c>
      <c r="H166" s="40" t="str">
        <f>especies_ativa_codibama[[#This Row],[Nome científico]]</f>
        <v>Anacardium giganteum</v>
      </c>
    </row>
    <row r="167" spans="1:8" x14ac:dyDescent="0.25">
      <c r="A167">
        <v>31601</v>
      </c>
      <c r="B167" t="s">
        <v>234</v>
      </c>
      <c r="C167" t="s">
        <v>235</v>
      </c>
      <c r="D167" t="s">
        <v>38</v>
      </c>
      <c r="E167">
        <v>35629</v>
      </c>
      <c r="F167" s="24">
        <f>especies_ativa_codibama[[#This Row],[Código]]</f>
        <v>31601</v>
      </c>
      <c r="G167" s="40" t="str">
        <f>especies_ativa_codibama[[#This Row],[Nome popular]]</f>
        <v>camboatá, cupuba, pau-pombo, peito-de-pomba</v>
      </c>
      <c r="H167" s="40" t="str">
        <f>especies_ativa_codibama[[#This Row],[Nome científico]]</f>
        <v>Tapirira guianensis</v>
      </c>
    </row>
    <row r="168" spans="1:8" x14ac:dyDescent="0.25">
      <c r="A168">
        <v>31603</v>
      </c>
      <c r="B168" t="s">
        <v>236</v>
      </c>
      <c r="C168" t="s">
        <v>237</v>
      </c>
      <c r="D168" t="s">
        <v>38</v>
      </c>
      <c r="E168">
        <v>35021</v>
      </c>
      <c r="F168" s="24">
        <f>especies_ativa_codibama[[#This Row],[Código]]</f>
        <v>31603</v>
      </c>
      <c r="G168" s="40" t="str">
        <f>especies_ativa_codibama[[#This Row],[Nome popular]]</f>
        <v>imbuzeiro, tapereba, umbu, caja-do-sertão, umbuzeiro, imbu-verdadeiro, imbura-de-cambão, imbuzeiro</v>
      </c>
      <c r="H168" s="40" t="str">
        <f>especies_ativa_codibama[[#This Row],[Nome científico]]</f>
        <v>Spondias tuberosa</v>
      </c>
    </row>
    <row r="169" spans="1:8" x14ac:dyDescent="0.25">
      <c r="A169">
        <v>31604</v>
      </c>
      <c r="B169" t="s">
        <v>238</v>
      </c>
      <c r="C169" t="s">
        <v>239</v>
      </c>
      <c r="D169" t="s">
        <v>38</v>
      </c>
      <c r="E169">
        <v>36240</v>
      </c>
      <c r="F169" s="24">
        <f>especies_ativa_codibama[[#This Row],[Código]]</f>
        <v>31604</v>
      </c>
      <c r="G169" s="40" t="str">
        <f>especies_ativa_codibama[[#This Row],[Nome popular]]</f>
        <v>pau-pombo, peito-de-pomba</v>
      </c>
      <c r="H169" s="40" t="str">
        <f>especies_ativa_codibama[[#This Row],[Nome científico]]</f>
        <v>Tapirira obtusa</v>
      </c>
    </row>
    <row r="170" spans="1:8" x14ac:dyDescent="0.25">
      <c r="A170">
        <v>31606</v>
      </c>
      <c r="B170" t="s">
        <v>106</v>
      </c>
      <c r="C170" t="s">
        <v>240</v>
      </c>
      <c r="D170" t="s">
        <v>38</v>
      </c>
      <c r="E170">
        <v>34897</v>
      </c>
      <c r="F170" s="24">
        <f>especies_ativa_codibama[[#This Row],[Código]]</f>
        <v>31606</v>
      </c>
      <c r="G170" s="40" t="str">
        <f>especies_ativa_codibama[[#This Row],[Nome popular]]</f>
        <v>---</v>
      </c>
      <c r="H170" s="40" t="str">
        <f>especies_ativa_codibama[[#This Row],[Nome científico]]</f>
        <v>Mangifera indica</v>
      </c>
    </row>
    <row r="171" spans="1:8" x14ac:dyDescent="0.25">
      <c r="A171">
        <v>31609</v>
      </c>
      <c r="B171" t="s">
        <v>106</v>
      </c>
      <c r="C171" t="s">
        <v>241</v>
      </c>
      <c r="D171" t="s">
        <v>38</v>
      </c>
      <c r="E171">
        <v>32445</v>
      </c>
      <c r="F171" s="24">
        <f>especies_ativa_codibama[[#This Row],[Código]]</f>
        <v>31609</v>
      </c>
      <c r="G171" s="40" t="str">
        <f>especies_ativa_codibama[[#This Row],[Nome popular]]</f>
        <v>---</v>
      </c>
      <c r="H171" s="40" t="str">
        <f>especies_ativa_codibama[[#This Row],[Nome científico]]</f>
        <v>Lithraea molleoides</v>
      </c>
    </row>
    <row r="172" spans="1:8" x14ac:dyDescent="0.25">
      <c r="A172">
        <v>31612</v>
      </c>
      <c r="B172" t="s">
        <v>242</v>
      </c>
      <c r="C172" t="s">
        <v>243</v>
      </c>
      <c r="D172" t="s">
        <v>205</v>
      </c>
      <c r="E172">
        <v>35293</v>
      </c>
      <c r="F172" s="24">
        <f>especies_ativa_codibama[[#This Row],[Código]]</f>
        <v>31612</v>
      </c>
      <c r="G172" s="40" t="str">
        <f>especies_ativa_codibama[[#This Row],[Nome popular]]</f>
        <v>Aroeira, Urindeuva, Aroeira-do-sertão, Aroeira-do-cerrado, Pandeiro, Almecega, Urundeuva</v>
      </c>
      <c r="H172" s="40" t="str">
        <f>especies_ativa_codibama[[#This Row],[Nome científico]]</f>
        <v>Astronium urundeuva</v>
      </c>
    </row>
    <row r="173" spans="1:8" x14ac:dyDescent="0.25">
      <c r="A173">
        <v>31613</v>
      </c>
      <c r="B173" t="s">
        <v>2606</v>
      </c>
      <c r="C173" t="s">
        <v>244</v>
      </c>
      <c r="D173" t="s">
        <v>205</v>
      </c>
      <c r="E173">
        <v>32888</v>
      </c>
      <c r="F173" s="24">
        <f>especies_ativa_codibama[[#This Row],[Código]]</f>
        <v>31613</v>
      </c>
      <c r="G173" s="40" t="str">
        <f>especies_ativa_codibama[[#This Row],[Nome popular]]</f>
        <v xml:space="preserve">Gonçalo Alves, Gonçalo, Aroeira-d'água, Brito, Ubatan </v>
      </c>
      <c r="H173" s="40" t="str">
        <f>especies_ativa_codibama[[#This Row],[Nome científico]]</f>
        <v>Astronium fraxinifolium</v>
      </c>
    </row>
    <row r="174" spans="1:8" x14ac:dyDescent="0.25">
      <c r="A174">
        <v>31622</v>
      </c>
      <c r="B174" t="s">
        <v>245</v>
      </c>
      <c r="C174" t="s">
        <v>246</v>
      </c>
      <c r="D174" t="s">
        <v>38</v>
      </c>
      <c r="E174">
        <v>1975867</v>
      </c>
      <c r="F174" s="24">
        <f>especies_ativa_codibama[[#This Row],[Código]]</f>
        <v>31622</v>
      </c>
      <c r="G174" s="40" t="str">
        <f>especies_ativa_codibama[[#This Row],[Nome popular]]</f>
        <v>Araticum, Ata, Araticú, Biribá do mato, Pinha do mato</v>
      </c>
      <c r="H174" s="40" t="str">
        <f>especies_ativa_codibama[[#This Row],[Nome científico]]</f>
        <v>Annona dolabripetala</v>
      </c>
    </row>
    <row r="175" spans="1:8" x14ac:dyDescent="0.25">
      <c r="A175">
        <v>31624</v>
      </c>
      <c r="B175" t="s">
        <v>247</v>
      </c>
      <c r="C175" t="s">
        <v>248</v>
      </c>
      <c r="D175" t="s">
        <v>79</v>
      </c>
      <c r="E175">
        <v>32871</v>
      </c>
      <c r="F175" s="24">
        <f>especies_ativa_codibama[[#This Row],[Código]]</f>
        <v>31624</v>
      </c>
      <c r="G175" s="40" t="str">
        <f>especies_ativa_codibama[[#This Row],[Nome popular]]</f>
        <v>Araticum, Piíba</v>
      </c>
      <c r="H175" s="40" t="str">
        <f>especies_ativa_codibama[[#This Row],[Nome científico]]</f>
        <v>Annona salzmannii</v>
      </c>
    </row>
    <row r="176" spans="1:8" x14ac:dyDescent="0.25">
      <c r="A176">
        <v>31625</v>
      </c>
      <c r="B176" t="s">
        <v>249</v>
      </c>
      <c r="C176" t="s">
        <v>250</v>
      </c>
      <c r="D176" t="s">
        <v>79</v>
      </c>
      <c r="E176">
        <v>33139</v>
      </c>
      <c r="F176" s="24">
        <f>especies_ativa_codibama[[#This Row],[Código]]</f>
        <v>31625</v>
      </c>
      <c r="G176" s="40" t="str">
        <f>especies_ativa_codibama[[#This Row],[Nome popular]]</f>
        <v>Ba de macaco, Ba do mato, Pau de zinga, Pindaíba do mato</v>
      </c>
      <c r="H176" s="40" t="str">
        <f>especies_ativa_codibama[[#This Row],[Nome científico]]</f>
        <v>Porcelia macrocarpa</v>
      </c>
    </row>
    <row r="177" spans="1:8" x14ac:dyDescent="0.25">
      <c r="A177">
        <v>31626</v>
      </c>
      <c r="B177" t="s">
        <v>251</v>
      </c>
      <c r="C177" t="s">
        <v>252</v>
      </c>
      <c r="D177" t="s">
        <v>196</v>
      </c>
      <c r="E177">
        <v>1630942</v>
      </c>
      <c r="F177" s="24">
        <f>especies_ativa_codibama[[#This Row],[Código]]</f>
        <v>31626</v>
      </c>
      <c r="G177" s="40" t="str">
        <f>especies_ativa_codibama[[#This Row],[Nome popular]]</f>
        <v>Canguanta</v>
      </c>
      <c r="H177" s="40" t="str">
        <f>especies_ativa_codibama[[#This Row],[Nome científico]]</f>
        <v>Guatteria latifolia</v>
      </c>
    </row>
    <row r="178" spans="1:8" x14ac:dyDescent="0.25">
      <c r="A178">
        <v>31627</v>
      </c>
      <c r="B178" t="s">
        <v>253</v>
      </c>
      <c r="C178" t="s">
        <v>254</v>
      </c>
      <c r="D178" t="s">
        <v>465</v>
      </c>
      <c r="E178">
        <v>33832</v>
      </c>
      <c r="F178" s="24">
        <f>especies_ativa_codibama[[#This Row],[Código]]</f>
        <v>31627</v>
      </c>
      <c r="G178" s="40" t="str">
        <f>especies_ativa_codibama[[#This Row],[Nome popular]]</f>
        <v>Casca de barata, Embira, Erva doce, Guamirim, Pimenta, Pindaíba, Pindaíba vermelha, Pindauva, Pindauvú</v>
      </c>
      <c r="H178" s="40" t="str">
        <f>especies_ativa_codibama[[#This Row],[Nome científico]]</f>
        <v>Xylopia brasiliensis</v>
      </c>
    </row>
    <row r="179" spans="1:8" x14ac:dyDescent="0.25">
      <c r="A179">
        <v>31628</v>
      </c>
      <c r="B179" t="s">
        <v>255</v>
      </c>
      <c r="C179" t="s">
        <v>256</v>
      </c>
      <c r="D179" t="s">
        <v>79</v>
      </c>
      <c r="E179">
        <v>33251</v>
      </c>
      <c r="F179" s="24">
        <f>especies_ativa_codibama[[#This Row],[Código]]</f>
        <v>31628</v>
      </c>
      <c r="G179" s="40" t="str">
        <f>especies_ativa_codibama[[#This Row],[Nome popular]]</f>
        <v>Coração, Pindaíba</v>
      </c>
      <c r="H179" s="40" t="str">
        <f>especies_ativa_codibama[[#This Row],[Nome científico]]</f>
        <v>Xylopia ochrantha</v>
      </c>
    </row>
    <row r="180" spans="1:8" x14ac:dyDescent="0.25">
      <c r="A180">
        <v>31629</v>
      </c>
      <c r="B180" t="s">
        <v>257</v>
      </c>
      <c r="C180" t="s">
        <v>258</v>
      </c>
      <c r="D180" t="s">
        <v>79</v>
      </c>
      <c r="E180">
        <v>33471</v>
      </c>
      <c r="F180" s="24">
        <f>especies_ativa_codibama[[#This Row],[Código]]</f>
        <v>31629</v>
      </c>
      <c r="G180" s="40" t="str">
        <f>especies_ativa_codibama[[#This Row],[Nome popular]]</f>
        <v>Guiné, Guiné Caboclo</v>
      </c>
      <c r="H180" s="40" t="str">
        <f>especies_ativa_codibama[[#This Row],[Nome científico]]</f>
        <v>Annona acutiflora</v>
      </c>
    </row>
    <row r="181" spans="1:8" x14ac:dyDescent="0.25">
      <c r="A181">
        <v>31638</v>
      </c>
      <c r="B181" t="s">
        <v>259</v>
      </c>
      <c r="C181" t="s">
        <v>260</v>
      </c>
      <c r="D181" t="s">
        <v>38</v>
      </c>
      <c r="E181">
        <v>34451</v>
      </c>
      <c r="F181" s="24">
        <f>especies_ativa_codibama[[#This Row],[Código]]</f>
        <v>31638</v>
      </c>
      <c r="G181" s="40" t="str">
        <f>especies_ativa_codibama[[#This Row],[Nome popular]]</f>
        <v>Pindauva</v>
      </c>
      <c r="H181" s="40" t="str">
        <f>especies_ativa_codibama[[#This Row],[Nome científico]]</f>
        <v>Xylopia langsdorffiana</v>
      </c>
    </row>
    <row r="182" spans="1:8" x14ac:dyDescent="0.25">
      <c r="A182">
        <v>31648</v>
      </c>
      <c r="B182" t="s">
        <v>106</v>
      </c>
      <c r="C182" t="s">
        <v>261</v>
      </c>
      <c r="D182" t="s">
        <v>79</v>
      </c>
      <c r="E182">
        <v>1901545</v>
      </c>
      <c r="F182" s="24">
        <f>especies_ativa_codibama[[#This Row],[Código]]</f>
        <v>31648</v>
      </c>
      <c r="G182" s="40" t="str">
        <f>especies_ativa_codibama[[#This Row],[Nome popular]]</f>
        <v>---</v>
      </c>
      <c r="H182" s="40" t="str">
        <f>especies_ativa_codibama[[#This Row],[Nome científico]]</f>
        <v>Guatteria oligocarpa</v>
      </c>
    </row>
    <row r="183" spans="1:8" x14ac:dyDescent="0.25">
      <c r="A183">
        <v>31663</v>
      </c>
      <c r="B183" t="s">
        <v>262</v>
      </c>
      <c r="C183" t="s">
        <v>263</v>
      </c>
      <c r="D183" t="s">
        <v>126</v>
      </c>
      <c r="E183">
        <v>1517043</v>
      </c>
      <c r="F183" s="24">
        <f>especies_ativa_codibama[[#This Row],[Código]]</f>
        <v>31663</v>
      </c>
      <c r="G183" s="40" t="str">
        <f>especies_ativa_codibama[[#This Row],[Nome popular]]</f>
        <v>Alathê, Araticum, Araticum barato do campo, Araticum do campo, Araticum lato, Araticum lanceta, Araticum rasteiro, Araticum vermelho, Araticumzinho, Araxicumzinho, Ata, Ata brava, Ata do campo, Aticum, Bruto, Marolinho, Marolo, Moroua, Orelha de burro, Pinha braba, Pinha brava, Pinha do campo</v>
      </c>
      <c r="H183" s="40" t="str">
        <f>especies_ativa_codibama[[#This Row],[Nome científico]]</f>
        <v>Duguetia furfuracea</v>
      </c>
    </row>
    <row r="184" spans="1:8" x14ac:dyDescent="0.25">
      <c r="A184">
        <v>31666</v>
      </c>
      <c r="B184" t="s">
        <v>264</v>
      </c>
      <c r="C184" t="s">
        <v>265</v>
      </c>
      <c r="D184" t="s">
        <v>126</v>
      </c>
      <c r="E184">
        <v>35285</v>
      </c>
      <c r="F184" s="24">
        <f>especies_ativa_codibama[[#This Row],[Código]]</f>
        <v>31666</v>
      </c>
      <c r="G184" s="40" t="str">
        <f>especies_ativa_codibama[[#This Row],[Nome popular]]</f>
        <v>Araticum, Marolinho</v>
      </c>
      <c r="H184" s="40" t="str">
        <f>especies_ativa_codibama[[#This Row],[Nome científico]]</f>
        <v>Annona coriacea</v>
      </c>
    </row>
    <row r="185" spans="1:8" x14ac:dyDescent="0.25">
      <c r="A185">
        <v>31667</v>
      </c>
      <c r="B185" t="s">
        <v>266</v>
      </c>
      <c r="C185" t="s">
        <v>267</v>
      </c>
      <c r="D185" t="s">
        <v>126</v>
      </c>
      <c r="E185">
        <v>34096</v>
      </c>
      <c r="F185" s="24">
        <f>especies_ativa_codibama[[#This Row],[Código]]</f>
        <v>31667</v>
      </c>
      <c r="G185" s="40" t="str">
        <f>especies_ativa_codibama[[#This Row],[Nome popular]]</f>
        <v>Ata rasteira, Marolo</v>
      </c>
      <c r="H185" s="40" t="str">
        <f>especies_ativa_codibama[[#This Row],[Nome científico]]</f>
        <v>Annona dioica</v>
      </c>
    </row>
    <row r="186" spans="1:8" x14ac:dyDescent="0.25">
      <c r="A186">
        <v>31668</v>
      </c>
      <c r="B186" t="s">
        <v>268</v>
      </c>
      <c r="C186" t="s">
        <v>269</v>
      </c>
      <c r="D186" t="s">
        <v>126</v>
      </c>
      <c r="E186">
        <v>36134</v>
      </c>
      <c r="F186" s="24">
        <f>especies_ativa_codibama[[#This Row],[Código]]</f>
        <v>31668</v>
      </c>
      <c r="G186" s="40" t="str">
        <f>especies_ativa_codibama[[#This Row],[Nome popular]]</f>
        <v>Atinha, imbiú-mineiro</v>
      </c>
      <c r="H186" s="40" t="str">
        <f>especies_ativa_codibama[[#This Row],[Nome científico]]</f>
        <v>Oxandra reticulata</v>
      </c>
    </row>
    <row r="187" spans="1:8" x14ac:dyDescent="0.25">
      <c r="A187">
        <v>31669</v>
      </c>
      <c r="B187" t="s">
        <v>2607</v>
      </c>
      <c r="C187" t="s">
        <v>270</v>
      </c>
      <c r="D187" t="s">
        <v>126</v>
      </c>
      <c r="E187">
        <v>35658</v>
      </c>
      <c r="F187" s="24">
        <f>especies_ativa_codibama[[#This Row],[Código]]</f>
        <v>31669</v>
      </c>
      <c r="G187" s="40" t="str">
        <f>especies_ativa_codibama[[#This Row],[Nome popular]]</f>
        <v>Pimenta-de-macaco, Imbiriba, Envireira, Begerecum, Imbiriba E Pimentinha, Pimenta-de-bugre, Envira-preta, Pindaíba, Pachinhos, Pimenta, Pimenta-de-gentio, Pimenta-de-macaco, Pimenta-de-negro, Pimenteira, Pindaíba-do-campo, Envireira, PindaÃ­va, Bananinha, Cedro-do-campo, Pimenteira, Pindaíba-do-cerrado</v>
      </c>
      <c r="H187" s="40" t="str">
        <f>especies_ativa_codibama[[#This Row],[Nome científico]]</f>
        <v>Xylopia aromatica</v>
      </c>
    </row>
    <row r="188" spans="1:8" x14ac:dyDescent="0.25">
      <c r="A188">
        <v>31670</v>
      </c>
      <c r="B188" t="s">
        <v>271</v>
      </c>
      <c r="C188" t="s">
        <v>272</v>
      </c>
      <c r="D188" t="s">
        <v>126</v>
      </c>
      <c r="E188">
        <v>34818</v>
      </c>
      <c r="F188" s="24">
        <f>especies_ativa_codibama[[#This Row],[Código]]</f>
        <v>31670</v>
      </c>
      <c r="G188" s="40" t="str">
        <f>especies_ativa_codibama[[#This Row],[Nome popular]]</f>
        <v>Capreuva vermelho, Pindabu, Pindahiba, Pindaíba, Pindaíba branca, Pindaibu, Pindaúba, Pindaúva</v>
      </c>
      <c r="H188" s="40" t="str">
        <f>especies_ativa_codibama[[#This Row],[Nome científico]]</f>
        <v>Duguetia lanceolata</v>
      </c>
    </row>
    <row r="189" spans="1:8" x14ac:dyDescent="0.25">
      <c r="A189">
        <v>31671</v>
      </c>
      <c r="B189" t="s">
        <v>273</v>
      </c>
      <c r="C189" t="s">
        <v>274</v>
      </c>
      <c r="D189" t="s">
        <v>126</v>
      </c>
      <c r="E189">
        <v>33426</v>
      </c>
      <c r="F189" s="24">
        <f>especies_ativa_codibama[[#This Row],[Código]]</f>
        <v>31671</v>
      </c>
      <c r="G189" s="40" t="str">
        <f>especies_ativa_codibama[[#This Row],[Nome popular]]</f>
        <v>Envira da mata, Pirayauara kiynha, Rudirimo xurumici</v>
      </c>
      <c r="H189" s="40" t="str">
        <f>especies_ativa_codibama[[#This Row],[Nome científico]]</f>
        <v>Cymbopetalum brasiliense</v>
      </c>
    </row>
    <row r="190" spans="1:8" x14ac:dyDescent="0.25">
      <c r="A190">
        <v>31672</v>
      </c>
      <c r="B190" t="s">
        <v>106</v>
      </c>
      <c r="C190" t="s">
        <v>275</v>
      </c>
      <c r="D190" t="s">
        <v>126</v>
      </c>
      <c r="E190">
        <v>33475</v>
      </c>
      <c r="F190" s="24">
        <f>especies_ativa_codibama[[#This Row],[Código]]</f>
        <v>31672</v>
      </c>
      <c r="G190" s="40" t="str">
        <f>especies_ativa_codibama[[#This Row],[Nome popular]]</f>
        <v>---</v>
      </c>
      <c r="H190" s="40" t="str">
        <f>especies_ativa_codibama[[#This Row],[Nome científico]]</f>
        <v>Annona sericea</v>
      </c>
    </row>
    <row r="191" spans="1:8" x14ac:dyDescent="0.25">
      <c r="A191">
        <v>31673</v>
      </c>
      <c r="B191" t="s">
        <v>106</v>
      </c>
      <c r="C191" t="s">
        <v>276</v>
      </c>
      <c r="D191" t="s">
        <v>126</v>
      </c>
      <c r="E191">
        <v>32868</v>
      </c>
      <c r="F191" s="24">
        <f>especies_ativa_codibama[[#This Row],[Código]]</f>
        <v>31673</v>
      </c>
      <c r="G191" s="40" t="str">
        <f>especies_ativa_codibama[[#This Row],[Nome popular]]</f>
        <v>---</v>
      </c>
      <c r="H191" s="40" t="str">
        <f>especies_ativa_codibama[[#This Row],[Nome científico]]</f>
        <v>Annona cacans</v>
      </c>
    </row>
    <row r="192" spans="1:8" x14ac:dyDescent="0.25">
      <c r="A192">
        <v>31674</v>
      </c>
      <c r="B192" t="s">
        <v>106</v>
      </c>
      <c r="C192" t="s">
        <v>277</v>
      </c>
      <c r="D192" t="s">
        <v>126</v>
      </c>
      <c r="E192">
        <v>32869</v>
      </c>
      <c r="F192" s="24">
        <f>especies_ativa_codibama[[#This Row],[Código]]</f>
        <v>31674</v>
      </c>
      <c r="G192" s="40" t="str">
        <f>especies_ativa_codibama[[#This Row],[Nome popular]]</f>
        <v>---</v>
      </c>
      <c r="H192" s="40" t="str">
        <f>especies_ativa_codibama[[#This Row],[Nome científico]]</f>
        <v>Annona glabra</v>
      </c>
    </row>
    <row r="193" spans="1:8" x14ac:dyDescent="0.25">
      <c r="A193">
        <v>31675</v>
      </c>
      <c r="B193" t="s">
        <v>106</v>
      </c>
      <c r="C193" t="s">
        <v>278</v>
      </c>
      <c r="D193" t="s">
        <v>126</v>
      </c>
      <c r="E193">
        <v>33597</v>
      </c>
      <c r="F193" s="24">
        <f>especies_ativa_codibama[[#This Row],[Código]]</f>
        <v>31675</v>
      </c>
      <c r="G193" s="40" t="str">
        <f>especies_ativa_codibama[[#This Row],[Nome popular]]</f>
        <v>---</v>
      </c>
      <c r="H193" s="40" t="str">
        <f>especies_ativa_codibama[[#This Row],[Nome científico]]</f>
        <v>Guatteria sellowiana</v>
      </c>
    </row>
    <row r="194" spans="1:8" x14ac:dyDescent="0.25">
      <c r="A194">
        <v>31676</v>
      </c>
      <c r="B194" t="s">
        <v>106</v>
      </c>
      <c r="C194" t="s">
        <v>2608</v>
      </c>
      <c r="D194" t="s">
        <v>126</v>
      </c>
      <c r="E194">
        <v>2006791</v>
      </c>
      <c r="F194" s="24">
        <f>especies_ativa_codibama[[#This Row],[Código]]</f>
        <v>31676</v>
      </c>
      <c r="G194" s="40" t="str">
        <f>especies_ativa_codibama[[#This Row],[Nome popular]]</f>
        <v>---</v>
      </c>
      <c r="H194" s="40" t="str">
        <f>especies_ativa_codibama[[#This Row],[Nome científico]]</f>
        <v>Annona emarginata</v>
      </c>
    </row>
    <row r="195" spans="1:8" x14ac:dyDescent="0.25">
      <c r="A195">
        <v>31677</v>
      </c>
      <c r="B195" t="s">
        <v>106</v>
      </c>
      <c r="C195" t="s">
        <v>279</v>
      </c>
      <c r="D195" t="s">
        <v>126</v>
      </c>
      <c r="E195">
        <v>34849</v>
      </c>
      <c r="F195" s="24">
        <f>especies_ativa_codibama[[#This Row],[Código]]</f>
        <v>31677</v>
      </c>
      <c r="G195" s="40" t="str">
        <f>especies_ativa_codibama[[#This Row],[Nome popular]]</f>
        <v>---</v>
      </c>
      <c r="H195" s="40" t="str">
        <f>especies_ativa_codibama[[#This Row],[Nome científico]]</f>
        <v>Guatteria australis</v>
      </c>
    </row>
    <row r="196" spans="1:8" x14ac:dyDescent="0.25">
      <c r="A196">
        <v>31678</v>
      </c>
      <c r="B196" t="s">
        <v>106</v>
      </c>
      <c r="C196" t="s">
        <v>280</v>
      </c>
      <c r="D196" t="s">
        <v>126</v>
      </c>
      <c r="E196">
        <v>33473</v>
      </c>
      <c r="F196" s="24">
        <f>especies_ativa_codibama[[#This Row],[Código]]</f>
        <v>31678</v>
      </c>
      <c r="G196" s="40" t="str">
        <f>especies_ativa_codibama[[#This Row],[Nome popular]]</f>
        <v>---</v>
      </c>
      <c r="H196" s="40" t="str">
        <f>especies_ativa_codibama[[#This Row],[Nome científico]]</f>
        <v>Annona monticola</v>
      </c>
    </row>
    <row r="197" spans="1:8" x14ac:dyDescent="0.25">
      <c r="A197">
        <v>31679</v>
      </c>
      <c r="B197" t="s">
        <v>281</v>
      </c>
      <c r="C197" t="s">
        <v>282</v>
      </c>
      <c r="D197" t="s">
        <v>38</v>
      </c>
      <c r="E197">
        <v>35870</v>
      </c>
      <c r="F197" s="24">
        <f>especies_ativa_codibama[[#This Row],[Código]]</f>
        <v>31679</v>
      </c>
      <c r="G197" s="40" t="str">
        <f>especies_ativa_codibama[[#This Row],[Nome popular]]</f>
        <v>Acanga, Araticum, Araticum do Mata, Tapahuacanga</v>
      </c>
      <c r="H197" s="40" t="str">
        <f>especies_ativa_codibama[[#This Row],[Nome científico]]</f>
        <v>Annona crassiflora</v>
      </c>
    </row>
    <row r="198" spans="1:8" x14ac:dyDescent="0.25">
      <c r="A198">
        <v>31680</v>
      </c>
      <c r="B198" t="s">
        <v>283</v>
      </c>
      <c r="C198" t="s">
        <v>284</v>
      </c>
      <c r="D198" t="s">
        <v>38</v>
      </c>
      <c r="E198">
        <v>2004114</v>
      </c>
      <c r="F198" s="24">
        <f>especies_ativa_codibama[[#This Row],[Código]]</f>
        <v>31680</v>
      </c>
      <c r="G198" s="40" t="str">
        <f>especies_ativa_codibama[[#This Row],[Nome popular]]</f>
        <v>Affenbeeren, Alchexú, Araticú, Araticú do mata, Araticum, Araticum grande, Baninha, Biribá, Cortiça, Cortiça de comer, Embira vermelha, Pinha</v>
      </c>
      <c r="H198" s="40" t="str">
        <f>especies_ativa_codibama[[#This Row],[Nome científico]]</f>
        <v>Annona sylvatica</v>
      </c>
    </row>
    <row r="199" spans="1:8" x14ac:dyDescent="0.25">
      <c r="A199">
        <v>31681</v>
      </c>
      <c r="B199" t="s">
        <v>285</v>
      </c>
      <c r="C199" t="s">
        <v>286</v>
      </c>
      <c r="D199" t="s">
        <v>38</v>
      </c>
      <c r="E199">
        <v>31710</v>
      </c>
      <c r="F199" s="24">
        <f>especies_ativa_codibama[[#This Row],[Código]]</f>
        <v>31681</v>
      </c>
      <c r="G199" s="40" t="str">
        <f>especies_ativa_codibama[[#This Row],[Nome popular]]</f>
        <v>Ameijú, Ameipi, Ameju, Ameju de touceira, Ata braba, Atameju, Envira amarela, Envira preta, Envira surucucu, Envireira, Pindaeua</v>
      </c>
      <c r="H199" s="40" t="str">
        <f>especies_ativa_codibama[[#This Row],[Nome científico]]</f>
        <v>Duguetia echinophora</v>
      </c>
    </row>
    <row r="200" spans="1:8" x14ac:dyDescent="0.25">
      <c r="A200">
        <v>31682</v>
      </c>
      <c r="B200" t="s">
        <v>287</v>
      </c>
      <c r="C200" t="s">
        <v>288</v>
      </c>
      <c r="D200" t="s">
        <v>38</v>
      </c>
      <c r="E200">
        <v>34610</v>
      </c>
      <c r="F200" s="24">
        <f>especies_ativa_codibama[[#This Row],[Código]]</f>
        <v>31682</v>
      </c>
      <c r="G200" s="40" t="str">
        <f>especies_ativa_codibama[[#This Row],[Nome popular]]</f>
        <v>Ameju preto, Caniceiro preto, Pi`y</v>
      </c>
      <c r="H200" s="40" t="str">
        <f>especies_ativa_codibama[[#This Row],[Nome científico]]</f>
        <v>Duguetia flagellaris</v>
      </c>
    </row>
    <row r="201" spans="1:8" x14ac:dyDescent="0.25">
      <c r="A201">
        <v>31685</v>
      </c>
      <c r="B201" t="s">
        <v>289</v>
      </c>
      <c r="C201" t="s">
        <v>290</v>
      </c>
      <c r="D201" t="s">
        <v>38</v>
      </c>
      <c r="E201">
        <v>31711</v>
      </c>
      <c r="F201" s="24">
        <f>especies_ativa_codibama[[#This Row],[Código]]</f>
        <v>31685</v>
      </c>
      <c r="G201" s="40" t="str">
        <f>especies_ativa_codibama[[#This Row],[Nome popular]]</f>
        <v>Araticum, Articum, Biribá, Cundurú, Envira biribá, Meijoí</v>
      </c>
      <c r="H201" s="40" t="str">
        <f>especies_ativa_codibama[[#This Row],[Nome científico]]</f>
        <v>Duguetia marcgraviana</v>
      </c>
    </row>
    <row r="202" spans="1:8" x14ac:dyDescent="0.25">
      <c r="A202">
        <v>31686</v>
      </c>
      <c r="B202" t="s">
        <v>291</v>
      </c>
      <c r="C202" t="s">
        <v>292</v>
      </c>
      <c r="D202" t="s">
        <v>38</v>
      </c>
      <c r="E202">
        <v>32391</v>
      </c>
      <c r="F202" s="24">
        <f>especies_ativa_codibama[[#This Row],[Código]]</f>
        <v>31686</v>
      </c>
      <c r="G202" s="40" t="str">
        <f>especies_ativa_codibama[[#This Row],[Nome popular]]</f>
        <v>Araticum, Ata, Biribá, Envira, Envira ata, Envira cheirosa, Envira menjuba, Envira preta, Envira preta de lasca, Envira surucucu da preta, Envireira, Espinta, Latoure</v>
      </c>
      <c r="H202" s="40" t="str">
        <f>especies_ativa_codibama[[#This Row],[Nome científico]]</f>
        <v>Fusaea longifolia</v>
      </c>
    </row>
    <row r="203" spans="1:8" x14ac:dyDescent="0.25">
      <c r="A203">
        <v>31687</v>
      </c>
      <c r="B203" t="s">
        <v>293</v>
      </c>
      <c r="C203" t="s">
        <v>294</v>
      </c>
      <c r="D203" t="s">
        <v>38</v>
      </c>
      <c r="E203">
        <v>1975880</v>
      </c>
      <c r="F203" s="24">
        <f>especies_ativa_codibama[[#This Row],[Código]]</f>
        <v>31687</v>
      </c>
      <c r="G203" s="40" t="str">
        <f>especies_ativa_codibama[[#This Row],[Nome popular]]</f>
        <v>graviola-brava, fruta-de-condessa, fruta-de-conde, condessa, biribá, araticum</v>
      </c>
      <c r="H203" s="40" t="str">
        <f>especies_ativa_codibama[[#This Row],[Nome científico]]</f>
        <v>Annona mucosa</v>
      </c>
    </row>
    <row r="204" spans="1:8" x14ac:dyDescent="0.25">
      <c r="A204">
        <v>31689</v>
      </c>
      <c r="B204" t="s">
        <v>295</v>
      </c>
      <c r="C204" t="s">
        <v>296</v>
      </c>
      <c r="D204" t="s">
        <v>38</v>
      </c>
      <c r="E204">
        <v>34705</v>
      </c>
      <c r="F204" s="24">
        <f>especies_ativa_codibama[[#This Row],[Código]]</f>
        <v>31689</v>
      </c>
      <c r="G204" s="40" t="str">
        <f>especies_ativa_codibama[[#This Row],[Nome popular]]</f>
        <v>Araxiku-ran, Graveóla, Graviola, Jaca de Pobre</v>
      </c>
      <c r="H204" s="40" t="str">
        <f>especies_ativa_codibama[[#This Row],[Nome científico]]</f>
        <v>Annona muricata</v>
      </c>
    </row>
    <row r="205" spans="1:8" x14ac:dyDescent="0.25">
      <c r="A205">
        <v>31690</v>
      </c>
      <c r="B205" t="s">
        <v>297</v>
      </c>
      <c r="C205" t="s">
        <v>298</v>
      </c>
      <c r="D205" t="s">
        <v>38</v>
      </c>
      <c r="E205">
        <v>33472</v>
      </c>
      <c r="F205" s="24">
        <f>especies_ativa_codibama[[#This Row],[Código]]</f>
        <v>31690</v>
      </c>
      <c r="G205" s="40" t="str">
        <f>especies_ativa_codibama[[#This Row],[Nome popular]]</f>
        <v>Araxiku`y, Jaca de pobre</v>
      </c>
      <c r="H205" s="40" t="str">
        <f>especies_ativa_codibama[[#This Row],[Nome científico]]</f>
        <v>Annona montana</v>
      </c>
    </row>
    <row r="206" spans="1:8" x14ac:dyDescent="0.25">
      <c r="A206">
        <v>31693</v>
      </c>
      <c r="B206" t="s">
        <v>299</v>
      </c>
      <c r="C206" t="s">
        <v>300</v>
      </c>
      <c r="D206" t="s">
        <v>38</v>
      </c>
      <c r="E206">
        <v>32891</v>
      </c>
      <c r="F206" s="24">
        <f>especies_ativa_codibama[[#This Row],[Código]]</f>
        <v>31693</v>
      </c>
      <c r="G206" s="40" t="str">
        <f>especies_ativa_codibama[[#This Row],[Nome popular]]</f>
        <v>Ata meju, Envira, Envira preta, Envira surucucu, Envireira, Envireira preta, Gabiroba, Invira surucucu, Invireiro surucucu, Morteira</v>
      </c>
      <c r="H206" s="40" t="str">
        <f>especies_ativa_codibama[[#This Row],[Nome científico]]</f>
        <v>Bocageopsis multiflora</v>
      </c>
    </row>
    <row r="207" spans="1:8" x14ac:dyDescent="0.25">
      <c r="A207">
        <v>31695</v>
      </c>
      <c r="B207" t="s">
        <v>301</v>
      </c>
      <c r="C207" t="s">
        <v>302</v>
      </c>
      <c r="D207" t="s">
        <v>38</v>
      </c>
      <c r="E207">
        <v>35066</v>
      </c>
      <c r="F207" s="24">
        <f>especies_ativa_codibama[[#This Row],[Código]]</f>
        <v>31695</v>
      </c>
      <c r="G207" s="40" t="str">
        <f>especies_ativa_codibama[[#This Row],[Nome popular]]</f>
        <v>Chapéu de sol, Embira, Embira vermelha, Pau de embira, Pimenta, Pimenta de macaco, Pimenta dos negros, Pimenteira, Pindaíba, Pindaíba branca, Pindaíba preta, Semente de embira, Tucaneiro</v>
      </c>
      <c r="H207" s="40" t="str">
        <f>especies_ativa_codibama[[#This Row],[Nome científico]]</f>
        <v>Xylopia sericea</v>
      </c>
    </row>
    <row r="208" spans="1:8" x14ac:dyDescent="0.25">
      <c r="A208">
        <v>31698</v>
      </c>
      <c r="B208" t="s">
        <v>303</v>
      </c>
      <c r="C208" t="s">
        <v>304</v>
      </c>
      <c r="D208" t="s">
        <v>38</v>
      </c>
      <c r="E208">
        <v>35659</v>
      </c>
      <c r="F208" s="24">
        <f>especies_ativa_codibama[[#This Row],[Código]]</f>
        <v>31698</v>
      </c>
      <c r="G208" s="40" t="str">
        <f>especies_ativa_codibama[[#This Row],[Nome popular]]</f>
        <v>Embira, Embiriba, Embiribinha, Envira, Envirira, Pindaíba de folha miúda, Pindaíba preta, Sementes de imbira</v>
      </c>
      <c r="H208" s="40" t="str">
        <f>especies_ativa_codibama[[#This Row],[Nome científico]]</f>
        <v>Xylopia frutescens</v>
      </c>
    </row>
    <row r="209" spans="1:8" x14ac:dyDescent="0.25">
      <c r="A209">
        <v>31701</v>
      </c>
      <c r="B209" t="s">
        <v>305</v>
      </c>
      <c r="C209" t="s">
        <v>306</v>
      </c>
      <c r="D209" t="s">
        <v>38</v>
      </c>
      <c r="E209">
        <v>32733</v>
      </c>
      <c r="F209" s="24">
        <f>especies_ativa_codibama[[#This Row],[Código]]</f>
        <v>31701</v>
      </c>
      <c r="G209" s="40" t="str">
        <f>especies_ativa_codibama[[#This Row],[Nome popular]]</f>
        <v>Envira cajú, Envira casca rocha, Envira preta</v>
      </c>
      <c r="H209" s="40" t="str">
        <f>especies_ativa_codibama[[#This Row],[Nome científico]]</f>
        <v>Onychopetalum amazonicum</v>
      </c>
    </row>
    <row r="210" spans="1:8" x14ac:dyDescent="0.25">
      <c r="A210">
        <v>31703</v>
      </c>
      <c r="B210" t="s">
        <v>307</v>
      </c>
      <c r="C210" t="s">
        <v>308</v>
      </c>
      <c r="D210" t="s">
        <v>38</v>
      </c>
      <c r="E210">
        <v>34450</v>
      </c>
      <c r="F210" s="24">
        <f>especies_ativa_codibama[[#This Row],[Código]]</f>
        <v>31703</v>
      </c>
      <c r="G210" s="40" t="str">
        <f>especies_ativa_codibama[[#This Row],[Nome popular]]</f>
        <v>Envira chichi, Envira folha fina, Pindaíba, Pindaíba preta</v>
      </c>
      <c r="H210" s="40" t="str">
        <f>especies_ativa_codibama[[#This Row],[Nome científico]]</f>
        <v>Xylopia emarginata</v>
      </c>
    </row>
    <row r="211" spans="1:8" x14ac:dyDescent="0.25">
      <c r="A211">
        <v>31705</v>
      </c>
      <c r="B211" t="s">
        <v>309</v>
      </c>
      <c r="C211" t="s">
        <v>310</v>
      </c>
      <c r="D211" t="s">
        <v>38</v>
      </c>
      <c r="E211">
        <v>35284</v>
      </c>
      <c r="F211" s="24">
        <f>especies_ativa_codibama[[#This Row],[Código]]</f>
        <v>31705</v>
      </c>
      <c r="G211" s="40" t="str">
        <f>especies_ativa_codibama[[#This Row],[Nome popular]]</f>
        <v>Envira jodo, Envira-taía</v>
      </c>
      <c r="H211" s="40" t="str">
        <f>especies_ativa_codibama[[#This Row],[Nome científico]]</f>
        <v>Annona ambotay</v>
      </c>
    </row>
    <row r="212" spans="1:8" x14ac:dyDescent="0.25">
      <c r="A212">
        <v>31713</v>
      </c>
      <c r="B212" t="s">
        <v>311</v>
      </c>
      <c r="C212" t="s">
        <v>312</v>
      </c>
      <c r="D212" t="s">
        <v>38</v>
      </c>
      <c r="E212">
        <v>31622</v>
      </c>
      <c r="F212" s="24">
        <f>especies_ativa_codibama[[#This Row],[Código]]</f>
        <v>31713</v>
      </c>
      <c r="G212" s="40" t="str">
        <f>especies_ativa_codibama[[#This Row],[Nome popular]]</f>
        <v>Envira, Mejo de porco de cerrado</v>
      </c>
      <c r="H212" s="40" t="str">
        <f>especies_ativa_codibama[[#This Row],[Nome científico]]</f>
        <v>Bocageopsis mattogrossensis</v>
      </c>
    </row>
    <row r="213" spans="1:8" x14ac:dyDescent="0.25">
      <c r="A213">
        <v>31716</v>
      </c>
      <c r="B213" t="s">
        <v>313</v>
      </c>
      <c r="C213" t="s">
        <v>182</v>
      </c>
      <c r="D213" t="s">
        <v>38</v>
      </c>
      <c r="E213">
        <v>31988</v>
      </c>
      <c r="F213" s="24">
        <f>especies_ativa_codibama[[#This Row],[Código]]</f>
        <v>31716</v>
      </c>
      <c r="G213" s="40" t="str">
        <f>especies_ativa_codibama[[#This Row],[Nome popular]]</f>
        <v>Pindaíba, Pindaíba branca, Pindaíba preta, Araticum, Ariticum, Ata do igapó, Atinha, Cundurú, Envira, Envira  da várzea, Envira do caiso, Envira do igapó, Envira preta, Envira preta do igapó, Envira surucucu, Envira surucucu da várzea, Invira, Mejo de porco, Mutambi, Muxiba</v>
      </c>
      <c r="H213" s="40" t="str">
        <f>especies_ativa_codibama[[#This Row],[Nome científico]]</f>
        <v>Unonopsis guatterioides</v>
      </c>
    </row>
    <row r="214" spans="1:8" x14ac:dyDescent="0.25">
      <c r="A214">
        <v>31717</v>
      </c>
      <c r="B214" t="s">
        <v>314</v>
      </c>
      <c r="C214" t="s">
        <v>315</v>
      </c>
      <c r="D214" t="s">
        <v>38</v>
      </c>
      <c r="E214">
        <v>34529</v>
      </c>
      <c r="F214" s="24">
        <f>especies_ativa_codibama[[#This Row],[Código]]</f>
        <v>31717</v>
      </c>
      <c r="G214" s="40" t="str">
        <f>especies_ativa_codibama[[#This Row],[Nome popular]]</f>
        <v>Tupã-wyra</v>
      </c>
      <c r="H214" s="40" t="str">
        <f>especies_ativa_codibama[[#This Row],[Nome científico]]</f>
        <v>Xylopia nitida</v>
      </c>
    </row>
    <row r="215" spans="1:8" x14ac:dyDescent="0.25">
      <c r="A215">
        <v>31721</v>
      </c>
      <c r="B215" t="s">
        <v>106</v>
      </c>
      <c r="C215" t="s">
        <v>316</v>
      </c>
      <c r="D215" t="s">
        <v>38</v>
      </c>
      <c r="E215">
        <v>36419</v>
      </c>
      <c r="F215" s="24">
        <f>especies_ativa_codibama[[#This Row],[Código]]</f>
        <v>31721</v>
      </c>
      <c r="G215" s="40" t="str">
        <f>especies_ativa_codibama[[#This Row],[Nome popular]]</f>
        <v>---</v>
      </c>
      <c r="H215" s="40" t="str">
        <f>especies_ativa_codibama[[#This Row],[Nome científico]]</f>
        <v>Annona hypoglauca</v>
      </c>
    </row>
    <row r="216" spans="1:8" x14ac:dyDescent="0.25">
      <c r="A216">
        <v>31722</v>
      </c>
      <c r="B216" t="s">
        <v>106</v>
      </c>
      <c r="C216" t="s">
        <v>317</v>
      </c>
      <c r="D216" t="s">
        <v>38</v>
      </c>
      <c r="E216">
        <v>34097</v>
      </c>
      <c r="F216" s="24">
        <f>especies_ativa_codibama[[#This Row],[Código]]</f>
        <v>31722</v>
      </c>
      <c r="G216" s="40" t="str">
        <f>especies_ativa_codibama[[#This Row],[Nome popular]]</f>
        <v>---</v>
      </c>
      <c r="H216" s="40" t="str">
        <f>especies_ativa_codibama[[#This Row],[Nome científico]]</f>
        <v>Annona foetida</v>
      </c>
    </row>
    <row r="217" spans="1:8" x14ac:dyDescent="0.25">
      <c r="A217">
        <v>31727</v>
      </c>
      <c r="B217" t="s">
        <v>106</v>
      </c>
      <c r="C217" t="s">
        <v>318</v>
      </c>
      <c r="D217" t="s">
        <v>38</v>
      </c>
      <c r="E217">
        <v>33474</v>
      </c>
      <c r="F217" s="24">
        <f>especies_ativa_codibama[[#This Row],[Código]]</f>
        <v>31727</v>
      </c>
      <c r="G217" s="40" t="str">
        <f>especies_ativa_codibama[[#This Row],[Nome popular]]</f>
        <v>---</v>
      </c>
      <c r="H217" s="40" t="str">
        <f>especies_ativa_codibama[[#This Row],[Nome científico]]</f>
        <v>Annona paludosa</v>
      </c>
    </row>
    <row r="218" spans="1:8" x14ac:dyDescent="0.25">
      <c r="A218">
        <v>31729</v>
      </c>
      <c r="B218" t="s">
        <v>106</v>
      </c>
      <c r="C218" t="s">
        <v>319</v>
      </c>
      <c r="D218" t="s">
        <v>38</v>
      </c>
      <c r="E218">
        <v>35318</v>
      </c>
      <c r="F218" s="24">
        <f>especies_ativa_codibama[[#This Row],[Código]]</f>
        <v>31729</v>
      </c>
      <c r="G218" s="40" t="str">
        <f>especies_ativa_codibama[[#This Row],[Nome popular]]</f>
        <v>---</v>
      </c>
      <c r="H218" s="40" t="str">
        <f>especies_ativa_codibama[[#This Row],[Nome científico]]</f>
        <v>Cardiopetalum calophyllum</v>
      </c>
    </row>
    <row r="219" spans="1:8" x14ac:dyDescent="0.25">
      <c r="A219">
        <v>31730</v>
      </c>
      <c r="B219" t="s">
        <v>106</v>
      </c>
      <c r="C219" t="s">
        <v>320</v>
      </c>
      <c r="D219" t="s">
        <v>38</v>
      </c>
      <c r="E219">
        <v>1975881</v>
      </c>
      <c r="F219" s="24">
        <f>especies_ativa_codibama[[#This Row],[Código]]</f>
        <v>31730</v>
      </c>
      <c r="G219" s="40" t="str">
        <f>especies_ativa_codibama[[#This Row],[Nome popular]]</f>
        <v>---</v>
      </c>
      <c r="H219" s="40" t="str">
        <f>especies_ativa_codibama[[#This Row],[Nome científico]]</f>
        <v>Annona neosalicifolia</v>
      </c>
    </row>
    <row r="220" spans="1:8" x14ac:dyDescent="0.25">
      <c r="A220">
        <v>31731</v>
      </c>
      <c r="B220" t="s">
        <v>106</v>
      </c>
      <c r="C220" t="s">
        <v>321</v>
      </c>
      <c r="D220" t="s">
        <v>38</v>
      </c>
      <c r="E220">
        <v>32681</v>
      </c>
      <c r="F220" s="24">
        <f>especies_ativa_codibama[[#This Row],[Código]]</f>
        <v>31731</v>
      </c>
      <c r="G220" s="40" t="str">
        <f>especies_ativa_codibama[[#This Row],[Nome popular]]</f>
        <v>---</v>
      </c>
      <c r="H220" s="40" t="str">
        <f>especies_ativa_codibama[[#This Row],[Nome científico]]</f>
        <v>Annona crotonifolia</v>
      </c>
    </row>
    <row r="221" spans="1:8" x14ac:dyDescent="0.25">
      <c r="A221">
        <v>31733</v>
      </c>
      <c r="B221" t="s">
        <v>106</v>
      </c>
      <c r="C221" t="s">
        <v>322</v>
      </c>
      <c r="D221" t="s">
        <v>38</v>
      </c>
      <c r="E221">
        <v>34452</v>
      </c>
      <c r="F221" s="24">
        <f>especies_ativa_codibama[[#This Row],[Código]]</f>
        <v>31733</v>
      </c>
      <c r="G221" s="40" t="str">
        <f>especies_ativa_codibama[[#This Row],[Nome popular]]</f>
        <v>---</v>
      </c>
      <c r="H221" s="40" t="str">
        <f>especies_ativa_codibama[[#This Row],[Nome científico]]</f>
        <v>Xylopia polyantha</v>
      </c>
    </row>
    <row r="222" spans="1:8" x14ac:dyDescent="0.25">
      <c r="A222">
        <v>31739</v>
      </c>
      <c r="B222" t="s">
        <v>106</v>
      </c>
      <c r="C222" t="s">
        <v>323</v>
      </c>
      <c r="D222" t="s">
        <v>324</v>
      </c>
      <c r="E222">
        <v>34538</v>
      </c>
      <c r="F222" s="24">
        <f>especies_ativa_codibama[[#This Row],[Código]]</f>
        <v>31739</v>
      </c>
      <c r="G222" s="40" t="str">
        <f>especies_ativa_codibama[[#This Row],[Nome popular]]</f>
        <v>---</v>
      </c>
      <c r="H222" s="40" t="str">
        <f>especies_ativa_codibama[[#This Row],[Nome científico]]</f>
        <v>Annona spinescens</v>
      </c>
    </row>
    <row r="223" spans="1:8" x14ac:dyDescent="0.25">
      <c r="A223">
        <v>31740</v>
      </c>
      <c r="B223" t="s">
        <v>325</v>
      </c>
      <c r="C223" t="s">
        <v>326</v>
      </c>
      <c r="D223" t="s">
        <v>79</v>
      </c>
      <c r="E223">
        <v>33608</v>
      </c>
      <c r="F223" s="24">
        <f>especies_ativa_codibama[[#This Row],[Código]]</f>
        <v>31740</v>
      </c>
      <c r="G223" s="40" t="str">
        <f>especies_ativa_codibama[[#This Row],[Nome popular]]</f>
        <v>Banana de papagaio</v>
      </c>
      <c r="H223" s="40" t="str">
        <f>especies_ativa_codibama[[#This Row],[Nome científico]]</f>
        <v>Himatanthus bracteatus</v>
      </c>
    </row>
    <row r="224" spans="1:8" x14ac:dyDescent="0.25">
      <c r="A224">
        <v>31741</v>
      </c>
      <c r="B224" t="s">
        <v>327</v>
      </c>
      <c r="C224" t="s">
        <v>328</v>
      </c>
      <c r="D224" t="s">
        <v>79</v>
      </c>
      <c r="E224">
        <v>33164</v>
      </c>
      <c r="F224" s="24">
        <f>especies_ativa_codibama[[#This Row],[Código]]</f>
        <v>31741</v>
      </c>
      <c r="G224" s="40" t="str">
        <f>especies_ativa_codibama[[#This Row],[Nome popular]]</f>
        <v>Casca D`Anta, jasmim-grado, leiteiro</v>
      </c>
      <c r="H224" s="40" t="str">
        <f>especies_ativa_codibama[[#This Row],[Nome científico]]</f>
        <v>Rauvolfia sellowii</v>
      </c>
    </row>
    <row r="225" spans="1:8" x14ac:dyDescent="0.25">
      <c r="A225">
        <v>31742</v>
      </c>
      <c r="B225" t="s">
        <v>329</v>
      </c>
      <c r="C225" t="s">
        <v>330</v>
      </c>
      <c r="D225" t="s">
        <v>79</v>
      </c>
      <c r="E225">
        <v>34716</v>
      </c>
      <c r="F225" s="24">
        <f>especies_ativa_codibama[[#This Row],[Código]]</f>
        <v>31742</v>
      </c>
      <c r="G225" s="40" t="str">
        <f>especies_ativa_codibama[[#This Row],[Nome popular]]</f>
        <v>catingueira, peroba-vermelha</v>
      </c>
      <c r="H225" s="40" t="str">
        <f>especies_ativa_codibama[[#This Row],[Nome científico]]</f>
        <v>Aspidosperma dispermum</v>
      </c>
    </row>
    <row r="226" spans="1:8" x14ac:dyDescent="0.25">
      <c r="A226">
        <v>31746</v>
      </c>
      <c r="B226" t="s">
        <v>106</v>
      </c>
      <c r="C226" t="s">
        <v>331</v>
      </c>
      <c r="D226" t="s">
        <v>79</v>
      </c>
      <c r="E226">
        <v>33843</v>
      </c>
      <c r="F226" s="24">
        <f>especies_ativa_codibama[[#This Row],[Código]]</f>
        <v>31746</v>
      </c>
      <c r="G226" s="40" t="str">
        <f>especies_ativa_codibama[[#This Row],[Nome popular]]</f>
        <v>---</v>
      </c>
      <c r="H226" s="40" t="str">
        <f>especies_ativa_codibama[[#This Row],[Nome científico]]</f>
        <v>Aspidosperma verbascifolium</v>
      </c>
    </row>
    <row r="227" spans="1:8" x14ac:dyDescent="0.25">
      <c r="A227">
        <v>31749</v>
      </c>
      <c r="B227" t="s">
        <v>106</v>
      </c>
      <c r="C227" t="s">
        <v>332</v>
      </c>
      <c r="D227" t="s">
        <v>196</v>
      </c>
      <c r="E227">
        <v>34101</v>
      </c>
      <c r="F227" s="24">
        <f>especies_ativa_codibama[[#This Row],[Código]]</f>
        <v>31749</v>
      </c>
      <c r="G227" s="40" t="str">
        <f>especies_ativa_codibama[[#This Row],[Nome popular]]</f>
        <v>---</v>
      </c>
      <c r="H227" s="40" t="str">
        <f>especies_ativa_codibama[[#This Row],[Nome científico]]</f>
        <v>Aspidosperma formosanum</v>
      </c>
    </row>
    <row r="228" spans="1:8" x14ac:dyDescent="0.25">
      <c r="A228">
        <v>31754</v>
      </c>
      <c r="B228" t="s">
        <v>106</v>
      </c>
      <c r="C228" t="s">
        <v>333</v>
      </c>
      <c r="D228" t="s">
        <v>79</v>
      </c>
      <c r="E228">
        <v>36277</v>
      </c>
      <c r="F228" s="24">
        <f>especies_ativa_codibama[[#This Row],[Código]]</f>
        <v>31754</v>
      </c>
      <c r="G228" s="40" t="str">
        <f>especies_ativa_codibama[[#This Row],[Nome popular]]</f>
        <v>---</v>
      </c>
      <c r="H228" s="40" t="str">
        <f>especies_ativa_codibama[[#This Row],[Nome científico]]</f>
        <v>Aspidosperma pyricollum</v>
      </c>
    </row>
    <row r="229" spans="1:8" x14ac:dyDescent="0.25">
      <c r="A229">
        <v>31756</v>
      </c>
      <c r="B229" t="s">
        <v>106</v>
      </c>
      <c r="C229" t="s">
        <v>334</v>
      </c>
      <c r="D229" t="s">
        <v>196</v>
      </c>
      <c r="E229">
        <v>33043</v>
      </c>
      <c r="F229" s="24">
        <f>especies_ativa_codibama[[#This Row],[Código]]</f>
        <v>31756</v>
      </c>
      <c r="G229" s="40" t="str">
        <f>especies_ativa_codibama[[#This Row],[Nome popular]]</f>
        <v>---</v>
      </c>
      <c r="H229" s="40" t="str">
        <f>especies_ativa_codibama[[#This Row],[Nome científico]]</f>
        <v>Lacmellea pauciflora</v>
      </c>
    </row>
    <row r="230" spans="1:8" x14ac:dyDescent="0.25">
      <c r="A230">
        <v>31758</v>
      </c>
      <c r="B230" t="s">
        <v>106</v>
      </c>
      <c r="C230" t="s">
        <v>335</v>
      </c>
      <c r="D230" t="s">
        <v>79</v>
      </c>
      <c r="E230">
        <v>35288</v>
      </c>
      <c r="F230" s="24">
        <f>especies_ativa_codibama[[#This Row],[Código]]</f>
        <v>31758</v>
      </c>
      <c r="G230" s="40" t="str">
        <f>especies_ativa_codibama[[#This Row],[Nome popular]]</f>
        <v>---</v>
      </c>
      <c r="H230" s="40" t="str">
        <f>especies_ativa_codibama[[#This Row],[Nome científico]]</f>
        <v>Aspidosperma illustre</v>
      </c>
    </row>
    <row r="231" spans="1:8" x14ac:dyDescent="0.25">
      <c r="A231">
        <v>31759</v>
      </c>
      <c r="B231" t="s">
        <v>106</v>
      </c>
      <c r="C231" t="s">
        <v>336</v>
      </c>
      <c r="D231" t="s">
        <v>79</v>
      </c>
      <c r="E231">
        <v>33484</v>
      </c>
      <c r="F231" s="24">
        <f>especies_ativa_codibama[[#This Row],[Código]]</f>
        <v>31759</v>
      </c>
      <c r="G231" s="40" t="str">
        <f>especies_ativa_codibama[[#This Row],[Nome popular]]</f>
        <v>---</v>
      </c>
      <c r="H231" s="40" t="str">
        <f>especies_ativa_codibama[[#This Row],[Nome científico]]</f>
        <v>Aspidosperma compactinervium</v>
      </c>
    </row>
    <row r="232" spans="1:8" x14ac:dyDescent="0.25">
      <c r="A232">
        <v>31760</v>
      </c>
      <c r="B232" t="s">
        <v>106</v>
      </c>
      <c r="C232" t="s">
        <v>337</v>
      </c>
      <c r="D232" t="s">
        <v>196</v>
      </c>
      <c r="E232">
        <v>32233</v>
      </c>
      <c r="F232" s="24">
        <f>especies_ativa_codibama[[#This Row],[Código]]</f>
        <v>31760</v>
      </c>
      <c r="G232" s="40" t="str">
        <f>especies_ativa_codibama[[#This Row],[Nome popular]]</f>
        <v>---</v>
      </c>
      <c r="H232" s="40" t="str">
        <f>especies_ativa_codibama[[#This Row],[Nome científico]]</f>
        <v>Aspidosperma parvifolium</v>
      </c>
    </row>
    <row r="233" spans="1:8" x14ac:dyDescent="0.25">
      <c r="A233">
        <v>31762</v>
      </c>
      <c r="B233" t="s">
        <v>106</v>
      </c>
      <c r="C233" t="s">
        <v>338</v>
      </c>
      <c r="D233" t="s">
        <v>79</v>
      </c>
      <c r="E233">
        <v>32640</v>
      </c>
      <c r="F233" s="24">
        <f>especies_ativa_codibama[[#This Row],[Código]]</f>
        <v>31762</v>
      </c>
      <c r="G233" s="40" t="str">
        <f>especies_ativa_codibama[[#This Row],[Nome popular]]</f>
        <v>---</v>
      </c>
      <c r="H233" s="40" t="str">
        <f>especies_ativa_codibama[[#This Row],[Nome científico]]</f>
        <v>Aspidosperma camporum</v>
      </c>
    </row>
    <row r="234" spans="1:8" x14ac:dyDescent="0.25">
      <c r="A234">
        <v>31763</v>
      </c>
      <c r="B234" t="s">
        <v>339</v>
      </c>
      <c r="C234" t="s">
        <v>340</v>
      </c>
      <c r="D234" t="s">
        <v>126</v>
      </c>
      <c r="E234">
        <v>32232</v>
      </c>
      <c r="F234" s="24">
        <f>especies_ativa_codibama[[#This Row],[Código]]</f>
        <v>31763</v>
      </c>
      <c r="G234" s="40" t="str">
        <f>especies_ativa_codibama[[#This Row],[Nome popular]]</f>
        <v>aracanga, cuririú, bico de arara</v>
      </c>
      <c r="H234" s="40" t="str">
        <f>especies_ativa_codibama[[#This Row],[Nome científico]]</f>
        <v>Aspidosperma nobile</v>
      </c>
    </row>
    <row r="235" spans="1:8" x14ac:dyDescent="0.25">
      <c r="A235">
        <v>31764</v>
      </c>
      <c r="B235" t="s">
        <v>341</v>
      </c>
      <c r="C235" t="s">
        <v>342</v>
      </c>
      <c r="D235" t="s">
        <v>126</v>
      </c>
      <c r="E235">
        <v>32229</v>
      </c>
      <c r="F235" s="24">
        <f>especies_ativa_codibama[[#This Row],[Código]]</f>
        <v>31764</v>
      </c>
      <c r="G235" s="40" t="str">
        <f>especies_ativa_codibama[[#This Row],[Nome popular]]</f>
        <v>araracanga, quina da mata</v>
      </c>
      <c r="H235" s="40" t="str">
        <f>especies_ativa_codibama[[#This Row],[Nome científico]]</f>
        <v>Aspidosperma desmanthum</v>
      </c>
    </row>
    <row r="236" spans="1:8" x14ac:dyDescent="0.25">
      <c r="A236">
        <v>31766</v>
      </c>
      <c r="B236" t="s">
        <v>343</v>
      </c>
      <c r="C236" t="s">
        <v>344</v>
      </c>
      <c r="D236" t="s">
        <v>126</v>
      </c>
      <c r="E236">
        <v>35877</v>
      </c>
      <c r="F236" s="24">
        <f>especies_ativa_codibama[[#This Row],[Código]]</f>
        <v>31766</v>
      </c>
      <c r="G236" s="40" t="str">
        <f>especies_ativa_codibama[[#This Row],[Nome popular]]</f>
        <v>guatambú do cerrado, pereiro do campo</v>
      </c>
      <c r="H236" s="40" t="str">
        <f>especies_ativa_codibama[[#This Row],[Nome científico]]</f>
        <v>Aspidosperma tomentosum</v>
      </c>
    </row>
    <row r="237" spans="1:8" x14ac:dyDescent="0.25">
      <c r="A237">
        <v>31767</v>
      </c>
      <c r="B237" t="s">
        <v>345</v>
      </c>
      <c r="C237" t="s">
        <v>346</v>
      </c>
      <c r="D237" t="s">
        <v>126</v>
      </c>
      <c r="E237">
        <v>32230</v>
      </c>
      <c r="F237" s="24">
        <f>especies_ativa_codibama[[#This Row],[Código]]</f>
        <v>31767</v>
      </c>
      <c r="G237" s="40" t="str">
        <f>especies_ativa_codibama[[#This Row],[Nome popular]]</f>
        <v>pereiro</v>
      </c>
      <c r="H237" s="40" t="str">
        <f>especies_ativa_codibama[[#This Row],[Nome científico]]</f>
        <v>Aspidosperma macrocarpon</v>
      </c>
    </row>
    <row r="238" spans="1:8" x14ac:dyDescent="0.25">
      <c r="A238">
        <v>31768</v>
      </c>
      <c r="B238" t="s">
        <v>106</v>
      </c>
      <c r="C238" t="s">
        <v>347</v>
      </c>
      <c r="D238" t="s">
        <v>126</v>
      </c>
      <c r="E238">
        <v>33365</v>
      </c>
      <c r="F238" s="24">
        <f>especies_ativa_codibama[[#This Row],[Código]]</f>
        <v>31768</v>
      </c>
      <c r="G238" s="40" t="str">
        <f>especies_ativa_codibama[[#This Row],[Nome popular]]</f>
        <v>---</v>
      </c>
      <c r="H238" s="40" t="str">
        <f>especies_ativa_codibama[[#This Row],[Nome científico]]</f>
        <v>Aspidosperma australe</v>
      </c>
    </row>
    <row r="239" spans="1:8" x14ac:dyDescent="0.25">
      <c r="A239">
        <v>31769</v>
      </c>
      <c r="B239" t="s">
        <v>106</v>
      </c>
      <c r="C239" t="s">
        <v>348</v>
      </c>
      <c r="D239" t="s">
        <v>126</v>
      </c>
      <c r="E239">
        <v>35876</v>
      </c>
      <c r="F239" s="24">
        <f>especies_ativa_codibama[[#This Row],[Código]]</f>
        <v>31769</v>
      </c>
      <c r="G239" s="40" t="str">
        <f>especies_ativa_codibama[[#This Row],[Nome popular]]</f>
        <v>---</v>
      </c>
      <c r="H239" s="40" t="str">
        <f>especies_ativa_codibama[[#This Row],[Nome científico]]</f>
        <v>Aspidosperma ramiflorum</v>
      </c>
    </row>
    <row r="240" spans="1:8" x14ac:dyDescent="0.25">
      <c r="A240">
        <v>31770</v>
      </c>
      <c r="B240" t="s">
        <v>106</v>
      </c>
      <c r="C240" t="s">
        <v>349</v>
      </c>
      <c r="D240" t="s">
        <v>126</v>
      </c>
      <c r="E240">
        <v>32879</v>
      </c>
      <c r="F240" s="24">
        <f>especies_ativa_codibama[[#This Row],[Código]]</f>
        <v>31770</v>
      </c>
      <c r="G240" s="40" t="str">
        <f>especies_ativa_codibama[[#This Row],[Nome popular]]</f>
        <v>---</v>
      </c>
      <c r="H240" s="40" t="str">
        <f>especies_ativa_codibama[[#This Row],[Nome científico]]</f>
        <v>Aspidosperma cylindrocarpon</v>
      </c>
    </row>
    <row r="241" spans="1:8" x14ac:dyDescent="0.25">
      <c r="A241">
        <v>31771</v>
      </c>
      <c r="B241" t="s">
        <v>106</v>
      </c>
      <c r="C241" t="s">
        <v>350</v>
      </c>
      <c r="D241" t="s">
        <v>126</v>
      </c>
      <c r="E241">
        <v>35478</v>
      </c>
      <c r="F241" s="24">
        <f>especies_ativa_codibama[[#This Row],[Código]]</f>
        <v>31771</v>
      </c>
      <c r="G241" s="40" t="str">
        <f>especies_ativa_codibama[[#This Row],[Nome popular]]</f>
        <v>---</v>
      </c>
      <c r="H241" s="40" t="str">
        <f>especies_ativa_codibama[[#This Row],[Nome científico]]</f>
        <v>Malouetia cestroides</v>
      </c>
    </row>
    <row r="242" spans="1:8" x14ac:dyDescent="0.25">
      <c r="A242">
        <v>31774</v>
      </c>
      <c r="B242" t="s">
        <v>351</v>
      </c>
      <c r="C242" t="s">
        <v>352</v>
      </c>
      <c r="D242" t="s">
        <v>38</v>
      </c>
      <c r="E242">
        <v>33910</v>
      </c>
      <c r="F242" s="24">
        <f>especies_ativa_codibama[[#This Row],[Código]]</f>
        <v>31774</v>
      </c>
      <c r="G242" s="40" t="str">
        <f>especies_ativa_codibama[[#This Row],[Nome popular]]</f>
        <v>carapaúba amarela, carapaúba do baixio</v>
      </c>
      <c r="H242" s="40" t="str">
        <f>especies_ativa_codibama[[#This Row],[Nome científico]]</f>
        <v>Aspidosperma rigidum</v>
      </c>
    </row>
    <row r="243" spans="1:8" x14ac:dyDescent="0.25">
      <c r="A243">
        <v>31775</v>
      </c>
      <c r="B243" t="s">
        <v>2609</v>
      </c>
      <c r="C243" t="s">
        <v>353</v>
      </c>
      <c r="D243" t="s">
        <v>38</v>
      </c>
      <c r="E243">
        <v>35204</v>
      </c>
      <c r="F243" s="24">
        <f>especies_ativa_codibama[[#This Row],[Código]]</f>
        <v>31775</v>
      </c>
      <c r="G243" s="40" t="str">
        <f>especies_ativa_codibama[[#This Row],[Nome popular]]</f>
        <v>carapaúba, carapaúba branca, carapaúba legÃ­tima</v>
      </c>
      <c r="H243" s="40" t="str">
        <f>especies_ativa_codibama[[#This Row],[Nome científico]]</f>
        <v>Aspidosperma oblongum</v>
      </c>
    </row>
    <row r="244" spans="1:8" x14ac:dyDescent="0.25">
      <c r="A244">
        <v>31776</v>
      </c>
      <c r="B244" t="s">
        <v>354</v>
      </c>
      <c r="C244" t="s">
        <v>355</v>
      </c>
      <c r="D244" t="s">
        <v>38</v>
      </c>
      <c r="E244">
        <v>34100</v>
      </c>
      <c r="F244" s="24">
        <f>especies_ativa_codibama[[#This Row],[Código]]</f>
        <v>31776</v>
      </c>
      <c r="G244" s="40" t="str">
        <f>especies_ativa_codibama[[#This Row],[Nome popular]]</f>
        <v>carapaúba, carapaúba preta</v>
      </c>
      <c r="H244" s="40" t="str">
        <f>especies_ativa_codibama[[#This Row],[Nome científico]]</f>
        <v>Aspidosperma carapanauba</v>
      </c>
    </row>
    <row r="245" spans="1:8" x14ac:dyDescent="0.25">
      <c r="A245">
        <v>31778</v>
      </c>
      <c r="B245" t="s">
        <v>356</v>
      </c>
      <c r="C245" t="s">
        <v>357</v>
      </c>
      <c r="D245" t="s">
        <v>38</v>
      </c>
      <c r="E245">
        <v>35873</v>
      </c>
      <c r="F245" s="24">
        <f>especies_ativa_codibama[[#This Row],[Código]]</f>
        <v>31778</v>
      </c>
      <c r="G245" s="40" t="str">
        <f>especies_ativa_codibama[[#This Row],[Nome popular]]</f>
        <v>guatambuzinho</v>
      </c>
      <c r="H245" s="40" t="str">
        <f>especies_ativa_codibama[[#This Row],[Nome científico]]</f>
        <v>Aspidosperma cuspa</v>
      </c>
    </row>
    <row r="246" spans="1:8" x14ac:dyDescent="0.25">
      <c r="A246">
        <v>31779</v>
      </c>
      <c r="B246" t="s">
        <v>358</v>
      </c>
      <c r="C246" t="s">
        <v>359</v>
      </c>
      <c r="D246" t="s">
        <v>38</v>
      </c>
      <c r="E246">
        <v>31765</v>
      </c>
      <c r="F246" s="24">
        <f>especies_ativa_codibama[[#This Row],[Código]]</f>
        <v>31779</v>
      </c>
      <c r="G246" s="40" t="str">
        <f>especies_ativa_codibama[[#This Row],[Nome popular]]</f>
        <v>Jaguba, Sucuuba</v>
      </c>
      <c r="H246" s="40" t="str">
        <f>especies_ativa_codibama[[#This Row],[Nome científico]]</f>
        <v>Himatanthus articulatus</v>
      </c>
    </row>
    <row r="247" spans="1:8" x14ac:dyDescent="0.25">
      <c r="A247">
        <v>31782</v>
      </c>
      <c r="B247" t="s">
        <v>360</v>
      </c>
      <c r="C247" t="s">
        <v>361</v>
      </c>
      <c r="D247" t="s">
        <v>38</v>
      </c>
      <c r="E247">
        <v>34851</v>
      </c>
      <c r="F247" s="24">
        <f>especies_ativa_codibama[[#This Row],[Código]]</f>
        <v>31782</v>
      </c>
      <c r="G247" s="40" t="str">
        <f>especies_ativa_codibama[[#This Row],[Nome popular]]</f>
        <v>mangaba</v>
      </c>
      <c r="H247" s="40" t="str">
        <f>especies_ativa_codibama[[#This Row],[Nome científico]]</f>
        <v>Hancornia speciosa</v>
      </c>
    </row>
    <row r="248" spans="1:8" x14ac:dyDescent="0.25">
      <c r="A248">
        <v>31784</v>
      </c>
      <c r="B248" t="s">
        <v>362</v>
      </c>
      <c r="C248" t="s">
        <v>363</v>
      </c>
      <c r="D248" t="s">
        <v>38</v>
      </c>
      <c r="E248">
        <v>32325</v>
      </c>
      <c r="F248" s="24">
        <f>especies_ativa_codibama[[#This Row],[Código]]</f>
        <v>31784</v>
      </c>
      <c r="G248" s="40" t="str">
        <f>especies_ativa_codibama[[#This Row],[Nome popular]]</f>
        <v>mucugê</v>
      </c>
      <c r="H248" s="40" t="str">
        <f>especies_ativa_codibama[[#This Row],[Nome científico]]</f>
        <v>Couma rigida</v>
      </c>
    </row>
    <row r="249" spans="1:8" x14ac:dyDescent="0.25">
      <c r="A249">
        <v>31785</v>
      </c>
      <c r="B249" t="s">
        <v>364</v>
      </c>
      <c r="C249" t="s">
        <v>365</v>
      </c>
      <c r="D249" t="s">
        <v>38</v>
      </c>
      <c r="E249">
        <v>35423</v>
      </c>
      <c r="F249" s="24">
        <f>especies_ativa_codibama[[#This Row],[Código]]</f>
        <v>31785</v>
      </c>
      <c r="G249" s="40" t="str">
        <f>especies_ativa_codibama[[#This Row],[Nome popular]]</f>
        <v>Pau de Leite, Tibor do Cerrado</v>
      </c>
      <c r="H249" s="40" t="str">
        <f>especies_ativa_codibama[[#This Row],[Nome científico]]</f>
        <v>Himatanthus obovatus</v>
      </c>
    </row>
    <row r="250" spans="1:8" x14ac:dyDescent="0.25">
      <c r="A250">
        <v>31786</v>
      </c>
      <c r="B250" t="s">
        <v>366</v>
      </c>
      <c r="C250" t="s">
        <v>367</v>
      </c>
      <c r="D250" t="s">
        <v>38</v>
      </c>
      <c r="E250">
        <v>31748</v>
      </c>
      <c r="F250" s="24">
        <f>especies_ativa_codibama[[#This Row],[Código]]</f>
        <v>31786</v>
      </c>
      <c r="G250" s="40" t="str">
        <f>especies_ativa_codibama[[#This Row],[Nome popular]]</f>
        <v>pau-pereira</v>
      </c>
      <c r="H250" s="40" t="str">
        <f>especies_ativa_codibama[[#This Row],[Nome científico]]</f>
        <v>Geissospermum laeve</v>
      </c>
    </row>
    <row r="251" spans="1:8" x14ac:dyDescent="0.25">
      <c r="A251">
        <v>31788</v>
      </c>
      <c r="B251" t="s">
        <v>345</v>
      </c>
      <c r="C251" t="s">
        <v>368</v>
      </c>
      <c r="D251" t="s">
        <v>38</v>
      </c>
      <c r="E251">
        <v>35291</v>
      </c>
      <c r="F251" s="24">
        <f>especies_ativa_codibama[[#This Row],[Código]]</f>
        <v>31788</v>
      </c>
      <c r="G251" s="40" t="str">
        <f>especies_ativa_codibama[[#This Row],[Nome popular]]</f>
        <v>pereiro</v>
      </c>
      <c r="H251" s="40" t="str">
        <f>especies_ativa_codibama[[#This Row],[Nome científico]]</f>
        <v>Aspidosperma pyrifolium</v>
      </c>
    </row>
    <row r="252" spans="1:8" x14ac:dyDescent="0.25">
      <c r="A252">
        <v>31789</v>
      </c>
      <c r="B252" t="s">
        <v>369</v>
      </c>
      <c r="C252" t="s">
        <v>370</v>
      </c>
      <c r="D252" t="s">
        <v>196</v>
      </c>
      <c r="E252">
        <v>32743</v>
      </c>
      <c r="F252" s="24">
        <f>especies_ativa_codibama[[#This Row],[Código]]</f>
        <v>31789</v>
      </c>
      <c r="G252" s="40" t="str">
        <f>especies_ativa_codibama[[#This Row],[Nome popular]]</f>
        <v>piquiá marfim do roxo</v>
      </c>
      <c r="H252" s="40" t="str">
        <f>especies_ativa_codibama[[#This Row],[Nome científico]]</f>
        <v>Aspidosperma obscurinervium</v>
      </c>
    </row>
    <row r="253" spans="1:8" x14ac:dyDescent="0.25">
      <c r="A253">
        <v>31790</v>
      </c>
      <c r="B253" t="s">
        <v>371</v>
      </c>
      <c r="C253" t="s">
        <v>372</v>
      </c>
      <c r="D253" t="s">
        <v>38</v>
      </c>
      <c r="E253">
        <v>35290</v>
      </c>
      <c r="F253" s="24">
        <f>especies_ativa_codibama[[#This Row],[Código]]</f>
        <v>31790</v>
      </c>
      <c r="G253" s="40" t="str">
        <f>especies_ativa_codibama[[#This Row],[Nome popular]]</f>
        <v>Pitiá</v>
      </c>
      <c r="H253" s="40" t="str">
        <f>especies_ativa_codibama[[#This Row],[Nome científico]]</f>
        <v>Aspidosperma multiflorum</v>
      </c>
    </row>
    <row r="254" spans="1:8" x14ac:dyDescent="0.25">
      <c r="A254">
        <v>31791</v>
      </c>
      <c r="B254" t="s">
        <v>373</v>
      </c>
      <c r="C254" t="s">
        <v>374</v>
      </c>
      <c r="D254" t="s">
        <v>38</v>
      </c>
      <c r="E254">
        <v>35875</v>
      </c>
      <c r="F254" s="24">
        <f>especies_ativa_codibama[[#This Row],[Código]]</f>
        <v>31791</v>
      </c>
      <c r="G254" s="40" t="str">
        <f>especies_ativa_codibama[[#This Row],[Nome popular]]</f>
        <v>quebracho-branco</v>
      </c>
      <c r="H254" s="40" t="str">
        <f>especies_ativa_codibama[[#This Row],[Nome científico]]</f>
        <v>Aspidosperma quebracho-blanco</v>
      </c>
    </row>
    <row r="255" spans="1:8" x14ac:dyDescent="0.25">
      <c r="A255">
        <v>31792</v>
      </c>
      <c r="B255" t="s">
        <v>375</v>
      </c>
      <c r="C255" t="s">
        <v>376</v>
      </c>
      <c r="D255" t="s">
        <v>38</v>
      </c>
      <c r="E255">
        <v>31611</v>
      </c>
      <c r="F255" s="24">
        <f>especies_ativa_codibama[[#This Row],[Código]]</f>
        <v>31792</v>
      </c>
      <c r="G255" s="40" t="str">
        <f>especies_ativa_codibama[[#This Row],[Nome popular]]</f>
        <v>quina, cabo de machado, pau pereiro</v>
      </c>
      <c r="H255" s="40" t="str">
        <f>especies_ativa_codibama[[#This Row],[Nome científico]]</f>
        <v>Aspidosperma discolor</v>
      </c>
    </row>
    <row r="256" spans="1:8" x14ac:dyDescent="0.25">
      <c r="A256">
        <v>31793</v>
      </c>
      <c r="B256" t="s">
        <v>377</v>
      </c>
      <c r="C256" t="s">
        <v>378</v>
      </c>
      <c r="D256" t="s">
        <v>38</v>
      </c>
      <c r="E256">
        <v>34178</v>
      </c>
      <c r="F256" s="24">
        <f>especies_ativa_codibama[[#This Row],[Código]]</f>
        <v>31793</v>
      </c>
      <c r="G256" s="40" t="str">
        <f>especies_ativa_codibama[[#This Row],[Nome popular]]</f>
        <v>sorva</v>
      </c>
      <c r="H256" s="40" t="str">
        <f>especies_ativa_codibama[[#This Row],[Nome científico]]</f>
        <v>Couma macrocarpa</v>
      </c>
    </row>
    <row r="257" spans="1:8" x14ac:dyDescent="0.25">
      <c r="A257">
        <v>31794</v>
      </c>
      <c r="B257" t="s">
        <v>379</v>
      </c>
      <c r="C257" t="s">
        <v>380</v>
      </c>
      <c r="D257" t="s">
        <v>38</v>
      </c>
      <c r="E257">
        <v>35953</v>
      </c>
      <c r="F257" s="24">
        <f>especies_ativa_codibama[[#This Row],[Código]]</f>
        <v>31794</v>
      </c>
      <c r="G257" s="40" t="str">
        <f>especies_ativa_codibama[[#This Row],[Nome popular]]</f>
        <v>sorva da mata, sorvão</v>
      </c>
      <c r="H257" s="40" t="str">
        <f>especies_ativa_codibama[[#This Row],[Nome científico]]</f>
        <v>Couma guianensis</v>
      </c>
    </row>
    <row r="258" spans="1:8" x14ac:dyDescent="0.25">
      <c r="A258">
        <v>31801</v>
      </c>
      <c r="B258" t="s">
        <v>106</v>
      </c>
      <c r="C258" t="s">
        <v>381</v>
      </c>
      <c r="D258" t="s">
        <v>38</v>
      </c>
      <c r="E258">
        <v>32639</v>
      </c>
      <c r="F258" s="24">
        <f>especies_ativa_codibama[[#This Row],[Código]]</f>
        <v>31801</v>
      </c>
      <c r="G258" s="40" t="str">
        <f>especies_ativa_codibama[[#This Row],[Nome popular]]</f>
        <v>---</v>
      </c>
      <c r="H258" s="40" t="str">
        <f>especies_ativa_codibama[[#This Row],[Nome científico]]</f>
        <v>Aspidosperma melanocalyx</v>
      </c>
    </row>
    <row r="259" spans="1:8" x14ac:dyDescent="0.25">
      <c r="A259">
        <v>31802</v>
      </c>
      <c r="B259" t="s">
        <v>106</v>
      </c>
      <c r="C259" t="s">
        <v>382</v>
      </c>
      <c r="D259" t="s">
        <v>38</v>
      </c>
      <c r="E259">
        <v>33801</v>
      </c>
      <c r="F259" s="24">
        <f>especies_ativa_codibama[[#This Row],[Código]]</f>
        <v>31802</v>
      </c>
      <c r="G259" s="40" t="str">
        <f>especies_ativa_codibama[[#This Row],[Nome popular]]</f>
        <v>---</v>
      </c>
      <c r="H259" s="40" t="str">
        <f>especies_ativa_codibama[[#This Row],[Nome científico]]</f>
        <v>Tabernaemontana laeta</v>
      </c>
    </row>
    <row r="260" spans="1:8" x14ac:dyDescent="0.25">
      <c r="A260">
        <v>31804</v>
      </c>
      <c r="B260" t="s">
        <v>106</v>
      </c>
      <c r="C260" t="s">
        <v>383</v>
      </c>
      <c r="D260" t="s">
        <v>38</v>
      </c>
      <c r="E260">
        <v>2010875</v>
      </c>
      <c r="F260" s="24">
        <f>especies_ativa_codibama[[#This Row],[Código]]</f>
        <v>31804</v>
      </c>
      <c r="G260" s="40" t="str">
        <f>especies_ativa_codibama[[#This Row],[Nome popular]]</f>
        <v>---</v>
      </c>
      <c r="H260" s="40" t="str">
        <f>especies_ativa_codibama[[#This Row],[Nome científico]]</f>
        <v>Tabernaemontana hystrix</v>
      </c>
    </row>
    <row r="261" spans="1:8" x14ac:dyDescent="0.25">
      <c r="A261">
        <v>31814</v>
      </c>
      <c r="B261" t="s">
        <v>106</v>
      </c>
      <c r="C261" t="s">
        <v>384</v>
      </c>
      <c r="D261" t="s">
        <v>38</v>
      </c>
      <c r="E261">
        <v>32636</v>
      </c>
      <c r="F261" s="24">
        <f>especies_ativa_codibama[[#This Row],[Código]]</f>
        <v>31814</v>
      </c>
      <c r="G261" s="40" t="str">
        <f>especies_ativa_codibama[[#This Row],[Nome popular]]</f>
        <v>---</v>
      </c>
      <c r="H261" s="40" t="str">
        <f>especies_ativa_codibama[[#This Row],[Nome científico]]</f>
        <v>Aspidosperma duckei</v>
      </c>
    </row>
    <row r="262" spans="1:8" x14ac:dyDescent="0.25">
      <c r="A262">
        <v>31817</v>
      </c>
      <c r="B262" t="s">
        <v>106</v>
      </c>
      <c r="C262" t="s">
        <v>385</v>
      </c>
      <c r="D262" t="s">
        <v>38</v>
      </c>
      <c r="E262">
        <v>32435</v>
      </c>
      <c r="F262" s="24">
        <f>especies_ativa_codibama[[#This Row],[Código]]</f>
        <v>31817</v>
      </c>
      <c r="G262" s="40" t="str">
        <f>especies_ativa_codibama[[#This Row],[Nome popular]]</f>
        <v>---</v>
      </c>
      <c r="H262" s="40" t="str">
        <f>especies_ativa_codibama[[#This Row],[Nome científico]]</f>
        <v>Lacmellea arborescens</v>
      </c>
    </row>
    <row r="263" spans="1:8" x14ac:dyDescent="0.25">
      <c r="A263">
        <v>31820</v>
      </c>
      <c r="B263" t="s">
        <v>106</v>
      </c>
      <c r="C263" t="s">
        <v>386</v>
      </c>
      <c r="D263" t="s">
        <v>38</v>
      </c>
      <c r="E263">
        <v>35479</v>
      </c>
      <c r="F263" s="24">
        <f>especies_ativa_codibama[[#This Row],[Código]]</f>
        <v>31820</v>
      </c>
      <c r="G263" s="40" t="str">
        <f>especies_ativa_codibama[[#This Row],[Nome popular]]</f>
        <v>---</v>
      </c>
      <c r="H263" s="40" t="str">
        <f>especies_ativa_codibama[[#This Row],[Nome científico]]</f>
        <v>Malouetia tamaquarina</v>
      </c>
    </row>
    <row r="264" spans="1:8" x14ac:dyDescent="0.25">
      <c r="A264">
        <v>31823</v>
      </c>
      <c r="B264" t="s">
        <v>106</v>
      </c>
      <c r="C264" t="s">
        <v>387</v>
      </c>
      <c r="D264" t="s">
        <v>38</v>
      </c>
      <c r="E264">
        <v>33225</v>
      </c>
      <c r="F264" s="24">
        <f>especies_ativa_codibama[[#This Row],[Código]]</f>
        <v>31823</v>
      </c>
      <c r="G264" s="40" t="str">
        <f>especies_ativa_codibama[[#This Row],[Nome popular]]</f>
        <v>---</v>
      </c>
      <c r="H264" s="40" t="str">
        <f>especies_ativa_codibama[[#This Row],[Nome científico]]</f>
        <v>Thevetia peruviana</v>
      </c>
    </row>
    <row r="265" spans="1:8" x14ac:dyDescent="0.25">
      <c r="A265">
        <v>31825</v>
      </c>
      <c r="B265" t="s">
        <v>106</v>
      </c>
      <c r="C265" t="s">
        <v>388</v>
      </c>
      <c r="D265" t="s">
        <v>38</v>
      </c>
      <c r="E265">
        <v>33845</v>
      </c>
      <c r="F265" s="24">
        <f>especies_ativa_codibama[[#This Row],[Código]]</f>
        <v>31825</v>
      </c>
      <c r="G265" s="40" t="str">
        <f>especies_ativa_codibama[[#This Row],[Nome popular]]</f>
        <v>---</v>
      </c>
      <c r="H265" s="40" t="str">
        <f>especies_ativa_codibama[[#This Row],[Nome científico]]</f>
        <v>Aspidosperma subincanum</v>
      </c>
    </row>
    <row r="266" spans="1:8" x14ac:dyDescent="0.25">
      <c r="A266">
        <v>31826</v>
      </c>
      <c r="B266" t="s">
        <v>106</v>
      </c>
      <c r="C266" t="s">
        <v>389</v>
      </c>
      <c r="D266" t="s">
        <v>38</v>
      </c>
      <c r="E266">
        <v>33396</v>
      </c>
      <c r="F266" s="24">
        <f>especies_ativa_codibama[[#This Row],[Código]]</f>
        <v>31826</v>
      </c>
      <c r="G266" s="40" t="str">
        <f>especies_ativa_codibama[[#This Row],[Nome popular]]</f>
        <v>---</v>
      </c>
      <c r="H266" s="40" t="str">
        <f>especies_ativa_codibama[[#This Row],[Nome científico]]</f>
        <v>Lacmellea aculeata</v>
      </c>
    </row>
    <row r="267" spans="1:8" x14ac:dyDescent="0.25">
      <c r="A267">
        <v>31828</v>
      </c>
      <c r="B267" t="s">
        <v>106</v>
      </c>
      <c r="C267" t="s">
        <v>390</v>
      </c>
      <c r="D267" t="s">
        <v>38</v>
      </c>
      <c r="E267">
        <v>33060</v>
      </c>
      <c r="F267" s="24">
        <f>especies_ativa_codibama[[#This Row],[Código]]</f>
        <v>31828</v>
      </c>
      <c r="G267" s="40" t="str">
        <f>especies_ativa_codibama[[#This Row],[Nome popular]]</f>
        <v>---</v>
      </c>
      <c r="H267" s="40" t="str">
        <f>especies_ativa_codibama[[#This Row],[Nome científico]]</f>
        <v>Macoubea guianensis</v>
      </c>
    </row>
    <row r="268" spans="1:8" x14ac:dyDescent="0.25">
      <c r="A268">
        <v>31830</v>
      </c>
      <c r="B268" t="s">
        <v>106</v>
      </c>
      <c r="C268" t="s">
        <v>391</v>
      </c>
      <c r="D268" t="s">
        <v>38</v>
      </c>
      <c r="E268">
        <v>36237</v>
      </c>
      <c r="F268" s="24">
        <f>especies_ativa_codibama[[#This Row],[Código]]</f>
        <v>31830</v>
      </c>
      <c r="G268" s="40" t="str">
        <f>especies_ativa_codibama[[#This Row],[Nome popular]]</f>
        <v>---</v>
      </c>
      <c r="H268" s="40" t="str">
        <f>especies_ativa_codibama[[#This Row],[Nome científico]]</f>
        <v>Tabernaemontana catharinensis</v>
      </c>
    </row>
    <row r="269" spans="1:8" x14ac:dyDescent="0.25">
      <c r="A269">
        <v>31832</v>
      </c>
      <c r="B269" t="s">
        <v>106</v>
      </c>
      <c r="C269" t="s">
        <v>392</v>
      </c>
      <c r="D269" t="s">
        <v>38</v>
      </c>
      <c r="E269">
        <v>35158</v>
      </c>
      <c r="F269" s="24">
        <f>especies_ativa_codibama[[#This Row],[Código]]</f>
        <v>31832</v>
      </c>
      <c r="G269" s="40" t="str">
        <f>especies_ativa_codibama[[#This Row],[Nome popular]]</f>
        <v>---</v>
      </c>
      <c r="H269" s="40" t="str">
        <f>especies_ativa_codibama[[#This Row],[Nome científico]]</f>
        <v>Nerium oleander</v>
      </c>
    </row>
    <row r="270" spans="1:8" x14ac:dyDescent="0.25">
      <c r="A270">
        <v>31833</v>
      </c>
      <c r="B270" t="s">
        <v>106</v>
      </c>
      <c r="C270" t="s">
        <v>393</v>
      </c>
      <c r="D270" t="s">
        <v>38</v>
      </c>
      <c r="E270">
        <v>33936</v>
      </c>
      <c r="F270" s="24">
        <f>especies_ativa_codibama[[#This Row],[Código]]</f>
        <v>31833</v>
      </c>
      <c r="G270" s="40" t="str">
        <f>especies_ativa_codibama[[#This Row],[Nome popular]]</f>
        <v>---</v>
      </c>
      <c r="H270" s="40" t="str">
        <f>especies_ativa_codibama[[#This Row],[Nome científico]]</f>
        <v>Aspidosperma triternatum</v>
      </c>
    </row>
    <row r="271" spans="1:8" x14ac:dyDescent="0.25">
      <c r="A271">
        <v>31836</v>
      </c>
      <c r="B271" t="s">
        <v>394</v>
      </c>
      <c r="C271" t="s">
        <v>395</v>
      </c>
      <c r="D271" t="s">
        <v>324</v>
      </c>
      <c r="E271">
        <v>31612</v>
      </c>
      <c r="F271" s="24">
        <f>especies_ativa_codibama[[#This Row],[Código]]</f>
        <v>31836</v>
      </c>
      <c r="G271" s="40" t="str">
        <f>especies_ativa_codibama[[#This Row],[Nome popular]]</f>
        <v>peroba-rosa</v>
      </c>
      <c r="H271" s="40" t="str">
        <f>especies_ativa_codibama[[#This Row],[Nome científico]]</f>
        <v>Aspidosperma polyneuron</v>
      </c>
    </row>
    <row r="272" spans="1:8" x14ac:dyDescent="0.25">
      <c r="A272">
        <v>31838</v>
      </c>
      <c r="B272" t="s">
        <v>396</v>
      </c>
      <c r="C272" t="s">
        <v>397</v>
      </c>
      <c r="D272" t="s">
        <v>79</v>
      </c>
      <c r="E272">
        <v>35152</v>
      </c>
      <c r="F272" s="24">
        <f>especies_ativa_codibama[[#This Row],[Código]]</f>
        <v>31838</v>
      </c>
      <c r="G272" s="40" t="str">
        <f>especies_ativa_codibama[[#This Row],[Nome popular]]</f>
        <v>Mange da Serra</v>
      </c>
      <c r="H272" s="40" t="str">
        <f>especies_ativa_codibama[[#This Row],[Nome científico]]</f>
        <v>Ilex integerrima</v>
      </c>
    </row>
    <row r="273" spans="1:8" x14ac:dyDescent="0.25">
      <c r="A273">
        <v>31842</v>
      </c>
      <c r="B273" t="s">
        <v>106</v>
      </c>
      <c r="C273" t="s">
        <v>398</v>
      </c>
      <c r="D273" t="s">
        <v>79</v>
      </c>
      <c r="E273">
        <v>36038</v>
      </c>
      <c r="F273" s="24">
        <f>especies_ativa_codibama[[#This Row],[Código]]</f>
        <v>31842</v>
      </c>
      <c r="G273" s="40" t="str">
        <f>especies_ativa_codibama[[#This Row],[Nome popular]]</f>
        <v>---</v>
      </c>
      <c r="H273" s="40" t="str">
        <f>especies_ativa_codibama[[#This Row],[Nome científico]]</f>
        <v>Ilex grandis</v>
      </c>
    </row>
    <row r="274" spans="1:8" x14ac:dyDescent="0.25">
      <c r="A274">
        <v>31845</v>
      </c>
      <c r="B274" t="s">
        <v>106</v>
      </c>
      <c r="C274" t="s">
        <v>399</v>
      </c>
      <c r="D274" t="s">
        <v>79</v>
      </c>
      <c r="E274">
        <v>36040</v>
      </c>
      <c r="F274" s="24">
        <f>especies_ativa_codibama[[#This Row],[Código]]</f>
        <v>31845</v>
      </c>
      <c r="G274" s="40" t="str">
        <f>especies_ativa_codibama[[#This Row],[Nome popular]]</f>
        <v>---</v>
      </c>
      <c r="H274" s="40" t="str">
        <f>especies_ativa_codibama[[#This Row],[Nome científico]]</f>
        <v>Ilex microdonta</v>
      </c>
    </row>
    <row r="275" spans="1:8" x14ac:dyDescent="0.25">
      <c r="A275">
        <v>31847</v>
      </c>
      <c r="B275" t="s">
        <v>400</v>
      </c>
      <c r="C275" t="s">
        <v>401</v>
      </c>
      <c r="D275" t="s">
        <v>126</v>
      </c>
      <c r="E275">
        <v>36041</v>
      </c>
      <c r="F275" s="24">
        <f>especies_ativa_codibama[[#This Row],[Código]]</f>
        <v>31847</v>
      </c>
      <c r="G275" s="40" t="str">
        <f>especies_ativa_codibama[[#This Row],[Nome popular]]</f>
        <v>erva-mate, mate</v>
      </c>
      <c r="H275" s="40" t="str">
        <f>especies_ativa_codibama[[#This Row],[Nome científico]]</f>
        <v>Ilex paraguariensis</v>
      </c>
    </row>
    <row r="276" spans="1:8" x14ac:dyDescent="0.25">
      <c r="A276">
        <v>31848</v>
      </c>
      <c r="B276" t="s">
        <v>402</v>
      </c>
      <c r="C276" t="s">
        <v>403</v>
      </c>
      <c r="D276" t="s">
        <v>38</v>
      </c>
      <c r="E276">
        <v>33025</v>
      </c>
      <c r="F276" s="24">
        <f>especies_ativa_codibama[[#This Row],[Código]]</f>
        <v>31848</v>
      </c>
      <c r="G276" s="40" t="str">
        <f>especies_ativa_codibama[[#This Row],[Nome popular]]</f>
        <v xml:space="preserve">caúna, orelha-de-mico </v>
      </c>
      <c r="H276" s="40" t="str">
        <f>especies_ativa_codibama[[#This Row],[Nome científico]]</f>
        <v>Ilex brevicuspis</v>
      </c>
    </row>
    <row r="277" spans="1:8" x14ac:dyDescent="0.25">
      <c r="A277">
        <v>31849</v>
      </c>
      <c r="B277" t="s">
        <v>404</v>
      </c>
      <c r="C277" t="s">
        <v>405</v>
      </c>
      <c r="D277" t="s">
        <v>38</v>
      </c>
      <c r="E277">
        <v>33616</v>
      </c>
      <c r="F277" s="24">
        <f>especies_ativa_codibama[[#This Row],[Código]]</f>
        <v>31849</v>
      </c>
      <c r="G277" s="40" t="str">
        <f>especies_ativa_codibama[[#This Row],[Nome popular]]</f>
        <v>caúna, mate, erva-mate</v>
      </c>
      <c r="H277" s="40" t="str">
        <f>especies_ativa_codibama[[#This Row],[Nome científico]]</f>
        <v>Ilex dumosa</v>
      </c>
    </row>
    <row r="278" spans="1:8" x14ac:dyDescent="0.25">
      <c r="A278">
        <v>31850</v>
      </c>
      <c r="B278" t="s">
        <v>406</v>
      </c>
      <c r="C278" t="s">
        <v>407</v>
      </c>
      <c r="D278" t="s">
        <v>38</v>
      </c>
      <c r="E278">
        <v>33438</v>
      </c>
      <c r="F278" s="24">
        <f>especies_ativa_codibama[[#This Row],[Código]]</f>
        <v>31850</v>
      </c>
      <c r="G278" s="40" t="str">
        <f>especies_ativa_codibama[[#This Row],[Nome popular]]</f>
        <v>congonha</v>
      </c>
      <c r="H278" s="40" t="str">
        <f>especies_ativa_codibama[[#This Row],[Nome científico]]</f>
        <v>Ilex theezans</v>
      </c>
    </row>
    <row r="279" spans="1:8" x14ac:dyDescent="0.25">
      <c r="A279">
        <v>31854</v>
      </c>
      <c r="B279" t="s">
        <v>2610</v>
      </c>
      <c r="C279" t="s">
        <v>408</v>
      </c>
      <c r="D279" t="s">
        <v>38</v>
      </c>
      <c r="E279">
        <v>35436</v>
      </c>
      <c r="F279" s="24">
        <f>especies_ativa_codibama[[#This Row],[Código]]</f>
        <v>31854</v>
      </c>
      <c r="G279" s="40" t="str">
        <f>especies_ativa_codibama[[#This Row],[Nome popular]]</f>
        <v>Congonha, Catuaba-do-mato</v>
      </c>
      <c r="H279" s="40" t="str">
        <f>especies_ativa_codibama[[#This Row],[Nome científico]]</f>
        <v>Ilex conocarpa</v>
      </c>
    </row>
    <row r="280" spans="1:8" x14ac:dyDescent="0.25">
      <c r="A280">
        <v>31855</v>
      </c>
      <c r="B280" t="s">
        <v>106</v>
      </c>
      <c r="C280" t="s">
        <v>409</v>
      </c>
      <c r="D280" t="s">
        <v>38</v>
      </c>
      <c r="E280">
        <v>36042</v>
      </c>
      <c r="F280" s="24">
        <f>especies_ativa_codibama[[#This Row],[Código]]</f>
        <v>31855</v>
      </c>
      <c r="G280" s="40" t="str">
        <f>especies_ativa_codibama[[#This Row],[Nome popular]]</f>
        <v>---</v>
      </c>
      <c r="H280" s="40" t="str">
        <f>especies_ativa_codibama[[#This Row],[Nome científico]]</f>
        <v>Ilex pseudobuxus</v>
      </c>
    </row>
    <row r="281" spans="1:8" x14ac:dyDescent="0.25">
      <c r="A281">
        <v>31856</v>
      </c>
      <c r="B281" t="s">
        <v>106</v>
      </c>
      <c r="C281" t="s">
        <v>410</v>
      </c>
      <c r="D281" t="s">
        <v>38</v>
      </c>
      <c r="E281">
        <v>35744</v>
      </c>
      <c r="F281" s="24">
        <f>especies_ativa_codibama[[#This Row],[Código]]</f>
        <v>31856</v>
      </c>
      <c r="G281" s="40" t="str">
        <f>especies_ativa_codibama[[#This Row],[Nome popular]]</f>
        <v>---</v>
      </c>
      <c r="H281" s="40" t="str">
        <f>especies_ativa_codibama[[#This Row],[Nome científico]]</f>
        <v>Ilex cerasifolia</v>
      </c>
    </row>
    <row r="282" spans="1:8" x14ac:dyDescent="0.25">
      <c r="A282">
        <v>31858</v>
      </c>
      <c r="B282" t="s">
        <v>106</v>
      </c>
      <c r="C282" t="s">
        <v>411</v>
      </c>
      <c r="D282" t="s">
        <v>38</v>
      </c>
      <c r="E282">
        <v>31772</v>
      </c>
      <c r="F282" s="24">
        <f>especies_ativa_codibama[[#This Row],[Código]]</f>
        <v>31858</v>
      </c>
      <c r="G282" s="40" t="str">
        <f>especies_ativa_codibama[[#This Row],[Nome popular]]</f>
        <v>---</v>
      </c>
      <c r="H282" s="40" t="str">
        <f>especies_ativa_codibama[[#This Row],[Nome científico]]</f>
        <v>Ilex affinis</v>
      </c>
    </row>
    <row r="283" spans="1:8" x14ac:dyDescent="0.25">
      <c r="A283">
        <v>31896</v>
      </c>
      <c r="B283" t="s">
        <v>106</v>
      </c>
      <c r="C283" t="s">
        <v>2611</v>
      </c>
      <c r="D283" t="s">
        <v>126</v>
      </c>
      <c r="E283">
        <v>1132698</v>
      </c>
      <c r="F283" s="24">
        <f>especies_ativa_codibama[[#This Row],[Código]]</f>
        <v>31896</v>
      </c>
      <c r="G283" s="40" t="str">
        <f>especies_ativa_codibama[[#This Row],[Nome popular]]</f>
        <v>---</v>
      </c>
      <c r="H283" s="40" t="str">
        <f>especies_ativa_codibama[[#This Row],[Nome científico]]</f>
        <v>Dendropanax cuneatus</v>
      </c>
    </row>
    <row r="284" spans="1:8" x14ac:dyDescent="0.25">
      <c r="A284">
        <v>31901</v>
      </c>
      <c r="B284" t="s">
        <v>106</v>
      </c>
      <c r="C284" t="s">
        <v>2612</v>
      </c>
      <c r="D284" t="s">
        <v>38</v>
      </c>
      <c r="E284">
        <v>172174</v>
      </c>
      <c r="F284" s="24">
        <f>especies_ativa_codibama[[#This Row],[Código]]</f>
        <v>31901</v>
      </c>
      <c r="G284" s="40" t="str">
        <f>especies_ativa_codibama[[#This Row],[Nome popular]]</f>
        <v>---</v>
      </c>
      <c r="H284" s="40" t="str">
        <f>especies_ativa_codibama[[#This Row],[Nome científico]]</f>
        <v>Didymopanax macrocarpus</v>
      </c>
    </row>
    <row r="285" spans="1:8" x14ac:dyDescent="0.25">
      <c r="A285">
        <v>31920</v>
      </c>
      <c r="B285" t="s">
        <v>106</v>
      </c>
      <c r="C285" t="s">
        <v>412</v>
      </c>
      <c r="D285" t="s">
        <v>38</v>
      </c>
      <c r="E285">
        <v>33896</v>
      </c>
      <c r="F285" s="24">
        <f>especies_ativa_codibama[[#This Row],[Código]]</f>
        <v>31920</v>
      </c>
      <c r="G285" s="40" t="str">
        <f>especies_ativa_codibama[[#This Row],[Nome popular]]</f>
        <v>---</v>
      </c>
      <c r="H285" s="40" t="str">
        <f>especies_ativa_codibama[[#This Row],[Nome científico]]</f>
        <v>Didymopanax morototoni</v>
      </c>
    </row>
    <row r="286" spans="1:8" x14ac:dyDescent="0.25">
      <c r="A286">
        <v>31932</v>
      </c>
      <c r="B286" t="s">
        <v>413</v>
      </c>
      <c r="C286" t="s">
        <v>414</v>
      </c>
      <c r="D286" t="s">
        <v>79</v>
      </c>
      <c r="E286">
        <v>31967</v>
      </c>
      <c r="F286" s="24">
        <f>especies_ativa_codibama[[#This Row],[Código]]</f>
        <v>31932</v>
      </c>
      <c r="G286" s="40" t="str">
        <f>especies_ativa_codibama[[#This Row],[Nome popular]]</f>
        <v>aricuri, aricuriroba</v>
      </c>
      <c r="H286" s="40" t="str">
        <f>especies_ativa_codibama[[#This Row],[Nome científico]]</f>
        <v>Syagrus schizophylla</v>
      </c>
    </row>
    <row r="287" spans="1:8" x14ac:dyDescent="0.25">
      <c r="A287">
        <v>31933</v>
      </c>
      <c r="B287" t="s">
        <v>415</v>
      </c>
      <c r="C287" t="s">
        <v>416</v>
      </c>
      <c r="D287" t="s">
        <v>79</v>
      </c>
      <c r="E287">
        <v>34102</v>
      </c>
      <c r="F287" s="24">
        <f>especies_ativa_codibama[[#This Row],[Código]]</f>
        <v>31933</v>
      </c>
      <c r="G287" s="40" t="str">
        <f>especies_ativa_codibama[[#This Row],[Nome popular]]</f>
        <v>Ariri, Ariri-açu, Coco-ariri, Brejaúba, Brejaúva, Iri</v>
      </c>
      <c r="H287" s="40" t="str">
        <f>especies_ativa_codibama[[#This Row],[Nome científico]]</f>
        <v>Astrocaryum aculeatissimum</v>
      </c>
    </row>
    <row r="288" spans="1:8" x14ac:dyDescent="0.25">
      <c r="A288">
        <v>31939</v>
      </c>
      <c r="B288" t="s">
        <v>417</v>
      </c>
      <c r="C288" t="s">
        <v>418</v>
      </c>
      <c r="D288" t="s">
        <v>79</v>
      </c>
      <c r="E288">
        <v>35615</v>
      </c>
      <c r="F288" s="24">
        <f>especies_ativa_codibama[[#This Row],[Código]]</f>
        <v>31939</v>
      </c>
      <c r="G288" s="40" t="str">
        <f>especies_ativa_codibama[[#This Row],[Nome popular]]</f>
        <v>coco-amargoso, peririma</v>
      </c>
      <c r="H288" s="40" t="str">
        <f>especies_ativa_codibama[[#This Row],[Nome científico]]</f>
        <v>Syagrus pseudococos</v>
      </c>
    </row>
    <row r="289" spans="1:8" x14ac:dyDescent="0.25">
      <c r="A289">
        <v>31952</v>
      </c>
      <c r="B289" t="s">
        <v>419</v>
      </c>
      <c r="C289" t="s">
        <v>420</v>
      </c>
      <c r="D289" t="s">
        <v>79</v>
      </c>
      <c r="E289">
        <v>35770</v>
      </c>
      <c r="F289" s="24">
        <f>especies_ativa_codibama[[#This Row],[Código]]</f>
        <v>31952</v>
      </c>
      <c r="G289" s="40" t="str">
        <f>especies_ativa_codibama[[#This Row],[Nome popular]]</f>
        <v>Palha-branca, buri</v>
      </c>
      <c r="H289" s="40" t="str">
        <f>especies_ativa_codibama[[#This Row],[Nome científico]]</f>
        <v>Allagoptera caudescens</v>
      </c>
    </row>
    <row r="290" spans="1:8" x14ac:dyDescent="0.25">
      <c r="A290">
        <v>31958</v>
      </c>
      <c r="B290" t="s">
        <v>421</v>
      </c>
      <c r="C290" t="s">
        <v>422</v>
      </c>
      <c r="D290" t="s">
        <v>79</v>
      </c>
      <c r="E290">
        <v>33795</v>
      </c>
      <c r="F290" s="24">
        <f>especies_ativa_codibama[[#This Row],[Código]]</f>
        <v>31958</v>
      </c>
      <c r="G290" s="40" t="str">
        <f>especies_ativa_codibama[[#This Row],[Nome popular]]</f>
        <v>pati, patioba</v>
      </c>
      <c r="H290" s="40" t="str">
        <f>especies_ativa_codibama[[#This Row],[Nome científico]]</f>
        <v>Syagrus botryophora</v>
      </c>
    </row>
    <row r="291" spans="1:8" x14ac:dyDescent="0.25">
      <c r="A291">
        <v>31966</v>
      </c>
      <c r="B291" t="s">
        <v>106</v>
      </c>
      <c r="C291" t="s">
        <v>423</v>
      </c>
      <c r="D291" t="s">
        <v>79</v>
      </c>
      <c r="E291">
        <v>1778143</v>
      </c>
      <c r="F291" s="24">
        <f>especies_ativa_codibama[[#This Row],[Código]]</f>
        <v>31966</v>
      </c>
      <c r="G291" s="40" t="str">
        <f>especies_ativa_codibama[[#This Row],[Nome popular]]</f>
        <v>---</v>
      </c>
      <c r="H291" s="40" t="str">
        <f>especies_ativa_codibama[[#This Row],[Nome científico]]</f>
        <v>Attalea exigua</v>
      </c>
    </row>
    <row r="292" spans="1:8" x14ac:dyDescent="0.25">
      <c r="A292">
        <v>31990</v>
      </c>
      <c r="B292" t="s">
        <v>424</v>
      </c>
      <c r="C292" t="s">
        <v>425</v>
      </c>
      <c r="D292" t="s">
        <v>126</v>
      </c>
      <c r="E292">
        <v>33796</v>
      </c>
      <c r="F292" s="24">
        <f>especies_ativa_codibama[[#This Row],[Código]]</f>
        <v>31990</v>
      </c>
      <c r="G292" s="40" t="str">
        <f>especies_ativa_codibama[[#This Row],[Nome popular]]</f>
        <v>geriva, jarobá, jeriva</v>
      </c>
      <c r="H292" s="40" t="str">
        <f>especies_ativa_codibama[[#This Row],[Nome científico]]</f>
        <v>Syagrus romanzoffiana</v>
      </c>
    </row>
    <row r="293" spans="1:8" x14ac:dyDescent="0.25">
      <c r="A293">
        <v>31993</v>
      </c>
      <c r="B293" t="s">
        <v>2613</v>
      </c>
      <c r="C293" t="s">
        <v>426</v>
      </c>
      <c r="D293" t="s">
        <v>38</v>
      </c>
      <c r="E293">
        <v>36009</v>
      </c>
      <c r="F293" s="24">
        <f>especies_ativa_codibama[[#This Row],[Código]]</f>
        <v>31993</v>
      </c>
      <c r="G293" s="40" t="str">
        <f>especies_ativa_codibama[[#This Row],[Nome popular]]</f>
        <v>Açaí­ chumbo, Açai da mata, Açaí­da-terra-firme</v>
      </c>
      <c r="H293" s="40" t="str">
        <f>especies_ativa_codibama[[#This Row],[Nome científico]]</f>
        <v>Euterpe longibracteata</v>
      </c>
    </row>
    <row r="294" spans="1:8" x14ac:dyDescent="0.25">
      <c r="A294">
        <v>31994</v>
      </c>
      <c r="B294" t="s">
        <v>2614</v>
      </c>
      <c r="C294" t="s">
        <v>427</v>
      </c>
      <c r="D294" t="s">
        <v>38</v>
      </c>
      <c r="E294">
        <v>31739</v>
      </c>
      <c r="F294" s="24">
        <f>especies_ativa_codibama[[#This Row],[Código]]</f>
        <v>31994</v>
      </c>
      <c r="G294" s="40" t="str">
        <f>especies_ativa_codibama[[#This Row],[Nome popular]]</f>
        <v>Açaí­, Açaí­-do-pará¡, Açaizeiro, Palmito-açaí­, Uaçaí­</v>
      </c>
      <c r="H294" s="40" t="str">
        <f>especies_ativa_codibama[[#This Row],[Nome científico]]</f>
        <v>Euterpe oleracea</v>
      </c>
    </row>
    <row r="295" spans="1:8" x14ac:dyDescent="0.25">
      <c r="A295">
        <v>31995</v>
      </c>
      <c r="B295" t="s">
        <v>428</v>
      </c>
      <c r="C295" t="s">
        <v>429</v>
      </c>
      <c r="D295" t="s">
        <v>38</v>
      </c>
      <c r="E295">
        <v>1891197</v>
      </c>
      <c r="F295" s="24">
        <f>especies_ativa_codibama[[#This Row],[Código]]</f>
        <v>31995</v>
      </c>
      <c r="G295" s="40" t="str">
        <f>especies_ativa_codibama[[#This Row],[Nome popular]]</f>
        <v>acumã</v>
      </c>
      <c r="H295" s="40" t="str">
        <f>especies_ativa_codibama[[#This Row],[Nome científico]]</f>
        <v>Syagrus flexuosa</v>
      </c>
    </row>
    <row r="296" spans="1:8" x14ac:dyDescent="0.25">
      <c r="A296">
        <v>31998</v>
      </c>
      <c r="B296" t="s">
        <v>430</v>
      </c>
      <c r="C296" t="s">
        <v>431</v>
      </c>
      <c r="D296" t="s">
        <v>38</v>
      </c>
      <c r="E296">
        <v>33100</v>
      </c>
      <c r="F296" s="24">
        <f>especies_ativa_codibama[[#This Row],[Código]]</f>
        <v>31998</v>
      </c>
      <c r="G296" s="40" t="str">
        <f>especies_ativa_codibama[[#This Row],[Nome popular]]</f>
        <v>Bacaba</v>
      </c>
      <c r="H296" s="40" t="str">
        <f>especies_ativa_codibama[[#This Row],[Nome científico]]</f>
        <v>Oenocarpus distichus</v>
      </c>
    </row>
    <row r="297" spans="1:8" x14ac:dyDescent="0.25">
      <c r="A297">
        <v>32001</v>
      </c>
      <c r="B297" t="s">
        <v>2615</v>
      </c>
      <c r="C297" t="s">
        <v>432</v>
      </c>
      <c r="D297" t="s">
        <v>205</v>
      </c>
      <c r="E297">
        <v>32460</v>
      </c>
      <c r="F297" s="24">
        <f>especies_ativa_codibama[[#This Row],[Código]]</f>
        <v>32001</v>
      </c>
      <c r="G297" s="40" t="str">
        <f>especies_ativa_codibama[[#This Row],[Nome popular]]</f>
        <v>Buriti, Miritirana, Buritirana, Caraná-do-mato, Caraná</v>
      </c>
      <c r="H297" s="40" t="str">
        <f>especies_ativa_codibama[[#This Row],[Nome científico]]</f>
        <v>Mauritia flexuosa</v>
      </c>
    </row>
    <row r="298" spans="1:8" x14ac:dyDescent="0.25">
      <c r="A298">
        <v>32002</v>
      </c>
      <c r="B298" t="s">
        <v>433</v>
      </c>
      <c r="C298" t="s">
        <v>434</v>
      </c>
      <c r="D298" t="s">
        <v>38</v>
      </c>
      <c r="E298">
        <v>32847</v>
      </c>
      <c r="F298" s="24">
        <f>especies_ativa_codibama[[#This Row],[Código]]</f>
        <v>32002</v>
      </c>
      <c r="G298" s="40" t="str">
        <f>especies_ativa_codibama[[#This Row],[Nome popular]]</f>
        <v>Caraná, Caranã, Buritira, Buriti-mirim</v>
      </c>
      <c r="H298" s="40" t="str">
        <f>especies_ativa_codibama[[#This Row],[Nome científico]]</f>
        <v>Mauritiella armata</v>
      </c>
    </row>
    <row r="299" spans="1:8" x14ac:dyDescent="0.25">
      <c r="A299">
        <v>32003</v>
      </c>
      <c r="B299" t="s">
        <v>435</v>
      </c>
      <c r="C299" t="s">
        <v>436</v>
      </c>
      <c r="D299" t="s">
        <v>38</v>
      </c>
      <c r="E299">
        <v>34166</v>
      </c>
      <c r="F299" s="24">
        <f>especies_ativa_codibama[[#This Row],[Código]]</f>
        <v>32003</v>
      </c>
      <c r="G299" s="40" t="str">
        <f>especies_ativa_codibama[[#This Row],[Nome popular]]</f>
        <v>Carandá</v>
      </c>
      <c r="H299" s="40" t="str">
        <f>especies_ativa_codibama[[#This Row],[Nome científico]]</f>
        <v>Copernicia alba</v>
      </c>
    </row>
    <row r="300" spans="1:8" x14ac:dyDescent="0.25">
      <c r="A300">
        <v>32005</v>
      </c>
      <c r="B300" t="s">
        <v>437</v>
      </c>
      <c r="C300" t="s">
        <v>438</v>
      </c>
      <c r="D300" t="s">
        <v>38</v>
      </c>
      <c r="E300">
        <v>35946</v>
      </c>
      <c r="F300" s="24">
        <f>especies_ativa_codibama[[#This Row],[Código]]</f>
        <v>32005</v>
      </c>
      <c r="G300" s="40" t="str">
        <f>especies_ativa_codibama[[#This Row],[Nome popular]]</f>
        <v>Carúba</v>
      </c>
      <c r="H300" s="40" t="str">
        <f>especies_ativa_codibama[[#This Row],[Nome científico]]</f>
        <v>Copernicia prunifera</v>
      </c>
    </row>
    <row r="301" spans="1:8" x14ac:dyDescent="0.25">
      <c r="A301">
        <v>32007</v>
      </c>
      <c r="B301" t="s">
        <v>439</v>
      </c>
      <c r="C301" t="s">
        <v>440</v>
      </c>
      <c r="D301" t="s">
        <v>38</v>
      </c>
      <c r="E301">
        <v>35614</v>
      </c>
      <c r="F301" s="24">
        <f>especies_ativa_codibama[[#This Row],[Código]]</f>
        <v>32007</v>
      </c>
      <c r="G301" s="40" t="str">
        <f>especies_ativa_codibama[[#This Row],[Nome popular]]</f>
        <v>catolé</v>
      </c>
      <c r="H301" s="40" t="str">
        <f>especies_ativa_codibama[[#This Row],[Nome científico]]</f>
        <v>Syagrus comosa</v>
      </c>
    </row>
    <row r="302" spans="1:8" x14ac:dyDescent="0.25">
      <c r="A302">
        <v>32008</v>
      </c>
      <c r="B302" t="s">
        <v>441</v>
      </c>
      <c r="C302" t="s">
        <v>442</v>
      </c>
      <c r="D302" t="s">
        <v>38</v>
      </c>
      <c r="E302">
        <v>34164</v>
      </c>
      <c r="F302" s="24">
        <f>especies_ativa_codibama[[#This Row],[Código]]</f>
        <v>32008</v>
      </c>
      <c r="G302" s="40" t="str">
        <f>especies_ativa_codibama[[#This Row],[Nome popular]]</f>
        <v>Coco-verde, Coqueiro, Coco-da-bahia, Coqueiro-da-praia</v>
      </c>
      <c r="H302" s="40" t="str">
        <f>especies_ativa_codibama[[#This Row],[Nome científico]]</f>
        <v>Cocos nucifera</v>
      </c>
    </row>
    <row r="303" spans="1:8" x14ac:dyDescent="0.25">
      <c r="A303">
        <v>32010</v>
      </c>
      <c r="B303" t="s">
        <v>443</v>
      </c>
      <c r="C303" t="s">
        <v>444</v>
      </c>
      <c r="D303" t="s">
        <v>38</v>
      </c>
      <c r="E303">
        <v>35765</v>
      </c>
      <c r="F303" s="24">
        <f>especies_ativa_codibama[[#This Row],[Código]]</f>
        <v>32010</v>
      </c>
      <c r="G303" s="40" t="str">
        <f>especies_ativa_codibama[[#This Row],[Nome popular]]</f>
        <v>dendê</v>
      </c>
      <c r="H303" s="40" t="str">
        <f>especies_ativa_codibama[[#This Row],[Nome científico]]</f>
        <v>Elaeis guineensis</v>
      </c>
    </row>
    <row r="304" spans="1:8" x14ac:dyDescent="0.25">
      <c r="A304">
        <v>32012</v>
      </c>
      <c r="B304" t="s">
        <v>445</v>
      </c>
      <c r="C304" t="s">
        <v>446</v>
      </c>
      <c r="D304" t="s">
        <v>38</v>
      </c>
      <c r="E304">
        <v>34406</v>
      </c>
      <c r="F304" s="24">
        <f>especies_ativa_codibama[[#This Row],[Código]]</f>
        <v>32012</v>
      </c>
      <c r="G304" s="40" t="str">
        <f>especies_ativa_codibama[[#This Row],[Nome popular]]</f>
        <v>guariroba, gueiroba</v>
      </c>
      <c r="H304" s="40" t="str">
        <f>especies_ativa_codibama[[#This Row],[Nome científico]]</f>
        <v>Syagrus oleracea</v>
      </c>
    </row>
    <row r="305" spans="1:8" x14ac:dyDescent="0.25">
      <c r="A305">
        <v>32014</v>
      </c>
      <c r="B305" t="s">
        <v>447</v>
      </c>
      <c r="C305" t="s">
        <v>448</v>
      </c>
      <c r="D305" t="s">
        <v>38</v>
      </c>
      <c r="E305">
        <v>32854</v>
      </c>
      <c r="F305" s="24">
        <f>especies_ativa_codibama[[#This Row],[Código]]</f>
        <v>32014</v>
      </c>
      <c r="G305" s="40" t="str">
        <f>especies_ativa_codibama[[#This Row],[Nome popular]]</f>
        <v>Macaúba, Mucajá, Coco-babão</v>
      </c>
      <c r="H305" s="40" t="str">
        <f>especies_ativa_codibama[[#This Row],[Nome científico]]</f>
        <v>Acrocomia aculeata</v>
      </c>
    </row>
    <row r="306" spans="1:8" x14ac:dyDescent="0.25">
      <c r="A306">
        <v>32016</v>
      </c>
      <c r="B306" t="s">
        <v>449</v>
      </c>
      <c r="C306" t="s">
        <v>450</v>
      </c>
      <c r="D306" t="s">
        <v>38</v>
      </c>
      <c r="E306">
        <v>34647</v>
      </c>
      <c r="F306" s="24">
        <f>especies_ativa_codibama[[#This Row],[Código]]</f>
        <v>32016</v>
      </c>
      <c r="G306" s="40" t="str">
        <f>especies_ativa_codibama[[#This Row],[Nome popular]]</f>
        <v>marajá</v>
      </c>
      <c r="H306" s="40" t="str">
        <f>especies_ativa_codibama[[#This Row],[Nome científico]]</f>
        <v>Bactris brongniartii</v>
      </c>
    </row>
    <row r="307" spans="1:8" x14ac:dyDescent="0.25">
      <c r="A307">
        <v>32019</v>
      </c>
      <c r="B307" t="s">
        <v>451</v>
      </c>
      <c r="C307" t="s">
        <v>452</v>
      </c>
      <c r="D307" t="s">
        <v>38</v>
      </c>
      <c r="E307">
        <v>31613</v>
      </c>
      <c r="F307" s="24">
        <f>especies_ativa_codibama[[#This Row],[Código]]</f>
        <v>32019</v>
      </c>
      <c r="G307" s="40" t="str">
        <f>especies_ativa_codibama[[#This Row],[Nome popular]]</f>
        <v>murmuru, murumuru</v>
      </c>
      <c r="H307" s="40" t="str">
        <f>especies_ativa_codibama[[#This Row],[Nome científico]]</f>
        <v>Astrocaryum murumuru</v>
      </c>
    </row>
    <row r="308" spans="1:8" x14ac:dyDescent="0.25">
      <c r="A308">
        <v>32022</v>
      </c>
      <c r="B308" t="s">
        <v>453</v>
      </c>
      <c r="C308" t="s">
        <v>454</v>
      </c>
      <c r="D308" t="s">
        <v>38</v>
      </c>
      <c r="E308">
        <v>34640</v>
      </c>
      <c r="F308" s="24">
        <f>especies_ativa_codibama[[#This Row],[Código]]</f>
        <v>32022</v>
      </c>
      <c r="G308" s="40" t="str">
        <f>especies_ativa_codibama[[#This Row],[Nome popular]]</f>
        <v>Paxiúba, Paxiúba-barriguda, Paxiubão, Palmeira-barriguda</v>
      </c>
      <c r="H308" s="40" t="str">
        <f>especies_ativa_codibama[[#This Row],[Nome científico]]</f>
        <v>Iriartea deltoidea</v>
      </c>
    </row>
    <row r="309" spans="1:8" x14ac:dyDescent="0.25">
      <c r="A309">
        <v>32023</v>
      </c>
      <c r="B309" t="s">
        <v>455</v>
      </c>
      <c r="C309" t="s">
        <v>456</v>
      </c>
      <c r="D309" t="s">
        <v>38</v>
      </c>
      <c r="E309">
        <v>31620</v>
      </c>
      <c r="F309" s="24">
        <f>especies_ativa_codibama[[#This Row],[Código]]</f>
        <v>32023</v>
      </c>
      <c r="G309" s="40" t="str">
        <f>especies_ativa_codibama[[#This Row],[Nome popular]]</f>
        <v>tucum</v>
      </c>
      <c r="H309" s="40" t="str">
        <f>especies_ativa_codibama[[#This Row],[Nome científico]]</f>
        <v>Bactris setosa</v>
      </c>
    </row>
    <row r="310" spans="1:8" x14ac:dyDescent="0.25">
      <c r="A310">
        <v>32025</v>
      </c>
      <c r="B310" t="s">
        <v>457</v>
      </c>
      <c r="C310" t="s">
        <v>458</v>
      </c>
      <c r="D310" t="s">
        <v>38</v>
      </c>
      <c r="E310">
        <v>32884</v>
      </c>
      <c r="F310" s="24">
        <f>especies_ativa_codibama[[#This Row],[Código]]</f>
        <v>32025</v>
      </c>
      <c r="G310" s="40" t="str">
        <f>especies_ativa_codibama[[#This Row],[Nome popular]]</f>
        <v>tucumã</v>
      </c>
      <c r="H310" s="40" t="str">
        <f>especies_ativa_codibama[[#This Row],[Nome científico]]</f>
        <v>Astrocaryum aculeatum</v>
      </c>
    </row>
    <row r="311" spans="1:8" x14ac:dyDescent="0.25">
      <c r="A311">
        <v>32027</v>
      </c>
      <c r="B311" t="s">
        <v>459</v>
      </c>
      <c r="C311" t="s">
        <v>460</v>
      </c>
      <c r="D311" t="s">
        <v>38</v>
      </c>
      <c r="E311">
        <v>34103</v>
      </c>
      <c r="F311" s="24">
        <f>especies_ativa_codibama[[#This Row],[Código]]</f>
        <v>32027</v>
      </c>
      <c r="G311" s="40" t="str">
        <f>especies_ativa_codibama[[#This Row],[Nome popular]]</f>
        <v>Tucumã, Tucum-bravo, Tucum-piranga, Tucumã-do-pará</v>
      </c>
      <c r="H311" s="40" t="str">
        <f>especies_ativa_codibama[[#This Row],[Nome científico]]</f>
        <v>Astrocaryum vulgare</v>
      </c>
    </row>
    <row r="312" spans="1:8" x14ac:dyDescent="0.25">
      <c r="A312">
        <v>32031</v>
      </c>
      <c r="B312" t="s">
        <v>106</v>
      </c>
      <c r="C312" t="s">
        <v>461</v>
      </c>
      <c r="D312" t="s">
        <v>38</v>
      </c>
      <c r="E312">
        <v>35031</v>
      </c>
      <c r="F312" s="24">
        <f>especies_ativa_codibama[[#This Row],[Código]]</f>
        <v>32031</v>
      </c>
      <c r="G312" s="40" t="str">
        <f>especies_ativa_codibama[[#This Row],[Nome popular]]</f>
        <v>---</v>
      </c>
      <c r="H312" s="40" t="str">
        <f>especies_ativa_codibama[[#This Row],[Nome científico]]</f>
        <v>Syagrus coronata</v>
      </c>
    </row>
    <row r="313" spans="1:8" x14ac:dyDescent="0.25">
      <c r="A313">
        <v>32039</v>
      </c>
      <c r="B313" t="s">
        <v>106</v>
      </c>
      <c r="C313" t="s">
        <v>462</v>
      </c>
      <c r="D313" t="s">
        <v>38</v>
      </c>
      <c r="E313">
        <v>35077</v>
      </c>
      <c r="F313" s="24">
        <f>especies_ativa_codibama[[#This Row],[Código]]</f>
        <v>32039</v>
      </c>
      <c r="G313" s="40" t="str">
        <f>especies_ativa_codibama[[#This Row],[Nome popular]]</f>
        <v>---</v>
      </c>
      <c r="H313" s="40" t="str">
        <f>especies_ativa_codibama[[#This Row],[Nome científico]]</f>
        <v>Astrocaryum tucuma</v>
      </c>
    </row>
    <row r="314" spans="1:8" x14ac:dyDescent="0.25">
      <c r="A314">
        <v>32051</v>
      </c>
      <c r="B314" t="s">
        <v>463</v>
      </c>
      <c r="C314" t="s">
        <v>464</v>
      </c>
      <c r="D314" t="s">
        <v>465</v>
      </c>
      <c r="E314">
        <v>32262</v>
      </c>
      <c r="F314" s="24">
        <f>especies_ativa_codibama[[#This Row],[Código]]</f>
        <v>32051</v>
      </c>
      <c r="G314" s="40" t="str">
        <f>especies_ativa_codibama[[#This Row],[Nome popular]]</f>
        <v>Coco-azedinho, Coco-cabeçudo</v>
      </c>
      <c r="H314" s="40" t="str">
        <f>especies_ativa_codibama[[#This Row],[Nome científico]]</f>
        <v>Butia capitata</v>
      </c>
    </row>
    <row r="315" spans="1:8" x14ac:dyDescent="0.25">
      <c r="A315">
        <v>32055</v>
      </c>
      <c r="B315" t="s">
        <v>466</v>
      </c>
      <c r="C315" t="s">
        <v>467</v>
      </c>
      <c r="D315" t="s">
        <v>465</v>
      </c>
      <c r="E315">
        <v>32991</v>
      </c>
      <c r="F315" s="24">
        <f>especies_ativa_codibama[[#This Row],[Código]]</f>
        <v>32055</v>
      </c>
      <c r="G315" s="40" t="str">
        <f>especies_ativa_codibama[[#This Row],[Nome popular]]</f>
        <v>Içara, Palmito-doce, Palmito-juçara, Juçara, Ensarova, Ripeira</v>
      </c>
      <c r="H315" s="40" t="str">
        <f>especies_ativa_codibama[[#This Row],[Nome científico]]</f>
        <v>Euterpe edulis</v>
      </c>
    </row>
    <row r="316" spans="1:8" x14ac:dyDescent="0.25">
      <c r="A316">
        <v>32081</v>
      </c>
      <c r="B316" t="s">
        <v>106</v>
      </c>
      <c r="C316" t="s">
        <v>468</v>
      </c>
      <c r="D316" t="s">
        <v>196</v>
      </c>
      <c r="E316">
        <v>32002</v>
      </c>
      <c r="F316" s="24">
        <f>especies_ativa_codibama[[#This Row],[Código]]</f>
        <v>32081</v>
      </c>
      <c r="G316" s="40" t="str">
        <f>especies_ativa_codibama[[#This Row],[Nome popular]]</f>
        <v>---</v>
      </c>
      <c r="H316" s="40" t="str">
        <f>especies_ativa_codibama[[#This Row],[Nome científico]]</f>
        <v>Wunderlichia crulsiana</v>
      </c>
    </row>
    <row r="317" spans="1:8" x14ac:dyDescent="0.25">
      <c r="A317">
        <v>32088</v>
      </c>
      <c r="B317" t="s">
        <v>469</v>
      </c>
      <c r="C317" t="s">
        <v>470</v>
      </c>
      <c r="D317" t="s">
        <v>79</v>
      </c>
      <c r="E317">
        <v>36155</v>
      </c>
      <c r="F317" s="24">
        <f>especies_ativa_codibama[[#This Row],[Código]]</f>
        <v>32088</v>
      </c>
      <c r="G317" s="40" t="str">
        <f>especies_ativa_codibama[[#This Row],[Nome popular]]</f>
        <v>Canela-podre, Maria-mole, Cambará-do-campo, Vassourão</v>
      </c>
      <c r="H317" s="40" t="str">
        <f>especies_ativa_codibama[[#This Row],[Nome científico]]</f>
        <v>Piptocarpha axillaris</v>
      </c>
    </row>
    <row r="318" spans="1:8" x14ac:dyDescent="0.25">
      <c r="A318">
        <v>32089</v>
      </c>
      <c r="B318" t="s">
        <v>106</v>
      </c>
      <c r="C318" t="s">
        <v>471</v>
      </c>
      <c r="D318" t="s">
        <v>79</v>
      </c>
      <c r="E318">
        <v>33556</v>
      </c>
      <c r="F318" s="24">
        <f>especies_ativa_codibama[[#This Row],[Código]]</f>
        <v>32089</v>
      </c>
      <c r="G318" s="40" t="str">
        <f>especies_ativa_codibama[[#This Row],[Nome popular]]</f>
        <v>---</v>
      </c>
      <c r="H318" s="40" t="str">
        <f>especies_ativa_codibama[[#This Row],[Nome científico]]</f>
        <v>Eremanthus glomerulatus</v>
      </c>
    </row>
    <row r="319" spans="1:8" x14ac:dyDescent="0.25">
      <c r="A319">
        <v>32090</v>
      </c>
      <c r="B319" t="s">
        <v>106</v>
      </c>
      <c r="C319" t="s">
        <v>472</v>
      </c>
      <c r="D319" t="s">
        <v>79</v>
      </c>
      <c r="E319">
        <v>34465</v>
      </c>
      <c r="F319" s="24">
        <f>especies_ativa_codibama[[#This Row],[Código]]</f>
        <v>32090</v>
      </c>
      <c r="G319" s="40" t="str">
        <f>especies_ativa_codibama[[#This Row],[Nome popular]]</f>
        <v>---</v>
      </c>
      <c r="H319" s="40" t="str">
        <f>especies_ativa_codibama[[#This Row],[Nome científico]]</f>
        <v>Lychnophora salicifolia</v>
      </c>
    </row>
    <row r="320" spans="1:8" x14ac:dyDescent="0.25">
      <c r="A320">
        <v>32155</v>
      </c>
      <c r="B320" t="s">
        <v>106</v>
      </c>
      <c r="C320" t="s">
        <v>473</v>
      </c>
      <c r="D320" t="s">
        <v>79</v>
      </c>
      <c r="E320">
        <v>32339</v>
      </c>
      <c r="F320" s="24">
        <f>especies_ativa_codibama[[#This Row],[Código]]</f>
        <v>32155</v>
      </c>
      <c r="G320" s="40" t="str">
        <f>especies_ativa_codibama[[#This Row],[Nome popular]]</f>
        <v>---</v>
      </c>
      <c r="H320" s="40" t="str">
        <f>especies_ativa_codibama[[#This Row],[Nome científico]]</f>
        <v>Dasyphyllum spinescens</v>
      </c>
    </row>
    <row r="321" spans="1:8" x14ac:dyDescent="0.25">
      <c r="A321">
        <v>32157</v>
      </c>
      <c r="B321" t="s">
        <v>106</v>
      </c>
      <c r="C321" t="s">
        <v>474</v>
      </c>
      <c r="D321" t="s">
        <v>79</v>
      </c>
      <c r="E321">
        <v>1562115</v>
      </c>
      <c r="F321" s="24">
        <f>especies_ativa_codibama[[#This Row],[Código]]</f>
        <v>32157</v>
      </c>
      <c r="G321" s="40" t="str">
        <f>especies_ativa_codibama[[#This Row],[Nome popular]]</f>
        <v>---</v>
      </c>
      <c r="H321" s="40" t="str">
        <f>especies_ativa_codibama[[#This Row],[Nome científico]]</f>
        <v>Piptocarpha regnellii</v>
      </c>
    </row>
    <row r="322" spans="1:8" x14ac:dyDescent="0.25">
      <c r="A322">
        <v>32172</v>
      </c>
      <c r="B322" t="s">
        <v>2616</v>
      </c>
      <c r="C322" t="s">
        <v>2617</v>
      </c>
      <c r="D322" t="s">
        <v>38</v>
      </c>
      <c r="E322">
        <v>1852587</v>
      </c>
      <c r="F322" s="24">
        <f>especies_ativa_codibama[[#This Row],[Código]]</f>
        <v>32172</v>
      </c>
      <c r="G322" s="40" t="str">
        <f>especies_ativa_codibama[[#This Row],[Nome popular]]</f>
        <v>alecrim, alecrim-do-mato</v>
      </c>
      <c r="H322" s="40" t="str">
        <f>especies_ativa_codibama[[#This Row],[Nome científico]]</f>
        <v>Baccharis montana</v>
      </c>
    </row>
    <row r="323" spans="1:8" x14ac:dyDescent="0.25">
      <c r="A323">
        <v>32175</v>
      </c>
      <c r="B323" t="s">
        <v>475</v>
      </c>
      <c r="C323" t="s">
        <v>476</v>
      </c>
      <c r="D323" t="s">
        <v>38</v>
      </c>
      <c r="E323">
        <v>36157</v>
      </c>
      <c r="F323" s="24">
        <f>especies_ativa_codibama[[#This Row],[Código]]</f>
        <v>32175</v>
      </c>
      <c r="G323" s="40" t="str">
        <f>especies_ativa_codibama[[#This Row],[Nome popular]]</f>
        <v>Candeia, Infalível, Para-tudo</v>
      </c>
      <c r="H323" s="40" t="str">
        <f>especies_ativa_codibama[[#This Row],[Nome científico]]</f>
        <v>Piptocarpha rotundifolia</v>
      </c>
    </row>
    <row r="324" spans="1:8" x14ac:dyDescent="0.25">
      <c r="A324">
        <v>32178</v>
      </c>
      <c r="B324" t="s">
        <v>2618</v>
      </c>
      <c r="C324" t="s">
        <v>477</v>
      </c>
      <c r="D324" t="s">
        <v>38</v>
      </c>
      <c r="E324">
        <v>36156</v>
      </c>
      <c r="F324" s="24">
        <f>especies_ativa_codibama[[#This Row],[Código]]</f>
        <v>32178</v>
      </c>
      <c r="G324" s="40" t="str">
        <f>especies_ativa_codibama[[#This Row],[Nome popular]]</f>
        <v>Malolõ, Canela-branca</v>
      </c>
      <c r="H324" s="40" t="str">
        <f>especies_ativa_codibama[[#This Row],[Nome científico]]</f>
        <v>Piptocarpha macropoda</v>
      </c>
    </row>
    <row r="325" spans="1:8" x14ac:dyDescent="0.25">
      <c r="A325">
        <v>32179</v>
      </c>
      <c r="B325" t="s">
        <v>478</v>
      </c>
      <c r="C325" t="s">
        <v>479</v>
      </c>
      <c r="D325" t="s">
        <v>38</v>
      </c>
      <c r="E325">
        <v>1581212</v>
      </c>
      <c r="F325" s="24">
        <f>especies_ativa_codibama[[#This Row],[Código]]</f>
        <v>32179</v>
      </c>
      <c r="G325" s="40" t="str">
        <f>especies_ativa_codibama[[#This Row],[Nome popular]]</f>
        <v>Mangero, Eupatório, Mangero brava, Mata-campo</v>
      </c>
      <c r="H325" s="40" t="str">
        <f>especies_ativa_codibama[[#This Row],[Nome científico]]</f>
        <v>Kaunia rufescens</v>
      </c>
    </row>
    <row r="326" spans="1:8" x14ac:dyDescent="0.25">
      <c r="A326">
        <v>32180</v>
      </c>
      <c r="B326" t="s">
        <v>480</v>
      </c>
      <c r="C326" t="s">
        <v>481</v>
      </c>
      <c r="D326" t="s">
        <v>38</v>
      </c>
      <c r="E326">
        <v>33362</v>
      </c>
      <c r="F326" s="24">
        <f>especies_ativa_codibama[[#This Row],[Código]]</f>
        <v>32180</v>
      </c>
      <c r="G326" s="40" t="str">
        <f>especies_ativa_codibama[[#This Row],[Nome popular]]</f>
        <v>papel higiênico do cerradorra Dourada</v>
      </c>
      <c r="H326" s="40" t="str">
        <f>especies_ativa_codibama[[#This Row],[Nome científico]]</f>
        <v>Wunderlichia mirabilis</v>
      </c>
    </row>
    <row r="327" spans="1:8" x14ac:dyDescent="0.25">
      <c r="A327">
        <v>32181</v>
      </c>
      <c r="B327" t="s">
        <v>482</v>
      </c>
      <c r="C327" t="s">
        <v>483</v>
      </c>
      <c r="D327" t="s">
        <v>38</v>
      </c>
      <c r="E327">
        <v>34964</v>
      </c>
      <c r="F327" s="24">
        <f>especies_ativa_codibama[[#This Row],[Código]]</f>
        <v>32181</v>
      </c>
      <c r="G327" s="40" t="str">
        <f>especies_ativa_codibama[[#This Row],[Nome popular]]</f>
        <v>Vassourãozinho, Vassourão-preto</v>
      </c>
      <c r="H327" s="40" t="str">
        <f>especies_ativa_codibama[[#This Row],[Nome científico]]</f>
        <v>Piptocarpha angustifolia</v>
      </c>
    </row>
    <row r="328" spans="1:8" x14ac:dyDescent="0.25">
      <c r="A328">
        <v>32197</v>
      </c>
      <c r="B328" t="s">
        <v>106</v>
      </c>
      <c r="C328" t="s">
        <v>484</v>
      </c>
      <c r="D328" t="s">
        <v>38</v>
      </c>
      <c r="E328">
        <v>32355</v>
      </c>
      <c r="F328" s="24">
        <f>especies_ativa_codibama[[#This Row],[Código]]</f>
        <v>32197</v>
      </c>
      <c r="G328" s="40" t="str">
        <f>especies_ativa_codibama[[#This Row],[Nome popular]]</f>
        <v>---</v>
      </c>
      <c r="H328" s="40" t="str">
        <f>especies_ativa_codibama[[#This Row],[Nome científico]]</f>
        <v>Eremanthus incanus</v>
      </c>
    </row>
    <row r="329" spans="1:8" x14ac:dyDescent="0.25">
      <c r="A329">
        <v>32198</v>
      </c>
      <c r="B329" t="s">
        <v>106</v>
      </c>
      <c r="C329" t="s">
        <v>485</v>
      </c>
      <c r="D329" t="s">
        <v>38</v>
      </c>
      <c r="E329">
        <v>1411004</v>
      </c>
      <c r="F329" s="24">
        <f>especies_ativa_codibama[[#This Row],[Código]]</f>
        <v>32198</v>
      </c>
      <c r="G329" s="40" t="str">
        <f>especies_ativa_codibama[[#This Row],[Nome popular]]</f>
        <v>---</v>
      </c>
      <c r="H329" s="40" t="str">
        <f>especies_ativa_codibama[[#This Row],[Nome científico]]</f>
        <v>Baccharis retusa</v>
      </c>
    </row>
    <row r="330" spans="1:8" x14ac:dyDescent="0.25">
      <c r="A330">
        <v>32202</v>
      </c>
      <c r="B330" t="s">
        <v>106</v>
      </c>
      <c r="C330" t="s">
        <v>486</v>
      </c>
      <c r="D330" t="s">
        <v>38</v>
      </c>
      <c r="E330">
        <v>1320638</v>
      </c>
      <c r="F330" s="24">
        <f>especies_ativa_codibama[[#This Row],[Código]]</f>
        <v>32202</v>
      </c>
      <c r="G330" s="40" t="str">
        <f>especies_ativa_codibama[[#This Row],[Nome popular]]</f>
        <v>---</v>
      </c>
      <c r="H330" s="40" t="str">
        <f>especies_ativa_codibama[[#This Row],[Nome científico]]</f>
        <v>Eremanthus erythropappus</v>
      </c>
    </row>
    <row r="331" spans="1:8" x14ac:dyDescent="0.25">
      <c r="A331">
        <v>32228</v>
      </c>
      <c r="B331" t="s">
        <v>106</v>
      </c>
      <c r="C331" t="s">
        <v>487</v>
      </c>
      <c r="D331" t="s">
        <v>38</v>
      </c>
      <c r="E331">
        <v>2024548</v>
      </c>
      <c r="F331" s="24">
        <f>especies_ativa_codibama[[#This Row],[Código]]</f>
        <v>32228</v>
      </c>
      <c r="G331" s="40" t="str">
        <f>especies_ativa_codibama[[#This Row],[Nome popular]]</f>
        <v>---</v>
      </c>
      <c r="H331" s="40" t="str">
        <f>especies_ativa_codibama[[#This Row],[Nome científico]]</f>
        <v>Moquiniastrum oligocephalum</v>
      </c>
    </row>
    <row r="332" spans="1:8" x14ac:dyDescent="0.25">
      <c r="A332">
        <v>32247</v>
      </c>
      <c r="B332" t="s">
        <v>106</v>
      </c>
      <c r="C332" t="s">
        <v>488</v>
      </c>
      <c r="D332" t="s">
        <v>38</v>
      </c>
      <c r="E332">
        <v>2024501</v>
      </c>
      <c r="F332" s="24">
        <f>especies_ativa_codibama[[#This Row],[Código]]</f>
        <v>32247</v>
      </c>
      <c r="G332" s="40" t="str">
        <f>especies_ativa_codibama[[#This Row],[Nome popular]]</f>
        <v>---</v>
      </c>
      <c r="H332" s="40" t="str">
        <f>especies_ativa_codibama[[#This Row],[Nome científico]]</f>
        <v>Moquiniastrum polymorphum</v>
      </c>
    </row>
    <row r="333" spans="1:8" x14ac:dyDescent="0.25">
      <c r="A333">
        <v>32248</v>
      </c>
      <c r="B333" t="s">
        <v>106</v>
      </c>
      <c r="C333" t="s">
        <v>489</v>
      </c>
      <c r="D333" t="s">
        <v>38</v>
      </c>
      <c r="E333">
        <v>1975442</v>
      </c>
      <c r="F333" s="24">
        <f>especies_ativa_codibama[[#This Row],[Código]]</f>
        <v>32248</v>
      </c>
      <c r="G333" s="40" t="str">
        <f>especies_ativa_codibama[[#This Row],[Nome popular]]</f>
        <v>---</v>
      </c>
      <c r="H333" s="40" t="str">
        <f>especies_ativa_codibama[[#This Row],[Nome científico]]</f>
        <v>Vernonanthura discolor</v>
      </c>
    </row>
    <row r="334" spans="1:8" x14ac:dyDescent="0.25">
      <c r="A334">
        <v>32250</v>
      </c>
      <c r="B334" t="s">
        <v>106</v>
      </c>
      <c r="C334" t="s">
        <v>490</v>
      </c>
      <c r="D334" t="s">
        <v>38</v>
      </c>
      <c r="E334">
        <v>1930181</v>
      </c>
      <c r="F334" s="24">
        <f>especies_ativa_codibama[[#This Row],[Código]]</f>
        <v>32250</v>
      </c>
      <c r="G334" s="40" t="str">
        <f>especies_ativa_codibama[[#This Row],[Nome popular]]</f>
        <v>---</v>
      </c>
      <c r="H334" s="40" t="str">
        <f>especies_ativa_codibama[[#This Row],[Nome científico]]</f>
        <v>Baccharis dracunculifolia</v>
      </c>
    </row>
    <row r="335" spans="1:8" x14ac:dyDescent="0.25">
      <c r="A335">
        <v>32261</v>
      </c>
      <c r="B335" t="s">
        <v>106</v>
      </c>
      <c r="C335" t="s">
        <v>491</v>
      </c>
      <c r="D335" t="s">
        <v>38</v>
      </c>
      <c r="E335">
        <v>32577</v>
      </c>
      <c r="F335" s="24">
        <f>especies_ativa_codibama[[#This Row],[Código]]</f>
        <v>32261</v>
      </c>
      <c r="G335" s="40" t="str">
        <f>especies_ativa_codibama[[#This Row],[Nome popular]]</f>
        <v>---</v>
      </c>
      <c r="H335" s="40" t="str">
        <f>especies_ativa_codibama[[#This Row],[Nome científico]]</f>
        <v>Stifftia parviflora</v>
      </c>
    </row>
    <row r="336" spans="1:8" x14ac:dyDescent="0.25">
      <c r="A336">
        <v>32276</v>
      </c>
      <c r="B336" t="s">
        <v>492</v>
      </c>
      <c r="C336" t="s">
        <v>493</v>
      </c>
      <c r="D336" t="s">
        <v>465</v>
      </c>
      <c r="E336">
        <v>36234</v>
      </c>
      <c r="F336" s="24">
        <f>especies_ativa_codibama[[#This Row],[Código]]</f>
        <v>32276</v>
      </c>
      <c r="G336" s="40" t="str">
        <f>especies_ativa_codibama[[#This Row],[Nome popular]]</f>
        <v>caixeta, pau de tamanco, tabebuya, tagibibuia</v>
      </c>
      <c r="H336" s="40" t="str">
        <f>especies_ativa_codibama[[#This Row],[Nome científico]]</f>
        <v>Tabebuia cassinoides</v>
      </c>
    </row>
    <row r="337" spans="1:8" x14ac:dyDescent="0.25">
      <c r="A337">
        <v>32278</v>
      </c>
      <c r="B337" t="s">
        <v>494</v>
      </c>
      <c r="C337" t="s">
        <v>495</v>
      </c>
      <c r="D337" t="s">
        <v>196</v>
      </c>
      <c r="E337">
        <v>33107</v>
      </c>
      <c r="F337" s="24">
        <f>especies_ativa_codibama[[#This Row],[Código]]</f>
        <v>32278</v>
      </c>
      <c r="G337" s="40" t="str">
        <f>especies_ativa_codibama[[#This Row],[Nome popular]]</f>
        <v>peroba, peroba amarella, peroba manchada, peroba tremida, ipe peroba</v>
      </c>
      <c r="H337" s="40" t="str">
        <f>especies_ativa_codibama[[#This Row],[Nome científico]]</f>
        <v>Paratecoma peroba</v>
      </c>
    </row>
    <row r="338" spans="1:8" x14ac:dyDescent="0.25">
      <c r="A338">
        <v>32279</v>
      </c>
      <c r="B338" t="s">
        <v>496</v>
      </c>
      <c r="C338" t="s">
        <v>497</v>
      </c>
      <c r="D338" t="s">
        <v>196</v>
      </c>
      <c r="E338">
        <v>1980825</v>
      </c>
      <c r="F338" s="24">
        <f>especies_ativa_codibama[[#This Row],[Código]]</f>
        <v>32279</v>
      </c>
      <c r="G338" s="40" t="str">
        <f>especies_ativa_codibama[[#This Row],[Nome popular]]</f>
        <v>Ipê</v>
      </c>
      <c r="H338" s="40" t="str">
        <f>especies_ativa_codibama[[#This Row],[Nome científico]]</f>
        <v>Handroanthus riodocensis</v>
      </c>
    </row>
    <row r="339" spans="1:8" x14ac:dyDescent="0.25">
      <c r="A339">
        <v>32282</v>
      </c>
      <c r="B339" t="s">
        <v>498</v>
      </c>
      <c r="C339" t="s">
        <v>499</v>
      </c>
      <c r="D339" t="s">
        <v>196</v>
      </c>
      <c r="E339">
        <v>1980826</v>
      </c>
      <c r="F339" s="24">
        <f>especies_ativa_codibama[[#This Row],[Código]]</f>
        <v>32282</v>
      </c>
      <c r="G339" s="40" t="str">
        <f>especies_ativa_codibama[[#This Row],[Nome popular]]</f>
        <v>cascudo, ipê-cascudo, sete-cascas, ipê-amarelo</v>
      </c>
      <c r="H339" s="40" t="str">
        <f>especies_ativa_codibama[[#This Row],[Nome científico]]</f>
        <v>Handroanthus spongiosus</v>
      </c>
    </row>
    <row r="340" spans="1:8" x14ac:dyDescent="0.25">
      <c r="A340">
        <v>32283</v>
      </c>
      <c r="B340" t="s">
        <v>500</v>
      </c>
      <c r="C340" t="s">
        <v>501</v>
      </c>
      <c r="D340" t="s">
        <v>79</v>
      </c>
      <c r="E340">
        <v>31785</v>
      </c>
      <c r="F340" s="24">
        <f>especies_ativa_codibama[[#This Row],[Código]]</f>
        <v>32283</v>
      </c>
      <c r="G340" s="40" t="str">
        <f>especies_ativa_codibama[[#This Row],[Nome popular]]</f>
        <v>caroba, caroba do mato</v>
      </c>
      <c r="H340" s="40" t="str">
        <f>especies_ativa_codibama[[#This Row],[Nome científico]]</f>
        <v>Jacaranda micrantha</v>
      </c>
    </row>
    <row r="341" spans="1:8" x14ac:dyDescent="0.25">
      <c r="A341">
        <v>32292</v>
      </c>
      <c r="B341" t="s">
        <v>502</v>
      </c>
      <c r="C341" t="s">
        <v>503</v>
      </c>
      <c r="D341" t="s">
        <v>126</v>
      </c>
      <c r="E341">
        <v>1979254</v>
      </c>
      <c r="F341" s="24">
        <f>especies_ativa_codibama[[#This Row],[Código]]</f>
        <v>32292</v>
      </c>
      <c r="G341" s="40" t="str">
        <f>especies_ativa_codibama[[#This Row],[Nome popular]]</f>
        <v>bolsa de pastor, mandioquinha do campo</v>
      </c>
      <c r="H341" s="40" t="str">
        <f>especies_ativa_codibama[[#This Row],[Nome científico]]</f>
        <v>Zeyheria montana</v>
      </c>
    </row>
    <row r="342" spans="1:8" x14ac:dyDescent="0.25">
      <c r="A342">
        <v>32293</v>
      </c>
      <c r="B342" t="s">
        <v>504</v>
      </c>
      <c r="C342" t="s">
        <v>505</v>
      </c>
      <c r="D342" t="s">
        <v>126</v>
      </c>
      <c r="E342">
        <v>34262</v>
      </c>
      <c r="F342" s="24">
        <f>especies_ativa_codibama[[#This Row],[Código]]</f>
        <v>32293</v>
      </c>
      <c r="G342" s="40" t="str">
        <f>especies_ativa_codibama[[#This Row],[Nome popular]]</f>
        <v>carabobinho, caroba</v>
      </c>
      <c r="H342" s="40" t="str">
        <f>especies_ativa_codibama[[#This Row],[Nome científico]]</f>
        <v>Jacaranda macrantha</v>
      </c>
    </row>
    <row r="343" spans="1:8" x14ac:dyDescent="0.25">
      <c r="A343">
        <v>32294</v>
      </c>
      <c r="B343" t="s">
        <v>506</v>
      </c>
      <c r="C343" t="s">
        <v>507</v>
      </c>
      <c r="D343" t="s">
        <v>126</v>
      </c>
      <c r="E343">
        <v>34874</v>
      </c>
      <c r="F343" s="24">
        <f>especies_ativa_codibama[[#This Row],[Código]]</f>
        <v>32294</v>
      </c>
      <c r="G343" s="40" t="str">
        <f>especies_ativa_codibama[[#This Row],[Nome popular]]</f>
        <v>caroba, carobinha</v>
      </c>
      <c r="H343" s="40" t="str">
        <f>especies_ativa_codibama[[#This Row],[Nome científico]]</f>
        <v>Jacaranda puberula</v>
      </c>
    </row>
    <row r="344" spans="1:8" x14ac:dyDescent="0.25">
      <c r="A344">
        <v>32296</v>
      </c>
      <c r="B344" t="s">
        <v>508</v>
      </c>
      <c r="C344" t="s">
        <v>509</v>
      </c>
      <c r="D344" t="s">
        <v>38</v>
      </c>
      <c r="E344">
        <v>34180</v>
      </c>
      <c r="F344" s="24">
        <f>especies_ativa_codibama[[#This Row],[Código]]</f>
        <v>32296</v>
      </c>
      <c r="G344" s="40" t="str">
        <f>especies_ativa_codibama[[#This Row],[Nome popular]]</f>
        <v>árvore-de-cuia, cabaceira, calabasa, huingo, pati, pilche, pilchimate, sacha huingo</v>
      </c>
      <c r="H344" s="40" t="str">
        <f>especies_ativa_codibama[[#This Row],[Nome científico]]</f>
        <v>Crescentia cujete</v>
      </c>
    </row>
    <row r="345" spans="1:8" x14ac:dyDescent="0.25">
      <c r="A345">
        <v>32297</v>
      </c>
      <c r="B345" t="s">
        <v>510</v>
      </c>
      <c r="C345" t="s">
        <v>511</v>
      </c>
      <c r="D345" t="s">
        <v>38</v>
      </c>
      <c r="E345">
        <v>31783</v>
      </c>
      <c r="F345" s="24">
        <f>especies_ativa_codibama[[#This Row],[Código]]</f>
        <v>32297</v>
      </c>
      <c r="G345" s="40" t="str">
        <f>especies_ativa_codibama[[#This Row],[Nome popular]]</f>
        <v>caroba, caroba muuda</v>
      </c>
      <c r="H345" s="40" t="str">
        <f>especies_ativa_codibama[[#This Row],[Nome científico]]</f>
        <v>Jacaranda caroba</v>
      </c>
    </row>
    <row r="346" spans="1:8" x14ac:dyDescent="0.25">
      <c r="A346">
        <v>32298</v>
      </c>
      <c r="B346" t="s">
        <v>512</v>
      </c>
      <c r="C346" t="s">
        <v>513</v>
      </c>
      <c r="D346" t="s">
        <v>38</v>
      </c>
      <c r="E346">
        <v>34261</v>
      </c>
      <c r="F346" s="24">
        <f>especies_ativa_codibama[[#This Row],[Código]]</f>
        <v>32298</v>
      </c>
      <c r="G346" s="40" t="str">
        <f>especies_ativa_codibama[[#This Row],[Nome popular]]</f>
        <v>caroba, castello do cavallo</v>
      </c>
      <c r="H346" s="40" t="str">
        <f>especies_ativa_codibama[[#This Row],[Nome científico]]</f>
        <v>Jacaranda brasiliana</v>
      </c>
    </row>
    <row r="347" spans="1:8" x14ac:dyDescent="0.25">
      <c r="A347">
        <v>32300</v>
      </c>
      <c r="B347" t="s">
        <v>2619</v>
      </c>
      <c r="C347" t="s">
        <v>514</v>
      </c>
      <c r="D347" t="s">
        <v>38</v>
      </c>
      <c r="E347">
        <v>36057</v>
      </c>
      <c r="F347" s="24">
        <f>especies_ativa_codibama[[#This Row],[Código]]</f>
        <v>32300</v>
      </c>
      <c r="G347" s="40" t="str">
        <f>especies_ativa_codibama[[#This Row],[Nome popular]]</f>
        <v>caroba, pará¡ parai guazú</v>
      </c>
      <c r="H347" s="40" t="str">
        <f>especies_ativa_codibama[[#This Row],[Nome científico]]</f>
        <v>Jacaranda cuspidifolia</v>
      </c>
    </row>
    <row r="348" spans="1:8" x14ac:dyDescent="0.25">
      <c r="A348">
        <v>32301</v>
      </c>
      <c r="B348" t="s">
        <v>515</v>
      </c>
      <c r="C348" t="s">
        <v>516</v>
      </c>
      <c r="D348" t="s">
        <v>205</v>
      </c>
      <c r="E348">
        <v>32333</v>
      </c>
      <c r="F348" s="24">
        <f>especies_ativa_codibama[[#This Row],[Código]]</f>
        <v>32301</v>
      </c>
      <c r="G348" s="40" t="str">
        <f>especies_ativa_codibama[[#This Row],[Nome popular]]</f>
        <v>caroba-de-flor-verde, caroba-do-campo, carobinha verde, cinco chagas, espeguilla (Quillabamba area), fava-de-aranha, ipê-de-flor-verde, ipê-mandioca, ipê-mirim, ipê pardo, ipê-verde.</v>
      </c>
      <c r="H348" s="40" t="str">
        <f>especies_ativa_codibama[[#This Row],[Nome científico]]</f>
        <v>Cybistax antisyphilitica</v>
      </c>
    </row>
    <row r="349" spans="1:8" x14ac:dyDescent="0.25">
      <c r="A349">
        <v>32303</v>
      </c>
      <c r="B349" t="s">
        <v>517</v>
      </c>
      <c r="C349" t="s">
        <v>518</v>
      </c>
      <c r="D349" t="s">
        <v>38</v>
      </c>
      <c r="E349">
        <v>35186</v>
      </c>
      <c r="F349" s="24">
        <f>especies_ativa_codibama[[#This Row],[Código]]</f>
        <v>32303</v>
      </c>
      <c r="G349" s="40" t="str">
        <f>especies_ativa_codibama[[#This Row],[Nome popular]]</f>
        <v>carobinha</v>
      </c>
      <c r="H349" s="40" t="str">
        <f>especies_ativa_codibama[[#This Row],[Nome científico]]</f>
        <v>Jacaranda obovata</v>
      </c>
    </row>
    <row r="350" spans="1:8" x14ac:dyDescent="0.25">
      <c r="A350">
        <v>32304</v>
      </c>
      <c r="B350" t="s">
        <v>519</v>
      </c>
      <c r="C350" t="s">
        <v>520</v>
      </c>
      <c r="D350" t="s">
        <v>38</v>
      </c>
      <c r="E350">
        <v>32166</v>
      </c>
      <c r="F350" s="24">
        <f>especies_ativa_codibama[[#This Row],[Código]]</f>
        <v>32304</v>
      </c>
      <c r="G350" s="40" t="str">
        <f>especies_ativa_codibama[[#This Row],[Nome popular]]</f>
        <v>carobo, carobo miuda</v>
      </c>
      <c r="H350" s="40" t="str">
        <f>especies_ativa_codibama[[#This Row],[Nome científico]]</f>
        <v>Jacaranda jasminoides</v>
      </c>
    </row>
    <row r="351" spans="1:8" x14ac:dyDescent="0.25">
      <c r="A351">
        <v>32315</v>
      </c>
      <c r="B351" t="s">
        <v>106</v>
      </c>
      <c r="C351" t="s">
        <v>521</v>
      </c>
      <c r="D351" t="s">
        <v>38</v>
      </c>
      <c r="E351">
        <v>31784</v>
      </c>
      <c r="F351" s="24">
        <f>especies_ativa_codibama[[#This Row],[Código]]</f>
        <v>32315</v>
      </c>
      <c r="G351" s="40" t="str">
        <f>especies_ativa_codibama[[#This Row],[Nome popular]]</f>
        <v>---</v>
      </c>
      <c r="H351" s="40" t="str">
        <f>especies_ativa_codibama[[#This Row],[Nome científico]]</f>
        <v>Jacaranda copaia</v>
      </c>
    </row>
    <row r="352" spans="1:8" x14ac:dyDescent="0.25">
      <c r="A352">
        <v>32316</v>
      </c>
      <c r="B352" t="s">
        <v>106</v>
      </c>
      <c r="C352" t="s">
        <v>522</v>
      </c>
      <c r="D352" t="s">
        <v>38</v>
      </c>
      <c r="E352">
        <v>36058</v>
      </c>
      <c r="F352" s="24">
        <f>especies_ativa_codibama[[#This Row],[Código]]</f>
        <v>32316</v>
      </c>
      <c r="G352" s="40" t="str">
        <f>especies_ativa_codibama[[#This Row],[Nome popular]]</f>
        <v>---</v>
      </c>
      <c r="H352" s="40" t="str">
        <f>especies_ativa_codibama[[#This Row],[Nome científico]]</f>
        <v>Jacaranda glabra</v>
      </c>
    </row>
    <row r="353" spans="1:8" x14ac:dyDescent="0.25">
      <c r="A353">
        <v>32318</v>
      </c>
      <c r="B353" t="s">
        <v>106</v>
      </c>
      <c r="C353" t="s">
        <v>523</v>
      </c>
      <c r="D353" t="s">
        <v>38</v>
      </c>
      <c r="E353">
        <v>35607</v>
      </c>
      <c r="F353" s="24">
        <f>especies_ativa_codibama[[#This Row],[Código]]</f>
        <v>32318</v>
      </c>
      <c r="G353" s="40" t="str">
        <f>especies_ativa_codibama[[#This Row],[Nome popular]]</f>
        <v>---</v>
      </c>
      <c r="H353" s="40" t="str">
        <f>especies_ativa_codibama[[#This Row],[Nome científico]]</f>
        <v>Sparattosperma leucanthum</v>
      </c>
    </row>
    <row r="354" spans="1:8" x14ac:dyDescent="0.25">
      <c r="A354">
        <v>32321</v>
      </c>
      <c r="B354" t="s">
        <v>106</v>
      </c>
      <c r="C354" t="s">
        <v>524</v>
      </c>
      <c r="D354" t="s">
        <v>38</v>
      </c>
      <c r="E354">
        <v>32596</v>
      </c>
      <c r="F354" s="24">
        <f>especies_ativa_codibama[[#This Row],[Código]]</f>
        <v>32321</v>
      </c>
      <c r="G354" s="40" t="str">
        <f>especies_ativa_codibama[[#This Row],[Nome popular]]</f>
        <v>---</v>
      </c>
      <c r="H354" s="40" t="str">
        <f>especies_ativa_codibama[[#This Row],[Nome científico]]</f>
        <v>Tecoma stans</v>
      </c>
    </row>
    <row r="355" spans="1:8" x14ac:dyDescent="0.25">
      <c r="A355">
        <v>32322</v>
      </c>
      <c r="B355" t="s">
        <v>106</v>
      </c>
      <c r="C355" t="s">
        <v>525</v>
      </c>
      <c r="D355" t="s">
        <v>38</v>
      </c>
      <c r="E355">
        <v>34395</v>
      </c>
      <c r="F355" s="24">
        <f>especies_ativa_codibama[[#This Row],[Código]]</f>
        <v>32322</v>
      </c>
      <c r="G355" s="40" t="str">
        <f>especies_ativa_codibama[[#This Row],[Nome popular]]</f>
        <v>---</v>
      </c>
      <c r="H355" s="40" t="str">
        <f>especies_ativa_codibama[[#This Row],[Nome científico]]</f>
        <v>Spathodea campanulata</v>
      </c>
    </row>
    <row r="356" spans="1:8" x14ac:dyDescent="0.25">
      <c r="A356">
        <v>32326</v>
      </c>
      <c r="B356" t="s">
        <v>526</v>
      </c>
      <c r="C356" t="s">
        <v>527</v>
      </c>
      <c r="D356" t="s">
        <v>205</v>
      </c>
      <c r="E356">
        <v>34412</v>
      </c>
      <c r="F356" s="24">
        <f>especies_ativa_codibama[[#This Row],[Código]]</f>
        <v>32326</v>
      </c>
      <c r="G356" s="40" t="str">
        <f>especies_ativa_codibama[[#This Row],[Nome popular]]</f>
        <v>caraiba, cinco folhas do campo, ipe, ipe-amarelo, pao d`arco, paratudo</v>
      </c>
      <c r="H356" s="40" t="str">
        <f>especies_ativa_codibama[[#This Row],[Nome científico]]</f>
        <v>Tabebuia aurea</v>
      </c>
    </row>
    <row r="357" spans="1:8" x14ac:dyDescent="0.25">
      <c r="A357">
        <v>32327</v>
      </c>
      <c r="B357" t="s">
        <v>528</v>
      </c>
      <c r="C357" t="s">
        <v>529</v>
      </c>
      <c r="D357" t="s">
        <v>205</v>
      </c>
      <c r="E357">
        <v>2007578</v>
      </c>
      <c r="F357" s="24">
        <f>especies_ativa_codibama[[#This Row],[Código]]</f>
        <v>32327</v>
      </c>
      <c r="G357" s="40" t="str">
        <f>especies_ativa_codibama[[#This Row],[Nome popular]]</f>
        <v>ipê-branco</v>
      </c>
      <c r="H357" s="40" t="str">
        <f>especies_ativa_codibama[[#This Row],[Nome científico]]</f>
        <v>Tabebuia roseoalba</v>
      </c>
    </row>
    <row r="358" spans="1:8" x14ac:dyDescent="0.25">
      <c r="A358">
        <v>32328</v>
      </c>
      <c r="B358" t="s">
        <v>2620</v>
      </c>
      <c r="C358" t="s">
        <v>2621</v>
      </c>
      <c r="D358" t="s">
        <v>205</v>
      </c>
      <c r="E358">
        <v>1980244</v>
      </c>
      <c r="F358" s="24">
        <f>especies_ativa_codibama[[#This Row],[Código]]</f>
        <v>32328</v>
      </c>
      <c r="G358" s="40" t="str">
        <f>especies_ativa_codibama[[#This Row],[Nome popular]]</f>
        <v>ipe de flor roxa</v>
      </c>
      <c r="H358" s="40" t="str">
        <f>especies_ativa_codibama[[#This Row],[Nome científico]]</f>
        <v>Tabebuia reticulata</v>
      </c>
    </row>
    <row r="359" spans="1:8" x14ac:dyDescent="0.25">
      <c r="A359">
        <v>32329</v>
      </c>
      <c r="B359" t="s">
        <v>2622</v>
      </c>
      <c r="C359" t="s">
        <v>530</v>
      </c>
      <c r="D359" t="s">
        <v>205</v>
      </c>
      <c r="E359">
        <v>36235</v>
      </c>
      <c r="F359" s="24">
        <f>especies_ativa_codibama[[#This Row],[Código]]</f>
        <v>32329</v>
      </c>
      <c r="G359" s="40" t="str">
        <f>especies_ativa_codibama[[#This Row],[Nome popular]]</f>
        <v>Caraiba, Cinco Folhas do Campo, Ipê, Ipê-amarelo, Pão D'arco, Paratudo</v>
      </c>
      <c r="H359" s="40" t="str">
        <f>especies_ativa_codibama[[#This Row],[Nome científico]]</f>
        <v>Tabebuia elliptica</v>
      </c>
    </row>
    <row r="360" spans="1:8" x14ac:dyDescent="0.25">
      <c r="A360">
        <v>32330</v>
      </c>
      <c r="B360" t="s">
        <v>496</v>
      </c>
      <c r="C360" t="s">
        <v>2623</v>
      </c>
      <c r="D360" t="s">
        <v>205</v>
      </c>
      <c r="E360">
        <v>2024858</v>
      </c>
      <c r="F360" s="24">
        <f>especies_ativa_codibama[[#This Row],[Código]]</f>
        <v>32330</v>
      </c>
      <c r="G360" s="40" t="str">
        <f>especies_ativa_codibama[[#This Row],[Nome popular]]</f>
        <v>Ipê</v>
      </c>
      <c r="H360" s="40" t="str">
        <f>especies_ativa_codibama[[#This Row],[Nome científico]]</f>
        <v>Handroanthus diamantinensis</v>
      </c>
    </row>
    <row r="361" spans="1:8" x14ac:dyDescent="0.25">
      <c r="A361">
        <v>32331</v>
      </c>
      <c r="B361" t="s">
        <v>496</v>
      </c>
      <c r="C361" t="s">
        <v>2624</v>
      </c>
      <c r="D361" t="s">
        <v>598</v>
      </c>
      <c r="E361">
        <v>2024859</v>
      </c>
      <c r="F361" s="24">
        <f>especies_ativa_codibama[[#This Row],[Código]]</f>
        <v>32331</v>
      </c>
      <c r="G361" s="40" t="str">
        <f>especies_ativa_codibama[[#This Row],[Nome popular]]</f>
        <v>Ipê</v>
      </c>
      <c r="H361" s="40" t="str">
        <f>especies_ativa_codibama[[#This Row],[Nome científico]]</f>
        <v>Handroanthus grandiflorus</v>
      </c>
    </row>
    <row r="362" spans="1:8" x14ac:dyDescent="0.25">
      <c r="A362">
        <v>32332</v>
      </c>
      <c r="B362" t="s">
        <v>531</v>
      </c>
      <c r="C362" t="s">
        <v>532</v>
      </c>
      <c r="D362" t="s">
        <v>205</v>
      </c>
      <c r="E362">
        <v>2000901</v>
      </c>
      <c r="F362" s="24">
        <f>especies_ativa_codibama[[#This Row],[Código]]</f>
        <v>32332</v>
      </c>
      <c r="G362" s="40" t="str">
        <f>especies_ativa_codibama[[#This Row],[Nome popular]]</f>
        <v>Ipê-do-cerrado, Piúva-cascuda, Piúva-cabeluda, Ipê-amarelo, Ipê-cascudo, Ipê-do-campo, Ipê-pardo, Tarumã</v>
      </c>
      <c r="H362" s="40" t="str">
        <f>especies_ativa_codibama[[#This Row],[Nome científico]]</f>
        <v>Handroanthus ochraceus</v>
      </c>
    </row>
    <row r="363" spans="1:8" x14ac:dyDescent="0.25">
      <c r="A363">
        <v>32333</v>
      </c>
      <c r="B363" t="s">
        <v>533</v>
      </c>
      <c r="C363" t="s">
        <v>534</v>
      </c>
      <c r="D363" t="s">
        <v>205</v>
      </c>
      <c r="E363">
        <v>1980818</v>
      </c>
      <c r="F363" s="24">
        <f>especies_ativa_codibama[[#This Row],[Código]]</f>
        <v>32333</v>
      </c>
      <c r="G363" s="40" t="str">
        <f>especies_ativa_codibama[[#This Row],[Nome popular]]</f>
        <v>Ipê-roxo-de-bolo, Ipê-roxo, Pau-d`arco-roxo, Ipê-roxo-de-bola, Ipê-uma, Ipê-preto, Pau-cachorro, Ipê-de-minas, Ipê-roxo-grande, Piúna, Piúna-roxa, Piuva-da-mata, Piuva-da-folha-larga, Piuva-roxa, Piuva-preta</v>
      </c>
      <c r="H363" s="40" t="str">
        <f>especies_ativa_codibama[[#This Row],[Nome científico]]</f>
        <v>Handroanthus impetiginosus</v>
      </c>
    </row>
    <row r="364" spans="1:8" x14ac:dyDescent="0.25">
      <c r="A364">
        <v>32334</v>
      </c>
      <c r="B364" t="s">
        <v>535</v>
      </c>
      <c r="C364" t="s">
        <v>536</v>
      </c>
      <c r="D364" t="s">
        <v>205</v>
      </c>
      <c r="E364">
        <v>1320932</v>
      </c>
      <c r="F364" s="24">
        <f>especies_ativa_codibama[[#This Row],[Código]]</f>
        <v>32334</v>
      </c>
      <c r="G364" s="40" t="str">
        <f>especies_ativa_codibama[[#This Row],[Nome popular]]</f>
        <v>Ipê-amarelo, Pau-d`arco-amarelo</v>
      </c>
      <c r="H364" s="40" t="str">
        <f>especies_ativa_codibama[[#This Row],[Nome científico]]</f>
        <v>Handroanthus serratifolius</v>
      </c>
    </row>
    <row r="365" spans="1:8" x14ac:dyDescent="0.25">
      <c r="A365">
        <v>32335</v>
      </c>
      <c r="B365" t="s">
        <v>496</v>
      </c>
      <c r="C365" t="s">
        <v>537</v>
      </c>
      <c r="D365" t="s">
        <v>205</v>
      </c>
      <c r="E365">
        <v>35619</v>
      </c>
      <c r="F365" s="24">
        <f>especies_ativa_codibama[[#This Row],[Código]]</f>
        <v>32335</v>
      </c>
      <c r="G365" s="40" t="str">
        <f>especies_ativa_codibama[[#This Row],[Nome popular]]</f>
        <v>Ipê</v>
      </c>
      <c r="H365" s="40" t="str">
        <f>especies_ativa_codibama[[#This Row],[Nome científico]]</f>
        <v>Tabebuia insignis</v>
      </c>
    </row>
    <row r="366" spans="1:8" x14ac:dyDescent="0.25">
      <c r="A366">
        <v>32336</v>
      </c>
      <c r="B366" t="s">
        <v>538</v>
      </c>
      <c r="C366" t="s">
        <v>539</v>
      </c>
      <c r="D366" t="s">
        <v>205</v>
      </c>
      <c r="E366">
        <v>1980905</v>
      </c>
      <c r="F366" s="24">
        <f>especies_ativa_codibama[[#This Row],[Código]]</f>
        <v>32336</v>
      </c>
      <c r="G366" s="40" t="str">
        <f>especies_ativa_codibama[[#This Row],[Nome popular]]</f>
        <v>Ipê-dourado, Ipê-amarelo-cascudo, Ipê-do-morro, Ipê, Ipê-amarelo, Aipé, Ipê-tabaco, Ipê-amarelo-paulista, Pau-d`arco-amarelo</v>
      </c>
      <c r="H366" s="40" t="str">
        <f>especies_ativa_codibama[[#This Row],[Nome científico]]</f>
        <v>Handroanthus chrysotrichus</v>
      </c>
    </row>
    <row r="367" spans="1:8" x14ac:dyDescent="0.25">
      <c r="A367">
        <v>32337</v>
      </c>
      <c r="B367" t="s">
        <v>540</v>
      </c>
      <c r="C367" t="s">
        <v>541</v>
      </c>
      <c r="D367" t="s">
        <v>205</v>
      </c>
      <c r="E367">
        <v>1980817</v>
      </c>
      <c r="F367" s="24">
        <f>especies_ativa_codibama[[#This Row],[Código]]</f>
        <v>32337</v>
      </c>
      <c r="G367" s="40" t="str">
        <f>especies_ativa_codibama[[#This Row],[Nome popular]]</f>
        <v>Ipe, Ipe-roxo, Ipe-roxo-de-sete-folhas, Ipe-preto, Ipe-rosa, Pau-d`arco-roxo, Piúva, Piúva-do-pantanal, Piúva-do-campo, Piúva-roxa, Peúva</v>
      </c>
      <c r="H367" s="40" t="str">
        <f>especies_ativa_codibama[[#This Row],[Nome científico]]</f>
        <v>Handroanthus heptaphyllus</v>
      </c>
    </row>
    <row r="368" spans="1:8" x14ac:dyDescent="0.25">
      <c r="A368">
        <v>32338</v>
      </c>
      <c r="B368" t="s">
        <v>542</v>
      </c>
      <c r="C368" t="s">
        <v>543</v>
      </c>
      <c r="D368" t="s">
        <v>205</v>
      </c>
      <c r="E368">
        <v>1064247</v>
      </c>
      <c r="F368" s="24">
        <f>especies_ativa_codibama[[#This Row],[Código]]</f>
        <v>32338</v>
      </c>
      <c r="G368" s="40" t="str">
        <f>especies_ativa_codibama[[#This Row],[Nome popular]]</f>
        <v xml:space="preserve">Ipê-rosa </v>
      </c>
      <c r="H368" s="40" t="str">
        <f>especies_ativa_codibama[[#This Row],[Nome científico]]</f>
        <v>Tabebuia rosea</v>
      </c>
    </row>
    <row r="369" spans="1:8" x14ac:dyDescent="0.25">
      <c r="A369">
        <v>32339</v>
      </c>
      <c r="B369" t="s">
        <v>544</v>
      </c>
      <c r="C369" t="s">
        <v>545</v>
      </c>
      <c r="D369" t="s">
        <v>205</v>
      </c>
      <c r="E369">
        <v>1979460</v>
      </c>
      <c r="F369" s="24">
        <f>especies_ativa_codibama[[#This Row],[Código]]</f>
        <v>32339</v>
      </c>
      <c r="G369" s="40" t="str">
        <f>especies_ativa_codibama[[#This Row],[Nome popular]]</f>
        <v>Ipê-amarelo</v>
      </c>
      <c r="H369" s="40" t="str">
        <f>especies_ativa_codibama[[#This Row],[Nome científico]]</f>
        <v>Handroanthus albus</v>
      </c>
    </row>
    <row r="370" spans="1:8" x14ac:dyDescent="0.25">
      <c r="A370">
        <v>32340</v>
      </c>
      <c r="B370" t="s">
        <v>496</v>
      </c>
      <c r="C370" t="s">
        <v>2625</v>
      </c>
      <c r="D370" t="s">
        <v>205</v>
      </c>
      <c r="E370">
        <v>2007580</v>
      </c>
      <c r="F370" s="24">
        <f>especies_ativa_codibama[[#This Row],[Código]]</f>
        <v>32340</v>
      </c>
      <c r="G370" s="40" t="str">
        <f>especies_ativa_codibama[[#This Row],[Nome popular]]</f>
        <v>Ipê</v>
      </c>
      <c r="H370" s="40" t="str">
        <f>especies_ativa_codibama[[#This Row],[Nome científico]]</f>
        <v>Tabebuia stenocalyx</v>
      </c>
    </row>
    <row r="371" spans="1:8" x14ac:dyDescent="0.25">
      <c r="A371">
        <v>32341</v>
      </c>
      <c r="B371" t="s">
        <v>2626</v>
      </c>
      <c r="C371" t="s">
        <v>2627</v>
      </c>
      <c r="D371" t="s">
        <v>205</v>
      </c>
      <c r="E371">
        <v>2005575</v>
      </c>
      <c r="F371" s="24">
        <f>especies_ativa_codibama[[#This Row],[Código]]</f>
        <v>32341</v>
      </c>
      <c r="G371" s="40" t="str">
        <f>especies_ativa_codibama[[#This Row],[Nome popular]]</f>
        <v>Ipê-amarelo-do-brejo</v>
      </c>
      <c r="H371" s="40" t="str">
        <f>especies_ativa_codibama[[#This Row],[Nome científico]]</f>
        <v>Handroanthus umbellatus</v>
      </c>
    </row>
    <row r="372" spans="1:8" x14ac:dyDescent="0.25">
      <c r="A372">
        <v>32342</v>
      </c>
      <c r="B372" t="s">
        <v>496</v>
      </c>
      <c r="C372" t="s">
        <v>546</v>
      </c>
      <c r="D372" t="s">
        <v>205</v>
      </c>
      <c r="E372">
        <v>31972</v>
      </c>
      <c r="F372" s="24">
        <f>especies_ativa_codibama[[#This Row],[Código]]</f>
        <v>32342</v>
      </c>
      <c r="G372" s="40" t="str">
        <f>especies_ativa_codibama[[#This Row],[Nome popular]]</f>
        <v>Ipê</v>
      </c>
      <c r="H372" s="40" t="str">
        <f>especies_ativa_codibama[[#This Row],[Nome científico]]</f>
        <v>Tabebuia obtusifolia</v>
      </c>
    </row>
    <row r="373" spans="1:8" x14ac:dyDescent="0.25">
      <c r="A373">
        <v>32343</v>
      </c>
      <c r="B373" t="s">
        <v>496</v>
      </c>
      <c r="C373" t="s">
        <v>2628</v>
      </c>
      <c r="D373" t="s">
        <v>205</v>
      </c>
      <c r="E373">
        <v>2024860</v>
      </c>
      <c r="F373" s="24">
        <f>especies_ativa_codibama[[#This Row],[Código]]</f>
        <v>32343</v>
      </c>
      <c r="G373" s="40" t="str">
        <f>especies_ativa_codibama[[#This Row],[Nome popular]]</f>
        <v>Ipê</v>
      </c>
      <c r="H373" s="40" t="str">
        <f>especies_ativa_codibama[[#This Row],[Nome científico]]</f>
        <v>Handroanthus parviflorus</v>
      </c>
    </row>
    <row r="374" spans="1:8" x14ac:dyDescent="0.25">
      <c r="A374">
        <v>32344</v>
      </c>
      <c r="B374" t="s">
        <v>496</v>
      </c>
      <c r="C374" t="s">
        <v>547</v>
      </c>
      <c r="D374" t="s">
        <v>205</v>
      </c>
      <c r="E374">
        <v>2000903</v>
      </c>
      <c r="F374" s="24">
        <f>especies_ativa_codibama[[#This Row],[Código]]</f>
        <v>32344</v>
      </c>
      <c r="G374" s="40" t="str">
        <f>especies_ativa_codibama[[#This Row],[Nome popular]]</f>
        <v>Ipê</v>
      </c>
      <c r="H374" s="40" t="str">
        <f>especies_ativa_codibama[[#This Row],[Nome científico]]</f>
        <v>Handroanthus selachidentatus</v>
      </c>
    </row>
    <row r="375" spans="1:8" x14ac:dyDescent="0.25">
      <c r="A375">
        <v>32345</v>
      </c>
      <c r="B375" t="s">
        <v>496</v>
      </c>
      <c r="C375" t="s">
        <v>2629</v>
      </c>
      <c r="D375" t="s">
        <v>205</v>
      </c>
      <c r="E375">
        <v>1980828</v>
      </c>
      <c r="F375" s="24">
        <f>especies_ativa_codibama[[#This Row],[Código]]</f>
        <v>32345</v>
      </c>
      <c r="G375" s="40" t="str">
        <f>especies_ativa_codibama[[#This Row],[Nome popular]]</f>
        <v>Ipê</v>
      </c>
      <c r="H375" s="40" t="str">
        <f>especies_ativa_codibama[[#This Row],[Nome científico]]</f>
        <v>Handroanthus vellosoi</v>
      </c>
    </row>
    <row r="376" spans="1:8" x14ac:dyDescent="0.25">
      <c r="A376">
        <v>32346</v>
      </c>
      <c r="B376" t="s">
        <v>496</v>
      </c>
      <c r="C376" t="s">
        <v>548</v>
      </c>
      <c r="D376" t="s">
        <v>196</v>
      </c>
      <c r="E376">
        <v>31971</v>
      </c>
      <c r="F376" s="24">
        <f>especies_ativa_codibama[[#This Row],[Código]]</f>
        <v>32346</v>
      </c>
      <c r="G376" s="40" t="str">
        <f>especies_ativa_codibama[[#This Row],[Nome popular]]</f>
        <v>Ipê</v>
      </c>
      <c r="H376" s="40" t="str">
        <f>especies_ativa_codibama[[#This Row],[Nome científico]]</f>
        <v>Tabebuia nodosa</v>
      </c>
    </row>
    <row r="377" spans="1:8" x14ac:dyDescent="0.25">
      <c r="A377">
        <v>32347</v>
      </c>
      <c r="B377" t="s">
        <v>549</v>
      </c>
      <c r="C377" t="s">
        <v>550</v>
      </c>
      <c r="D377" t="s">
        <v>465</v>
      </c>
      <c r="E377">
        <v>34455</v>
      </c>
      <c r="F377" s="24">
        <f>especies_ativa_codibama[[#This Row],[Código]]</f>
        <v>32347</v>
      </c>
      <c r="G377" s="40" t="str">
        <f>especies_ativa_codibama[[#This Row],[Nome popular]]</f>
        <v>buxo de boi, culhoes de bode, ipe branco</v>
      </c>
      <c r="H377" s="40" t="str">
        <f>especies_ativa_codibama[[#This Row],[Nome científico]]</f>
        <v>Zeyheria tuberculosa</v>
      </c>
    </row>
    <row r="378" spans="1:8" x14ac:dyDescent="0.25">
      <c r="A378">
        <v>32348</v>
      </c>
      <c r="B378" t="s">
        <v>106</v>
      </c>
      <c r="C378" t="s">
        <v>551</v>
      </c>
      <c r="D378" t="s">
        <v>126</v>
      </c>
      <c r="E378">
        <v>34724</v>
      </c>
      <c r="F378" s="24">
        <f>especies_ativa_codibama[[#This Row],[Código]]</f>
        <v>32348</v>
      </c>
      <c r="G378" s="40" t="str">
        <f>especies_ativa_codibama[[#This Row],[Nome popular]]</f>
        <v>---</v>
      </c>
      <c r="H378" s="40" t="str">
        <f>especies_ativa_codibama[[#This Row],[Nome científico]]</f>
        <v>Bixa arborea</v>
      </c>
    </row>
    <row r="379" spans="1:8" x14ac:dyDescent="0.25">
      <c r="A379">
        <v>32349</v>
      </c>
      <c r="B379" t="s">
        <v>2630</v>
      </c>
      <c r="C379" t="s">
        <v>2631</v>
      </c>
      <c r="D379" t="s">
        <v>38</v>
      </c>
      <c r="E379">
        <v>1979623</v>
      </c>
      <c r="F379" s="24">
        <f>especies_ativa_codibama[[#This Row],[Código]]</f>
        <v>32349</v>
      </c>
      <c r="G379" s="40" t="str">
        <f>especies_ativa_codibama[[#This Row],[Nome popular]]</f>
        <v>buxixão</v>
      </c>
      <c r="H379" s="40" t="str">
        <f>especies_ativa_codibama[[#This Row],[Nome científico]]</f>
        <v>Cochlospermum orinocense</v>
      </c>
    </row>
    <row r="380" spans="1:8" x14ac:dyDescent="0.25">
      <c r="A380">
        <v>32350</v>
      </c>
      <c r="B380" t="s">
        <v>552</v>
      </c>
      <c r="C380" t="s">
        <v>553</v>
      </c>
      <c r="D380" t="s">
        <v>38</v>
      </c>
      <c r="E380">
        <v>34725</v>
      </c>
      <c r="F380" s="24">
        <f>especies_ativa_codibama[[#This Row],[Código]]</f>
        <v>32350</v>
      </c>
      <c r="G380" s="40" t="str">
        <f>especies_ativa_codibama[[#This Row],[Nome popular]]</f>
        <v>urucum, colorau</v>
      </c>
      <c r="H380" s="40" t="str">
        <f>especies_ativa_codibama[[#This Row],[Nome científico]]</f>
        <v>Bixa orellana</v>
      </c>
    </row>
    <row r="381" spans="1:8" x14ac:dyDescent="0.25">
      <c r="A381">
        <v>32367</v>
      </c>
      <c r="B381" t="s">
        <v>554</v>
      </c>
      <c r="C381" t="s">
        <v>555</v>
      </c>
      <c r="D381" t="s">
        <v>38</v>
      </c>
      <c r="E381">
        <v>35347</v>
      </c>
      <c r="F381" s="24">
        <f>especies_ativa_codibama[[#This Row],[Código]]</f>
        <v>32367</v>
      </c>
      <c r="G381" s="40" t="str">
        <f>especies_ativa_codibama[[#This Row],[Nome popular]]</f>
        <v>buxuxi de formiga, ovo de galo, pau de formiga</v>
      </c>
      <c r="H381" s="40" t="str">
        <f>especies_ativa_codibama[[#This Row],[Nome científico]]</f>
        <v>Cordia nodosa</v>
      </c>
    </row>
    <row r="382" spans="1:8" x14ac:dyDescent="0.25">
      <c r="A382">
        <v>32368</v>
      </c>
      <c r="B382" t="s">
        <v>556</v>
      </c>
      <c r="C382" t="s">
        <v>557</v>
      </c>
      <c r="D382" t="s">
        <v>38</v>
      </c>
      <c r="E382">
        <v>33530</v>
      </c>
      <c r="F382" s="24">
        <f>especies_ativa_codibama[[#This Row],[Código]]</f>
        <v>32368</v>
      </c>
      <c r="G382" s="40" t="str">
        <f>especies_ativa_codibama[[#This Row],[Nome popular]]</f>
        <v>cha de bugre</v>
      </c>
      <c r="H382" s="40" t="str">
        <f>especies_ativa_codibama[[#This Row],[Nome científico]]</f>
        <v>Cordia ecalyculata</v>
      </c>
    </row>
    <row r="383" spans="1:8" x14ac:dyDescent="0.25">
      <c r="A383">
        <v>32369</v>
      </c>
      <c r="B383" t="s">
        <v>558</v>
      </c>
      <c r="C383" t="s">
        <v>559</v>
      </c>
      <c r="D383" t="s">
        <v>38</v>
      </c>
      <c r="E383">
        <v>34791</v>
      </c>
      <c r="F383" s="24">
        <f>especies_ativa_codibama[[#This Row],[Código]]</f>
        <v>32369</v>
      </c>
      <c r="G383" s="40" t="str">
        <f>especies_ativa_codibama[[#This Row],[Nome popular]]</f>
        <v>freijó branco</v>
      </c>
      <c r="H383" s="40" t="str">
        <f>especies_ativa_codibama[[#This Row],[Nome científico]]</f>
        <v>Cordia sellowiana</v>
      </c>
    </row>
    <row r="384" spans="1:8" x14ac:dyDescent="0.25">
      <c r="A384">
        <v>32370</v>
      </c>
      <c r="B384" t="s">
        <v>560</v>
      </c>
      <c r="C384" t="s">
        <v>561</v>
      </c>
      <c r="D384" t="s">
        <v>38</v>
      </c>
      <c r="E384">
        <v>32319</v>
      </c>
      <c r="F384" s="24">
        <f>especies_ativa_codibama[[#This Row],[Código]]</f>
        <v>32370</v>
      </c>
      <c r="G384" s="40" t="str">
        <f>especies_ativa_codibama[[#This Row],[Nome popular]]</f>
        <v>freijó, freijó preto</v>
      </c>
      <c r="H384" s="40" t="str">
        <f>especies_ativa_codibama[[#This Row],[Nome científico]]</f>
        <v>Cordia alliodora</v>
      </c>
    </row>
    <row r="385" spans="1:8" x14ac:dyDescent="0.25">
      <c r="A385">
        <v>32371</v>
      </c>
      <c r="B385" t="s">
        <v>562</v>
      </c>
      <c r="C385" t="s">
        <v>563</v>
      </c>
      <c r="D385" t="s">
        <v>38</v>
      </c>
      <c r="E385">
        <v>34170</v>
      </c>
      <c r="F385" s="24">
        <f>especies_ativa_codibama[[#This Row],[Código]]</f>
        <v>32371</v>
      </c>
      <c r="G385" s="40" t="str">
        <f>especies_ativa_codibama[[#This Row],[Nome popular]]</f>
        <v>frei-jorge</v>
      </c>
      <c r="H385" s="40" t="str">
        <f>especies_ativa_codibama[[#This Row],[Nome científico]]</f>
        <v>Cordia goeldiana</v>
      </c>
    </row>
    <row r="386" spans="1:8" x14ac:dyDescent="0.25">
      <c r="A386">
        <v>32372</v>
      </c>
      <c r="B386" t="s">
        <v>2632</v>
      </c>
      <c r="C386" t="s">
        <v>564</v>
      </c>
      <c r="D386" t="s">
        <v>38</v>
      </c>
      <c r="E386">
        <v>32817</v>
      </c>
      <c r="F386" s="24">
        <f>especies_ativa_codibama[[#This Row],[Código]]</f>
        <v>32372</v>
      </c>
      <c r="G386" s="40" t="str">
        <f>especies_ativa_codibama[[#This Row],[Nome popular]]</f>
        <v>Grão de galo</v>
      </c>
      <c r="H386" s="40" t="str">
        <f>especies_ativa_codibama[[#This Row],[Nome científico]]</f>
        <v>Cordia exaltata</v>
      </c>
    </row>
    <row r="387" spans="1:8" x14ac:dyDescent="0.25">
      <c r="A387">
        <v>32374</v>
      </c>
      <c r="B387" t="s">
        <v>106</v>
      </c>
      <c r="C387" t="s">
        <v>565</v>
      </c>
      <c r="D387" t="s">
        <v>38</v>
      </c>
      <c r="E387">
        <v>1981123</v>
      </c>
      <c r="F387" s="24">
        <f>especies_ativa_codibama[[#This Row],[Código]]</f>
        <v>32374</v>
      </c>
      <c r="G387" s="40" t="str">
        <f>especies_ativa_codibama[[#This Row],[Nome popular]]</f>
        <v>---</v>
      </c>
      <c r="H387" s="40" t="str">
        <f>especies_ativa_codibama[[#This Row],[Nome científico]]</f>
        <v>Cordia incognita</v>
      </c>
    </row>
    <row r="388" spans="1:8" x14ac:dyDescent="0.25">
      <c r="A388">
        <v>32376</v>
      </c>
      <c r="B388" t="s">
        <v>106</v>
      </c>
      <c r="C388" t="s">
        <v>566</v>
      </c>
      <c r="D388" t="s">
        <v>38</v>
      </c>
      <c r="E388">
        <v>34172</v>
      </c>
      <c r="F388" s="24">
        <f>especies_ativa_codibama[[#This Row],[Código]]</f>
        <v>32376</v>
      </c>
      <c r="G388" s="40" t="str">
        <f>especies_ativa_codibama[[#This Row],[Nome popular]]</f>
        <v>---</v>
      </c>
      <c r="H388" s="40" t="str">
        <f>especies_ativa_codibama[[#This Row],[Nome científico]]</f>
        <v>Cordia superba</v>
      </c>
    </row>
    <row r="389" spans="1:8" x14ac:dyDescent="0.25">
      <c r="A389">
        <v>32383</v>
      </c>
      <c r="B389" t="s">
        <v>106</v>
      </c>
      <c r="C389" t="s">
        <v>567</v>
      </c>
      <c r="D389" t="s">
        <v>38</v>
      </c>
      <c r="E389">
        <v>34632</v>
      </c>
      <c r="F389" s="24">
        <f>especies_ativa_codibama[[#This Row],[Código]]</f>
        <v>32383</v>
      </c>
      <c r="G389" s="40" t="str">
        <f>especies_ativa_codibama[[#This Row],[Nome popular]]</f>
        <v>---</v>
      </c>
      <c r="H389" s="40" t="str">
        <f>especies_ativa_codibama[[#This Row],[Nome científico]]</f>
        <v>Cordia sagotii</v>
      </c>
    </row>
    <row r="390" spans="1:8" x14ac:dyDescent="0.25">
      <c r="A390">
        <v>32384</v>
      </c>
      <c r="B390" t="s">
        <v>106</v>
      </c>
      <c r="C390" t="s">
        <v>568</v>
      </c>
      <c r="D390" t="s">
        <v>38</v>
      </c>
      <c r="E390">
        <v>33945</v>
      </c>
      <c r="F390" s="24">
        <f>especies_ativa_codibama[[#This Row],[Código]]</f>
        <v>32384</v>
      </c>
      <c r="G390" s="40" t="str">
        <f>especies_ativa_codibama[[#This Row],[Nome popular]]</f>
        <v>---</v>
      </c>
      <c r="H390" s="40" t="str">
        <f>especies_ativa_codibama[[#This Row],[Nome científico]]</f>
        <v>Cordia scabrifolia</v>
      </c>
    </row>
    <row r="391" spans="1:8" x14ac:dyDescent="0.25">
      <c r="A391">
        <v>32385</v>
      </c>
      <c r="B391" t="s">
        <v>106</v>
      </c>
      <c r="C391" t="s">
        <v>569</v>
      </c>
      <c r="D391" t="s">
        <v>38</v>
      </c>
      <c r="E391">
        <v>34173</v>
      </c>
      <c r="F391" s="24">
        <f>especies_ativa_codibama[[#This Row],[Código]]</f>
        <v>32385</v>
      </c>
      <c r="G391" s="40" t="str">
        <f>especies_ativa_codibama[[#This Row],[Nome popular]]</f>
        <v>---</v>
      </c>
      <c r="H391" s="40" t="str">
        <f>especies_ativa_codibama[[#This Row],[Nome científico]]</f>
        <v>Cordia tetrandra</v>
      </c>
    </row>
    <row r="392" spans="1:8" x14ac:dyDescent="0.25">
      <c r="A392">
        <v>32388</v>
      </c>
      <c r="B392" t="s">
        <v>106</v>
      </c>
      <c r="C392" t="s">
        <v>570</v>
      </c>
      <c r="D392" t="s">
        <v>38</v>
      </c>
      <c r="E392">
        <v>32320</v>
      </c>
      <c r="F392" s="24">
        <f>especies_ativa_codibama[[#This Row],[Código]]</f>
        <v>32388</v>
      </c>
      <c r="G392" s="40" t="str">
        <f>especies_ativa_codibama[[#This Row],[Nome popular]]</f>
        <v>---</v>
      </c>
      <c r="H392" s="40" t="str">
        <f>especies_ativa_codibama[[#This Row],[Nome científico]]</f>
        <v>Cordia bicolor</v>
      </c>
    </row>
    <row r="393" spans="1:8" x14ac:dyDescent="0.25">
      <c r="A393">
        <v>32391</v>
      </c>
      <c r="B393" t="s">
        <v>106</v>
      </c>
      <c r="C393" t="s">
        <v>571</v>
      </c>
      <c r="D393" t="s">
        <v>38</v>
      </c>
      <c r="E393">
        <v>31680</v>
      </c>
      <c r="F393" s="24">
        <f>especies_ativa_codibama[[#This Row],[Código]]</f>
        <v>32391</v>
      </c>
      <c r="G393" s="40" t="str">
        <f>especies_ativa_codibama[[#This Row],[Nome popular]]</f>
        <v>---</v>
      </c>
      <c r="H393" s="40" t="str">
        <f>especies_ativa_codibama[[#This Row],[Nome científico]]</f>
        <v>Cordia glabrata</v>
      </c>
    </row>
    <row r="394" spans="1:8" x14ac:dyDescent="0.25">
      <c r="A394">
        <v>32392</v>
      </c>
      <c r="B394" t="s">
        <v>106</v>
      </c>
      <c r="C394" t="s">
        <v>572</v>
      </c>
      <c r="D394" t="s">
        <v>38</v>
      </c>
      <c r="E394">
        <v>32323</v>
      </c>
      <c r="F394" s="24">
        <f>especies_ativa_codibama[[#This Row],[Código]]</f>
        <v>32392</v>
      </c>
      <c r="G394" s="40" t="str">
        <f>especies_ativa_codibama[[#This Row],[Nome popular]]</f>
        <v>---</v>
      </c>
      <c r="H394" s="40" t="str">
        <f>especies_ativa_codibama[[#This Row],[Nome científico]]</f>
        <v>Cordia trichotoma</v>
      </c>
    </row>
    <row r="395" spans="1:8" x14ac:dyDescent="0.25">
      <c r="A395">
        <v>32393</v>
      </c>
      <c r="B395" t="s">
        <v>106</v>
      </c>
      <c r="C395" t="s">
        <v>573</v>
      </c>
      <c r="D395" t="s">
        <v>38</v>
      </c>
      <c r="E395">
        <v>33944</v>
      </c>
      <c r="F395" s="24">
        <f>especies_ativa_codibama[[#This Row],[Código]]</f>
        <v>32393</v>
      </c>
      <c r="G395" s="40" t="str">
        <f>especies_ativa_codibama[[#This Row],[Nome popular]]</f>
        <v>---</v>
      </c>
      <c r="H395" s="40" t="str">
        <f>especies_ativa_codibama[[#This Row],[Nome científico]]</f>
        <v>Cordia insignis</v>
      </c>
    </row>
    <row r="396" spans="1:8" x14ac:dyDescent="0.25">
      <c r="A396">
        <v>32401</v>
      </c>
      <c r="B396" t="s">
        <v>106</v>
      </c>
      <c r="C396" t="s">
        <v>574</v>
      </c>
      <c r="D396" t="s">
        <v>196</v>
      </c>
      <c r="E396">
        <v>2011057</v>
      </c>
      <c r="F396" s="24">
        <f>especies_ativa_codibama[[#This Row],[Código]]</f>
        <v>32401</v>
      </c>
      <c r="G396" s="40" t="str">
        <f>especies_ativa_codibama[[#This Row],[Nome popular]]</f>
        <v>---</v>
      </c>
      <c r="H396" s="40" t="str">
        <f>especies_ativa_codibama[[#This Row],[Nome científico]]</f>
        <v>Protium bahianum</v>
      </c>
    </row>
    <row r="397" spans="1:8" x14ac:dyDescent="0.25">
      <c r="A397">
        <v>32405</v>
      </c>
      <c r="B397" t="s">
        <v>106</v>
      </c>
      <c r="C397" t="s">
        <v>575</v>
      </c>
      <c r="D397" t="s">
        <v>79</v>
      </c>
      <c r="E397">
        <v>36399</v>
      </c>
      <c r="F397" s="24">
        <f>especies_ativa_codibama[[#This Row],[Código]]</f>
        <v>32405</v>
      </c>
      <c r="G397" s="40" t="str">
        <f>especies_ativa_codibama[[#This Row],[Nome popular]]</f>
        <v>---</v>
      </c>
      <c r="H397" s="40" t="str">
        <f>especies_ativa_codibama[[#This Row],[Nome científico]]</f>
        <v>Protium widgrenii</v>
      </c>
    </row>
    <row r="398" spans="1:8" x14ac:dyDescent="0.25">
      <c r="A398">
        <v>32410</v>
      </c>
      <c r="B398" t="s">
        <v>576</v>
      </c>
      <c r="C398" t="s">
        <v>577</v>
      </c>
      <c r="D398" t="s">
        <v>38</v>
      </c>
      <c r="E398">
        <v>1320873</v>
      </c>
      <c r="F398" s="24">
        <f>especies_ativa_codibama[[#This Row],[Código]]</f>
        <v>32410</v>
      </c>
      <c r="G398" s="40" t="str">
        <f>especies_ativa_codibama[[#This Row],[Nome popular]]</f>
        <v>breu</v>
      </c>
      <c r="H398" s="40" t="str">
        <f>especies_ativa_codibama[[#This Row],[Nome científico]]</f>
        <v>Protium amazonicum</v>
      </c>
    </row>
    <row r="399" spans="1:8" x14ac:dyDescent="0.25">
      <c r="A399">
        <v>32411</v>
      </c>
      <c r="B399" t="s">
        <v>576</v>
      </c>
      <c r="C399" t="s">
        <v>578</v>
      </c>
      <c r="D399" t="s">
        <v>38</v>
      </c>
      <c r="E399">
        <v>1977565</v>
      </c>
      <c r="F399" s="24">
        <f>especies_ativa_codibama[[#This Row],[Código]]</f>
        <v>32411</v>
      </c>
      <c r="G399" s="40" t="str">
        <f>especies_ativa_codibama[[#This Row],[Nome popular]]</f>
        <v>breu</v>
      </c>
      <c r="H399" s="40" t="str">
        <f>especies_ativa_codibama[[#This Row],[Nome científico]]</f>
        <v>Protium hebetatum</v>
      </c>
    </row>
    <row r="400" spans="1:8" x14ac:dyDescent="0.25">
      <c r="A400">
        <v>32413</v>
      </c>
      <c r="B400" t="s">
        <v>576</v>
      </c>
      <c r="C400" t="s">
        <v>579</v>
      </c>
      <c r="D400" t="s">
        <v>38</v>
      </c>
      <c r="E400">
        <v>36178</v>
      </c>
      <c r="F400" s="24">
        <f>especies_ativa_codibama[[#This Row],[Código]]</f>
        <v>32413</v>
      </c>
      <c r="G400" s="40" t="str">
        <f>especies_ativa_codibama[[#This Row],[Nome popular]]</f>
        <v>breu</v>
      </c>
      <c r="H400" s="40" t="str">
        <f>especies_ativa_codibama[[#This Row],[Nome científico]]</f>
        <v>Protium unifoliolatum</v>
      </c>
    </row>
    <row r="401" spans="1:8" x14ac:dyDescent="0.25">
      <c r="A401">
        <v>32414</v>
      </c>
      <c r="B401" t="s">
        <v>580</v>
      </c>
      <c r="C401" t="s">
        <v>581</v>
      </c>
      <c r="D401" t="s">
        <v>38</v>
      </c>
      <c r="E401">
        <v>34353</v>
      </c>
      <c r="F401" s="24">
        <f>especies_ativa_codibama[[#This Row],[Código]]</f>
        <v>32414</v>
      </c>
      <c r="G401" s="40" t="str">
        <f>especies_ativa_codibama[[#This Row],[Nome popular]]</f>
        <v>breu andirobinha</v>
      </c>
      <c r="H401" s="40" t="str">
        <f>especies_ativa_codibama[[#This Row],[Nome científico]]</f>
        <v>Protium apiculatum</v>
      </c>
    </row>
    <row r="402" spans="1:8" x14ac:dyDescent="0.25">
      <c r="A402">
        <v>32420</v>
      </c>
      <c r="B402" t="s">
        <v>582</v>
      </c>
      <c r="C402" t="s">
        <v>583</v>
      </c>
      <c r="D402" t="s">
        <v>38</v>
      </c>
      <c r="E402">
        <v>31913</v>
      </c>
      <c r="F402" s="24">
        <f>especies_ativa_codibama[[#This Row],[Código]]</f>
        <v>32420</v>
      </c>
      <c r="G402" s="40" t="str">
        <f>especies_ativa_codibama[[#This Row],[Nome popular]]</f>
        <v>breu, kandei`y tuwyr</v>
      </c>
      <c r="H402" s="40" t="str">
        <f>especies_ativa_codibama[[#This Row],[Nome científico]]</f>
        <v>Protium spruceanum</v>
      </c>
    </row>
    <row r="403" spans="1:8" x14ac:dyDescent="0.25">
      <c r="A403">
        <v>32422</v>
      </c>
      <c r="B403" t="s">
        <v>106</v>
      </c>
      <c r="C403" t="s">
        <v>584</v>
      </c>
      <c r="D403" t="s">
        <v>38</v>
      </c>
      <c r="E403">
        <v>34977</v>
      </c>
      <c r="F403" s="24">
        <f>especies_ativa_codibama[[#This Row],[Código]]</f>
        <v>32422</v>
      </c>
      <c r="G403" s="40" t="str">
        <f>especies_ativa_codibama[[#This Row],[Nome popular]]</f>
        <v>---</v>
      </c>
      <c r="H403" s="40" t="str">
        <f>especies_ativa_codibama[[#This Row],[Nome científico]]</f>
        <v>Protium warmingianum</v>
      </c>
    </row>
    <row r="404" spans="1:8" x14ac:dyDescent="0.25">
      <c r="A404">
        <v>32423</v>
      </c>
      <c r="B404" t="s">
        <v>106</v>
      </c>
      <c r="C404" t="s">
        <v>585</v>
      </c>
      <c r="D404" t="s">
        <v>38</v>
      </c>
      <c r="E404">
        <v>31909</v>
      </c>
      <c r="F404" s="24">
        <f>especies_ativa_codibama[[#This Row],[Código]]</f>
        <v>32423</v>
      </c>
      <c r="G404" s="40" t="str">
        <f>especies_ativa_codibama[[#This Row],[Nome popular]]</f>
        <v>---</v>
      </c>
      <c r="H404" s="40" t="str">
        <f>especies_ativa_codibama[[#This Row],[Nome científico]]</f>
        <v>Protium brasiliense</v>
      </c>
    </row>
    <row r="405" spans="1:8" x14ac:dyDescent="0.25">
      <c r="A405">
        <v>32424</v>
      </c>
      <c r="B405" t="s">
        <v>106</v>
      </c>
      <c r="C405" t="s">
        <v>586</v>
      </c>
      <c r="D405" t="s">
        <v>38</v>
      </c>
      <c r="E405">
        <v>32699</v>
      </c>
      <c r="F405" s="24">
        <f>especies_ativa_codibama[[#This Row],[Código]]</f>
        <v>32424</v>
      </c>
      <c r="G405" s="40" t="str">
        <f>especies_ativa_codibama[[#This Row],[Nome popular]]</f>
        <v>---</v>
      </c>
      <c r="H405" s="40" t="str">
        <f>especies_ativa_codibama[[#This Row],[Nome científico]]</f>
        <v>Protium macrophyllum</v>
      </c>
    </row>
    <row r="406" spans="1:8" x14ac:dyDescent="0.25">
      <c r="A406">
        <v>32425</v>
      </c>
      <c r="B406" t="s">
        <v>106</v>
      </c>
      <c r="C406" t="s">
        <v>587</v>
      </c>
      <c r="D406" t="s">
        <v>38</v>
      </c>
      <c r="E406">
        <v>33739</v>
      </c>
      <c r="F406" s="24">
        <f>especies_ativa_codibama[[#This Row],[Código]]</f>
        <v>32425</v>
      </c>
      <c r="G406" s="40" t="str">
        <f>especies_ativa_codibama[[#This Row],[Nome popular]]</f>
        <v>---</v>
      </c>
      <c r="H406" s="40" t="str">
        <f>especies_ativa_codibama[[#This Row],[Nome científico]]</f>
        <v>Protium tenuifolium</v>
      </c>
    </row>
    <row r="407" spans="1:8" x14ac:dyDescent="0.25">
      <c r="A407">
        <v>32426</v>
      </c>
      <c r="B407" t="s">
        <v>106</v>
      </c>
      <c r="C407" t="s">
        <v>588</v>
      </c>
      <c r="D407" t="s">
        <v>38</v>
      </c>
      <c r="E407">
        <v>33737</v>
      </c>
      <c r="F407" s="24">
        <f>especies_ativa_codibama[[#This Row],[Código]]</f>
        <v>32426</v>
      </c>
      <c r="G407" s="40" t="str">
        <f>especies_ativa_codibama[[#This Row],[Nome popular]]</f>
        <v>---</v>
      </c>
      <c r="H407" s="40" t="str">
        <f>especies_ativa_codibama[[#This Row],[Nome científico]]</f>
        <v>Protium icicariba</v>
      </c>
    </row>
    <row r="408" spans="1:8" x14ac:dyDescent="0.25">
      <c r="A408">
        <v>32427</v>
      </c>
      <c r="B408" t="s">
        <v>106</v>
      </c>
      <c r="C408" t="s">
        <v>589</v>
      </c>
      <c r="D408" t="s">
        <v>38</v>
      </c>
      <c r="E408">
        <v>32700</v>
      </c>
      <c r="F408" s="24">
        <f>especies_ativa_codibama[[#This Row],[Código]]</f>
        <v>32427</v>
      </c>
      <c r="G408" s="40" t="str">
        <f>especies_ativa_codibama[[#This Row],[Nome popular]]</f>
        <v>---</v>
      </c>
      <c r="H408" s="40" t="str">
        <f>especies_ativa_codibama[[#This Row],[Nome científico]]</f>
        <v>Protium paniculatum</v>
      </c>
    </row>
    <row r="409" spans="1:8" x14ac:dyDescent="0.25">
      <c r="A409">
        <v>32430</v>
      </c>
      <c r="B409" t="s">
        <v>106</v>
      </c>
      <c r="C409" t="s">
        <v>590</v>
      </c>
      <c r="D409" t="s">
        <v>38</v>
      </c>
      <c r="E409">
        <v>34357</v>
      </c>
      <c r="F409" s="24">
        <f>especies_ativa_codibama[[#This Row],[Código]]</f>
        <v>32430</v>
      </c>
      <c r="G409" s="40" t="str">
        <f>especies_ativa_codibama[[#This Row],[Nome popular]]</f>
        <v>---</v>
      </c>
      <c r="H409" s="40" t="str">
        <f>especies_ativa_codibama[[#This Row],[Nome científico]]</f>
        <v>Protium trifoliolatum</v>
      </c>
    </row>
    <row r="410" spans="1:8" x14ac:dyDescent="0.25">
      <c r="A410">
        <v>32431</v>
      </c>
      <c r="B410" t="s">
        <v>106</v>
      </c>
      <c r="C410" t="s">
        <v>591</v>
      </c>
      <c r="D410" t="s">
        <v>38</v>
      </c>
      <c r="E410">
        <v>32533</v>
      </c>
      <c r="F410" s="24">
        <f>especies_ativa_codibama[[#This Row],[Código]]</f>
        <v>32431</v>
      </c>
      <c r="G410" s="40" t="str">
        <f>especies_ativa_codibama[[#This Row],[Nome popular]]</f>
        <v>---</v>
      </c>
      <c r="H410" s="40" t="str">
        <f>especies_ativa_codibama[[#This Row],[Nome científico]]</f>
        <v>Protium altissimum</v>
      </c>
    </row>
    <row r="411" spans="1:8" x14ac:dyDescent="0.25">
      <c r="A411">
        <v>32439</v>
      </c>
      <c r="B411" t="s">
        <v>106</v>
      </c>
      <c r="C411" t="s">
        <v>592</v>
      </c>
      <c r="D411" t="s">
        <v>38</v>
      </c>
      <c r="E411">
        <v>36177</v>
      </c>
      <c r="F411" s="24">
        <f>especies_ativa_codibama[[#This Row],[Código]]</f>
        <v>32439</v>
      </c>
      <c r="G411" s="40" t="str">
        <f>especies_ativa_codibama[[#This Row],[Nome popular]]</f>
        <v>---</v>
      </c>
      <c r="H411" s="40" t="str">
        <f>especies_ativa_codibama[[#This Row],[Nome científico]]</f>
        <v>Protium opacum</v>
      </c>
    </row>
    <row r="412" spans="1:8" x14ac:dyDescent="0.25">
      <c r="A412">
        <v>32443</v>
      </c>
      <c r="B412" t="s">
        <v>106</v>
      </c>
      <c r="C412" t="s">
        <v>593</v>
      </c>
      <c r="D412" t="s">
        <v>38</v>
      </c>
      <c r="E412">
        <v>34577</v>
      </c>
      <c r="F412" s="24">
        <f>especies_ativa_codibama[[#This Row],[Código]]</f>
        <v>32443</v>
      </c>
      <c r="G412" s="40" t="str">
        <f>especies_ativa_codibama[[#This Row],[Nome popular]]</f>
        <v>---</v>
      </c>
      <c r="H412" s="40" t="str">
        <f>especies_ativa_codibama[[#This Row],[Nome científico]]</f>
        <v>Protium robustum</v>
      </c>
    </row>
    <row r="413" spans="1:8" x14ac:dyDescent="0.25">
      <c r="A413">
        <v>32445</v>
      </c>
      <c r="B413" t="s">
        <v>106</v>
      </c>
      <c r="C413" t="s">
        <v>594</v>
      </c>
      <c r="D413" t="s">
        <v>38</v>
      </c>
      <c r="E413">
        <v>34355</v>
      </c>
      <c r="F413" s="24">
        <f>especies_ativa_codibama[[#This Row],[Código]]</f>
        <v>32445</v>
      </c>
      <c r="G413" s="40" t="str">
        <f>especies_ativa_codibama[[#This Row],[Nome popular]]</f>
        <v>---</v>
      </c>
      <c r="H413" s="40" t="str">
        <f>especies_ativa_codibama[[#This Row],[Nome científico]]</f>
        <v>Protium sagotianum</v>
      </c>
    </row>
    <row r="414" spans="1:8" x14ac:dyDescent="0.25">
      <c r="A414">
        <v>32449</v>
      </c>
      <c r="B414" t="s">
        <v>106</v>
      </c>
      <c r="C414" t="s">
        <v>595</v>
      </c>
      <c r="D414" t="s">
        <v>38</v>
      </c>
      <c r="E414">
        <v>34115</v>
      </c>
      <c r="F414" s="24">
        <f>especies_ativa_codibama[[#This Row],[Código]]</f>
        <v>32449</v>
      </c>
      <c r="G414" s="40" t="str">
        <f>especies_ativa_codibama[[#This Row],[Nome popular]]</f>
        <v>---</v>
      </c>
      <c r="H414" s="40" t="str">
        <f>especies_ativa_codibama[[#This Row],[Nome científico]]</f>
        <v>Commiphora leptophloeos</v>
      </c>
    </row>
    <row r="415" spans="1:8" x14ac:dyDescent="0.25">
      <c r="A415">
        <v>32450</v>
      </c>
      <c r="B415" t="s">
        <v>106</v>
      </c>
      <c r="C415" t="s">
        <v>596</v>
      </c>
      <c r="D415" t="s">
        <v>38</v>
      </c>
      <c r="E415">
        <v>35560</v>
      </c>
      <c r="F415" s="24">
        <f>especies_ativa_codibama[[#This Row],[Código]]</f>
        <v>32450</v>
      </c>
      <c r="G415" s="40" t="str">
        <f>especies_ativa_codibama[[#This Row],[Nome popular]]</f>
        <v>---</v>
      </c>
      <c r="H415" s="40" t="str">
        <f>especies_ativa_codibama[[#This Row],[Nome científico]]</f>
        <v>Protium heptaphyllum</v>
      </c>
    </row>
    <row r="416" spans="1:8" x14ac:dyDescent="0.25">
      <c r="A416">
        <v>32457</v>
      </c>
      <c r="B416" t="s">
        <v>106</v>
      </c>
      <c r="C416" t="s">
        <v>597</v>
      </c>
      <c r="D416" t="s">
        <v>598</v>
      </c>
      <c r="E416">
        <v>28194</v>
      </c>
      <c r="F416" s="24">
        <f>especies_ativa_codibama[[#This Row],[Código]]</f>
        <v>32457</v>
      </c>
      <c r="G416" s="40" t="str">
        <f>especies_ativa_codibama[[#This Row],[Nome popular]]</f>
        <v>---</v>
      </c>
      <c r="H416" s="40" t="str">
        <f>especies_ativa_codibama[[#This Row],[Nome científico]]</f>
        <v>Pilosocereus azulensis</v>
      </c>
    </row>
    <row r="417" spans="1:8" x14ac:dyDescent="0.25">
      <c r="A417">
        <v>32458</v>
      </c>
      <c r="B417" t="s">
        <v>106</v>
      </c>
      <c r="C417" t="s">
        <v>599</v>
      </c>
      <c r="D417" t="s">
        <v>196</v>
      </c>
      <c r="E417">
        <v>24231</v>
      </c>
      <c r="F417" s="24">
        <f>especies_ativa_codibama[[#This Row],[Código]]</f>
        <v>32458</v>
      </c>
      <c r="G417" s="40" t="str">
        <f>especies_ativa_codibama[[#This Row],[Nome popular]]</f>
        <v>---</v>
      </c>
      <c r="H417" s="40" t="str">
        <f>especies_ativa_codibama[[#This Row],[Nome científico]]</f>
        <v>Facheiroa cephaliomelana</v>
      </c>
    </row>
    <row r="418" spans="1:8" x14ac:dyDescent="0.25">
      <c r="A418">
        <v>32459</v>
      </c>
      <c r="B418" t="s">
        <v>106</v>
      </c>
      <c r="C418" t="s">
        <v>600</v>
      </c>
      <c r="D418" t="s">
        <v>79</v>
      </c>
      <c r="E418">
        <v>28191</v>
      </c>
      <c r="F418" s="24">
        <f>especies_ativa_codibama[[#This Row],[Código]]</f>
        <v>32459</v>
      </c>
      <c r="G418" s="40" t="str">
        <f>especies_ativa_codibama[[#This Row],[Nome popular]]</f>
        <v>---</v>
      </c>
      <c r="H418" s="40" t="str">
        <f>especies_ativa_codibama[[#This Row],[Nome científico]]</f>
        <v>Pilosocereus albisummus</v>
      </c>
    </row>
    <row r="419" spans="1:8" x14ac:dyDescent="0.25">
      <c r="A419">
        <v>32461</v>
      </c>
      <c r="B419" t="s">
        <v>106</v>
      </c>
      <c r="C419" t="s">
        <v>601</v>
      </c>
      <c r="D419" t="s">
        <v>79</v>
      </c>
      <c r="E419">
        <v>28079</v>
      </c>
      <c r="F419" s="24">
        <f>especies_ativa_codibama[[#This Row],[Código]]</f>
        <v>32461</v>
      </c>
      <c r="G419" s="40" t="str">
        <f>especies_ativa_codibama[[#This Row],[Nome popular]]</f>
        <v>---</v>
      </c>
      <c r="H419" s="40" t="str">
        <f>especies_ativa_codibama[[#This Row],[Nome científico]]</f>
        <v>Pereskia grandifolia</v>
      </c>
    </row>
    <row r="420" spans="1:8" x14ac:dyDescent="0.25">
      <c r="A420">
        <v>32462</v>
      </c>
      <c r="B420" t="s">
        <v>106</v>
      </c>
      <c r="C420" t="s">
        <v>602</v>
      </c>
      <c r="D420" t="s">
        <v>79</v>
      </c>
      <c r="E420">
        <v>28083</v>
      </c>
      <c r="F420" s="24">
        <f>especies_ativa_codibama[[#This Row],[Código]]</f>
        <v>32462</v>
      </c>
      <c r="G420" s="40" t="str">
        <f>especies_ativa_codibama[[#This Row],[Nome popular]]</f>
        <v>---</v>
      </c>
      <c r="H420" s="40" t="str">
        <f>especies_ativa_codibama[[#This Row],[Nome científico]]</f>
        <v>Pereskia violacea</v>
      </c>
    </row>
    <row r="421" spans="1:8" x14ac:dyDescent="0.25">
      <c r="A421">
        <v>32465</v>
      </c>
      <c r="B421" t="s">
        <v>603</v>
      </c>
      <c r="C421" t="s">
        <v>604</v>
      </c>
      <c r="D421" t="s">
        <v>38</v>
      </c>
      <c r="E421">
        <v>28217</v>
      </c>
      <c r="F421" s="24">
        <f>especies_ativa_codibama[[#This Row],[Código]]</f>
        <v>32465</v>
      </c>
      <c r="G421" s="40" t="str">
        <f>especies_ativa_codibama[[#This Row],[Nome popular]]</f>
        <v>Caxacubri, Mandacaru-de-laço do Brasil</v>
      </c>
      <c r="H421" s="40" t="str">
        <f>especies_ativa_codibama[[#This Row],[Nome científico]]</f>
        <v>Pilosocereus tuberculatus</v>
      </c>
    </row>
    <row r="422" spans="1:8" x14ac:dyDescent="0.25">
      <c r="A422">
        <v>32466</v>
      </c>
      <c r="B422" t="s">
        <v>605</v>
      </c>
      <c r="C422" t="s">
        <v>606</v>
      </c>
      <c r="D422" t="s">
        <v>38</v>
      </c>
      <c r="E422">
        <v>28181</v>
      </c>
      <c r="F422" s="24">
        <f>especies_ativa_codibama[[#This Row],[Código]]</f>
        <v>32466</v>
      </c>
      <c r="G422" s="40" t="str">
        <f>especies_ativa_codibama[[#This Row],[Nome popular]]</f>
        <v>Facheiro, Facheiro-azul, Mandacaru-de-facho do Brasil</v>
      </c>
      <c r="H422" s="40" t="str">
        <f>especies_ativa_codibama[[#This Row],[Nome científico]]</f>
        <v>Pilosocereus pachycladus</v>
      </c>
    </row>
    <row r="423" spans="1:8" x14ac:dyDescent="0.25">
      <c r="A423">
        <v>32468</v>
      </c>
      <c r="B423" t="s">
        <v>607</v>
      </c>
      <c r="C423" t="s">
        <v>608</v>
      </c>
      <c r="D423" t="s">
        <v>38</v>
      </c>
      <c r="E423">
        <v>20054</v>
      </c>
      <c r="F423" s="24">
        <f>especies_ativa_codibama[[#This Row],[Código]]</f>
        <v>32468</v>
      </c>
      <c r="G423" s="40" t="str">
        <f>especies_ativa_codibama[[#This Row],[Nome popular]]</f>
        <v>Mandacaru, Mandacaru-de-boi, Mandacaru-facheiro, Mandacaru-de-faixo, Cardeiro, Jamacaru, Jamaracurú, Jumucurú, Jumarucú, Cumbeba, Urumbeba do Brasil</v>
      </c>
      <c r="H423" s="40" t="str">
        <f>especies_ativa_codibama[[#This Row],[Nome científico]]</f>
        <v>Cereus jamacaru</v>
      </c>
    </row>
    <row r="424" spans="1:8" x14ac:dyDescent="0.25">
      <c r="A424">
        <v>32470</v>
      </c>
      <c r="B424" t="s">
        <v>106</v>
      </c>
      <c r="C424" t="s">
        <v>609</v>
      </c>
      <c r="D424" t="s">
        <v>38</v>
      </c>
      <c r="E424">
        <v>20681</v>
      </c>
      <c r="F424" s="24">
        <f>especies_ativa_codibama[[#This Row],[Código]]</f>
        <v>32470</v>
      </c>
      <c r="G424" s="40" t="str">
        <f>especies_ativa_codibama[[#This Row],[Nome popular]]</f>
        <v>---</v>
      </c>
      <c r="H424" s="40" t="str">
        <f>especies_ativa_codibama[[#This Row],[Nome científico]]</f>
        <v>Coleocephalocereus goebelianus</v>
      </c>
    </row>
    <row r="425" spans="1:8" x14ac:dyDescent="0.25">
      <c r="A425">
        <v>32471</v>
      </c>
      <c r="B425" t="s">
        <v>106</v>
      </c>
      <c r="C425" t="s">
        <v>610</v>
      </c>
      <c r="D425" t="s">
        <v>38</v>
      </c>
      <c r="E425">
        <v>28200</v>
      </c>
      <c r="F425" s="24">
        <f>especies_ativa_codibama[[#This Row],[Código]]</f>
        <v>32471</v>
      </c>
      <c r="G425" s="40" t="str">
        <f>especies_ativa_codibama[[#This Row],[Nome popular]]</f>
        <v>---</v>
      </c>
      <c r="H425" s="40" t="str">
        <f>especies_ativa_codibama[[#This Row],[Nome científico]]</f>
        <v>Pilosocereus densiareolatus</v>
      </c>
    </row>
    <row r="426" spans="1:8" x14ac:dyDescent="0.25">
      <c r="A426">
        <v>32474</v>
      </c>
      <c r="B426" t="s">
        <v>106</v>
      </c>
      <c r="C426" t="s">
        <v>611</v>
      </c>
      <c r="D426" t="s">
        <v>38</v>
      </c>
      <c r="E426">
        <v>28202</v>
      </c>
      <c r="F426" s="24">
        <f>especies_ativa_codibama[[#This Row],[Código]]</f>
        <v>32474</v>
      </c>
      <c r="G426" s="40" t="str">
        <f>especies_ativa_codibama[[#This Row],[Nome popular]]</f>
        <v>---</v>
      </c>
      <c r="H426" s="40" t="str">
        <f>especies_ativa_codibama[[#This Row],[Nome científico]]</f>
        <v>Pilosocereus flavipulvinatus</v>
      </c>
    </row>
    <row r="427" spans="1:8" x14ac:dyDescent="0.25">
      <c r="A427">
        <v>32475</v>
      </c>
      <c r="B427" t="s">
        <v>106</v>
      </c>
      <c r="C427" t="s">
        <v>612</v>
      </c>
      <c r="D427" t="s">
        <v>38</v>
      </c>
      <c r="E427">
        <v>28176</v>
      </c>
      <c r="F427" s="24">
        <f>especies_ativa_codibama[[#This Row],[Código]]</f>
        <v>32475</v>
      </c>
      <c r="G427" s="40" t="str">
        <f>especies_ativa_codibama[[#This Row],[Nome popular]]</f>
        <v>---</v>
      </c>
      <c r="H427" s="40" t="str">
        <f>especies_ativa_codibama[[#This Row],[Nome científico]]</f>
        <v>Pilosocereus catingicola</v>
      </c>
    </row>
    <row r="428" spans="1:8" x14ac:dyDescent="0.25">
      <c r="A428">
        <v>32476</v>
      </c>
      <c r="B428" t="s">
        <v>106</v>
      </c>
      <c r="C428" t="s">
        <v>613</v>
      </c>
      <c r="D428" t="s">
        <v>38</v>
      </c>
      <c r="E428">
        <v>20076</v>
      </c>
      <c r="F428" s="24">
        <f>especies_ativa_codibama[[#This Row],[Código]]</f>
        <v>32476</v>
      </c>
      <c r="G428" s="40" t="str">
        <f>especies_ativa_codibama[[#This Row],[Nome popular]]</f>
        <v>---</v>
      </c>
      <c r="H428" s="40" t="str">
        <f>especies_ativa_codibama[[#This Row],[Nome científico]]</f>
        <v>Cereus saddianus</v>
      </c>
    </row>
    <row r="429" spans="1:8" x14ac:dyDescent="0.25">
      <c r="A429">
        <v>32477</v>
      </c>
      <c r="B429" t="s">
        <v>106</v>
      </c>
      <c r="C429" t="s">
        <v>614</v>
      </c>
      <c r="D429" t="s">
        <v>38</v>
      </c>
      <c r="E429">
        <v>28203</v>
      </c>
      <c r="F429" s="24">
        <f>especies_ativa_codibama[[#This Row],[Código]]</f>
        <v>32477</v>
      </c>
      <c r="G429" s="40" t="str">
        <f>especies_ativa_codibama[[#This Row],[Nome popular]]</f>
        <v>---</v>
      </c>
      <c r="H429" s="40" t="str">
        <f>especies_ativa_codibama[[#This Row],[Nome científico]]</f>
        <v>Pilosocereus flexibilispinus</v>
      </c>
    </row>
    <row r="430" spans="1:8" x14ac:dyDescent="0.25">
      <c r="A430">
        <v>32479</v>
      </c>
      <c r="B430" t="s">
        <v>106</v>
      </c>
      <c r="C430" t="s">
        <v>615</v>
      </c>
      <c r="D430" t="s">
        <v>38</v>
      </c>
      <c r="E430">
        <v>20053</v>
      </c>
      <c r="F430" s="24">
        <f>especies_ativa_codibama[[#This Row],[Código]]</f>
        <v>32479</v>
      </c>
      <c r="G430" s="40" t="str">
        <f>especies_ativa_codibama[[#This Row],[Nome popular]]</f>
        <v>---</v>
      </c>
      <c r="H430" s="40" t="str">
        <f>especies_ativa_codibama[[#This Row],[Nome científico]]</f>
        <v>Cereus hildmannianus</v>
      </c>
    </row>
    <row r="431" spans="1:8" x14ac:dyDescent="0.25">
      <c r="A431">
        <v>32481</v>
      </c>
      <c r="B431" t="s">
        <v>106</v>
      </c>
      <c r="C431" t="s">
        <v>616</v>
      </c>
      <c r="D431" t="s">
        <v>465</v>
      </c>
      <c r="E431">
        <v>28204</v>
      </c>
      <c r="F431" s="24">
        <f>especies_ativa_codibama[[#This Row],[Código]]</f>
        <v>32481</v>
      </c>
      <c r="G431" s="40" t="str">
        <f>especies_ativa_codibama[[#This Row],[Nome popular]]</f>
        <v>---</v>
      </c>
      <c r="H431" s="40" t="str">
        <f>especies_ativa_codibama[[#This Row],[Nome científico]]</f>
        <v>Pilosocereus glaucochrous</v>
      </c>
    </row>
    <row r="432" spans="1:8" x14ac:dyDescent="0.25">
      <c r="A432">
        <v>32482</v>
      </c>
      <c r="B432" t="s">
        <v>617</v>
      </c>
      <c r="C432" t="s">
        <v>618</v>
      </c>
      <c r="D432" t="s">
        <v>196</v>
      </c>
      <c r="E432">
        <v>35451</v>
      </c>
      <c r="F432" s="24">
        <f>especies_ativa_codibama[[#This Row],[Código]]</f>
        <v>32482</v>
      </c>
      <c r="G432" s="40" t="str">
        <f>especies_ativa_codibama[[#This Row],[Nome popular]]</f>
        <v>Leiteira</v>
      </c>
      <c r="H432" s="40" t="str">
        <f>especies_ativa_codibama[[#This Row],[Nome científico]]</f>
        <v>Kielmeyera occhioniana</v>
      </c>
    </row>
    <row r="433" spans="1:8" x14ac:dyDescent="0.25">
      <c r="A433">
        <v>32484</v>
      </c>
      <c r="B433" t="s">
        <v>619</v>
      </c>
      <c r="C433" t="s">
        <v>620</v>
      </c>
      <c r="D433" t="s">
        <v>79</v>
      </c>
      <c r="E433">
        <v>32434</v>
      </c>
      <c r="F433" s="24">
        <f>especies_ativa_codibama[[#This Row],[Código]]</f>
        <v>32484</v>
      </c>
      <c r="G433" s="40" t="str">
        <f>especies_ativa_codibama[[#This Row],[Nome popular]]</f>
        <v>Folha-santa, Malva-do-campo</v>
      </c>
      <c r="H433" s="40" t="str">
        <f>especies_ativa_codibama[[#This Row],[Nome científico]]</f>
        <v>Kielmeyera speciosa</v>
      </c>
    </row>
    <row r="434" spans="1:8" x14ac:dyDescent="0.25">
      <c r="A434">
        <v>32485</v>
      </c>
      <c r="B434" t="s">
        <v>2633</v>
      </c>
      <c r="C434" t="s">
        <v>621</v>
      </c>
      <c r="D434" t="s">
        <v>79</v>
      </c>
      <c r="E434">
        <v>34265</v>
      </c>
      <c r="F434" s="24">
        <f>especies_ativa_codibama[[#This Row],[Código]]</f>
        <v>32485</v>
      </c>
      <c r="G434" s="40" t="str">
        <f>especies_ativa_codibama[[#This Row],[Nome popular]]</f>
        <v>Pau-santo, Pau-de-São-João, Pau-louro, Pau-louro-d`anta</v>
      </c>
      <c r="H434" s="40" t="str">
        <f>especies_ativa_codibama[[#This Row],[Nome científico]]</f>
        <v>Kielmeyera petiolaris</v>
      </c>
    </row>
    <row r="435" spans="1:8" x14ac:dyDescent="0.25">
      <c r="A435">
        <v>32491</v>
      </c>
      <c r="B435" t="s">
        <v>106</v>
      </c>
      <c r="C435" t="s">
        <v>622</v>
      </c>
      <c r="D435" t="s">
        <v>196</v>
      </c>
      <c r="E435">
        <v>33408</v>
      </c>
      <c r="F435" s="24">
        <f>especies_ativa_codibama[[#This Row],[Código]]</f>
        <v>32491</v>
      </c>
      <c r="G435" s="40" t="str">
        <f>especies_ativa_codibama[[#This Row],[Nome popular]]</f>
        <v>---</v>
      </c>
      <c r="H435" s="40" t="str">
        <f>especies_ativa_codibama[[#This Row],[Nome científico]]</f>
        <v>Kielmeyera marauensis</v>
      </c>
    </row>
    <row r="436" spans="1:8" x14ac:dyDescent="0.25">
      <c r="A436">
        <v>32492</v>
      </c>
      <c r="B436" t="s">
        <v>106</v>
      </c>
      <c r="C436" t="s">
        <v>623</v>
      </c>
      <c r="D436" t="s">
        <v>465</v>
      </c>
      <c r="E436">
        <v>35265</v>
      </c>
      <c r="F436" s="24">
        <f>especies_ativa_codibama[[#This Row],[Código]]</f>
        <v>32492</v>
      </c>
      <c r="G436" s="40" t="str">
        <f>especies_ativa_codibama[[#This Row],[Nome popular]]</f>
        <v>---</v>
      </c>
      <c r="H436" s="40" t="str">
        <f>especies_ativa_codibama[[#This Row],[Nome científico]]</f>
        <v>Kielmeyera albopunctata</v>
      </c>
    </row>
    <row r="437" spans="1:8" x14ac:dyDescent="0.25">
      <c r="A437">
        <v>32494</v>
      </c>
      <c r="B437" t="s">
        <v>624</v>
      </c>
      <c r="C437" t="s">
        <v>625</v>
      </c>
      <c r="D437" t="s">
        <v>38</v>
      </c>
      <c r="E437">
        <v>33042</v>
      </c>
      <c r="F437" s="24">
        <f>especies_ativa_codibama[[#This Row],[Código]]</f>
        <v>32494</v>
      </c>
      <c r="G437" s="40" t="str">
        <f>especies_ativa_codibama[[#This Row],[Nome popular]]</f>
        <v>Breu, Rosa-do-campo</v>
      </c>
      <c r="H437" s="40" t="str">
        <f>especies_ativa_codibama[[#This Row],[Nome científico]]</f>
        <v>Kielmeyera rubriflora</v>
      </c>
    </row>
    <row r="438" spans="1:8" x14ac:dyDescent="0.25">
      <c r="A438">
        <v>32496</v>
      </c>
      <c r="B438" t="s">
        <v>2634</v>
      </c>
      <c r="C438" t="s">
        <v>626</v>
      </c>
      <c r="D438" t="s">
        <v>38</v>
      </c>
      <c r="E438">
        <v>32908</v>
      </c>
      <c r="F438" s="24">
        <f>especies_ativa_codibama[[#This Row],[Código]]</f>
        <v>32496</v>
      </c>
      <c r="G438" s="40" t="str">
        <f>especies_ativa_codibama[[#This Row],[Nome popular]]</f>
        <v>Guandi, jacaréuba, Jacaréuba, Landim</v>
      </c>
      <c r="H438" s="40" t="str">
        <f>especies_ativa_codibama[[#This Row],[Nome científico]]</f>
        <v>Calophyllum brasiliense</v>
      </c>
    </row>
    <row r="439" spans="1:8" x14ac:dyDescent="0.25">
      <c r="A439">
        <v>32497</v>
      </c>
      <c r="B439" t="s">
        <v>627</v>
      </c>
      <c r="C439" t="s">
        <v>628</v>
      </c>
      <c r="D439" t="s">
        <v>38</v>
      </c>
      <c r="E439">
        <v>32174</v>
      </c>
      <c r="F439" s="24">
        <f>especies_ativa_codibama[[#This Row],[Código]]</f>
        <v>32497</v>
      </c>
      <c r="G439" s="40" t="str">
        <f>especies_ativa_codibama[[#This Row],[Nome popular]]</f>
        <v>Pau-santo</v>
      </c>
      <c r="H439" s="40" t="str">
        <f>especies_ativa_codibama[[#This Row],[Nome científico]]</f>
        <v>Kielmeyera lathrophyton</v>
      </c>
    </row>
    <row r="440" spans="1:8" x14ac:dyDescent="0.25">
      <c r="A440">
        <v>32498</v>
      </c>
      <c r="B440" t="s">
        <v>627</v>
      </c>
      <c r="C440" t="s">
        <v>629</v>
      </c>
      <c r="D440" t="s">
        <v>38</v>
      </c>
      <c r="E440">
        <v>34264</v>
      </c>
      <c r="F440" s="24">
        <f>especies_ativa_codibama[[#This Row],[Código]]</f>
        <v>32498</v>
      </c>
      <c r="G440" s="40" t="str">
        <f>especies_ativa_codibama[[#This Row],[Nome popular]]</f>
        <v>Pau-santo</v>
      </c>
      <c r="H440" s="40" t="str">
        <f>especies_ativa_codibama[[#This Row],[Nome científico]]</f>
        <v>Kielmeyera coriacea</v>
      </c>
    </row>
    <row r="441" spans="1:8" x14ac:dyDescent="0.25">
      <c r="A441">
        <v>32503</v>
      </c>
      <c r="B441" t="s">
        <v>106</v>
      </c>
      <c r="C441" t="s">
        <v>630</v>
      </c>
      <c r="D441" t="s">
        <v>38</v>
      </c>
      <c r="E441">
        <v>34748</v>
      </c>
      <c r="F441" s="24">
        <f>especies_ativa_codibama[[#This Row],[Código]]</f>
        <v>32503</v>
      </c>
      <c r="G441" s="40" t="str">
        <f>especies_ativa_codibama[[#This Row],[Nome popular]]</f>
        <v>---</v>
      </c>
      <c r="H441" s="40" t="str">
        <f>especies_ativa_codibama[[#This Row],[Nome científico]]</f>
        <v>Caraipa densifolia</v>
      </c>
    </row>
    <row r="442" spans="1:8" x14ac:dyDescent="0.25">
      <c r="A442">
        <v>32505</v>
      </c>
      <c r="B442" t="s">
        <v>631</v>
      </c>
      <c r="C442" t="s">
        <v>632</v>
      </c>
      <c r="D442" t="s">
        <v>79</v>
      </c>
      <c r="E442">
        <v>1979683</v>
      </c>
      <c r="F442" s="24">
        <f>especies_ativa_codibama[[#This Row],[Código]]</f>
        <v>32505</v>
      </c>
      <c r="G442" s="40" t="str">
        <f>especies_ativa_codibama[[#This Row],[Nome popular]]</f>
        <v>pau-amargo, paratudo, pau-para-tudo, pimenteira</v>
      </c>
      <c r="H442" s="40" t="str">
        <f>especies_ativa_codibama[[#This Row],[Nome científico]]</f>
        <v>Cinnamodendron dinisii</v>
      </c>
    </row>
    <row r="443" spans="1:8" x14ac:dyDescent="0.25">
      <c r="A443">
        <v>32508</v>
      </c>
      <c r="B443" t="s">
        <v>633</v>
      </c>
      <c r="C443" t="s">
        <v>634</v>
      </c>
      <c r="D443" t="s">
        <v>38</v>
      </c>
      <c r="E443">
        <v>33231</v>
      </c>
      <c r="F443" s="24">
        <f>especies_ativa_codibama[[#This Row],[Código]]</f>
        <v>32508</v>
      </c>
      <c r="G443" s="40" t="str">
        <f>especies_ativa_codibama[[#This Row],[Nome popular]]</f>
        <v>candiúba, crindiúva</v>
      </c>
      <c r="H443" s="40" t="str">
        <f>especies_ativa_codibama[[#This Row],[Nome científico]]</f>
        <v>Trema micrantha</v>
      </c>
    </row>
    <row r="444" spans="1:8" x14ac:dyDescent="0.25">
      <c r="A444">
        <v>32509</v>
      </c>
      <c r="B444" t="s">
        <v>2635</v>
      </c>
      <c r="C444" t="s">
        <v>635</v>
      </c>
      <c r="D444" t="s">
        <v>38</v>
      </c>
      <c r="E444">
        <v>1065731</v>
      </c>
      <c r="F444" s="24">
        <f>especies_ativa_codibama[[#This Row],[Código]]</f>
        <v>32509</v>
      </c>
      <c r="G444" s="40" t="str">
        <f>especies_ativa_codibama[[#This Row],[Nome popular]]</f>
        <v>Cipó farinha seca, Cipó laranjinha, Grão de galo, Gumbixava</v>
      </c>
      <c r="H444" s="40" t="str">
        <f>especies_ativa_codibama[[#This Row],[Nome científico]]</f>
        <v>Celtis iguanaea</v>
      </c>
    </row>
    <row r="445" spans="1:8" x14ac:dyDescent="0.25">
      <c r="A445">
        <v>32510</v>
      </c>
      <c r="B445" t="s">
        <v>106</v>
      </c>
      <c r="C445" t="s">
        <v>636</v>
      </c>
      <c r="D445" t="s">
        <v>38</v>
      </c>
      <c r="E445">
        <v>33514</v>
      </c>
      <c r="F445" s="24">
        <f>especies_ativa_codibama[[#This Row],[Código]]</f>
        <v>32510</v>
      </c>
      <c r="G445" s="40" t="str">
        <f>especies_ativa_codibama[[#This Row],[Nome popular]]</f>
        <v>---</v>
      </c>
      <c r="H445" s="40" t="str">
        <f>especies_ativa_codibama[[#This Row],[Nome científico]]</f>
        <v>Celtis brasiliensis</v>
      </c>
    </row>
    <row r="446" spans="1:8" x14ac:dyDescent="0.25">
      <c r="A446">
        <v>32513</v>
      </c>
      <c r="B446" t="s">
        <v>637</v>
      </c>
      <c r="C446" t="s">
        <v>638</v>
      </c>
      <c r="D446" t="s">
        <v>38</v>
      </c>
      <c r="E446">
        <v>35955</v>
      </c>
      <c r="F446" s="24">
        <f>especies_ativa_codibama[[#This Row],[Código]]</f>
        <v>32513</v>
      </c>
      <c r="G446" s="40" t="str">
        <f>especies_ativa_codibama[[#This Row],[Nome popular]]</f>
        <v>capança, fruto de macaco, catauré, trapiá</v>
      </c>
      <c r="H446" s="40" t="str">
        <f>especies_ativa_codibama[[#This Row],[Nome científico]]</f>
        <v>Crateva tapia</v>
      </c>
    </row>
    <row r="447" spans="1:8" x14ac:dyDescent="0.25">
      <c r="A447">
        <v>32522</v>
      </c>
      <c r="B447" t="s">
        <v>639</v>
      </c>
      <c r="C447" t="s">
        <v>640</v>
      </c>
      <c r="D447" t="s">
        <v>38</v>
      </c>
      <c r="E447">
        <v>32692</v>
      </c>
      <c r="F447" s="24">
        <f>especies_ativa_codibama[[#This Row],[Código]]</f>
        <v>32522</v>
      </c>
      <c r="G447" s="40" t="str">
        <f>especies_ativa_codibama[[#This Row],[Nome popular]]</f>
        <v>Carne-de-vaca, Perobossu</v>
      </c>
      <c r="H447" s="40" t="str">
        <f>especies_ativa_codibama[[#This Row],[Nome científico]]</f>
        <v>Citronella paniculata</v>
      </c>
    </row>
    <row r="448" spans="1:8" x14ac:dyDescent="0.25">
      <c r="A448">
        <v>32523</v>
      </c>
      <c r="B448" t="s">
        <v>641</v>
      </c>
      <c r="C448" t="s">
        <v>642</v>
      </c>
      <c r="D448" t="s">
        <v>38</v>
      </c>
      <c r="E448">
        <v>1979744</v>
      </c>
      <c r="F448" s="24">
        <f>especies_ativa_codibama[[#This Row],[Código]]</f>
        <v>32523</v>
      </c>
      <c r="G448" s="40" t="str">
        <f>especies_ativa_codibama[[#This Row],[Nome popular]]</f>
        <v>Congonha, Congonha-de-bugre, Congonha-do-sertão, Congonha-falsa, Erva-de-anta, Falso-mate, Inhanê, Yapon</v>
      </c>
      <c r="H448" s="40" t="str">
        <f>especies_ativa_codibama[[#This Row],[Nome científico]]</f>
        <v>Citronella gongonha</v>
      </c>
    </row>
    <row r="449" spans="1:8" x14ac:dyDescent="0.25">
      <c r="A449">
        <v>32524</v>
      </c>
      <c r="B449" t="s">
        <v>643</v>
      </c>
      <c r="C449" t="s">
        <v>644</v>
      </c>
      <c r="D449" t="s">
        <v>126</v>
      </c>
      <c r="E449">
        <v>33039</v>
      </c>
      <c r="F449" s="24">
        <f>especies_ativa_codibama[[#This Row],[Código]]</f>
        <v>32524</v>
      </c>
      <c r="G449" s="40" t="str">
        <f>especies_ativa_codibama[[#This Row],[Nome popular]]</f>
        <v>jaracatiá</v>
      </c>
      <c r="H449" s="40" t="str">
        <f>especies_ativa_codibama[[#This Row],[Nome científico]]</f>
        <v>Jacaratia spinosa</v>
      </c>
    </row>
    <row r="450" spans="1:8" x14ac:dyDescent="0.25">
      <c r="A450">
        <v>32527</v>
      </c>
      <c r="B450" t="s">
        <v>645</v>
      </c>
      <c r="C450" t="s">
        <v>646</v>
      </c>
      <c r="D450" t="s">
        <v>38</v>
      </c>
      <c r="E450">
        <v>32277</v>
      </c>
      <c r="F450" s="24">
        <f>especies_ativa_codibama[[#This Row],[Código]]</f>
        <v>32527</v>
      </c>
      <c r="G450" s="40" t="str">
        <f>especies_ativa_codibama[[#This Row],[Nome popular]]</f>
        <v>mamão, papaya</v>
      </c>
      <c r="H450" s="40" t="str">
        <f>especies_ativa_codibama[[#This Row],[Nome científico]]</f>
        <v>Carica papaya</v>
      </c>
    </row>
    <row r="451" spans="1:8" x14ac:dyDescent="0.25">
      <c r="A451">
        <v>32531</v>
      </c>
      <c r="B451" t="s">
        <v>106</v>
      </c>
      <c r="C451" t="s">
        <v>647</v>
      </c>
      <c r="D451" t="s">
        <v>38</v>
      </c>
      <c r="E451">
        <v>35448</v>
      </c>
      <c r="F451" s="24">
        <f>especies_ativa_codibama[[#This Row],[Código]]</f>
        <v>32531</v>
      </c>
      <c r="G451" s="40" t="str">
        <f>especies_ativa_codibama[[#This Row],[Nome popular]]</f>
        <v>---</v>
      </c>
      <c r="H451" s="40" t="str">
        <f>especies_ativa_codibama[[#This Row],[Nome científico]]</f>
        <v>Jacaratia heptaphylla</v>
      </c>
    </row>
    <row r="452" spans="1:8" x14ac:dyDescent="0.25">
      <c r="A452">
        <v>32532</v>
      </c>
      <c r="B452" t="s">
        <v>648</v>
      </c>
      <c r="C452" t="s">
        <v>649</v>
      </c>
      <c r="D452" t="s">
        <v>650</v>
      </c>
      <c r="E452">
        <v>33506</v>
      </c>
      <c r="F452" s="24">
        <f>especies_ativa_codibama[[#This Row],[Código]]</f>
        <v>32532</v>
      </c>
      <c r="G452" s="40" t="str">
        <f>especies_ativa_codibama[[#This Row],[Nome popular]]</f>
        <v>pequi, Piquizeiro, piqui</v>
      </c>
      <c r="H452" s="40" t="str">
        <f>especies_ativa_codibama[[#This Row],[Nome científico]]</f>
        <v>Caryocar brasiliense</v>
      </c>
    </row>
    <row r="453" spans="1:8" x14ac:dyDescent="0.25">
      <c r="A453">
        <v>32533</v>
      </c>
      <c r="B453" t="s">
        <v>651</v>
      </c>
      <c r="C453" t="s">
        <v>652</v>
      </c>
      <c r="D453" t="s">
        <v>650</v>
      </c>
      <c r="E453">
        <v>35917</v>
      </c>
      <c r="F453" s="24">
        <f>especies_ativa_codibama[[#This Row],[Código]]</f>
        <v>32533</v>
      </c>
      <c r="G453" s="40" t="str">
        <f>especies_ativa_codibama[[#This Row],[Nome popular]]</f>
        <v>Pequi branco</v>
      </c>
      <c r="H453" s="40" t="str">
        <f>especies_ativa_codibama[[#This Row],[Nome científico]]</f>
        <v>Caryocar coriaceum</v>
      </c>
    </row>
    <row r="454" spans="1:8" x14ac:dyDescent="0.25">
      <c r="A454">
        <v>32534</v>
      </c>
      <c r="B454" t="s">
        <v>653</v>
      </c>
      <c r="C454" t="s">
        <v>654</v>
      </c>
      <c r="D454" t="s">
        <v>650</v>
      </c>
      <c r="E454">
        <v>31644</v>
      </c>
      <c r="F454" s="24">
        <f>especies_ativa_codibama[[#This Row],[Código]]</f>
        <v>32534</v>
      </c>
      <c r="G454" s="40" t="str">
        <f>especies_ativa_codibama[[#This Row],[Nome popular]]</f>
        <v>Piqui</v>
      </c>
      <c r="H454" s="40" t="str">
        <f>especies_ativa_codibama[[#This Row],[Nome científico]]</f>
        <v>Caryocar edule</v>
      </c>
    </row>
    <row r="455" spans="1:8" x14ac:dyDescent="0.25">
      <c r="A455">
        <v>32535</v>
      </c>
      <c r="B455" t="s">
        <v>655</v>
      </c>
      <c r="C455" t="s">
        <v>656</v>
      </c>
      <c r="D455" t="s">
        <v>650</v>
      </c>
      <c r="E455">
        <v>32919</v>
      </c>
      <c r="F455" s="24">
        <f>especies_ativa_codibama[[#This Row],[Código]]</f>
        <v>32535</v>
      </c>
      <c r="G455" s="40" t="str">
        <f>especies_ativa_codibama[[#This Row],[Nome popular]]</f>
        <v>Piquia-ra, Piquia-ra de Varzea</v>
      </c>
      <c r="H455" s="40" t="str">
        <f>especies_ativa_codibama[[#This Row],[Nome científico]]</f>
        <v>Caryocar microcarpum</v>
      </c>
    </row>
    <row r="456" spans="1:8" x14ac:dyDescent="0.25">
      <c r="A456">
        <v>32536</v>
      </c>
      <c r="B456" t="s">
        <v>657</v>
      </c>
      <c r="C456" t="s">
        <v>658</v>
      </c>
      <c r="D456" t="s">
        <v>650</v>
      </c>
      <c r="E456">
        <v>33507</v>
      </c>
      <c r="F456" s="24">
        <f>especies_ativa_codibama[[#This Row],[Código]]</f>
        <v>32536</v>
      </c>
      <c r="G456" s="40" t="str">
        <f>especies_ativa_codibama[[#This Row],[Nome popular]]</f>
        <v>Piquizeiro</v>
      </c>
      <c r="H456" s="40" t="str">
        <f>especies_ativa_codibama[[#This Row],[Nome científico]]</f>
        <v>Caryocar cuneatum</v>
      </c>
    </row>
    <row r="457" spans="1:8" x14ac:dyDescent="0.25">
      <c r="A457">
        <v>32540</v>
      </c>
      <c r="B457" t="s">
        <v>106</v>
      </c>
      <c r="C457" t="s">
        <v>659</v>
      </c>
      <c r="D457" t="s">
        <v>650</v>
      </c>
      <c r="E457">
        <v>34134</v>
      </c>
      <c r="F457" s="24">
        <f>especies_ativa_codibama[[#This Row],[Código]]</f>
        <v>32540</v>
      </c>
      <c r="G457" s="40" t="str">
        <f>especies_ativa_codibama[[#This Row],[Nome popular]]</f>
        <v>---</v>
      </c>
      <c r="H457" s="40" t="str">
        <f>especies_ativa_codibama[[#This Row],[Nome científico]]</f>
        <v>Caryocar amygdaliferum</v>
      </c>
    </row>
    <row r="458" spans="1:8" x14ac:dyDescent="0.25">
      <c r="A458">
        <v>32545</v>
      </c>
      <c r="B458" t="s">
        <v>660</v>
      </c>
      <c r="C458" t="s">
        <v>661</v>
      </c>
      <c r="D458" t="s">
        <v>79</v>
      </c>
      <c r="E458">
        <v>32055</v>
      </c>
      <c r="F458" s="24">
        <f>especies_ativa_codibama[[#This Row],[Código]]</f>
        <v>32545</v>
      </c>
      <c r="G458" s="40" t="str">
        <f>especies_ativa_codibama[[#This Row],[Nome popular]]</f>
        <v>cancã-queixo, tapoteira</v>
      </c>
      <c r="H458" s="40" t="str">
        <f>especies_ativa_codibama[[#This Row],[Nome científico]]</f>
        <v>Salacia arborea</v>
      </c>
    </row>
    <row r="459" spans="1:8" x14ac:dyDescent="0.25">
      <c r="A459">
        <v>32563</v>
      </c>
      <c r="B459" t="s">
        <v>106</v>
      </c>
      <c r="C459" t="s">
        <v>2636</v>
      </c>
      <c r="D459" t="s">
        <v>126</v>
      </c>
      <c r="E459">
        <v>2024959</v>
      </c>
      <c r="F459" s="24">
        <f>especies_ativa_codibama[[#This Row],[Código]]</f>
        <v>32563</v>
      </c>
      <c r="G459" s="40" t="str">
        <f>especies_ativa_codibama[[#This Row],[Nome popular]]</f>
        <v>---</v>
      </c>
      <c r="H459" s="40" t="str">
        <f>especies_ativa_codibama[[#This Row],[Nome científico]]</f>
        <v>Monteverdia floribunda</v>
      </c>
    </row>
    <row r="460" spans="1:8" x14ac:dyDescent="0.25">
      <c r="A460">
        <v>32565</v>
      </c>
      <c r="B460" t="s">
        <v>2637</v>
      </c>
      <c r="C460" t="s">
        <v>662</v>
      </c>
      <c r="D460" t="s">
        <v>38</v>
      </c>
      <c r="E460">
        <v>33173</v>
      </c>
      <c r="F460" s="24">
        <f>especies_ativa_codibama[[#This Row],[Código]]</f>
        <v>32565</v>
      </c>
      <c r="G460" s="40" t="str">
        <f>especies_ativa_codibama[[#This Row],[Nome popular]]</f>
        <v>bacopará­, bacupará­, sapota-de-guará</v>
      </c>
      <c r="H460" s="40" t="str">
        <f>especies_ativa_codibama[[#This Row],[Nome científico]]</f>
        <v>Salacia crassifolia</v>
      </c>
    </row>
    <row r="461" spans="1:8" x14ac:dyDescent="0.25">
      <c r="A461">
        <v>32567</v>
      </c>
      <c r="B461" t="s">
        <v>2638</v>
      </c>
      <c r="C461" t="s">
        <v>663</v>
      </c>
      <c r="D461" t="s">
        <v>38</v>
      </c>
      <c r="E461">
        <v>35586</v>
      </c>
      <c r="F461" s="24">
        <f>especies_ativa_codibama[[#This Row],[Código]]</f>
        <v>32567</v>
      </c>
      <c r="G461" s="40" t="str">
        <f>especies_ativa_codibama[[#This Row],[Nome popular]]</f>
        <v>bacuparí, laranjinha-do-mato, sete-capas, SIPUTÃ</v>
      </c>
      <c r="H461" s="40" t="str">
        <f>especies_ativa_codibama[[#This Row],[Nome científico]]</f>
        <v>Salacia elliptica</v>
      </c>
    </row>
    <row r="462" spans="1:8" x14ac:dyDescent="0.25">
      <c r="A462">
        <v>32568</v>
      </c>
      <c r="B462" t="s">
        <v>2639</v>
      </c>
      <c r="C462" t="s">
        <v>664</v>
      </c>
      <c r="D462" t="s">
        <v>38</v>
      </c>
      <c r="E462">
        <v>35335</v>
      </c>
      <c r="F462" s="24">
        <f>especies_ativa_codibama[[#This Row],[Código]]</f>
        <v>32568</v>
      </c>
      <c r="G462" s="40" t="str">
        <f>especies_ativa_codibama[[#This Row],[Nome popular]]</f>
        <v>bacupará­, pitombinha</v>
      </c>
      <c r="H462" s="40" t="str">
        <f>especies_ativa_codibama[[#This Row],[Nome científico]]</f>
        <v>Cheiloclinium cognatum</v>
      </c>
    </row>
    <row r="463" spans="1:8" x14ac:dyDescent="0.25">
      <c r="A463">
        <v>32570</v>
      </c>
      <c r="B463" t="s">
        <v>665</v>
      </c>
      <c r="C463" t="s">
        <v>666</v>
      </c>
      <c r="D463" t="s">
        <v>38</v>
      </c>
      <c r="E463">
        <v>2024553</v>
      </c>
      <c r="F463" s="24">
        <f>especies_ativa_codibama[[#This Row],[Código]]</f>
        <v>32570</v>
      </c>
      <c r="G463" s="40" t="str">
        <f>especies_ativa_codibama[[#This Row],[Nome popular]]</f>
        <v>bom-nome, cabelo-de-nego, pau-de-colher</v>
      </c>
      <c r="H463" s="40" t="str">
        <f>especies_ativa_codibama[[#This Row],[Nome científico]]</f>
        <v>Monteverdia rigida</v>
      </c>
    </row>
    <row r="464" spans="1:8" x14ac:dyDescent="0.25">
      <c r="A464">
        <v>32580</v>
      </c>
      <c r="B464" t="s">
        <v>667</v>
      </c>
      <c r="C464" t="s">
        <v>668</v>
      </c>
      <c r="D464" t="s">
        <v>38</v>
      </c>
      <c r="E464">
        <v>35078</v>
      </c>
      <c r="F464" s="24">
        <f>especies_ativa_codibama[[#This Row],[Código]]</f>
        <v>32580</v>
      </c>
      <c r="G464" s="40" t="str">
        <f>especies_ativa_codibama[[#This Row],[Nome popular]]</f>
        <v>Marmeleiro, mangabara</v>
      </c>
      <c r="H464" s="40" t="str">
        <f>especies_ativa_codibama[[#This Row],[Nome científico]]</f>
        <v>Plenckia populnea</v>
      </c>
    </row>
    <row r="465" spans="1:8" x14ac:dyDescent="0.25">
      <c r="A465">
        <v>32582</v>
      </c>
      <c r="B465" t="s">
        <v>669</v>
      </c>
      <c r="C465" t="s">
        <v>670</v>
      </c>
      <c r="D465" t="s">
        <v>38</v>
      </c>
      <c r="E465">
        <v>2009812</v>
      </c>
      <c r="F465" s="24">
        <f>especies_ativa_codibama[[#This Row],[Código]]</f>
        <v>32582</v>
      </c>
      <c r="G465" s="40" t="str">
        <f>especies_ativa_codibama[[#This Row],[Nome popular]]</f>
        <v>pau-vidro, pau-branco</v>
      </c>
      <c r="H465" s="40" t="str">
        <f>especies_ativa_codibama[[#This Row],[Nome científico]]</f>
        <v>Fraunhofera multiflora</v>
      </c>
    </row>
    <row r="466" spans="1:8" x14ac:dyDescent="0.25">
      <c r="A466">
        <v>32587</v>
      </c>
      <c r="B466" t="s">
        <v>2591</v>
      </c>
      <c r="C466" t="s">
        <v>2640</v>
      </c>
      <c r="D466" t="s">
        <v>38</v>
      </c>
      <c r="E466">
        <v>2024822</v>
      </c>
      <c r="F466" s="24">
        <f>especies_ativa_codibama[[#This Row],[Código]]</f>
        <v>32587</v>
      </c>
      <c r="G466" s="40" t="str">
        <f>especies_ativa_codibama[[#This Row],[Nome popular]]</f>
        <v>cafezinho</v>
      </c>
      <c r="H466" s="40" t="str">
        <f>especies_ativa_codibama[[#This Row],[Nome científico]]</f>
        <v>Monteverdia gonoclada</v>
      </c>
    </row>
    <row r="467" spans="1:8" x14ac:dyDescent="0.25">
      <c r="A467">
        <v>32591</v>
      </c>
      <c r="B467" t="s">
        <v>106</v>
      </c>
      <c r="C467" t="s">
        <v>671</v>
      </c>
      <c r="D467" t="s">
        <v>324</v>
      </c>
      <c r="E467">
        <v>33659</v>
      </c>
      <c r="F467" s="24">
        <f>especies_ativa_codibama[[#This Row],[Código]]</f>
        <v>32591</v>
      </c>
      <c r="G467" s="40" t="str">
        <f>especies_ativa_codibama[[#This Row],[Nome popular]]</f>
        <v>---</v>
      </c>
      <c r="H467" s="40" t="str">
        <f>especies_ativa_codibama[[#This Row],[Nome científico]]</f>
        <v>Maytenus boaria</v>
      </c>
    </row>
    <row r="468" spans="1:8" x14ac:dyDescent="0.25">
      <c r="A468">
        <v>32593</v>
      </c>
      <c r="B468" t="s">
        <v>106</v>
      </c>
      <c r="C468" t="s">
        <v>672</v>
      </c>
      <c r="D468" t="s">
        <v>38</v>
      </c>
      <c r="E468">
        <v>33600</v>
      </c>
      <c r="F468" s="24">
        <f>especies_ativa_codibama[[#This Row],[Código]]</f>
        <v>32593</v>
      </c>
      <c r="G468" s="40" t="str">
        <f>especies_ativa_codibama[[#This Row],[Nome popular]]</f>
        <v>---</v>
      </c>
      <c r="H468" s="40" t="str">
        <f>especies_ativa_codibama[[#This Row],[Nome científico]]</f>
        <v>Hedyosmum brasiliense</v>
      </c>
    </row>
    <row r="469" spans="1:8" x14ac:dyDescent="0.25">
      <c r="A469">
        <v>32594</v>
      </c>
      <c r="B469" t="s">
        <v>673</v>
      </c>
      <c r="C469" t="s">
        <v>674</v>
      </c>
      <c r="D469" t="s">
        <v>196</v>
      </c>
      <c r="E469">
        <v>35950</v>
      </c>
      <c r="F469" s="24">
        <f>especies_ativa_codibama[[#This Row],[Código]]</f>
        <v>32594</v>
      </c>
      <c r="G469" s="40" t="str">
        <f>especies_ativa_codibama[[#This Row],[Nome popular]]</f>
        <v>oiti boi, milho torrado da folha larga</v>
      </c>
      <c r="H469" s="40" t="str">
        <f>especies_ativa_codibama[[#This Row],[Nome científico]]</f>
        <v>Couepia schottii</v>
      </c>
    </row>
    <row r="470" spans="1:8" x14ac:dyDescent="0.25">
      <c r="A470">
        <v>32597</v>
      </c>
      <c r="B470" t="s">
        <v>106</v>
      </c>
      <c r="C470" t="s">
        <v>675</v>
      </c>
      <c r="D470" t="s">
        <v>196</v>
      </c>
      <c r="E470">
        <v>33014</v>
      </c>
      <c r="F470" s="24">
        <f>especies_ativa_codibama[[#This Row],[Código]]</f>
        <v>32597</v>
      </c>
      <c r="G470" s="40" t="str">
        <f>especies_ativa_codibama[[#This Row],[Nome popular]]</f>
        <v>---</v>
      </c>
      <c r="H470" s="40" t="str">
        <f>especies_ativa_codibama[[#This Row],[Nome científico]]</f>
        <v>Hirtella insignis</v>
      </c>
    </row>
    <row r="471" spans="1:8" x14ac:dyDescent="0.25">
      <c r="A471">
        <v>32598</v>
      </c>
      <c r="B471" t="s">
        <v>106</v>
      </c>
      <c r="C471" t="s">
        <v>676</v>
      </c>
      <c r="D471" t="s">
        <v>196</v>
      </c>
      <c r="E471">
        <v>34269</v>
      </c>
      <c r="F471" s="24">
        <f>especies_ativa_codibama[[#This Row],[Código]]</f>
        <v>32598</v>
      </c>
      <c r="G471" s="40" t="str">
        <f>especies_ativa_codibama[[#This Row],[Nome popular]]</f>
        <v>---</v>
      </c>
      <c r="H471" s="40" t="str">
        <f>especies_ativa_codibama[[#This Row],[Nome científico]]</f>
        <v>Licania belemii</v>
      </c>
    </row>
    <row r="472" spans="1:8" x14ac:dyDescent="0.25">
      <c r="A472">
        <v>32599</v>
      </c>
      <c r="B472" t="s">
        <v>106</v>
      </c>
      <c r="C472" t="s">
        <v>677</v>
      </c>
      <c r="D472" t="s">
        <v>196</v>
      </c>
      <c r="E472">
        <v>33907</v>
      </c>
      <c r="F472" s="24">
        <f>especies_ativa_codibama[[#This Row],[Código]]</f>
        <v>32599</v>
      </c>
      <c r="G472" s="40" t="str">
        <f>especies_ativa_codibama[[#This Row],[Nome popular]]</f>
        <v>---</v>
      </c>
      <c r="H472" s="40" t="str">
        <f>especies_ativa_codibama[[#This Row],[Nome científico]]</f>
        <v>Parinari brasiliensis</v>
      </c>
    </row>
    <row r="473" spans="1:8" x14ac:dyDescent="0.25">
      <c r="A473">
        <v>32604</v>
      </c>
      <c r="B473" t="s">
        <v>678</v>
      </c>
      <c r="C473" t="s">
        <v>679</v>
      </c>
      <c r="D473" t="s">
        <v>79</v>
      </c>
      <c r="E473">
        <v>32818</v>
      </c>
      <c r="F473" s="24">
        <f>especies_ativa_codibama[[#This Row],[Código]]</f>
        <v>32604</v>
      </c>
      <c r="G473" s="40" t="str">
        <f>especies_ativa_codibama[[#This Row],[Nome popular]]</f>
        <v>oiti, oiti da areia, oiti tivo, fruto de coruja</v>
      </c>
      <c r="H473" s="40" t="str">
        <f>especies_ativa_codibama[[#This Row],[Nome científico]]</f>
        <v>Couepia ovalifolia</v>
      </c>
    </row>
    <row r="474" spans="1:8" x14ac:dyDescent="0.25">
      <c r="A474">
        <v>32606</v>
      </c>
      <c r="B474" t="s">
        <v>680</v>
      </c>
      <c r="C474" t="s">
        <v>681</v>
      </c>
      <c r="D474" t="s">
        <v>79</v>
      </c>
      <c r="E474">
        <v>36072</v>
      </c>
      <c r="F474" s="24">
        <f>especies_ativa_codibama[[#This Row],[Código]]</f>
        <v>32606</v>
      </c>
      <c r="G474" s="40" t="str">
        <f>especies_ativa_codibama[[#This Row],[Nome popular]]</f>
        <v>Oiti, Oitizeiro, Oiti-coró</v>
      </c>
      <c r="H474" s="40" t="str">
        <f>especies_ativa_codibama[[#This Row],[Nome científico]]</f>
        <v>Licania salzmannii</v>
      </c>
    </row>
    <row r="475" spans="1:8" x14ac:dyDescent="0.25">
      <c r="A475">
        <v>32607</v>
      </c>
      <c r="B475" t="s">
        <v>682</v>
      </c>
      <c r="C475" t="s">
        <v>683</v>
      </c>
      <c r="D475" t="s">
        <v>79</v>
      </c>
      <c r="E475">
        <v>34796</v>
      </c>
      <c r="F475" s="24">
        <f>especies_ativa_codibama[[#This Row],[Código]]</f>
        <v>32607</v>
      </c>
      <c r="G475" s="40" t="str">
        <f>especies_ativa_codibama[[#This Row],[Nome popular]]</f>
        <v>oiti-coro, oiti-verdadeiro</v>
      </c>
      <c r="H475" s="40" t="str">
        <f>especies_ativa_codibama[[#This Row],[Nome científico]]</f>
        <v>Couepia rufa</v>
      </c>
    </row>
    <row r="476" spans="1:8" x14ac:dyDescent="0.25">
      <c r="A476">
        <v>32627</v>
      </c>
      <c r="B476" t="s">
        <v>106</v>
      </c>
      <c r="C476" t="s">
        <v>684</v>
      </c>
      <c r="D476" t="s">
        <v>79</v>
      </c>
      <c r="E476">
        <v>35462</v>
      </c>
      <c r="F476" s="24">
        <f>especies_ativa_codibama[[#This Row],[Código]]</f>
        <v>32627</v>
      </c>
      <c r="G476" s="40" t="str">
        <f>especies_ativa_codibama[[#This Row],[Nome popular]]</f>
        <v>---</v>
      </c>
      <c r="H476" s="40" t="str">
        <f>especies_ativa_codibama[[#This Row],[Nome científico]]</f>
        <v>Licania tomentosa</v>
      </c>
    </row>
    <row r="477" spans="1:8" x14ac:dyDescent="0.25">
      <c r="A477">
        <v>32628</v>
      </c>
      <c r="B477" t="s">
        <v>106</v>
      </c>
      <c r="C477" t="s">
        <v>685</v>
      </c>
      <c r="D477" t="s">
        <v>79</v>
      </c>
      <c r="E477">
        <v>34634</v>
      </c>
      <c r="F477" s="24">
        <f>especies_ativa_codibama[[#This Row],[Código]]</f>
        <v>32628</v>
      </c>
      <c r="G477" s="40" t="str">
        <f>especies_ativa_codibama[[#This Row],[Nome popular]]</f>
        <v>---</v>
      </c>
      <c r="H477" s="40" t="str">
        <f>especies_ativa_codibama[[#This Row],[Nome científico]]</f>
        <v>Hirtella bahiensis</v>
      </c>
    </row>
    <row r="478" spans="1:8" x14ac:dyDescent="0.25">
      <c r="A478">
        <v>32631</v>
      </c>
      <c r="B478" t="s">
        <v>2641</v>
      </c>
      <c r="C478" t="s">
        <v>686</v>
      </c>
      <c r="D478" t="s">
        <v>79</v>
      </c>
      <c r="E478">
        <v>32160</v>
      </c>
      <c r="F478" s="24">
        <f>especies_ativa_codibama[[#This Row],[Código]]</f>
        <v>32631</v>
      </c>
      <c r="G478" s="40" t="str">
        <f>especies_ativa_codibama[[#This Row],[Nome popular]]</f>
        <v>bafo-de-vaca</v>
      </c>
      <c r="H478" s="40" t="str">
        <f>especies_ativa_codibama[[#This Row],[Nome científico]]</f>
        <v>Licania spicata</v>
      </c>
    </row>
    <row r="479" spans="1:8" x14ac:dyDescent="0.25">
      <c r="A479">
        <v>32636</v>
      </c>
      <c r="B479" t="s">
        <v>106</v>
      </c>
      <c r="C479" t="s">
        <v>687</v>
      </c>
      <c r="D479" t="s">
        <v>126</v>
      </c>
      <c r="E479">
        <v>32724</v>
      </c>
      <c r="F479" s="24">
        <f>especies_ativa_codibama[[#This Row],[Código]]</f>
        <v>32636</v>
      </c>
      <c r="G479" s="40" t="str">
        <f>especies_ativa_codibama[[#This Row],[Nome popular]]</f>
        <v>---</v>
      </c>
      <c r="H479" s="40" t="str">
        <f>especies_ativa_codibama[[#This Row],[Nome científico]]</f>
        <v>Licania gardneri</v>
      </c>
    </row>
    <row r="480" spans="1:8" x14ac:dyDescent="0.25">
      <c r="A480">
        <v>32638</v>
      </c>
      <c r="B480" t="s">
        <v>106</v>
      </c>
      <c r="C480" t="s">
        <v>688</v>
      </c>
      <c r="D480" t="s">
        <v>126</v>
      </c>
      <c r="E480">
        <v>33015</v>
      </c>
      <c r="F480" s="24">
        <f>especies_ativa_codibama[[#This Row],[Código]]</f>
        <v>32638</v>
      </c>
      <c r="G480" s="40" t="str">
        <f>especies_ativa_codibama[[#This Row],[Nome popular]]</f>
        <v>---</v>
      </c>
      <c r="H480" s="40" t="str">
        <f>especies_ativa_codibama[[#This Row],[Nome científico]]</f>
        <v>Hirtella racemosa</v>
      </c>
    </row>
    <row r="481" spans="1:8" x14ac:dyDescent="0.25">
      <c r="A481">
        <v>32643</v>
      </c>
      <c r="B481" t="s">
        <v>689</v>
      </c>
      <c r="C481" t="s">
        <v>690</v>
      </c>
      <c r="D481" t="s">
        <v>38</v>
      </c>
      <c r="E481">
        <v>33349</v>
      </c>
      <c r="F481" s="24">
        <f>especies_ativa_codibama[[#This Row],[Código]]</f>
        <v>32643</v>
      </c>
      <c r="G481" s="40" t="str">
        <f>especies_ativa_codibama[[#This Row],[Nome popular]]</f>
        <v>caripé vermelho</v>
      </c>
      <c r="H481" s="40" t="str">
        <f>especies_ativa_codibama[[#This Row],[Nome científico]]</f>
        <v>Licania sclerophylla</v>
      </c>
    </row>
    <row r="482" spans="1:8" x14ac:dyDescent="0.25">
      <c r="A482">
        <v>32648</v>
      </c>
      <c r="B482" t="s">
        <v>691</v>
      </c>
      <c r="C482" t="s">
        <v>692</v>
      </c>
      <c r="D482" t="s">
        <v>38</v>
      </c>
      <c r="E482">
        <v>1532848</v>
      </c>
      <c r="F482" s="24">
        <f>especies_ativa_codibama[[#This Row],[Código]]</f>
        <v>32648</v>
      </c>
      <c r="G482" s="40" t="str">
        <f>especies_ativa_codibama[[#This Row],[Nome popular]]</f>
        <v>caripé-preto, caripé, uchi-de-cotia</v>
      </c>
      <c r="H482" s="40" t="str">
        <f>especies_ativa_codibama[[#This Row],[Nome científico]]</f>
        <v>Licania longistyla</v>
      </c>
    </row>
    <row r="483" spans="1:8" x14ac:dyDescent="0.25">
      <c r="A483">
        <v>32649</v>
      </c>
      <c r="B483" t="s">
        <v>693</v>
      </c>
      <c r="C483" t="s">
        <v>694</v>
      </c>
      <c r="D483" t="s">
        <v>38</v>
      </c>
      <c r="E483">
        <v>35425</v>
      </c>
      <c r="F483" s="24">
        <f>especies_ativa_codibama[[#This Row],[Código]]</f>
        <v>32649</v>
      </c>
      <c r="G483" s="40" t="str">
        <f>especies_ativa_codibama[[#This Row],[Nome popular]]</f>
        <v>cinzeiro, pau-de-lixa</v>
      </c>
      <c r="H483" s="40" t="str">
        <f>especies_ativa_codibama[[#This Row],[Nome científico]]</f>
        <v>Hirtella hebeclada</v>
      </c>
    </row>
    <row r="484" spans="1:8" x14ac:dyDescent="0.25">
      <c r="A484">
        <v>32650</v>
      </c>
      <c r="B484" t="s">
        <v>695</v>
      </c>
      <c r="C484" t="s">
        <v>696</v>
      </c>
      <c r="D484" t="s">
        <v>38</v>
      </c>
      <c r="E484">
        <v>31682</v>
      </c>
      <c r="F484" s="24">
        <f>especies_ativa_codibama[[#This Row],[Código]]</f>
        <v>32650</v>
      </c>
      <c r="G484" s="40" t="str">
        <f>especies_ativa_codibama[[#This Row],[Nome popular]]</f>
        <v>fruta da ema, oiti, utira, farinha seca</v>
      </c>
      <c r="H484" s="40" t="str">
        <f>especies_ativa_codibama[[#This Row],[Nome científico]]</f>
        <v>Couepia grandiflora</v>
      </c>
    </row>
    <row r="485" spans="1:8" x14ac:dyDescent="0.25">
      <c r="A485">
        <v>32654</v>
      </c>
      <c r="B485" t="s">
        <v>697</v>
      </c>
      <c r="C485" t="s">
        <v>698</v>
      </c>
      <c r="D485" t="s">
        <v>38</v>
      </c>
      <c r="E485">
        <v>32303</v>
      </c>
      <c r="F485" s="24">
        <f>especies_ativa_codibama[[#This Row],[Código]]</f>
        <v>32654</v>
      </c>
      <c r="G485" s="40" t="str">
        <f>especies_ativa_codibama[[#This Row],[Nome popular]]</f>
        <v>Guajiru, Ajurú-branco</v>
      </c>
      <c r="H485" s="40" t="str">
        <f>especies_ativa_codibama[[#This Row],[Nome científico]]</f>
        <v>Chrysobalanus icaco</v>
      </c>
    </row>
    <row r="486" spans="1:8" x14ac:dyDescent="0.25">
      <c r="A486">
        <v>32655</v>
      </c>
      <c r="B486" t="s">
        <v>699</v>
      </c>
      <c r="C486" t="s">
        <v>700</v>
      </c>
      <c r="D486" t="s">
        <v>38</v>
      </c>
      <c r="E486">
        <v>1052008</v>
      </c>
      <c r="F486" s="24">
        <f>especies_ativa_codibama[[#This Row],[Código]]</f>
        <v>32655</v>
      </c>
      <c r="G486" s="40" t="str">
        <f>especies_ativa_codibama[[#This Row],[Nome popular]]</f>
        <v>macucu chiador</v>
      </c>
      <c r="H486" s="40" t="str">
        <f>especies_ativa_codibama[[#This Row],[Nome científico]]</f>
        <v>Licania canescens</v>
      </c>
    </row>
    <row r="487" spans="1:8" x14ac:dyDescent="0.25">
      <c r="A487">
        <v>32659</v>
      </c>
      <c r="B487" t="s">
        <v>701</v>
      </c>
      <c r="C487" t="s">
        <v>702</v>
      </c>
      <c r="D487" t="s">
        <v>38</v>
      </c>
      <c r="E487">
        <v>33047</v>
      </c>
      <c r="F487" s="24">
        <f>especies_ativa_codibama[[#This Row],[Código]]</f>
        <v>32659</v>
      </c>
      <c r="G487" s="40" t="str">
        <f>especies_ativa_codibama[[#This Row],[Nome popular]]</f>
        <v>marmelito-do-campo</v>
      </c>
      <c r="H487" s="40" t="str">
        <f>especies_ativa_codibama[[#This Row],[Nome científico]]</f>
        <v>Licania humilis</v>
      </c>
    </row>
    <row r="488" spans="1:8" x14ac:dyDescent="0.25">
      <c r="A488">
        <v>32660</v>
      </c>
      <c r="B488" t="s">
        <v>703</v>
      </c>
      <c r="C488" t="s">
        <v>704</v>
      </c>
      <c r="D488" t="s">
        <v>38</v>
      </c>
      <c r="E488">
        <v>34177</v>
      </c>
      <c r="F488" s="24">
        <f>especies_ativa_codibama[[#This Row],[Código]]</f>
        <v>32660</v>
      </c>
      <c r="G488" s="40" t="str">
        <f>especies_ativa_codibama[[#This Row],[Nome popular]]</f>
        <v>pajurazinho, caraipe, pajura, oiti, uchira, umarira</v>
      </c>
      <c r="H488" s="40" t="str">
        <f>especies_ativa_codibama[[#This Row],[Nome científico]]</f>
        <v>Couepia paraensis</v>
      </c>
    </row>
    <row r="489" spans="1:8" x14ac:dyDescent="0.25">
      <c r="A489">
        <v>32661</v>
      </c>
      <c r="B489" t="s">
        <v>705</v>
      </c>
      <c r="C489" t="s">
        <v>706</v>
      </c>
      <c r="D489" t="s">
        <v>38</v>
      </c>
      <c r="E489">
        <v>33947</v>
      </c>
      <c r="F489" s="24">
        <f>especies_ativa_codibama[[#This Row],[Código]]</f>
        <v>32661</v>
      </c>
      <c r="G489" s="40" t="str">
        <f>especies_ativa_codibama[[#This Row],[Nome popular]]</f>
        <v>pateiro, acici, assissi, marmelada, oiti, oiti, uiti</v>
      </c>
      <c r="H489" s="40" t="str">
        <f>especies_ativa_codibama[[#This Row],[Nome científico]]</f>
        <v>Couepia uiti</v>
      </c>
    </row>
    <row r="490" spans="1:8" x14ac:dyDescent="0.25">
      <c r="A490">
        <v>32662</v>
      </c>
      <c r="B490" t="s">
        <v>707</v>
      </c>
      <c r="C490" t="s">
        <v>708</v>
      </c>
      <c r="D490" t="s">
        <v>38</v>
      </c>
      <c r="E490">
        <v>33049</v>
      </c>
      <c r="F490" s="24">
        <f>especies_ativa_codibama[[#This Row],[Código]]</f>
        <v>32662</v>
      </c>
      <c r="G490" s="40" t="str">
        <f>especies_ativa_codibama[[#This Row],[Nome popular]]</f>
        <v>pintadinha, macucú-farinha-seca</v>
      </c>
      <c r="H490" s="40" t="str">
        <f>especies_ativa_codibama[[#This Row],[Nome científico]]</f>
        <v>Licania micrantha</v>
      </c>
    </row>
    <row r="491" spans="1:8" x14ac:dyDescent="0.25">
      <c r="A491">
        <v>32663</v>
      </c>
      <c r="B491" t="s">
        <v>709</v>
      </c>
      <c r="C491" t="s">
        <v>710</v>
      </c>
      <c r="D491" t="s">
        <v>38</v>
      </c>
      <c r="E491">
        <v>34322</v>
      </c>
      <c r="F491" s="24">
        <f>especies_ativa_codibama[[#This Row],[Código]]</f>
        <v>32663</v>
      </c>
      <c r="G491" s="40" t="str">
        <f>especies_ativa_codibama[[#This Row],[Nome popular]]</f>
        <v>Uchira</v>
      </c>
      <c r="H491" s="40" t="str">
        <f>especies_ativa_codibama[[#This Row],[Nome científico]]</f>
        <v>Parinari excelsa</v>
      </c>
    </row>
    <row r="492" spans="1:8" x14ac:dyDescent="0.25">
      <c r="A492">
        <v>32664</v>
      </c>
      <c r="B492" t="s">
        <v>106</v>
      </c>
      <c r="C492" t="s">
        <v>711</v>
      </c>
      <c r="D492" t="s">
        <v>38</v>
      </c>
      <c r="E492">
        <v>32406</v>
      </c>
      <c r="F492" s="24">
        <f>especies_ativa_codibama[[#This Row],[Código]]</f>
        <v>32664</v>
      </c>
      <c r="G492" s="40" t="str">
        <f>especies_ativa_codibama[[#This Row],[Nome popular]]</f>
        <v>---</v>
      </c>
      <c r="H492" s="40" t="str">
        <f>especies_ativa_codibama[[#This Row],[Nome científico]]</f>
        <v>Hirtella martiana</v>
      </c>
    </row>
    <row r="493" spans="1:8" x14ac:dyDescent="0.25">
      <c r="A493">
        <v>32665</v>
      </c>
      <c r="B493" t="s">
        <v>106</v>
      </c>
      <c r="C493" t="s">
        <v>712</v>
      </c>
      <c r="D493" t="s">
        <v>38</v>
      </c>
      <c r="E493">
        <v>33959</v>
      </c>
      <c r="F493" s="24">
        <f>especies_ativa_codibama[[#This Row],[Código]]</f>
        <v>32665</v>
      </c>
      <c r="G493" s="40" t="str">
        <f>especies_ativa_codibama[[#This Row],[Nome popular]]</f>
        <v>---</v>
      </c>
      <c r="H493" s="40" t="str">
        <f>especies_ativa_codibama[[#This Row],[Nome científico]]</f>
        <v>Exellodendron cordatum</v>
      </c>
    </row>
    <row r="494" spans="1:8" x14ac:dyDescent="0.25">
      <c r="A494">
        <v>32666</v>
      </c>
      <c r="B494" t="s">
        <v>106</v>
      </c>
      <c r="C494" t="s">
        <v>713</v>
      </c>
      <c r="D494" t="s">
        <v>38</v>
      </c>
      <c r="E494">
        <v>1052045</v>
      </c>
      <c r="F494" s="24">
        <f>especies_ativa_codibama[[#This Row],[Código]]</f>
        <v>32666</v>
      </c>
      <c r="G494" s="40" t="str">
        <f>especies_ativa_codibama[[#This Row],[Nome popular]]</f>
        <v>---</v>
      </c>
      <c r="H494" s="40" t="str">
        <f>especies_ativa_codibama[[#This Row],[Nome científico]]</f>
        <v>Licania nitida</v>
      </c>
    </row>
    <row r="495" spans="1:8" x14ac:dyDescent="0.25">
      <c r="A495">
        <v>32669</v>
      </c>
      <c r="B495" t="s">
        <v>106</v>
      </c>
      <c r="C495" t="s">
        <v>714</v>
      </c>
      <c r="D495" t="s">
        <v>38</v>
      </c>
      <c r="E495">
        <v>36070</v>
      </c>
      <c r="F495" s="24">
        <f>especies_ativa_codibama[[#This Row],[Código]]</f>
        <v>32669</v>
      </c>
      <c r="G495" s="40" t="str">
        <f>especies_ativa_codibama[[#This Row],[Nome popular]]</f>
        <v>---</v>
      </c>
      <c r="H495" s="40" t="str">
        <f>especies_ativa_codibama[[#This Row],[Nome científico]]</f>
        <v>Licania littoralis</v>
      </c>
    </row>
    <row r="496" spans="1:8" x14ac:dyDescent="0.25">
      <c r="A496">
        <v>32683</v>
      </c>
      <c r="B496" t="s">
        <v>2642</v>
      </c>
      <c r="C496" t="s">
        <v>2643</v>
      </c>
      <c r="D496" t="s">
        <v>38</v>
      </c>
      <c r="E496">
        <v>2024958</v>
      </c>
      <c r="F496" s="24">
        <f>especies_ativa_codibama[[#This Row],[Código]]</f>
        <v>32683</v>
      </c>
      <c r="G496" s="40" t="str">
        <f>especies_ativa_codibama[[#This Row],[Nome popular]]</f>
        <v>macucu</v>
      </c>
      <c r="H496" s="40" t="str">
        <f>especies_ativa_codibama[[#This Row],[Nome científico]]</f>
        <v>Leptobalanus apetalus</v>
      </c>
    </row>
    <row r="497" spans="1:8" x14ac:dyDescent="0.25">
      <c r="A497">
        <v>32689</v>
      </c>
      <c r="B497" t="s">
        <v>106</v>
      </c>
      <c r="C497" t="s">
        <v>2644</v>
      </c>
      <c r="D497" t="s">
        <v>38</v>
      </c>
      <c r="E497">
        <v>2024952</v>
      </c>
      <c r="F497" s="24">
        <f>especies_ativa_codibama[[#This Row],[Código]]</f>
        <v>32689</v>
      </c>
      <c r="G497" s="40" t="str">
        <f>especies_ativa_codibama[[#This Row],[Nome popular]]</f>
        <v>---</v>
      </c>
      <c r="H497" s="40" t="str">
        <f>especies_ativa_codibama[[#This Row],[Nome científico]]</f>
        <v>Leptobalanus octandrus</v>
      </c>
    </row>
    <row r="498" spans="1:8" x14ac:dyDescent="0.25">
      <c r="A498">
        <v>32693</v>
      </c>
      <c r="B498" t="s">
        <v>106</v>
      </c>
      <c r="C498" t="s">
        <v>123</v>
      </c>
      <c r="D498" t="s">
        <v>38</v>
      </c>
      <c r="E498">
        <v>34884</v>
      </c>
      <c r="F498" s="24">
        <f>especies_ativa_codibama[[#This Row],[Código]]</f>
        <v>32693</v>
      </c>
      <c r="G498" s="40" t="str">
        <f>especies_ativa_codibama[[#This Row],[Nome popular]]</f>
        <v>---</v>
      </c>
      <c r="H498" s="40" t="str">
        <f>especies_ativa_codibama[[#This Row],[Nome científico]]</f>
        <v>Licania apetala</v>
      </c>
    </row>
    <row r="499" spans="1:8" x14ac:dyDescent="0.25">
      <c r="A499">
        <v>32695</v>
      </c>
      <c r="B499" t="s">
        <v>106</v>
      </c>
      <c r="C499" t="s">
        <v>715</v>
      </c>
      <c r="D499" t="s">
        <v>38</v>
      </c>
      <c r="E499">
        <v>33877</v>
      </c>
      <c r="F499" s="24">
        <f>especies_ativa_codibama[[#This Row],[Código]]</f>
        <v>32695</v>
      </c>
      <c r="G499" s="40" t="str">
        <f>especies_ativa_codibama[[#This Row],[Nome popular]]</f>
        <v>---</v>
      </c>
      <c r="H499" s="40" t="str">
        <f>especies_ativa_codibama[[#This Row],[Nome científico]]</f>
        <v>Moquilea tomentosa</v>
      </c>
    </row>
    <row r="500" spans="1:8" x14ac:dyDescent="0.25">
      <c r="A500">
        <v>32699</v>
      </c>
      <c r="B500" t="s">
        <v>106</v>
      </c>
      <c r="C500" t="s">
        <v>716</v>
      </c>
      <c r="D500" t="s">
        <v>38</v>
      </c>
      <c r="E500">
        <v>31797</v>
      </c>
      <c r="F500" s="24">
        <f>especies_ativa_codibama[[#This Row],[Código]]</f>
        <v>32699</v>
      </c>
      <c r="G500" s="40" t="str">
        <f>especies_ativa_codibama[[#This Row],[Nome popular]]</f>
        <v>---</v>
      </c>
      <c r="H500" s="40" t="str">
        <f>especies_ativa_codibama[[#This Row],[Nome científico]]</f>
        <v>Licania hypoleuca</v>
      </c>
    </row>
    <row r="501" spans="1:8" x14ac:dyDescent="0.25">
      <c r="A501">
        <v>32700</v>
      </c>
      <c r="B501" t="s">
        <v>106</v>
      </c>
      <c r="C501" t="s">
        <v>717</v>
      </c>
      <c r="D501" t="s">
        <v>38</v>
      </c>
      <c r="E501">
        <v>34273</v>
      </c>
      <c r="F501" s="24">
        <f>especies_ativa_codibama[[#This Row],[Código]]</f>
        <v>32700</v>
      </c>
      <c r="G501" s="40" t="str">
        <f>especies_ativa_codibama[[#This Row],[Nome popular]]</f>
        <v>---</v>
      </c>
      <c r="H501" s="40" t="str">
        <f>especies_ativa_codibama[[#This Row],[Nome científico]]</f>
        <v>Licania octandra</v>
      </c>
    </row>
    <row r="502" spans="1:8" x14ac:dyDescent="0.25">
      <c r="A502">
        <v>32710</v>
      </c>
      <c r="B502" t="s">
        <v>106</v>
      </c>
      <c r="C502" t="s">
        <v>718</v>
      </c>
      <c r="D502" t="s">
        <v>38</v>
      </c>
      <c r="E502">
        <v>36034</v>
      </c>
      <c r="F502" s="24">
        <f>especies_ativa_codibama[[#This Row],[Código]]</f>
        <v>32710</v>
      </c>
      <c r="G502" s="40" t="str">
        <f>especies_ativa_codibama[[#This Row],[Nome popular]]</f>
        <v>---</v>
      </c>
      <c r="H502" s="40" t="str">
        <f>especies_ativa_codibama[[#This Row],[Nome científico]]</f>
        <v>Hirtella piresii</v>
      </c>
    </row>
    <row r="503" spans="1:8" x14ac:dyDescent="0.25">
      <c r="A503">
        <v>32711</v>
      </c>
      <c r="B503" t="s">
        <v>106</v>
      </c>
      <c r="C503" t="s">
        <v>719</v>
      </c>
      <c r="D503" t="s">
        <v>38</v>
      </c>
      <c r="E503">
        <v>1051954</v>
      </c>
      <c r="F503" s="24">
        <f>especies_ativa_codibama[[#This Row],[Código]]</f>
        <v>32711</v>
      </c>
      <c r="G503" s="40" t="str">
        <f>especies_ativa_codibama[[#This Row],[Nome popular]]</f>
        <v>---</v>
      </c>
      <c r="H503" s="40" t="str">
        <f>especies_ativa_codibama[[#This Row],[Nome científico]]</f>
        <v>Licania caudata</v>
      </c>
    </row>
    <row r="504" spans="1:8" x14ac:dyDescent="0.25">
      <c r="A504">
        <v>32712</v>
      </c>
      <c r="B504" t="s">
        <v>106</v>
      </c>
      <c r="C504" t="s">
        <v>720</v>
      </c>
      <c r="D504" t="s">
        <v>38</v>
      </c>
      <c r="E504">
        <v>36071</v>
      </c>
      <c r="F504" s="24">
        <f>especies_ativa_codibama[[#This Row],[Código]]</f>
        <v>32712</v>
      </c>
      <c r="G504" s="40" t="str">
        <f>especies_ativa_codibama[[#This Row],[Nome popular]]</f>
        <v>---</v>
      </c>
      <c r="H504" s="40" t="str">
        <f>especies_ativa_codibama[[#This Row],[Nome científico]]</f>
        <v>Licania parviflora</v>
      </c>
    </row>
    <row r="505" spans="1:8" x14ac:dyDescent="0.25">
      <c r="A505">
        <v>32714</v>
      </c>
      <c r="B505" t="s">
        <v>106</v>
      </c>
      <c r="C505" t="s">
        <v>721</v>
      </c>
      <c r="D505" t="s">
        <v>38</v>
      </c>
      <c r="E505">
        <v>36033</v>
      </c>
      <c r="F505" s="24">
        <f>especies_ativa_codibama[[#This Row],[Código]]</f>
        <v>32714</v>
      </c>
      <c r="G505" s="40" t="str">
        <f>especies_ativa_codibama[[#This Row],[Nome popular]]</f>
        <v>---</v>
      </c>
      <c r="H505" s="40" t="str">
        <f>especies_ativa_codibama[[#This Row],[Nome científico]]</f>
        <v>Hirtella ciliata</v>
      </c>
    </row>
    <row r="506" spans="1:8" x14ac:dyDescent="0.25">
      <c r="A506">
        <v>32715</v>
      </c>
      <c r="B506" t="s">
        <v>106</v>
      </c>
      <c r="C506" t="s">
        <v>722</v>
      </c>
      <c r="D506" t="s">
        <v>38</v>
      </c>
      <c r="E506">
        <v>36068</v>
      </c>
      <c r="F506" s="24">
        <f>especies_ativa_codibama[[#This Row],[Código]]</f>
        <v>32715</v>
      </c>
      <c r="G506" s="40" t="str">
        <f>especies_ativa_codibama[[#This Row],[Nome popular]]</f>
        <v>---</v>
      </c>
      <c r="H506" s="40" t="str">
        <f>especies_ativa_codibama[[#This Row],[Nome científico]]</f>
        <v>Licania blackii</v>
      </c>
    </row>
    <row r="507" spans="1:8" x14ac:dyDescent="0.25">
      <c r="A507">
        <v>32716</v>
      </c>
      <c r="B507" t="s">
        <v>106</v>
      </c>
      <c r="C507" t="s">
        <v>723</v>
      </c>
      <c r="D507" t="s">
        <v>38</v>
      </c>
      <c r="E507">
        <v>34247</v>
      </c>
      <c r="F507" s="24">
        <f>especies_ativa_codibama[[#This Row],[Código]]</f>
        <v>32716</v>
      </c>
      <c r="G507" s="40" t="str">
        <f>especies_ativa_codibama[[#This Row],[Nome popular]]</f>
        <v>---</v>
      </c>
      <c r="H507" s="40" t="str">
        <f>especies_ativa_codibama[[#This Row],[Nome científico]]</f>
        <v>Hirtella eriandra</v>
      </c>
    </row>
    <row r="508" spans="1:8" x14ac:dyDescent="0.25">
      <c r="A508">
        <v>32718</v>
      </c>
      <c r="B508" t="s">
        <v>106</v>
      </c>
      <c r="C508" t="s">
        <v>724</v>
      </c>
      <c r="D508" t="s">
        <v>38</v>
      </c>
      <c r="E508">
        <v>34270</v>
      </c>
      <c r="F508" s="24">
        <f>especies_ativa_codibama[[#This Row],[Código]]</f>
        <v>32718</v>
      </c>
      <c r="G508" s="40" t="str">
        <f>especies_ativa_codibama[[#This Row],[Nome popular]]</f>
        <v>---</v>
      </c>
      <c r="H508" s="40" t="str">
        <f>especies_ativa_codibama[[#This Row],[Nome científico]]</f>
        <v>Licania egleri</v>
      </c>
    </row>
    <row r="509" spans="1:8" x14ac:dyDescent="0.25">
      <c r="A509">
        <v>32722</v>
      </c>
      <c r="B509" t="s">
        <v>106</v>
      </c>
      <c r="C509" t="s">
        <v>725</v>
      </c>
      <c r="D509" t="s">
        <v>38</v>
      </c>
      <c r="E509">
        <v>31766</v>
      </c>
      <c r="F509" s="24">
        <f>especies_ativa_codibama[[#This Row],[Código]]</f>
        <v>32722</v>
      </c>
      <c r="G509" s="40" t="str">
        <f>especies_ativa_codibama[[#This Row],[Nome popular]]</f>
        <v>---</v>
      </c>
      <c r="H509" s="40" t="str">
        <f>especies_ativa_codibama[[#This Row],[Nome científico]]</f>
        <v>Hirtella glandulosa</v>
      </c>
    </row>
    <row r="510" spans="1:8" x14ac:dyDescent="0.25">
      <c r="A510">
        <v>32723</v>
      </c>
      <c r="B510" t="s">
        <v>106</v>
      </c>
      <c r="C510" t="s">
        <v>726</v>
      </c>
      <c r="D510" t="s">
        <v>38</v>
      </c>
      <c r="E510">
        <v>33013</v>
      </c>
      <c r="F510" s="24">
        <f>especies_ativa_codibama[[#This Row],[Código]]</f>
        <v>32723</v>
      </c>
      <c r="G510" s="40" t="str">
        <f>especies_ativa_codibama[[#This Row],[Nome popular]]</f>
        <v>---</v>
      </c>
      <c r="H510" s="40" t="str">
        <f>especies_ativa_codibama[[#This Row],[Nome científico]]</f>
        <v>Hirtella gracilipes</v>
      </c>
    </row>
    <row r="511" spans="1:8" x14ac:dyDescent="0.25">
      <c r="A511">
        <v>32725</v>
      </c>
      <c r="B511" t="s">
        <v>106</v>
      </c>
      <c r="C511" t="s">
        <v>727</v>
      </c>
      <c r="D511" t="s">
        <v>38</v>
      </c>
      <c r="E511">
        <v>34246</v>
      </c>
      <c r="F511" s="24">
        <f>especies_ativa_codibama[[#This Row],[Código]]</f>
        <v>32725</v>
      </c>
      <c r="G511" s="40" t="str">
        <f>especies_ativa_codibama[[#This Row],[Nome popular]]</f>
        <v>---</v>
      </c>
      <c r="H511" s="40" t="str">
        <f>especies_ativa_codibama[[#This Row],[Nome científico]]</f>
        <v>Hirtella bicornis</v>
      </c>
    </row>
    <row r="512" spans="1:8" x14ac:dyDescent="0.25">
      <c r="A512">
        <v>32726</v>
      </c>
      <c r="B512" t="s">
        <v>106</v>
      </c>
      <c r="C512" t="s">
        <v>728</v>
      </c>
      <c r="D512" t="s">
        <v>38</v>
      </c>
      <c r="E512">
        <v>33016</v>
      </c>
      <c r="F512" s="24">
        <f>especies_ativa_codibama[[#This Row],[Código]]</f>
        <v>32726</v>
      </c>
      <c r="G512" s="40" t="str">
        <f>especies_ativa_codibama[[#This Row],[Nome popular]]</f>
        <v>---</v>
      </c>
      <c r="H512" s="40" t="str">
        <f>especies_ativa_codibama[[#This Row],[Nome científico]]</f>
        <v>Hirtella triandra</v>
      </c>
    </row>
    <row r="513" spans="1:8" x14ac:dyDescent="0.25">
      <c r="A513">
        <v>32728</v>
      </c>
      <c r="B513" t="s">
        <v>106</v>
      </c>
      <c r="C513" t="s">
        <v>729</v>
      </c>
      <c r="D513" t="s">
        <v>38</v>
      </c>
      <c r="E513">
        <v>35156</v>
      </c>
      <c r="F513" s="24">
        <f>especies_ativa_codibama[[#This Row],[Código]]</f>
        <v>32728</v>
      </c>
      <c r="G513" s="40" t="str">
        <f>especies_ativa_codibama[[#This Row],[Nome popular]]</f>
        <v>---</v>
      </c>
      <c r="H513" s="40" t="str">
        <f>especies_ativa_codibama[[#This Row],[Nome científico]]</f>
        <v>Licania hoehnei</v>
      </c>
    </row>
    <row r="514" spans="1:8" x14ac:dyDescent="0.25">
      <c r="A514">
        <v>32734</v>
      </c>
      <c r="B514" t="s">
        <v>106</v>
      </c>
      <c r="C514" t="s">
        <v>730</v>
      </c>
      <c r="D514" t="s">
        <v>38</v>
      </c>
      <c r="E514">
        <v>31798</v>
      </c>
      <c r="F514" s="24">
        <f>especies_ativa_codibama[[#This Row],[Código]]</f>
        <v>32734</v>
      </c>
      <c r="G514" s="40" t="str">
        <f>especies_ativa_codibama[[#This Row],[Nome popular]]</f>
        <v>---</v>
      </c>
      <c r="H514" s="40" t="str">
        <f>especies_ativa_codibama[[#This Row],[Nome científico]]</f>
        <v>Licania kunthiana</v>
      </c>
    </row>
    <row r="515" spans="1:8" x14ac:dyDescent="0.25">
      <c r="A515">
        <v>32736</v>
      </c>
      <c r="B515" t="s">
        <v>106</v>
      </c>
      <c r="C515" t="s">
        <v>731</v>
      </c>
      <c r="D515" t="s">
        <v>38</v>
      </c>
      <c r="E515">
        <v>33611</v>
      </c>
      <c r="F515" s="24">
        <f>especies_ativa_codibama[[#This Row],[Código]]</f>
        <v>32736</v>
      </c>
      <c r="G515" s="40" t="str">
        <f>especies_ativa_codibama[[#This Row],[Nome popular]]</f>
        <v>---</v>
      </c>
      <c r="H515" s="40" t="str">
        <f>especies_ativa_codibama[[#This Row],[Nome científico]]</f>
        <v>Hirtella sprucei</v>
      </c>
    </row>
    <row r="516" spans="1:8" x14ac:dyDescent="0.25">
      <c r="A516">
        <v>32740</v>
      </c>
      <c r="B516" t="s">
        <v>732</v>
      </c>
      <c r="C516" t="s">
        <v>733</v>
      </c>
      <c r="D516" t="s">
        <v>196</v>
      </c>
      <c r="E516">
        <v>34544</v>
      </c>
      <c r="F516" s="24">
        <f>especies_ativa_codibama[[#This Row],[Código]]</f>
        <v>32740</v>
      </c>
      <c r="G516" s="40" t="str">
        <f>especies_ativa_codibama[[#This Row],[Nome popular]]</f>
        <v>milho torrado</v>
      </c>
      <c r="H516" s="40" t="str">
        <f>especies_ativa_codibama[[#This Row],[Nome científico]]</f>
        <v>Couepia belemii</v>
      </c>
    </row>
    <row r="517" spans="1:8" x14ac:dyDescent="0.25">
      <c r="A517">
        <v>32742</v>
      </c>
      <c r="B517" t="s">
        <v>734</v>
      </c>
      <c r="C517" t="s">
        <v>735</v>
      </c>
      <c r="D517" t="s">
        <v>126</v>
      </c>
      <c r="E517">
        <v>34162</v>
      </c>
      <c r="F517" s="24">
        <f>especies_ativa_codibama[[#This Row],[Código]]</f>
        <v>32742</v>
      </c>
      <c r="G517" s="40" t="str">
        <f>especies_ativa_codibama[[#This Row],[Nome popular]]</f>
        <v>Carne-de-vaca brasileira, Caujuja brasileira</v>
      </c>
      <c r="H517" s="40" t="str">
        <f>especies_ativa_codibama[[#This Row],[Nome científico]]</f>
        <v>Clethra scabra</v>
      </c>
    </row>
    <row r="518" spans="1:8" x14ac:dyDescent="0.25">
      <c r="A518">
        <v>32745</v>
      </c>
      <c r="B518" t="s">
        <v>2645</v>
      </c>
      <c r="C518" t="s">
        <v>2646</v>
      </c>
      <c r="D518" t="s">
        <v>196</v>
      </c>
      <c r="E518">
        <v>34782</v>
      </c>
      <c r="F518" s="24">
        <f>especies_ativa_codibama[[#This Row],[Código]]</f>
        <v>32745</v>
      </c>
      <c r="G518" s="40" t="str">
        <f>especies_ativa_codibama[[#This Row],[Nome popular]]</f>
        <v>gameleira do Brasil</v>
      </c>
      <c r="H518" s="40" t="str">
        <f>especies_ativa_codibama[[#This Row],[Nome científico]]</f>
        <v>Clusia burchellii</v>
      </c>
    </row>
    <row r="519" spans="1:8" x14ac:dyDescent="0.25">
      <c r="A519">
        <v>32755</v>
      </c>
      <c r="B519" t="s">
        <v>106</v>
      </c>
      <c r="C519" t="s">
        <v>736</v>
      </c>
      <c r="D519" t="s">
        <v>79</v>
      </c>
      <c r="E519">
        <v>1974893</v>
      </c>
      <c r="F519" s="24">
        <f>especies_ativa_codibama[[#This Row],[Código]]</f>
        <v>32755</v>
      </c>
      <c r="G519" s="40" t="str">
        <f>especies_ativa_codibama[[#This Row],[Nome popular]]</f>
        <v>---</v>
      </c>
      <c r="H519" s="40" t="str">
        <f>especies_ativa_codibama[[#This Row],[Nome científico]]</f>
        <v>Clusia hilariana</v>
      </c>
    </row>
    <row r="520" spans="1:8" x14ac:dyDescent="0.25">
      <c r="A520">
        <v>32757</v>
      </c>
      <c r="B520" t="s">
        <v>106</v>
      </c>
      <c r="C520" t="s">
        <v>737</v>
      </c>
      <c r="D520" t="s">
        <v>79</v>
      </c>
      <c r="E520">
        <v>32079</v>
      </c>
      <c r="F520" s="24">
        <f>especies_ativa_codibama[[#This Row],[Código]]</f>
        <v>32757</v>
      </c>
      <c r="G520" s="40" t="str">
        <f>especies_ativa_codibama[[#This Row],[Nome popular]]</f>
        <v>---</v>
      </c>
      <c r="H520" s="40" t="str">
        <f>especies_ativa_codibama[[#This Row],[Nome científico]]</f>
        <v>Clusia fluminensis</v>
      </c>
    </row>
    <row r="521" spans="1:8" x14ac:dyDescent="0.25">
      <c r="A521">
        <v>32759</v>
      </c>
      <c r="B521" t="s">
        <v>106</v>
      </c>
      <c r="C521" t="s">
        <v>738</v>
      </c>
      <c r="D521" t="s">
        <v>79</v>
      </c>
      <c r="E521">
        <v>34627</v>
      </c>
      <c r="F521" s="24">
        <f>especies_ativa_codibama[[#This Row],[Código]]</f>
        <v>32759</v>
      </c>
      <c r="G521" s="40" t="str">
        <f>especies_ativa_codibama[[#This Row],[Nome popular]]</f>
        <v>---</v>
      </c>
      <c r="H521" s="40" t="str">
        <f>especies_ativa_codibama[[#This Row],[Nome científico]]</f>
        <v>Tovomitopsis paniculata</v>
      </c>
    </row>
    <row r="522" spans="1:8" x14ac:dyDescent="0.25">
      <c r="A522">
        <v>32763</v>
      </c>
      <c r="B522" t="s">
        <v>106</v>
      </c>
      <c r="C522" t="s">
        <v>739</v>
      </c>
      <c r="D522" t="s">
        <v>126</v>
      </c>
      <c r="E522">
        <v>34783</v>
      </c>
      <c r="F522" s="24">
        <f>especies_ativa_codibama[[#This Row],[Código]]</f>
        <v>32763</v>
      </c>
      <c r="G522" s="40" t="str">
        <f>especies_ativa_codibama[[#This Row],[Nome popular]]</f>
        <v>---</v>
      </c>
      <c r="H522" s="40" t="str">
        <f>especies_ativa_codibama[[#This Row],[Nome científico]]</f>
        <v>Clusia criuva</v>
      </c>
    </row>
    <row r="523" spans="1:8" x14ac:dyDescent="0.25">
      <c r="A523">
        <v>32764</v>
      </c>
      <c r="B523" t="s">
        <v>740</v>
      </c>
      <c r="C523" t="s">
        <v>741</v>
      </c>
      <c r="D523" t="s">
        <v>38</v>
      </c>
      <c r="E523">
        <v>35616</v>
      </c>
      <c r="F523" s="24">
        <f>especies_ativa_codibama[[#This Row],[Código]]</f>
        <v>32764</v>
      </c>
      <c r="G523" s="40" t="str">
        <f>especies_ativa_codibama[[#This Row],[Nome popular]]</f>
        <v>Ani, aní, Guandi</v>
      </c>
      <c r="H523" s="40" t="str">
        <f>especies_ativa_codibama[[#This Row],[Nome científico]]</f>
        <v>Symphonia globulifera</v>
      </c>
    </row>
    <row r="524" spans="1:8" x14ac:dyDescent="0.25">
      <c r="A524">
        <v>32766</v>
      </c>
      <c r="B524" t="s">
        <v>742</v>
      </c>
      <c r="C524" t="s">
        <v>743</v>
      </c>
      <c r="D524" t="s">
        <v>38</v>
      </c>
      <c r="E524">
        <v>33524</v>
      </c>
      <c r="F524" s="24">
        <f>especies_ativa_codibama[[#This Row],[Código]]</f>
        <v>32766</v>
      </c>
      <c r="G524" s="40" t="str">
        <f>especies_ativa_codibama[[#This Row],[Nome popular]]</f>
        <v>Apuí, Ceboleira, Manga-brava, Mangue-branco, Mucugê-bravo, Orelha-de-burro</v>
      </c>
      <c r="H524" s="40" t="str">
        <f>especies_ativa_codibama[[#This Row],[Nome científico]]</f>
        <v>Clusia nemorosa</v>
      </c>
    </row>
    <row r="525" spans="1:8" x14ac:dyDescent="0.25">
      <c r="A525">
        <v>32767</v>
      </c>
      <c r="B525" t="s">
        <v>744</v>
      </c>
      <c r="C525" t="s">
        <v>745</v>
      </c>
      <c r="D525" t="s">
        <v>38</v>
      </c>
      <c r="E525">
        <v>34470</v>
      </c>
      <c r="F525" s="24">
        <f>especies_ativa_codibama[[#This Row],[Código]]</f>
        <v>32767</v>
      </c>
      <c r="G525" s="40" t="str">
        <f>especies_ativa_codibama[[#This Row],[Nome popular]]</f>
        <v>apuizinha, gameleira</v>
      </c>
      <c r="H525" s="40" t="str">
        <f>especies_ativa_codibama[[#This Row],[Nome científico]]</f>
        <v>Clusia panapanari</v>
      </c>
    </row>
    <row r="526" spans="1:8" x14ac:dyDescent="0.25">
      <c r="A526">
        <v>32768</v>
      </c>
      <c r="B526" t="s">
        <v>746</v>
      </c>
      <c r="C526" t="s">
        <v>747</v>
      </c>
      <c r="D526" t="s">
        <v>38</v>
      </c>
      <c r="E526">
        <v>1995873</v>
      </c>
      <c r="F526" s="24">
        <f>especies_ativa_codibama[[#This Row],[Código]]</f>
        <v>32768</v>
      </c>
      <c r="G526" s="40" t="str">
        <f>especies_ativa_codibama[[#This Row],[Nome popular]]</f>
        <v>bacupari</v>
      </c>
      <c r="H526" s="40" t="str">
        <f>especies_ativa_codibama[[#This Row],[Nome científico]]</f>
        <v>Garcinia gardneriana</v>
      </c>
    </row>
    <row r="527" spans="1:8" x14ac:dyDescent="0.25">
      <c r="A527">
        <v>32788</v>
      </c>
      <c r="B527" t="s">
        <v>106</v>
      </c>
      <c r="C527" t="s">
        <v>748</v>
      </c>
      <c r="D527" t="s">
        <v>38</v>
      </c>
      <c r="E527">
        <v>33131</v>
      </c>
      <c r="F527" s="24">
        <f>especies_ativa_codibama[[#This Row],[Código]]</f>
        <v>32788</v>
      </c>
      <c r="G527" s="40" t="str">
        <f>especies_ativa_codibama[[#This Row],[Nome popular]]</f>
        <v>---</v>
      </c>
      <c r="H527" s="40" t="str">
        <f>especies_ativa_codibama[[#This Row],[Nome científico]]</f>
        <v>Platonia insignis</v>
      </c>
    </row>
    <row r="528" spans="1:8" x14ac:dyDescent="0.25">
      <c r="A528">
        <v>32791</v>
      </c>
      <c r="B528" t="s">
        <v>106</v>
      </c>
      <c r="C528" t="s">
        <v>749</v>
      </c>
      <c r="D528" t="s">
        <v>38</v>
      </c>
      <c r="E528">
        <v>32941</v>
      </c>
      <c r="F528" s="24">
        <f>especies_ativa_codibama[[#This Row],[Código]]</f>
        <v>32791</v>
      </c>
      <c r="G528" s="40" t="str">
        <f>especies_ativa_codibama[[#This Row],[Nome popular]]</f>
        <v>---</v>
      </c>
      <c r="H528" s="40" t="str">
        <f>especies_ativa_codibama[[#This Row],[Nome científico]]</f>
        <v>Clusia rosea</v>
      </c>
    </row>
    <row r="529" spans="1:8" x14ac:dyDescent="0.25">
      <c r="A529">
        <v>32792</v>
      </c>
      <c r="B529" t="s">
        <v>106</v>
      </c>
      <c r="C529" t="s">
        <v>750</v>
      </c>
      <c r="D529" t="s">
        <v>38</v>
      </c>
      <c r="E529">
        <v>35480</v>
      </c>
      <c r="F529" s="24">
        <f>especies_ativa_codibama[[#This Row],[Código]]</f>
        <v>32792</v>
      </c>
      <c r="G529" s="40" t="str">
        <f>especies_ativa_codibama[[#This Row],[Nome popular]]</f>
        <v>---</v>
      </c>
      <c r="H529" s="40" t="str">
        <f>especies_ativa_codibama[[#This Row],[Nome científico]]</f>
        <v>Mammea americana</v>
      </c>
    </row>
    <row r="530" spans="1:8" x14ac:dyDescent="0.25">
      <c r="A530">
        <v>32793</v>
      </c>
      <c r="B530" t="s">
        <v>106</v>
      </c>
      <c r="C530" t="s">
        <v>751</v>
      </c>
      <c r="D530" t="s">
        <v>38</v>
      </c>
      <c r="E530">
        <v>31982</v>
      </c>
      <c r="F530" s="24">
        <f>especies_ativa_codibama[[#This Row],[Código]]</f>
        <v>32793</v>
      </c>
      <c r="G530" s="40" t="str">
        <f>especies_ativa_codibama[[#This Row],[Nome popular]]</f>
        <v>---</v>
      </c>
      <c r="H530" s="40" t="str">
        <f>especies_ativa_codibama[[#This Row],[Nome científico]]</f>
        <v>Tovomita choisyana</v>
      </c>
    </row>
    <row r="531" spans="1:8" x14ac:dyDescent="0.25">
      <c r="A531">
        <v>32796</v>
      </c>
      <c r="B531" t="s">
        <v>752</v>
      </c>
      <c r="C531" t="s">
        <v>753</v>
      </c>
      <c r="D531" t="s">
        <v>79</v>
      </c>
      <c r="E531">
        <v>33219</v>
      </c>
      <c r="F531" s="24">
        <f>especies_ativa_codibama[[#This Row],[Código]]</f>
        <v>32796</v>
      </c>
      <c r="G531" s="40" t="str">
        <f>especies_ativa_codibama[[#This Row],[Nome popular]]</f>
        <v>capitão, mirindiba, capitão-da-mata</v>
      </c>
      <c r="H531" s="40" t="str">
        <f>especies_ativa_codibama[[#This Row],[Nome científico]]</f>
        <v>Terminalia phaeocarpa</v>
      </c>
    </row>
    <row r="532" spans="1:8" x14ac:dyDescent="0.25">
      <c r="A532">
        <v>32798</v>
      </c>
      <c r="B532" t="s">
        <v>2647</v>
      </c>
      <c r="C532" t="s">
        <v>754</v>
      </c>
      <c r="D532" t="s">
        <v>79</v>
      </c>
      <c r="E532">
        <v>34732</v>
      </c>
      <c r="F532" s="24">
        <f>especies_ativa_codibama[[#This Row],[Código]]</f>
        <v>32798</v>
      </c>
      <c r="G532" s="40" t="str">
        <f>especies_ativa_codibama[[#This Row],[Nome popular]]</f>
        <v>pequi-izaias, piquÃ­-doce, piuna</v>
      </c>
      <c r="H532" s="40" t="str">
        <f>especies_ativa_codibama[[#This Row],[Nome científico]]</f>
        <v>Buchenavia hoehneana</v>
      </c>
    </row>
    <row r="533" spans="1:8" x14ac:dyDescent="0.25">
      <c r="A533">
        <v>32799</v>
      </c>
      <c r="B533" t="s">
        <v>2648</v>
      </c>
      <c r="C533" t="s">
        <v>172</v>
      </c>
      <c r="D533" t="s">
        <v>126</v>
      </c>
      <c r="E533">
        <v>34420</v>
      </c>
      <c r="F533" s="24">
        <f>especies_ativa_codibama[[#This Row],[Código]]</f>
        <v>32799</v>
      </c>
      <c r="G533" s="40" t="str">
        <f>especies_ativa_codibama[[#This Row],[Nome popular]]</f>
        <v>Cachaporra-do-gentio	, Capitão-do-mato, Caxapora-do-gentio, Pau-garrote, Capitão-do-campo, 	Mirindiba,  Cinzeiro, Tanibuca, Capitão, Cuia</v>
      </c>
      <c r="H533" s="40" t="str">
        <f>especies_ativa_codibama[[#This Row],[Nome científico]]</f>
        <v>Terminalia argentea</v>
      </c>
    </row>
    <row r="534" spans="1:8" x14ac:dyDescent="0.25">
      <c r="A534">
        <v>32800</v>
      </c>
      <c r="B534" t="s">
        <v>755</v>
      </c>
      <c r="C534" t="s">
        <v>756</v>
      </c>
      <c r="D534" t="s">
        <v>38</v>
      </c>
      <c r="E534">
        <v>32598</v>
      </c>
      <c r="F534" s="24">
        <f>especies_ativa_codibama[[#This Row],[Código]]</f>
        <v>32800</v>
      </c>
      <c r="G534" s="40" t="str">
        <f>especies_ativa_codibama[[#This Row],[Nome popular]]</f>
        <v>amendoeira-da-India, guarda-sol, amendoeira-da-praia, sombreiro, chapéu-de-sol, castanhola, castanha da praia, castanhola</v>
      </c>
      <c r="H534" s="40" t="str">
        <f>especies_ativa_codibama[[#This Row],[Nome científico]]</f>
        <v>Terminalia catappa</v>
      </c>
    </row>
    <row r="535" spans="1:8" x14ac:dyDescent="0.25">
      <c r="A535">
        <v>32802</v>
      </c>
      <c r="B535" t="s">
        <v>757</v>
      </c>
      <c r="C535" t="s">
        <v>758</v>
      </c>
      <c r="D535" t="s">
        <v>38</v>
      </c>
      <c r="E535">
        <v>35039</v>
      </c>
      <c r="F535" s="24">
        <f>especies_ativa_codibama[[#This Row],[Código]]</f>
        <v>32802</v>
      </c>
      <c r="G535" s="40" t="str">
        <f>especies_ativa_codibama[[#This Row],[Nome popular]]</f>
        <v>capitão-do-campo, cambiú, camaçari, pau-carvão, maçambê, pau-de-chapada, chapada, mussambé, caatinga-de-porco, pau-de-rato, piú, Cambiú, Camaçari, Pau-de-chapada, Chapada Mussambé, Caatinga-de-porco, Pau-de-rato</v>
      </c>
      <c r="H535" s="40" t="str">
        <f>especies_ativa_codibama[[#This Row],[Nome científico]]</f>
        <v>Terminalia fagifolia</v>
      </c>
    </row>
    <row r="536" spans="1:8" x14ac:dyDescent="0.25">
      <c r="A536">
        <v>32803</v>
      </c>
      <c r="B536" t="s">
        <v>759</v>
      </c>
      <c r="C536" t="s">
        <v>760</v>
      </c>
      <c r="D536" t="s">
        <v>38</v>
      </c>
      <c r="E536">
        <v>31978</v>
      </c>
      <c r="F536" s="24">
        <f>especies_ativa_codibama[[#This Row],[Código]]</f>
        <v>32803</v>
      </c>
      <c r="G536" s="40" t="str">
        <f>especies_ativa_codibama[[#This Row],[Nome popular]]</f>
        <v>capitãozinho, amarelinho, sarandi, dedal</v>
      </c>
      <c r="H536" s="40" t="str">
        <f>especies_ativa_codibama[[#This Row],[Nome científico]]</f>
        <v>Terminalia triflora</v>
      </c>
    </row>
    <row r="537" spans="1:8" x14ac:dyDescent="0.25">
      <c r="A537">
        <v>32804</v>
      </c>
      <c r="B537" t="s">
        <v>761</v>
      </c>
      <c r="C537" t="s">
        <v>762</v>
      </c>
      <c r="D537" t="s">
        <v>38</v>
      </c>
      <c r="E537">
        <v>32314</v>
      </c>
      <c r="F537" s="24">
        <f>especies_ativa_codibama[[#This Row],[Código]]</f>
        <v>32804</v>
      </c>
      <c r="G537" s="40" t="str">
        <f>especies_ativa_codibama[[#This Row],[Nome popular]]</f>
        <v>Carne de vaca, Vaqueta, Mofumboíba, Mufumo, Pente de macaco</v>
      </c>
      <c r="H537" s="40" t="str">
        <f>especies_ativa_codibama[[#This Row],[Nome científico]]</f>
        <v>Combretum leprosum</v>
      </c>
    </row>
    <row r="538" spans="1:8" x14ac:dyDescent="0.25">
      <c r="A538">
        <v>32805</v>
      </c>
      <c r="B538" t="s">
        <v>763</v>
      </c>
      <c r="C538" t="s">
        <v>764</v>
      </c>
      <c r="D538" t="s">
        <v>38</v>
      </c>
      <c r="E538">
        <v>33218</v>
      </c>
      <c r="F538" s="24">
        <f>especies_ativa_codibama[[#This Row],[Código]]</f>
        <v>32805</v>
      </c>
      <c r="G538" s="40" t="str">
        <f>especies_ativa_codibama[[#This Row],[Nome popular]]</f>
        <v>cinzeiro, quira</v>
      </c>
      <c r="H538" s="40" t="str">
        <f>especies_ativa_codibama[[#This Row],[Nome científico]]</f>
        <v>Terminalia lucida</v>
      </c>
    </row>
    <row r="539" spans="1:8" x14ac:dyDescent="0.25">
      <c r="A539">
        <v>32808</v>
      </c>
      <c r="B539" t="s">
        <v>765</v>
      </c>
      <c r="C539" t="s">
        <v>766</v>
      </c>
      <c r="D539" t="s">
        <v>38</v>
      </c>
      <c r="E539">
        <v>34266</v>
      </c>
      <c r="F539" s="24">
        <f>especies_ativa_codibama[[#This Row],[Código]]</f>
        <v>32808</v>
      </c>
      <c r="G539" s="40" t="str">
        <f>especies_ativa_codibama[[#This Row],[Nome popular]]</f>
        <v>mange-mariso, falso-mangue, mangue-preto, mangue-vermelho, tinteiro, mangue-do-brejo, mangue, mangue-amarelo, mangue-branco, mangue-de-sapateiro, mangue-manso</v>
      </c>
      <c r="H539" s="40" t="str">
        <f>especies_ativa_codibama[[#This Row],[Nome científico]]</f>
        <v>Laguncularia racemosa</v>
      </c>
    </row>
    <row r="540" spans="1:8" x14ac:dyDescent="0.25">
      <c r="A540">
        <v>32809</v>
      </c>
      <c r="B540" t="s">
        <v>767</v>
      </c>
      <c r="C540" t="s">
        <v>768</v>
      </c>
      <c r="D540" t="s">
        <v>38</v>
      </c>
      <c r="E540">
        <v>33527</v>
      </c>
      <c r="F540" s="24">
        <f>especies_ativa_codibama[[#This Row],[Código]]</f>
        <v>32809</v>
      </c>
      <c r="G540" s="40" t="str">
        <f>especies_ativa_codibama[[#This Row],[Nome popular]]</f>
        <v>mangue-de-botão, mangue-negro, amora-do-mar</v>
      </c>
      <c r="H540" s="40" t="str">
        <f>especies_ativa_codibama[[#This Row],[Nome científico]]</f>
        <v>Conocarpus erectus</v>
      </c>
    </row>
    <row r="541" spans="1:8" x14ac:dyDescent="0.25">
      <c r="A541">
        <v>32810</v>
      </c>
      <c r="B541" t="s">
        <v>769</v>
      </c>
      <c r="C541" t="s">
        <v>770</v>
      </c>
      <c r="D541" t="s">
        <v>38</v>
      </c>
      <c r="E541">
        <v>36243</v>
      </c>
      <c r="F541" s="24">
        <f>especies_ativa_codibama[[#This Row],[Código]]</f>
        <v>32810</v>
      </c>
      <c r="G541" s="40" t="str">
        <f>especies_ativa_codibama[[#This Row],[Nome popular]]</f>
        <v>maria-preta, garrote, pau-sangue, merindiba, erne-amarelo, Cerne-amarelo, Garrote, Pau-sangue</v>
      </c>
      <c r="H541" s="40" t="str">
        <f>especies_ativa_codibama[[#This Row],[Nome científico]]</f>
        <v>Terminalia glabrescens</v>
      </c>
    </row>
    <row r="542" spans="1:8" x14ac:dyDescent="0.25">
      <c r="A542">
        <v>32813</v>
      </c>
      <c r="B542" t="s">
        <v>771</v>
      </c>
      <c r="C542" t="s">
        <v>772</v>
      </c>
      <c r="D542" t="s">
        <v>38</v>
      </c>
      <c r="E542">
        <v>32260</v>
      </c>
      <c r="F542" s="24">
        <f>especies_ativa_codibama[[#This Row],[Código]]</f>
        <v>32813</v>
      </c>
      <c r="G542" s="40" t="str">
        <f>especies_ativa_codibama[[#This Row],[Nome popular]]</f>
        <v>tanebuco, cuiara, pebanheira, tanimbuca, migol, piá-banheira, mirindiba, merindiba, pau-pilão, imbuzeiro, miringiba, cambry, tarumara, biriba tarumã, piá-banheira, tanimbuca mirindiba, imbú-do-sertão</v>
      </c>
      <c r="H542" s="40" t="str">
        <f>especies_ativa_codibama[[#This Row],[Nome científico]]</f>
        <v>Buchenavia tomentosa</v>
      </c>
    </row>
    <row r="543" spans="1:8" x14ac:dyDescent="0.25">
      <c r="A543">
        <v>32814</v>
      </c>
      <c r="B543" t="s">
        <v>773</v>
      </c>
      <c r="C543" t="s">
        <v>774</v>
      </c>
      <c r="D543" t="s">
        <v>38</v>
      </c>
      <c r="E543">
        <v>32899</v>
      </c>
      <c r="F543" s="24">
        <f>especies_ativa_codibama[[#This Row],[Código]]</f>
        <v>32814</v>
      </c>
      <c r="G543" s="40" t="str">
        <f>especies_ativa_codibama[[#This Row],[Nome popular]]</f>
        <v>tanimbuca, mirindiba, cuia-ra, xurim</v>
      </c>
      <c r="H543" s="40" t="str">
        <f>especies_ativa_codibama[[#This Row],[Nome científico]]</f>
        <v>Buchenavia grandis</v>
      </c>
    </row>
    <row r="544" spans="1:8" x14ac:dyDescent="0.25">
      <c r="A544">
        <v>32815</v>
      </c>
      <c r="B544" t="s">
        <v>775</v>
      </c>
      <c r="C544" t="s">
        <v>776</v>
      </c>
      <c r="D544" t="s">
        <v>38</v>
      </c>
      <c r="E544">
        <v>33804</v>
      </c>
      <c r="F544" s="24">
        <f>especies_ativa_codibama[[#This Row],[Código]]</f>
        <v>32815</v>
      </c>
      <c r="G544" s="40" t="str">
        <f>especies_ativa_codibama[[#This Row],[Nome popular]]</f>
        <v>tanimbuca-amarela, Tocantins, Catinga de porca, Chapada, Chapada-lisa, Camaçari, Mussambé</v>
      </c>
      <c r="H544" s="40" t="str">
        <f>especies_ativa_codibama[[#This Row],[Nome científico]]</f>
        <v>Terminalia actinophylla</v>
      </c>
    </row>
    <row r="545" spans="1:8" x14ac:dyDescent="0.25">
      <c r="A545">
        <v>32817</v>
      </c>
      <c r="B545" t="s">
        <v>106</v>
      </c>
      <c r="C545" t="s">
        <v>777</v>
      </c>
      <c r="D545" t="s">
        <v>38</v>
      </c>
      <c r="E545">
        <v>32259</v>
      </c>
      <c r="F545" s="24">
        <f>especies_ativa_codibama[[#This Row],[Código]]</f>
        <v>32817</v>
      </c>
      <c r="G545" s="40" t="str">
        <f>especies_ativa_codibama[[#This Row],[Nome popular]]</f>
        <v>---</v>
      </c>
      <c r="H545" s="40" t="str">
        <f>especies_ativa_codibama[[#This Row],[Nome científico]]</f>
        <v>Buchenavia macrophylla</v>
      </c>
    </row>
    <row r="546" spans="1:8" x14ac:dyDescent="0.25">
      <c r="A546">
        <v>32818</v>
      </c>
      <c r="B546" t="s">
        <v>106</v>
      </c>
      <c r="C546" t="s">
        <v>778</v>
      </c>
      <c r="D546" t="s">
        <v>38</v>
      </c>
      <c r="E546">
        <v>35944</v>
      </c>
      <c r="F546" s="24">
        <f>especies_ativa_codibama[[#This Row],[Código]]</f>
        <v>32818</v>
      </c>
      <c r="G546" s="40" t="str">
        <f>especies_ativa_codibama[[#This Row],[Nome popular]]</f>
        <v>---</v>
      </c>
      <c r="H546" s="40" t="str">
        <f>especies_ativa_codibama[[#This Row],[Nome científico]]</f>
        <v>Combretum duarteanum</v>
      </c>
    </row>
    <row r="547" spans="1:8" x14ac:dyDescent="0.25">
      <c r="A547">
        <v>32822</v>
      </c>
      <c r="B547" t="s">
        <v>106</v>
      </c>
      <c r="C547" t="s">
        <v>779</v>
      </c>
      <c r="D547" t="s">
        <v>38</v>
      </c>
      <c r="E547">
        <v>34540</v>
      </c>
      <c r="F547" s="24">
        <f>especies_ativa_codibama[[#This Row],[Código]]</f>
        <v>32822</v>
      </c>
      <c r="G547" s="40" t="str">
        <f>especies_ativa_codibama[[#This Row],[Nome popular]]</f>
        <v>---</v>
      </c>
      <c r="H547" s="40" t="str">
        <f>especies_ativa_codibama[[#This Row],[Nome científico]]</f>
        <v>Buchenavia oxycarpa</v>
      </c>
    </row>
    <row r="548" spans="1:8" x14ac:dyDescent="0.25">
      <c r="A548">
        <v>32823</v>
      </c>
      <c r="B548" t="s">
        <v>106</v>
      </c>
      <c r="C548" t="s">
        <v>780</v>
      </c>
      <c r="D548" t="s">
        <v>38</v>
      </c>
      <c r="E548">
        <v>1978249</v>
      </c>
      <c r="F548" s="24">
        <f>especies_ativa_codibama[[#This Row],[Código]]</f>
        <v>32823</v>
      </c>
      <c r="G548" s="40" t="str">
        <f>especies_ativa_codibama[[#This Row],[Nome popular]]</f>
        <v>---</v>
      </c>
      <c r="H548" s="40" t="str">
        <f>especies_ativa_codibama[[#This Row],[Nome científico]]</f>
        <v>Terminalia dichotoma</v>
      </c>
    </row>
    <row r="549" spans="1:8" x14ac:dyDescent="0.25">
      <c r="A549">
        <v>32824</v>
      </c>
      <c r="B549" t="s">
        <v>781</v>
      </c>
      <c r="C549" t="s">
        <v>782</v>
      </c>
      <c r="D549" t="s">
        <v>324</v>
      </c>
      <c r="E549">
        <v>2008871</v>
      </c>
      <c r="F549" s="24">
        <f>especies_ativa_codibama[[#This Row],[Código]]</f>
        <v>32824</v>
      </c>
      <c r="G549" s="40" t="str">
        <f>especies_ativa_codibama[[#This Row],[Nome popular]]</f>
        <v>mameluco, pelada</v>
      </c>
      <c r="H549" s="40" t="str">
        <f>especies_ativa_codibama[[#This Row],[Nome científico]]</f>
        <v>Terminalia mameluco</v>
      </c>
    </row>
    <row r="550" spans="1:8" x14ac:dyDescent="0.25">
      <c r="A550">
        <v>32832</v>
      </c>
      <c r="B550" t="s">
        <v>783</v>
      </c>
      <c r="C550" t="s">
        <v>784</v>
      </c>
      <c r="D550" t="s">
        <v>38</v>
      </c>
      <c r="E550">
        <v>1977697</v>
      </c>
      <c r="F550" s="24">
        <f>especies_ativa_codibama[[#This Row],[Código]]</f>
        <v>32832</v>
      </c>
      <c r="G550" s="40" t="str">
        <f>especies_ativa_codibama[[#This Row],[Nome popular]]</f>
        <v>Chapeudinha, Pau de porco,</v>
      </c>
      <c r="H550" s="40" t="str">
        <f>especies_ativa_codibama[[#This Row],[Nome científico]]</f>
        <v>Rourea induta</v>
      </c>
    </row>
    <row r="551" spans="1:8" x14ac:dyDescent="0.25">
      <c r="A551">
        <v>32833</v>
      </c>
      <c r="B551" t="s">
        <v>106</v>
      </c>
      <c r="C551" t="s">
        <v>785</v>
      </c>
      <c r="D551" t="s">
        <v>38</v>
      </c>
      <c r="E551">
        <v>35342</v>
      </c>
      <c r="F551" s="24">
        <f>especies_ativa_codibama[[#This Row],[Código]]</f>
        <v>32833</v>
      </c>
      <c r="G551" s="40" t="str">
        <f>especies_ativa_codibama[[#This Row],[Nome popular]]</f>
        <v>---</v>
      </c>
      <c r="H551" s="40" t="str">
        <f>especies_ativa_codibama[[#This Row],[Nome científico]]</f>
        <v>Connarus detersus</v>
      </c>
    </row>
    <row r="552" spans="1:8" x14ac:dyDescent="0.25">
      <c r="A552">
        <v>32838</v>
      </c>
      <c r="B552" t="s">
        <v>106</v>
      </c>
      <c r="C552" t="s">
        <v>52</v>
      </c>
      <c r="D552" t="s">
        <v>38</v>
      </c>
      <c r="E552">
        <v>33526</v>
      </c>
      <c r="F552" s="24">
        <f>especies_ativa_codibama[[#This Row],[Código]]</f>
        <v>32838</v>
      </c>
      <c r="G552" s="40" t="str">
        <f>especies_ativa_codibama[[#This Row],[Nome popular]]</f>
        <v>---</v>
      </c>
      <c r="H552" s="40" t="str">
        <f>especies_ativa_codibama[[#This Row],[Nome científico]]</f>
        <v>Connarus suberosus</v>
      </c>
    </row>
    <row r="553" spans="1:8" x14ac:dyDescent="0.25">
      <c r="A553">
        <v>32839</v>
      </c>
      <c r="B553" t="s">
        <v>106</v>
      </c>
      <c r="C553" t="s">
        <v>786</v>
      </c>
      <c r="D553" t="s">
        <v>38</v>
      </c>
      <c r="E553">
        <v>34723</v>
      </c>
      <c r="F553" s="24">
        <f>especies_ativa_codibama[[#This Row],[Código]]</f>
        <v>32839</v>
      </c>
      <c r="G553" s="40" t="str">
        <f>especies_ativa_codibama[[#This Row],[Nome popular]]</f>
        <v>---</v>
      </c>
      <c r="H553" s="40" t="str">
        <f>especies_ativa_codibama[[#This Row],[Nome científico]]</f>
        <v>Bernardinia fluminensis</v>
      </c>
    </row>
    <row r="554" spans="1:8" x14ac:dyDescent="0.25">
      <c r="A554">
        <v>32841</v>
      </c>
      <c r="B554" t="s">
        <v>106</v>
      </c>
      <c r="C554" t="s">
        <v>787</v>
      </c>
      <c r="D554" t="s">
        <v>196</v>
      </c>
      <c r="E554">
        <v>33044</v>
      </c>
      <c r="F554" s="24">
        <f>especies_ativa_codibama[[#This Row],[Código]]</f>
        <v>32841</v>
      </c>
      <c r="G554" s="40" t="str">
        <f>especies_ativa_codibama[[#This Row],[Nome popular]]</f>
        <v>---</v>
      </c>
      <c r="H554" s="40" t="str">
        <f>especies_ativa_codibama[[#This Row],[Nome científico]]</f>
        <v>Lamanonia brasiliensis</v>
      </c>
    </row>
    <row r="555" spans="1:8" x14ac:dyDescent="0.25">
      <c r="A555">
        <v>32842</v>
      </c>
      <c r="B555" t="s">
        <v>788</v>
      </c>
      <c r="C555" t="s">
        <v>789</v>
      </c>
      <c r="D555" t="s">
        <v>79</v>
      </c>
      <c r="E555">
        <v>33827</v>
      </c>
      <c r="F555" s="24">
        <f>especies_ativa_codibama[[#This Row],[Código]]</f>
        <v>32842</v>
      </c>
      <c r="G555" s="40" t="str">
        <f>especies_ativa_codibama[[#This Row],[Nome popular]]</f>
        <v>gramimunha-miuda</v>
      </c>
      <c r="H555" s="40" t="str">
        <f>especies_ativa_codibama[[#This Row],[Nome científico]]</f>
        <v>Weinmannia humilis</v>
      </c>
    </row>
    <row r="556" spans="1:8" x14ac:dyDescent="0.25">
      <c r="A556">
        <v>32844</v>
      </c>
      <c r="B556" t="s">
        <v>790</v>
      </c>
      <c r="C556" t="s">
        <v>791</v>
      </c>
      <c r="D556" t="s">
        <v>126</v>
      </c>
      <c r="E556">
        <v>35657</v>
      </c>
      <c r="F556" s="24">
        <f>especies_ativa_codibama[[#This Row],[Código]]</f>
        <v>32844</v>
      </c>
      <c r="G556" s="40" t="str">
        <f>especies_ativa_codibama[[#This Row],[Nome popular]]</f>
        <v>gramimunha-de-duas-cores</v>
      </c>
      <c r="H556" s="40" t="str">
        <f>especies_ativa_codibama[[#This Row],[Nome científico]]</f>
        <v>Weinmannia discolor</v>
      </c>
    </row>
    <row r="557" spans="1:8" x14ac:dyDescent="0.25">
      <c r="A557">
        <v>32845</v>
      </c>
      <c r="B557" t="s">
        <v>106</v>
      </c>
      <c r="C557" t="s">
        <v>792</v>
      </c>
      <c r="D557" t="s">
        <v>126</v>
      </c>
      <c r="E557">
        <v>34650</v>
      </c>
      <c r="F557" s="24">
        <f>especies_ativa_codibama[[#This Row],[Código]]</f>
        <v>32845</v>
      </c>
      <c r="G557" s="40" t="str">
        <f>especies_ativa_codibama[[#This Row],[Nome popular]]</f>
        <v>---</v>
      </c>
      <c r="H557" s="40" t="str">
        <f>especies_ativa_codibama[[#This Row],[Nome científico]]</f>
        <v>Lamanonia cuneata</v>
      </c>
    </row>
    <row r="558" spans="1:8" x14ac:dyDescent="0.25">
      <c r="A558">
        <v>32846</v>
      </c>
      <c r="B558" t="s">
        <v>106</v>
      </c>
      <c r="C558" t="s">
        <v>793</v>
      </c>
      <c r="D558" t="s">
        <v>38</v>
      </c>
      <c r="E558">
        <v>32439</v>
      </c>
      <c r="F558" s="24">
        <f>especies_ativa_codibama[[#This Row],[Código]]</f>
        <v>32846</v>
      </c>
      <c r="G558" s="40" t="str">
        <f>especies_ativa_codibama[[#This Row],[Nome popular]]</f>
        <v>---</v>
      </c>
      <c r="H558" s="40" t="str">
        <f>especies_ativa_codibama[[#This Row],[Nome científico]]</f>
        <v>Lamanonia speciosa</v>
      </c>
    </row>
    <row r="559" spans="1:8" x14ac:dyDescent="0.25">
      <c r="A559">
        <v>32847</v>
      </c>
      <c r="B559" t="s">
        <v>106</v>
      </c>
      <c r="C559" t="s">
        <v>794</v>
      </c>
      <c r="D559" t="s">
        <v>38</v>
      </c>
      <c r="E559">
        <v>34879</v>
      </c>
      <c r="F559" s="24">
        <f>especies_ativa_codibama[[#This Row],[Código]]</f>
        <v>32847</v>
      </c>
      <c r="G559" s="40" t="str">
        <f>especies_ativa_codibama[[#This Row],[Nome popular]]</f>
        <v>---</v>
      </c>
      <c r="H559" s="40" t="str">
        <f>especies_ativa_codibama[[#This Row],[Nome científico]]</f>
        <v>Lamanonia ternata</v>
      </c>
    </row>
    <row r="560" spans="1:8" x14ac:dyDescent="0.25">
      <c r="A560">
        <v>32857</v>
      </c>
      <c r="B560" t="s">
        <v>106</v>
      </c>
      <c r="C560" t="s">
        <v>795</v>
      </c>
      <c r="D560" t="s">
        <v>79</v>
      </c>
      <c r="E560">
        <v>36218</v>
      </c>
      <c r="F560" s="24">
        <f>especies_ativa_codibama[[#This Row],[Código]]</f>
        <v>32857</v>
      </c>
      <c r="G560" s="40" t="str">
        <f>especies_ativa_codibama[[#This Row],[Nome popular]]</f>
        <v>---</v>
      </c>
      <c r="H560" s="40" t="str">
        <f>especies_ativa_codibama[[#This Row],[Nome científico]]</f>
        <v>Stephanopodium blanchetianum</v>
      </c>
    </row>
    <row r="561" spans="1:8" x14ac:dyDescent="0.25">
      <c r="A561">
        <v>32858</v>
      </c>
      <c r="B561" t="s">
        <v>106</v>
      </c>
      <c r="C561" t="s">
        <v>796</v>
      </c>
      <c r="D561" t="s">
        <v>38</v>
      </c>
      <c r="E561">
        <v>1981075</v>
      </c>
      <c r="F561" s="24">
        <f>especies_ativa_codibama[[#This Row],[Código]]</f>
        <v>32858</v>
      </c>
      <c r="G561" s="40" t="str">
        <f>especies_ativa_codibama[[#This Row],[Nome popular]]</f>
        <v>---</v>
      </c>
      <c r="H561" s="40" t="str">
        <f>especies_ativa_codibama[[#This Row],[Nome científico]]</f>
        <v>Tapura guianensis</v>
      </c>
    </row>
    <row r="562" spans="1:8" x14ac:dyDescent="0.25">
      <c r="A562">
        <v>32860</v>
      </c>
      <c r="B562" t="s">
        <v>106</v>
      </c>
      <c r="C562" t="s">
        <v>797</v>
      </c>
      <c r="D562" t="s">
        <v>38</v>
      </c>
      <c r="E562">
        <v>33214</v>
      </c>
      <c r="F562" s="24">
        <f>especies_ativa_codibama[[#This Row],[Código]]</f>
        <v>32860</v>
      </c>
      <c r="G562" s="40" t="str">
        <f>especies_ativa_codibama[[#This Row],[Nome popular]]</f>
        <v>---</v>
      </c>
      <c r="H562" s="40" t="str">
        <f>especies_ativa_codibama[[#This Row],[Nome científico]]</f>
        <v>Tapura amazonica</v>
      </c>
    </row>
    <row r="563" spans="1:8" x14ac:dyDescent="0.25">
      <c r="A563">
        <v>32862</v>
      </c>
      <c r="B563" t="s">
        <v>798</v>
      </c>
      <c r="C563" t="s">
        <v>799</v>
      </c>
      <c r="D563" t="s">
        <v>38</v>
      </c>
      <c r="E563">
        <v>32957</v>
      </c>
      <c r="F563" s="24">
        <f>especies_ativa_codibama[[#This Row],[Código]]</f>
        <v>32862</v>
      </c>
      <c r="G563" s="40" t="str">
        <f>especies_ativa_codibama[[#This Row],[Nome popular]]</f>
        <v>Lixeira, Lixa, Cajueiro-bravo, Caimbé, Cajueiro-bravo-do-campo, Pentieira, Sambaíba, Cajueiro-do-mato, Cambarba, Marajoara</v>
      </c>
      <c r="H563" s="40" t="str">
        <f>especies_ativa_codibama[[#This Row],[Nome científico]]</f>
        <v>Curatella americana</v>
      </c>
    </row>
    <row r="564" spans="1:8" x14ac:dyDescent="0.25">
      <c r="A564">
        <v>32863</v>
      </c>
      <c r="B564" t="s">
        <v>106</v>
      </c>
      <c r="C564" t="s">
        <v>800</v>
      </c>
      <c r="D564" t="s">
        <v>38</v>
      </c>
      <c r="E564">
        <v>1981257</v>
      </c>
      <c r="F564" s="24">
        <f>especies_ativa_codibama[[#This Row],[Código]]</f>
        <v>32863</v>
      </c>
      <c r="G564" s="40" t="str">
        <f>especies_ativa_codibama[[#This Row],[Nome popular]]</f>
        <v>---</v>
      </c>
      <c r="H564" s="40" t="str">
        <f>especies_ativa_codibama[[#This Row],[Nome científico]]</f>
        <v>Davilla grandiflora</v>
      </c>
    </row>
    <row r="565" spans="1:8" x14ac:dyDescent="0.25">
      <c r="A565">
        <v>32875</v>
      </c>
      <c r="B565" t="s">
        <v>801</v>
      </c>
      <c r="C565" t="s">
        <v>802</v>
      </c>
      <c r="D565" t="s">
        <v>126</v>
      </c>
      <c r="E565">
        <v>33548</v>
      </c>
      <c r="F565" s="24">
        <f>especies_ativa_codibama[[#This Row],[Código]]</f>
        <v>32875</v>
      </c>
      <c r="G565" s="40" t="str">
        <f>especies_ativa_codibama[[#This Row],[Nome popular]]</f>
        <v>fruta de jacú, marmelinho,</v>
      </c>
      <c r="H565" s="40" t="str">
        <f>especies_ativa_codibama[[#This Row],[Nome científico]]</f>
        <v>Diospyros inconstans</v>
      </c>
    </row>
    <row r="566" spans="1:8" x14ac:dyDescent="0.25">
      <c r="A566">
        <v>32876</v>
      </c>
      <c r="B566" t="s">
        <v>803</v>
      </c>
      <c r="C566" t="s">
        <v>804</v>
      </c>
      <c r="D566" t="s">
        <v>126</v>
      </c>
      <c r="E566">
        <v>2024731</v>
      </c>
      <c r="F566" s="24">
        <f>especies_ativa_codibama[[#This Row],[Código]]</f>
        <v>32876</v>
      </c>
      <c r="G566" s="40" t="str">
        <f>especies_ativa_codibama[[#This Row],[Nome popular]]</f>
        <v>Marmelada-brava, Caquizeiro-do-cerrado, Sobro</v>
      </c>
      <c r="H566" s="40" t="str">
        <f>especies_ativa_codibama[[#This Row],[Nome científico]]</f>
        <v>Diospyros lasiocalyx</v>
      </c>
    </row>
    <row r="567" spans="1:8" x14ac:dyDescent="0.25">
      <c r="A567">
        <v>32878</v>
      </c>
      <c r="B567" t="s">
        <v>805</v>
      </c>
      <c r="C567" t="s">
        <v>806</v>
      </c>
      <c r="D567" t="s">
        <v>38</v>
      </c>
      <c r="E567">
        <v>34813</v>
      </c>
      <c r="F567" s="24">
        <f>especies_ativa_codibama[[#This Row],[Código]]</f>
        <v>32878</v>
      </c>
      <c r="G567" s="40" t="str">
        <f>especies_ativa_codibama[[#This Row],[Nome popular]]</f>
        <v>Cabuclo, macaqueira</v>
      </c>
      <c r="H567" s="40" t="str">
        <f>especies_ativa_codibama[[#This Row],[Nome científico]]</f>
        <v>Diospyros sericea</v>
      </c>
    </row>
    <row r="568" spans="1:8" x14ac:dyDescent="0.25">
      <c r="A568">
        <v>32886</v>
      </c>
      <c r="B568" t="s">
        <v>106</v>
      </c>
      <c r="C568" t="s">
        <v>807</v>
      </c>
      <c r="D568" t="s">
        <v>38</v>
      </c>
      <c r="E568">
        <v>31703</v>
      </c>
      <c r="F568" s="24">
        <f>especies_ativa_codibama[[#This Row],[Código]]</f>
        <v>32886</v>
      </c>
      <c r="G568" s="40" t="str">
        <f>especies_ativa_codibama[[#This Row],[Nome popular]]</f>
        <v>---</v>
      </c>
      <c r="H568" s="40" t="str">
        <f>especies_ativa_codibama[[#This Row],[Nome científico]]</f>
        <v>Diospyros kaki</v>
      </c>
    </row>
    <row r="569" spans="1:8" x14ac:dyDescent="0.25">
      <c r="A569">
        <v>32888</v>
      </c>
      <c r="B569" t="s">
        <v>106</v>
      </c>
      <c r="C569" t="s">
        <v>808</v>
      </c>
      <c r="D569" t="s">
        <v>196</v>
      </c>
      <c r="E569">
        <v>32573</v>
      </c>
      <c r="F569" s="24">
        <f>especies_ativa_codibama[[#This Row],[Código]]</f>
        <v>32888</v>
      </c>
      <c r="G569" s="40" t="str">
        <f>especies_ativa_codibama[[#This Row],[Nome popular]]</f>
        <v>---</v>
      </c>
      <c r="H569" s="40" t="str">
        <f>especies_ativa_codibama[[#This Row],[Nome científico]]</f>
        <v>Sloanea obtusifolia</v>
      </c>
    </row>
    <row r="570" spans="1:8" x14ac:dyDescent="0.25">
      <c r="A570">
        <v>32889</v>
      </c>
      <c r="B570" t="s">
        <v>106</v>
      </c>
      <c r="C570" t="s">
        <v>809</v>
      </c>
      <c r="D570" t="s">
        <v>79</v>
      </c>
      <c r="E570">
        <v>1979992</v>
      </c>
      <c r="F570" s="24">
        <f>especies_ativa_codibama[[#This Row],[Código]]</f>
        <v>32889</v>
      </c>
      <c r="G570" s="40" t="str">
        <f>especies_ativa_codibama[[#This Row],[Nome popular]]</f>
        <v>---</v>
      </c>
      <c r="H570" s="40" t="str">
        <f>especies_ativa_codibama[[#This Row],[Nome científico]]</f>
        <v>Sloanea hirsuta</v>
      </c>
    </row>
    <row r="571" spans="1:8" x14ac:dyDescent="0.25">
      <c r="A571">
        <v>32892</v>
      </c>
      <c r="B571" t="s">
        <v>810</v>
      </c>
      <c r="C571" t="s">
        <v>811</v>
      </c>
      <c r="D571" t="s">
        <v>126</v>
      </c>
      <c r="E571">
        <v>35812</v>
      </c>
      <c r="F571" s="24">
        <f>especies_ativa_codibama[[#This Row],[Código]]</f>
        <v>32892</v>
      </c>
      <c r="G571" s="40" t="str">
        <f>especies_ativa_codibama[[#This Row],[Nome popular]]</f>
        <v>urucura, urucura brava</v>
      </c>
      <c r="H571" s="40" t="str">
        <f>especies_ativa_codibama[[#This Row],[Nome científico]]</f>
        <v>Sloanea garckeana</v>
      </c>
    </row>
    <row r="572" spans="1:8" x14ac:dyDescent="0.25">
      <c r="A572">
        <v>32893</v>
      </c>
      <c r="B572" t="s">
        <v>812</v>
      </c>
      <c r="C572" t="s">
        <v>813</v>
      </c>
      <c r="D572" t="s">
        <v>38</v>
      </c>
      <c r="E572">
        <v>33308</v>
      </c>
      <c r="F572" s="24">
        <f>especies_ativa_codibama[[#This Row],[Código]]</f>
        <v>32893</v>
      </c>
      <c r="G572" s="40" t="str">
        <f>especies_ativa_codibama[[#This Row],[Nome popular]]</f>
        <v>urucura</v>
      </c>
      <c r="H572" s="40" t="str">
        <f>especies_ativa_codibama[[#This Row],[Nome científico]]</f>
        <v>Sloanea guianensis</v>
      </c>
    </row>
    <row r="573" spans="1:8" x14ac:dyDescent="0.25">
      <c r="A573">
        <v>32894</v>
      </c>
      <c r="B573" t="s">
        <v>106</v>
      </c>
      <c r="C573" t="s">
        <v>814</v>
      </c>
      <c r="D573" t="s">
        <v>38</v>
      </c>
      <c r="E573">
        <v>34393</v>
      </c>
      <c r="F573" s="24">
        <f>especies_ativa_codibama[[#This Row],[Código]]</f>
        <v>32894</v>
      </c>
      <c r="G573" s="40" t="str">
        <f>especies_ativa_codibama[[#This Row],[Nome popular]]</f>
        <v>---</v>
      </c>
      <c r="H573" s="40" t="str">
        <f>especies_ativa_codibama[[#This Row],[Nome científico]]</f>
        <v>Sloanea lasiocoma</v>
      </c>
    </row>
    <row r="574" spans="1:8" x14ac:dyDescent="0.25">
      <c r="A574">
        <v>32896</v>
      </c>
      <c r="B574" t="s">
        <v>106</v>
      </c>
      <c r="C574" t="s">
        <v>815</v>
      </c>
      <c r="D574" t="s">
        <v>38</v>
      </c>
      <c r="E574">
        <v>36212</v>
      </c>
      <c r="F574" s="24">
        <f>especies_ativa_codibama[[#This Row],[Código]]</f>
        <v>32896</v>
      </c>
      <c r="G574" s="40" t="str">
        <f>especies_ativa_codibama[[#This Row],[Nome popular]]</f>
        <v>---</v>
      </c>
      <c r="H574" s="40" t="str">
        <f>especies_ativa_codibama[[#This Row],[Nome científico]]</f>
        <v>Sloanea robusta</v>
      </c>
    </row>
    <row r="575" spans="1:8" x14ac:dyDescent="0.25">
      <c r="A575">
        <v>32898</v>
      </c>
      <c r="B575" t="s">
        <v>106</v>
      </c>
      <c r="C575" t="s">
        <v>816</v>
      </c>
      <c r="D575" t="s">
        <v>38</v>
      </c>
      <c r="E575">
        <v>1990675</v>
      </c>
      <c r="F575" s="24">
        <f>especies_ativa_codibama[[#This Row],[Código]]</f>
        <v>32898</v>
      </c>
      <c r="G575" s="40" t="str">
        <f>especies_ativa_codibama[[#This Row],[Nome popular]]</f>
        <v>---</v>
      </c>
      <c r="H575" s="40" t="str">
        <f>especies_ativa_codibama[[#This Row],[Nome científico]]</f>
        <v>Sloanea floribunda</v>
      </c>
    </row>
    <row r="576" spans="1:8" x14ac:dyDescent="0.25">
      <c r="A576">
        <v>32908</v>
      </c>
      <c r="B576" t="s">
        <v>106</v>
      </c>
      <c r="C576" t="s">
        <v>817</v>
      </c>
      <c r="D576" t="s">
        <v>79</v>
      </c>
      <c r="E576">
        <v>2001546</v>
      </c>
      <c r="F576" s="24">
        <f>especies_ativa_codibama[[#This Row],[Código]]</f>
        <v>32908</v>
      </c>
      <c r="G576" s="40" t="str">
        <f>especies_ativa_codibama[[#This Row],[Nome popular]]</f>
        <v>---</v>
      </c>
      <c r="H576" s="40" t="str">
        <f>especies_ativa_codibama[[#This Row],[Nome científico]]</f>
        <v>Agarista revoluta</v>
      </c>
    </row>
    <row r="577" spans="1:8" x14ac:dyDescent="0.25">
      <c r="A577">
        <v>32923</v>
      </c>
      <c r="B577" t="s">
        <v>818</v>
      </c>
      <c r="C577" t="s">
        <v>819</v>
      </c>
      <c r="D577" t="s">
        <v>79</v>
      </c>
      <c r="E577">
        <v>34827</v>
      </c>
      <c r="F577" s="24">
        <f>especies_ativa_codibama[[#This Row],[Código]]</f>
        <v>32923</v>
      </c>
      <c r="G577" s="40" t="str">
        <f>especies_ativa_codibama[[#This Row],[Nome popular]]</f>
        <v>arco-de-pipa, pau-chorão</v>
      </c>
      <c r="H577" s="40" t="str">
        <f>especies_ativa_codibama[[#This Row],[Nome científico]]</f>
        <v>Erythroxylum pulchrum</v>
      </c>
    </row>
    <row r="578" spans="1:8" x14ac:dyDescent="0.25">
      <c r="A578">
        <v>32924</v>
      </c>
      <c r="B578" t="s">
        <v>820</v>
      </c>
      <c r="C578" t="s">
        <v>821</v>
      </c>
      <c r="D578" t="s">
        <v>79</v>
      </c>
      <c r="E578">
        <v>32362</v>
      </c>
      <c r="F578" s="24">
        <f>especies_ativa_codibama[[#This Row],[Código]]</f>
        <v>32924</v>
      </c>
      <c r="G578" s="40" t="str">
        <f>especies_ativa_codibama[[#This Row],[Nome popular]]</f>
        <v>baga-de-pomba, cocão, concon, fruta-de-pomba</v>
      </c>
      <c r="H578" s="40" t="str">
        <f>especies_ativa_codibama[[#This Row],[Nome científico]]</f>
        <v>Erythroxylum cuspidifolium</v>
      </c>
    </row>
    <row r="579" spans="1:8" x14ac:dyDescent="0.25">
      <c r="A579">
        <v>32928</v>
      </c>
      <c r="B579" t="s">
        <v>822</v>
      </c>
      <c r="C579" t="s">
        <v>823</v>
      </c>
      <c r="D579" t="s">
        <v>79</v>
      </c>
      <c r="E579">
        <v>35129</v>
      </c>
      <c r="F579" s="24">
        <f>especies_ativa_codibama[[#This Row],[Código]]</f>
        <v>32928</v>
      </c>
      <c r="G579" s="40" t="str">
        <f>especies_ativa_codibama[[#This Row],[Nome popular]]</f>
        <v>fruta-de-pombo, fruta-de-pombinha</v>
      </c>
      <c r="H579" s="40" t="str">
        <f>especies_ativa_codibama[[#This Row],[Nome científico]]</f>
        <v>Erythroxylum columbinum</v>
      </c>
    </row>
    <row r="580" spans="1:8" x14ac:dyDescent="0.25">
      <c r="A580">
        <v>32931</v>
      </c>
      <c r="B580" t="s">
        <v>106</v>
      </c>
      <c r="C580" t="s">
        <v>824</v>
      </c>
      <c r="D580" t="s">
        <v>79</v>
      </c>
      <c r="E580">
        <v>34208</v>
      </c>
      <c r="F580" s="24">
        <f>especies_ativa_codibama[[#This Row],[Código]]</f>
        <v>32931</v>
      </c>
      <c r="G580" s="40" t="str">
        <f>especies_ativa_codibama[[#This Row],[Nome popular]]</f>
        <v>---</v>
      </c>
      <c r="H580" s="40" t="str">
        <f>especies_ativa_codibama[[#This Row],[Nome científico]]</f>
        <v>Erythroxylum hamigerum</v>
      </c>
    </row>
    <row r="581" spans="1:8" x14ac:dyDescent="0.25">
      <c r="A581">
        <v>32932</v>
      </c>
      <c r="B581" t="s">
        <v>106</v>
      </c>
      <c r="C581" t="s">
        <v>825</v>
      </c>
      <c r="D581" t="s">
        <v>196</v>
      </c>
      <c r="E581">
        <v>31723</v>
      </c>
      <c r="F581" s="24">
        <f>especies_ativa_codibama[[#This Row],[Código]]</f>
        <v>32932</v>
      </c>
      <c r="G581" s="40" t="str">
        <f>especies_ativa_codibama[[#This Row],[Nome popular]]</f>
        <v>---</v>
      </c>
      <c r="H581" s="40" t="str">
        <f>especies_ativa_codibama[[#This Row],[Nome científico]]</f>
        <v>Erythroxylum nitidum</v>
      </c>
    </row>
    <row r="582" spans="1:8" x14ac:dyDescent="0.25">
      <c r="A582">
        <v>32940</v>
      </c>
      <c r="B582" t="s">
        <v>826</v>
      </c>
      <c r="C582" t="s">
        <v>827</v>
      </c>
      <c r="D582" t="s">
        <v>126</v>
      </c>
      <c r="E582">
        <v>32363</v>
      </c>
      <c r="F582" s="24">
        <f>especies_ativa_codibama[[#This Row],[Código]]</f>
        <v>32940</v>
      </c>
      <c r="G582" s="40" t="str">
        <f>especies_ativa_codibama[[#This Row],[Nome popular]]</f>
        <v>baga-de-pomba, fruta-de-pomba, fruta-de-pombo, coca-de-índio, concon, cocão</v>
      </c>
      <c r="H582" s="40" t="str">
        <f>especies_ativa_codibama[[#This Row],[Nome científico]]</f>
        <v>Erythroxylum myrsinites</v>
      </c>
    </row>
    <row r="583" spans="1:8" x14ac:dyDescent="0.25">
      <c r="A583">
        <v>32942</v>
      </c>
      <c r="B583" t="s">
        <v>828</v>
      </c>
      <c r="C583" t="s">
        <v>829</v>
      </c>
      <c r="D583" t="s">
        <v>126</v>
      </c>
      <c r="E583">
        <v>34826</v>
      </c>
      <c r="F583" s="24">
        <f>especies_ativa_codibama[[#This Row],[Código]]</f>
        <v>32942</v>
      </c>
      <c r="G583" s="40" t="str">
        <f>especies_ativa_codibama[[#This Row],[Nome popular]]</f>
        <v>sessenta-e-um, gumirim, guaribalde, vaquinha, cocãoná, fruta-de-pomba, Paraná</v>
      </c>
      <c r="H583" s="40" t="str">
        <f>especies_ativa_codibama[[#This Row],[Nome científico]]</f>
        <v>Erythroxylum pelleterianum</v>
      </c>
    </row>
    <row r="584" spans="1:8" x14ac:dyDescent="0.25">
      <c r="A584">
        <v>32943</v>
      </c>
      <c r="B584" t="s">
        <v>830</v>
      </c>
      <c r="C584" t="s">
        <v>831</v>
      </c>
      <c r="D584" t="s">
        <v>38</v>
      </c>
      <c r="E584">
        <v>1998580</v>
      </c>
      <c r="F584" s="24">
        <f>especies_ativa_codibama[[#This Row],[Código]]</f>
        <v>32943</v>
      </c>
      <c r="G584" s="40" t="str">
        <f>especies_ativa_codibama[[#This Row],[Nome popular]]</f>
        <v>arranca-estribo, candeia, estralador, rompe-gibão</v>
      </c>
      <c r="H584" s="40" t="str">
        <f>especies_ativa_codibama[[#This Row],[Nome científico]]</f>
        <v>Erythroxylum pungens</v>
      </c>
    </row>
    <row r="585" spans="1:8" x14ac:dyDescent="0.25">
      <c r="A585">
        <v>32944</v>
      </c>
      <c r="B585" t="s">
        <v>832</v>
      </c>
      <c r="C585" t="s">
        <v>833</v>
      </c>
      <c r="D585" t="s">
        <v>38</v>
      </c>
      <c r="E585">
        <v>34475</v>
      </c>
      <c r="F585" s="24">
        <f>especies_ativa_codibama[[#This Row],[Código]]</f>
        <v>32944</v>
      </c>
      <c r="G585" s="40" t="str">
        <f>especies_ativa_codibama[[#This Row],[Nome popular]]</f>
        <v>ata-de-cobra, arco-de-barril, joveve, marmeleiro-bravoná, baga-de-pomba, cocão, galinha-choca, guajujura, fruta-de-pomba, concon</v>
      </c>
      <c r="H585" s="40" t="str">
        <f>especies_ativa_codibama[[#This Row],[Nome científico]]</f>
        <v>Erythroxylum deciduum</v>
      </c>
    </row>
    <row r="586" spans="1:8" x14ac:dyDescent="0.25">
      <c r="A586">
        <v>32946</v>
      </c>
      <c r="B586" t="s">
        <v>834</v>
      </c>
      <c r="C586" t="s">
        <v>835</v>
      </c>
      <c r="D586" t="s">
        <v>38</v>
      </c>
      <c r="E586">
        <v>34825</v>
      </c>
      <c r="F586" s="24">
        <f>especies_ativa_codibama[[#This Row],[Código]]</f>
        <v>32946</v>
      </c>
      <c r="G586" s="40" t="str">
        <f>especies_ativa_codibama[[#This Row],[Nome popular]]</f>
        <v>baga-de-pomba, fruta-de-pomba, cocão, concon, coca-del-monte</v>
      </c>
      <c r="H586" s="40" t="str">
        <f>especies_ativa_codibama[[#This Row],[Nome científico]]</f>
        <v>Erythroxylum cuneifolium</v>
      </c>
    </row>
    <row r="587" spans="1:8" x14ac:dyDescent="0.25">
      <c r="A587">
        <v>32948</v>
      </c>
      <c r="B587" t="s">
        <v>836</v>
      </c>
      <c r="C587" t="s">
        <v>837</v>
      </c>
      <c r="D587" t="s">
        <v>38</v>
      </c>
      <c r="E587">
        <v>31722</v>
      </c>
      <c r="F587" s="24">
        <f>especies_ativa_codibama[[#This Row],[Código]]</f>
        <v>32948</v>
      </c>
      <c r="G587" s="40" t="str">
        <f>especies_ativa_codibama[[#This Row],[Nome popular]]</f>
        <v>chapadinho, fruta-de-tucano, mercúrio, pimenta,</v>
      </c>
      <c r="H587" s="40" t="str">
        <f>especies_ativa_codibama[[#This Row],[Nome científico]]</f>
        <v>Erythroxylum daphnites</v>
      </c>
    </row>
    <row r="588" spans="1:8" x14ac:dyDescent="0.25">
      <c r="A588">
        <v>32950</v>
      </c>
      <c r="B588" t="s">
        <v>2649</v>
      </c>
      <c r="C588" t="s">
        <v>838</v>
      </c>
      <c r="D588" t="s">
        <v>38</v>
      </c>
      <c r="E588">
        <v>34824</v>
      </c>
      <c r="F588" s="24">
        <f>especies_ativa_codibama[[#This Row],[Código]]</f>
        <v>32950</v>
      </c>
      <c r="G588" s="40" t="str">
        <f>especies_ativa_codibama[[#This Row],[Nome popular]]</f>
        <v>cocara-do-cerrado, cumixÃ¡, guarda-orvalho, pimentinha</v>
      </c>
      <c r="H588" s="40" t="str">
        <f>especies_ativa_codibama[[#This Row],[Nome científico]]</f>
        <v>Erythroxylum citrifolium</v>
      </c>
    </row>
    <row r="589" spans="1:8" x14ac:dyDescent="0.25">
      <c r="A589">
        <v>32953</v>
      </c>
      <c r="B589" t="s">
        <v>839</v>
      </c>
      <c r="C589" t="s">
        <v>840</v>
      </c>
      <c r="D589" t="s">
        <v>38</v>
      </c>
      <c r="E589">
        <v>2013149</v>
      </c>
      <c r="F589" s="24">
        <f>especies_ativa_codibama[[#This Row],[Código]]</f>
        <v>32953</v>
      </c>
      <c r="G589" s="40" t="str">
        <f>especies_ativa_codibama[[#This Row],[Nome popular]]</f>
        <v>galinha-chocaná, mercúrio-do-campo, sessenta-e-dois, azougue-do-campo, cabelo-de-negro</v>
      </c>
      <c r="H589" s="40" t="str">
        <f>especies_ativa_codibama[[#This Row],[Nome científico]]</f>
        <v>Erythroxylum suberosum</v>
      </c>
    </row>
    <row r="590" spans="1:8" x14ac:dyDescent="0.25">
      <c r="A590">
        <v>32954</v>
      </c>
      <c r="B590" t="s">
        <v>841</v>
      </c>
      <c r="C590" t="s">
        <v>842</v>
      </c>
      <c r="D590" t="s">
        <v>38</v>
      </c>
      <c r="E590">
        <v>2012613</v>
      </c>
      <c r="F590" s="24">
        <f>especies_ativa_codibama[[#This Row],[Código]]</f>
        <v>32954</v>
      </c>
      <c r="G590" s="40" t="str">
        <f>especies_ativa_codibama[[#This Row],[Nome popular]]</f>
        <v>imbuzeiro-bravoíba, rompe-gibão</v>
      </c>
      <c r="H590" s="40" t="str">
        <f>especies_ativa_codibama[[#This Row],[Nome científico]]</f>
        <v>Erythroxylum caatingae</v>
      </c>
    </row>
    <row r="591" spans="1:8" x14ac:dyDescent="0.25">
      <c r="A591">
        <v>32957</v>
      </c>
      <c r="B591" t="s">
        <v>106</v>
      </c>
      <c r="C591" t="s">
        <v>843</v>
      </c>
      <c r="D591" t="s">
        <v>38</v>
      </c>
      <c r="E591">
        <v>1981272</v>
      </c>
      <c r="F591" s="24">
        <f>especies_ativa_codibama[[#This Row],[Código]]</f>
        <v>32957</v>
      </c>
      <c r="G591" s="40" t="str">
        <f>especies_ativa_codibama[[#This Row],[Nome popular]]</f>
        <v>---</v>
      </c>
      <c r="H591" s="40" t="str">
        <f>especies_ativa_codibama[[#This Row],[Nome científico]]</f>
        <v>Erythroxylum polygonoides</v>
      </c>
    </row>
    <row r="592" spans="1:8" x14ac:dyDescent="0.25">
      <c r="A592">
        <v>32958</v>
      </c>
      <c r="B592" t="s">
        <v>106</v>
      </c>
      <c r="C592" t="s">
        <v>844</v>
      </c>
      <c r="D592" t="s">
        <v>38</v>
      </c>
      <c r="E592">
        <v>33560</v>
      </c>
      <c r="F592" s="24">
        <f>especies_ativa_codibama[[#This Row],[Código]]</f>
        <v>32958</v>
      </c>
      <c r="G592" s="40" t="str">
        <f>especies_ativa_codibama[[#This Row],[Nome popular]]</f>
        <v>---</v>
      </c>
      <c r="H592" s="40" t="str">
        <f>especies_ativa_codibama[[#This Row],[Nome científico]]</f>
        <v>Erythroxylum amazonicum</v>
      </c>
    </row>
    <row r="593" spans="1:8" x14ac:dyDescent="0.25">
      <c r="A593">
        <v>32967</v>
      </c>
      <c r="B593" t="s">
        <v>106</v>
      </c>
      <c r="C593" t="s">
        <v>845</v>
      </c>
      <c r="D593" t="s">
        <v>38</v>
      </c>
      <c r="E593">
        <v>1980471</v>
      </c>
      <c r="F593" s="24">
        <f>especies_ativa_codibama[[#This Row],[Código]]</f>
        <v>32967</v>
      </c>
      <c r="G593" s="40" t="str">
        <f>especies_ativa_codibama[[#This Row],[Nome popular]]</f>
        <v>---</v>
      </c>
      <c r="H593" s="40" t="str">
        <f>especies_ativa_codibama[[#This Row],[Nome científico]]</f>
        <v>Erythroxylum tortuosum</v>
      </c>
    </row>
    <row r="594" spans="1:8" x14ac:dyDescent="0.25">
      <c r="A594">
        <v>32973</v>
      </c>
      <c r="B594" t="s">
        <v>846</v>
      </c>
      <c r="C594" t="s">
        <v>847</v>
      </c>
      <c r="D594" t="s">
        <v>79</v>
      </c>
      <c r="E594">
        <v>33702</v>
      </c>
      <c r="F594" s="24">
        <f>especies_ativa_codibama[[#This Row],[Código]]</f>
        <v>32973</v>
      </c>
      <c r="G594" s="40" t="str">
        <f>especies_ativa_codibama[[#This Row],[Nome popular]]</f>
        <v>almécega vermelha, sangue de negro</v>
      </c>
      <c r="H594" s="40" t="str">
        <f>especies_ativa_codibama[[#This Row],[Nome científico]]</f>
        <v>Pausandra morisiana</v>
      </c>
    </row>
    <row r="595" spans="1:8" x14ac:dyDescent="0.25">
      <c r="A595">
        <v>32974</v>
      </c>
      <c r="B595" t="s">
        <v>848</v>
      </c>
      <c r="C595" t="s">
        <v>849</v>
      </c>
      <c r="D595" t="s">
        <v>79</v>
      </c>
      <c r="E595">
        <v>32327</v>
      </c>
      <c r="F595" s="24">
        <f>especies_ativa_codibama[[#This Row],[Código]]</f>
        <v>32974</v>
      </c>
      <c r="G595" s="40" t="str">
        <f>especies_ativa_codibama[[#This Row],[Nome popular]]</f>
        <v>cambraia, sangue-de-drago</v>
      </c>
      <c r="H595" s="40" t="str">
        <f>especies_ativa_codibama[[#This Row],[Nome científico]]</f>
        <v>Croton salutaris</v>
      </c>
    </row>
    <row r="596" spans="1:8" x14ac:dyDescent="0.25">
      <c r="A596">
        <v>32975</v>
      </c>
      <c r="B596" t="s">
        <v>850</v>
      </c>
      <c r="C596" t="s">
        <v>851</v>
      </c>
      <c r="D596" t="s">
        <v>79</v>
      </c>
      <c r="E596">
        <v>31869</v>
      </c>
      <c r="F596" s="24">
        <f>especies_ativa_codibama[[#This Row],[Código]]</f>
        <v>32975</v>
      </c>
      <c r="G596" s="40" t="str">
        <f>especies_ativa_codibama[[#This Row],[Nome popular]]</f>
        <v>Caxim, Canxim, Coaxim</v>
      </c>
      <c r="H596" s="40" t="str">
        <f>especies_ativa_codibama[[#This Row],[Nome científico]]</f>
        <v>Ophthalmoblapton crassipes</v>
      </c>
    </row>
    <row r="597" spans="1:8" x14ac:dyDescent="0.25">
      <c r="A597">
        <v>32980</v>
      </c>
      <c r="B597" t="s">
        <v>852</v>
      </c>
      <c r="C597" t="s">
        <v>853</v>
      </c>
      <c r="D597" t="s">
        <v>79</v>
      </c>
      <c r="E597">
        <v>32081</v>
      </c>
      <c r="F597" s="24">
        <f>especies_ativa_codibama[[#This Row],[Código]]</f>
        <v>32980</v>
      </c>
      <c r="G597" s="40" t="str">
        <f>especies_ativa_codibama[[#This Row],[Nome popular]]</f>
        <v>marmeleiro, necora, pau-de-sangue</v>
      </c>
      <c r="H597" s="40" t="str">
        <f>especies_ativa_codibama[[#This Row],[Nome científico]]</f>
        <v>Croton celtidifolius</v>
      </c>
    </row>
    <row r="598" spans="1:8" x14ac:dyDescent="0.25">
      <c r="A598">
        <v>33023</v>
      </c>
      <c r="B598" t="s">
        <v>106</v>
      </c>
      <c r="C598" t="s">
        <v>854</v>
      </c>
      <c r="D598" t="s">
        <v>79</v>
      </c>
      <c r="E598">
        <v>36088</v>
      </c>
      <c r="F598" s="24">
        <f>especies_ativa_codibama[[#This Row],[Código]]</f>
        <v>33023</v>
      </c>
      <c r="G598" s="40" t="str">
        <f>especies_ativa_codibama[[#This Row],[Nome popular]]</f>
        <v>---</v>
      </c>
      <c r="H598" s="40" t="str">
        <f>especies_ativa_codibama[[#This Row],[Nome científico]]</f>
        <v>Manihot glaziovii</v>
      </c>
    </row>
    <row r="599" spans="1:8" x14ac:dyDescent="0.25">
      <c r="A599">
        <v>33030</v>
      </c>
      <c r="B599" t="s">
        <v>106</v>
      </c>
      <c r="C599" t="s">
        <v>855</v>
      </c>
      <c r="D599" t="s">
        <v>79</v>
      </c>
      <c r="E599">
        <v>31684</v>
      </c>
      <c r="F599" s="24">
        <f>especies_ativa_codibama[[#This Row],[Código]]</f>
        <v>33030</v>
      </c>
      <c r="G599" s="40" t="str">
        <f>especies_ativa_codibama[[#This Row],[Nome popular]]</f>
        <v>---</v>
      </c>
      <c r="H599" s="40" t="str">
        <f>especies_ativa_codibama[[#This Row],[Nome científico]]</f>
        <v>Croton echinocarpus</v>
      </c>
    </row>
    <row r="600" spans="1:8" x14ac:dyDescent="0.25">
      <c r="A600">
        <v>33032</v>
      </c>
      <c r="B600" t="s">
        <v>106</v>
      </c>
      <c r="C600" t="s">
        <v>856</v>
      </c>
      <c r="D600" t="s">
        <v>196</v>
      </c>
      <c r="E600">
        <v>31685</v>
      </c>
      <c r="F600" s="24">
        <f>especies_ativa_codibama[[#This Row],[Código]]</f>
        <v>33032</v>
      </c>
      <c r="G600" s="40" t="str">
        <f>especies_ativa_codibama[[#This Row],[Nome popular]]</f>
        <v>---</v>
      </c>
      <c r="H600" s="40" t="str">
        <f>especies_ativa_codibama[[#This Row],[Nome científico]]</f>
        <v>Croton hemiargyreus</v>
      </c>
    </row>
    <row r="601" spans="1:8" x14ac:dyDescent="0.25">
      <c r="A601">
        <v>33041</v>
      </c>
      <c r="B601" t="s">
        <v>857</v>
      </c>
      <c r="C601" t="s">
        <v>858</v>
      </c>
      <c r="D601" t="s">
        <v>126</v>
      </c>
      <c r="E601">
        <v>32433</v>
      </c>
      <c r="F601" s="24">
        <f>especies_ativa_codibama[[#This Row],[Código]]</f>
        <v>33041</v>
      </c>
      <c r="G601" s="40" t="str">
        <f>especies_ativa_codibama[[#This Row],[Nome popular]]</f>
        <v>Cutieira, Boleira</v>
      </c>
      <c r="H601" s="40" t="str">
        <f>especies_ativa_codibama[[#This Row],[Nome científico]]</f>
        <v>Joannesia princeps</v>
      </c>
    </row>
    <row r="602" spans="1:8" x14ac:dyDescent="0.25">
      <c r="A602">
        <v>33043</v>
      </c>
      <c r="B602" t="s">
        <v>106</v>
      </c>
      <c r="C602" t="s">
        <v>859</v>
      </c>
      <c r="D602" t="s">
        <v>126</v>
      </c>
      <c r="E602">
        <v>32601</v>
      </c>
      <c r="F602" s="24">
        <f>especies_ativa_codibama[[#This Row],[Código]]</f>
        <v>33043</v>
      </c>
      <c r="G602" s="40" t="str">
        <f>especies_ativa_codibama[[#This Row],[Nome popular]]</f>
        <v>---</v>
      </c>
      <c r="H602" s="40" t="str">
        <f>especies_ativa_codibama[[#This Row],[Nome científico]]</f>
        <v>Tetrorchidium rubrivenium</v>
      </c>
    </row>
    <row r="603" spans="1:8" x14ac:dyDescent="0.25">
      <c r="A603">
        <v>33044</v>
      </c>
      <c r="B603" t="s">
        <v>860</v>
      </c>
      <c r="C603" t="s">
        <v>861</v>
      </c>
      <c r="D603" t="s">
        <v>38</v>
      </c>
      <c r="E603">
        <v>32315</v>
      </c>
      <c r="F603" s="24">
        <f>especies_ativa_codibama[[#This Row],[Código]]</f>
        <v>33044</v>
      </c>
      <c r="G603" s="40" t="str">
        <f>especies_ativa_codibama[[#This Row],[Nome popular]]</f>
        <v>arara-seringa, arraeira, breu branco, cavaqueiro de piranha, urucura</v>
      </c>
      <c r="H603" s="40" t="str">
        <f>especies_ativa_codibama[[#This Row],[Nome científico]]</f>
        <v>Conceveiba guianensis</v>
      </c>
    </row>
    <row r="604" spans="1:8" x14ac:dyDescent="0.25">
      <c r="A604">
        <v>33045</v>
      </c>
      <c r="B604" t="s">
        <v>2650</v>
      </c>
      <c r="C604" t="s">
        <v>862</v>
      </c>
      <c r="D604" t="s">
        <v>38</v>
      </c>
      <c r="E604">
        <v>31606</v>
      </c>
      <c r="F604" s="24">
        <f>especies_ativa_codibama[[#This Row],[Código]]</f>
        <v>33045</v>
      </c>
      <c r="G604" s="40" t="str">
        <f>especies_ativa_codibama[[#This Row],[Nome popular]]</f>
        <v>arique queimosa/pará¡, marmelo/Acre, marmeleiroazos, morocototóazos, tapiá-branco/Ma, tapiá-guaçu/Ma, ara-ky y/Ma, lava-prato-branco/Bahia, velame/Bahia, marmeleira/Mato Grosso, pau-de-facho/Santa Catari</v>
      </c>
      <c r="H604" s="40" t="str">
        <f>especies_ativa_codibama[[#This Row],[Nome científico]]</f>
        <v>Aparisthmium cordatum</v>
      </c>
    </row>
    <row r="605" spans="1:8" x14ac:dyDescent="0.25">
      <c r="A605">
        <v>33046</v>
      </c>
      <c r="B605" t="s">
        <v>863</v>
      </c>
      <c r="C605" t="s">
        <v>864</v>
      </c>
      <c r="D605" t="s">
        <v>38</v>
      </c>
      <c r="E605">
        <v>32450</v>
      </c>
      <c r="F605" s="24">
        <f>especies_ativa_codibama[[#This Row],[Código]]</f>
        <v>33046</v>
      </c>
      <c r="G605" s="40" t="str">
        <f>especies_ativa_codibama[[#This Row],[Nome popular]]</f>
        <v>canudo-de-pito, canudeiro</v>
      </c>
      <c r="H605" s="40" t="str">
        <f>especies_ativa_codibama[[#This Row],[Nome científico]]</f>
        <v>Mabea fistulifera</v>
      </c>
    </row>
    <row r="606" spans="1:8" x14ac:dyDescent="0.25">
      <c r="A606">
        <v>33049</v>
      </c>
      <c r="B606" t="s">
        <v>865</v>
      </c>
      <c r="C606" t="s">
        <v>866</v>
      </c>
      <c r="D606" t="s">
        <v>38</v>
      </c>
      <c r="E606">
        <v>35857</v>
      </c>
      <c r="F606" s="24">
        <f>especies_ativa_codibama[[#This Row],[Código]]</f>
        <v>33049</v>
      </c>
      <c r="G606" s="40" t="str">
        <f>especies_ativa_codibama[[#This Row],[Nome popular]]</f>
        <v>casca-doce, iricura, lava-prato, pau-folheiro, tapiá, taipia-de-folhas-redondas, tapia-branca, canela-raposa, tanheiro, tanheiro-de-folha-redonda, boleironá</v>
      </c>
      <c r="H606" s="40" t="str">
        <f>especies_ativa_codibama[[#This Row],[Nome científico]]</f>
        <v>Alchornea glandulosa subsp. iricurana</v>
      </c>
    </row>
    <row r="607" spans="1:8" x14ac:dyDescent="0.25">
      <c r="A607">
        <v>33050</v>
      </c>
      <c r="B607" t="s">
        <v>2651</v>
      </c>
      <c r="C607" t="s">
        <v>867</v>
      </c>
      <c r="D607" t="s">
        <v>38</v>
      </c>
      <c r="E607">
        <v>1861216</v>
      </c>
      <c r="F607" s="24">
        <f>especies_ativa_codibama[[#This Row],[Código]]</f>
        <v>33050</v>
      </c>
      <c r="G607" s="40" t="str">
        <f>especies_ativa_codibama[[#This Row],[Nome popular]]</f>
        <v>cunurÃ­, momofi</v>
      </c>
      <c r="H607" s="40" t="str">
        <f>especies_ativa_codibama[[#This Row],[Nome científico]]</f>
        <v>Micrandra spruceana</v>
      </c>
    </row>
    <row r="608" spans="1:8" x14ac:dyDescent="0.25">
      <c r="A608">
        <v>33051</v>
      </c>
      <c r="B608" t="s">
        <v>868</v>
      </c>
      <c r="C608" t="s">
        <v>869</v>
      </c>
      <c r="D608" t="s">
        <v>38</v>
      </c>
      <c r="E608">
        <v>214669</v>
      </c>
      <c r="F608" s="24">
        <f>especies_ativa_codibama[[#This Row],[Código]]</f>
        <v>33051</v>
      </c>
      <c r="G608" s="40" t="str">
        <f>especies_ativa_codibama[[#This Row],[Nome popular]]</f>
        <v>favela-de-cachorro</v>
      </c>
      <c r="H608" s="40" t="str">
        <f>especies_ativa_codibama[[#This Row],[Nome científico]]</f>
        <v>Cnidoscolus quercifolius</v>
      </c>
    </row>
    <row r="609" spans="1:8" x14ac:dyDescent="0.25">
      <c r="A609">
        <v>33057</v>
      </c>
      <c r="B609" t="s">
        <v>870</v>
      </c>
      <c r="C609" t="s">
        <v>871</v>
      </c>
      <c r="D609" t="s">
        <v>38</v>
      </c>
      <c r="E609">
        <v>32954</v>
      </c>
      <c r="F609" s="24">
        <f>especies_ativa_codibama[[#This Row],[Código]]</f>
        <v>33057</v>
      </c>
      <c r="G609" s="40" t="str">
        <f>especies_ativa_codibama[[#This Row],[Nome popular]]</f>
        <v>marassacaca, sacaca</v>
      </c>
      <c r="H609" s="40" t="str">
        <f>especies_ativa_codibama[[#This Row],[Nome científico]]</f>
        <v>Croton cajucara</v>
      </c>
    </row>
    <row r="610" spans="1:8" x14ac:dyDescent="0.25">
      <c r="A610">
        <v>33059</v>
      </c>
      <c r="B610" t="s">
        <v>872</v>
      </c>
      <c r="C610" t="s">
        <v>873</v>
      </c>
      <c r="D610" t="s">
        <v>38</v>
      </c>
      <c r="E610">
        <v>1130880</v>
      </c>
      <c r="F610" s="24">
        <f>especies_ativa_codibama[[#This Row],[Código]]</f>
        <v>33059</v>
      </c>
      <c r="G610" s="40" t="str">
        <f>especies_ativa_codibama[[#This Row],[Nome popular]]</f>
        <v>Marmeleiro, Marmeleiro-da-caatinga</v>
      </c>
      <c r="H610" s="40" t="str">
        <f>especies_ativa_codibama[[#This Row],[Nome científico]]</f>
        <v>Croton blanchetianus</v>
      </c>
    </row>
    <row r="611" spans="1:8" x14ac:dyDescent="0.25">
      <c r="A611">
        <v>33062</v>
      </c>
      <c r="B611" t="s">
        <v>2652</v>
      </c>
      <c r="C611" t="s">
        <v>874</v>
      </c>
      <c r="D611" t="s">
        <v>38</v>
      </c>
      <c r="E611">
        <v>31687</v>
      </c>
      <c r="F611" s="24">
        <f>especies_ativa_codibama[[#This Row],[Código]]</f>
        <v>33062</v>
      </c>
      <c r="G611" s="40" t="str">
        <f>especies_ativa_codibama[[#This Row],[Nome popular]]</f>
        <v>Pau-de-sangue, sangra-D'agua, urucura</v>
      </c>
      <c r="H611" s="40" t="str">
        <f>especies_ativa_codibama[[#This Row],[Nome científico]]</f>
        <v>Croton urucurana</v>
      </c>
    </row>
    <row r="612" spans="1:8" x14ac:dyDescent="0.25">
      <c r="A612">
        <v>33064</v>
      </c>
      <c r="B612" t="s">
        <v>875</v>
      </c>
      <c r="C612" t="s">
        <v>876</v>
      </c>
      <c r="D612" t="s">
        <v>38</v>
      </c>
      <c r="E612">
        <v>31787</v>
      </c>
      <c r="F612" s="24">
        <f>especies_ativa_codibama[[#This Row],[Código]]</f>
        <v>33064</v>
      </c>
      <c r="G612" s="40" t="str">
        <f>especies_ativa_codibama[[#This Row],[Nome popular]]</f>
        <v>pião branco, pinhão branco</v>
      </c>
      <c r="H612" s="40" t="str">
        <f>especies_ativa_codibama[[#This Row],[Nome científico]]</f>
        <v>Jatropha curcas</v>
      </c>
    </row>
    <row r="613" spans="1:8" x14ac:dyDescent="0.25">
      <c r="A613">
        <v>33065</v>
      </c>
      <c r="B613" t="s">
        <v>877</v>
      </c>
      <c r="C613" t="s">
        <v>878</v>
      </c>
      <c r="D613" t="s">
        <v>38</v>
      </c>
      <c r="E613">
        <v>1119764</v>
      </c>
      <c r="F613" s="24">
        <f>especies_ativa_codibama[[#This Row],[Código]]</f>
        <v>33065</v>
      </c>
      <c r="G613" s="40" t="str">
        <f>especies_ativa_codibama[[#This Row],[Nome popular]]</f>
        <v>pinhão</v>
      </c>
      <c r="H613" s="40" t="str">
        <f>especies_ativa_codibama[[#This Row],[Nome científico]]</f>
        <v>Jatropha mollissima</v>
      </c>
    </row>
    <row r="614" spans="1:8" x14ac:dyDescent="0.25">
      <c r="A614">
        <v>33068</v>
      </c>
      <c r="B614" t="s">
        <v>879</v>
      </c>
      <c r="C614" t="s">
        <v>880</v>
      </c>
      <c r="D614" t="s">
        <v>38</v>
      </c>
      <c r="E614">
        <v>33649</v>
      </c>
      <c r="F614" s="24">
        <f>especies_ativa_codibama[[#This Row],[Código]]</f>
        <v>33068</v>
      </c>
      <c r="G614" s="40" t="str">
        <f>especies_ativa_codibama[[#This Row],[Nome popular]]</f>
        <v>seringaí</v>
      </c>
      <c r="H614" s="40" t="str">
        <f>especies_ativa_codibama[[#This Row],[Nome científico]]</f>
        <v>Mabea paniculata</v>
      </c>
    </row>
    <row r="615" spans="1:8" x14ac:dyDescent="0.25">
      <c r="A615">
        <v>33070</v>
      </c>
      <c r="B615" t="s">
        <v>881</v>
      </c>
      <c r="C615" t="s">
        <v>882</v>
      </c>
      <c r="D615" t="s">
        <v>38</v>
      </c>
      <c r="E615">
        <v>36097</v>
      </c>
      <c r="F615" s="24">
        <f>especies_ativa_codibama[[#This Row],[Código]]</f>
        <v>33070</v>
      </c>
      <c r="G615" s="40" t="str">
        <f>especies_ativa_codibama[[#This Row],[Nome popular]]</f>
        <v>seringara, leiteiro-branco, mamoninha</v>
      </c>
      <c r="H615" s="40" t="str">
        <f>especies_ativa_codibama[[#This Row],[Nome científico]]</f>
        <v>Micrandra elata</v>
      </c>
    </row>
    <row r="616" spans="1:8" x14ac:dyDescent="0.25">
      <c r="A616">
        <v>33071</v>
      </c>
      <c r="B616" t="s">
        <v>883</v>
      </c>
      <c r="C616" t="s">
        <v>884</v>
      </c>
      <c r="D616" t="s">
        <v>38</v>
      </c>
      <c r="E616">
        <v>1132554</v>
      </c>
      <c r="F616" s="24">
        <f>especies_ativa_codibama[[#This Row],[Código]]</f>
        <v>33071</v>
      </c>
      <c r="G616" s="40" t="str">
        <f>especies_ativa_codibama[[#This Row],[Nome popular]]</f>
        <v>supiara, taquari</v>
      </c>
      <c r="H616" s="40" t="str">
        <f>especies_ativa_codibama[[#This Row],[Nome científico]]</f>
        <v>Alchornea discolor</v>
      </c>
    </row>
    <row r="617" spans="1:8" x14ac:dyDescent="0.25">
      <c r="A617">
        <v>33072</v>
      </c>
      <c r="B617" t="s">
        <v>885</v>
      </c>
      <c r="C617" t="s">
        <v>886</v>
      </c>
      <c r="D617" t="s">
        <v>38</v>
      </c>
      <c r="E617">
        <v>32860</v>
      </c>
      <c r="F617" s="24">
        <f>especies_ativa_codibama[[#This Row],[Código]]</f>
        <v>33072</v>
      </c>
      <c r="G617" s="40" t="str">
        <f>especies_ativa_codibama[[#This Row],[Nome popular]]</f>
        <v>tamanqueiro, tanheiro, ubicura, urmura, tamanqueiro, tanheiro, urucura, tapiá-guatuná, tapiá</v>
      </c>
      <c r="H617" s="40" t="str">
        <f>especies_ativa_codibama[[#This Row],[Nome científico]]</f>
        <v>Alchornea sidifolia</v>
      </c>
    </row>
    <row r="618" spans="1:8" x14ac:dyDescent="0.25">
      <c r="A618">
        <v>33073</v>
      </c>
      <c r="B618" t="s">
        <v>887</v>
      </c>
      <c r="C618" t="s">
        <v>888</v>
      </c>
      <c r="D618" t="s">
        <v>38</v>
      </c>
      <c r="E618">
        <v>31593</v>
      </c>
      <c r="F618" s="24">
        <f>especies_ativa_codibama[[#This Row],[Código]]</f>
        <v>33073</v>
      </c>
      <c r="G618" s="40" t="str">
        <f>especies_ativa_codibama[[#This Row],[Nome popular]]</f>
        <v>tapiá, tapiá-guaçu, tinteiro, tapiá, tapiá-mirim, tapiá-guaçu, boleiro, caixeta, tapiá, tapiá-guaçu, tapiá-mirim, tapiá, guaçatunga, amorãoná, tamanqueiro, pau-de-tamanco, pau-de-tanho, tapiá, tanheiro</v>
      </c>
      <c r="H618" s="40" t="str">
        <f>especies_ativa_codibama[[#This Row],[Nome científico]]</f>
        <v>Alchornea triplinervia</v>
      </c>
    </row>
    <row r="619" spans="1:8" x14ac:dyDescent="0.25">
      <c r="A619">
        <v>33074</v>
      </c>
      <c r="B619" t="s">
        <v>2653</v>
      </c>
      <c r="C619" t="s">
        <v>2654</v>
      </c>
      <c r="D619" t="s">
        <v>38</v>
      </c>
      <c r="E619">
        <v>1120712</v>
      </c>
      <c r="F619" s="24">
        <f>especies_ativa_codibama[[#This Row],[Código]]</f>
        <v>33074</v>
      </c>
      <c r="G619" s="40" t="str">
        <f>especies_ativa_codibama[[#This Row],[Nome popular]]</f>
        <v>taquarira</v>
      </c>
      <c r="H619" s="40" t="str">
        <f>especies_ativa_codibama[[#This Row],[Nome científico]]</f>
        <v>Mabea piriri</v>
      </c>
    </row>
    <row r="620" spans="1:8" x14ac:dyDescent="0.25">
      <c r="A620">
        <v>33076</v>
      </c>
      <c r="B620" t="s">
        <v>106</v>
      </c>
      <c r="C620" t="s">
        <v>889</v>
      </c>
      <c r="D620" t="s">
        <v>38</v>
      </c>
      <c r="E620">
        <v>32103</v>
      </c>
      <c r="F620" s="24">
        <f>especies_ativa_codibama[[#This Row],[Código]]</f>
        <v>33076</v>
      </c>
      <c r="G620" s="40" t="str">
        <f>especies_ativa_codibama[[#This Row],[Nome popular]]</f>
        <v>---</v>
      </c>
      <c r="H620" s="40" t="str">
        <f>especies_ativa_codibama[[#This Row],[Nome científico]]</f>
        <v>Sapium sceleratum</v>
      </c>
    </row>
    <row r="621" spans="1:8" x14ac:dyDescent="0.25">
      <c r="A621">
        <v>33078</v>
      </c>
      <c r="B621" t="s">
        <v>106</v>
      </c>
      <c r="C621" t="s">
        <v>890</v>
      </c>
      <c r="D621" t="s">
        <v>38</v>
      </c>
      <c r="E621">
        <v>1132215</v>
      </c>
      <c r="F621" s="24">
        <f>especies_ativa_codibama[[#This Row],[Código]]</f>
        <v>33078</v>
      </c>
      <c r="G621" s="40" t="str">
        <f>especies_ativa_codibama[[#This Row],[Nome popular]]</f>
        <v>---</v>
      </c>
      <c r="H621" s="40" t="str">
        <f>especies_ativa_codibama[[#This Row],[Nome científico]]</f>
        <v>Croton subacutus</v>
      </c>
    </row>
    <row r="622" spans="1:8" x14ac:dyDescent="0.25">
      <c r="A622">
        <v>33079</v>
      </c>
      <c r="B622" t="s">
        <v>106</v>
      </c>
      <c r="C622" t="s">
        <v>891</v>
      </c>
      <c r="D622" t="s">
        <v>38</v>
      </c>
      <c r="E622">
        <v>214721</v>
      </c>
      <c r="F622" s="24">
        <f>especies_ativa_codibama[[#This Row],[Código]]</f>
        <v>33079</v>
      </c>
      <c r="G622" s="40" t="str">
        <f>especies_ativa_codibama[[#This Row],[Nome popular]]</f>
        <v>---</v>
      </c>
      <c r="H622" s="40" t="str">
        <f>especies_ativa_codibama[[#This Row],[Nome científico]]</f>
        <v>Cnidoscolus bahianus</v>
      </c>
    </row>
    <row r="623" spans="1:8" x14ac:dyDescent="0.25">
      <c r="A623">
        <v>33086</v>
      </c>
      <c r="B623" t="s">
        <v>106</v>
      </c>
      <c r="C623" t="s">
        <v>892</v>
      </c>
      <c r="D623" t="s">
        <v>38</v>
      </c>
      <c r="E623">
        <v>36128</v>
      </c>
      <c r="F623" s="24">
        <f>especies_ativa_codibama[[#This Row],[Código]]</f>
        <v>33086</v>
      </c>
      <c r="G623" s="40" t="str">
        <f>especies_ativa_codibama[[#This Row],[Nome popular]]</f>
        <v>---</v>
      </c>
      <c r="H623" s="40" t="str">
        <f>especies_ativa_codibama[[#This Row],[Nome científico]]</f>
        <v>Omphalea brasiliensis</v>
      </c>
    </row>
    <row r="624" spans="1:8" x14ac:dyDescent="0.25">
      <c r="A624">
        <v>33108</v>
      </c>
      <c r="B624" t="s">
        <v>106</v>
      </c>
      <c r="C624" t="s">
        <v>893</v>
      </c>
      <c r="D624" t="s">
        <v>38</v>
      </c>
      <c r="E624">
        <v>31938</v>
      </c>
      <c r="F624" s="24">
        <f>especies_ativa_codibama[[#This Row],[Código]]</f>
        <v>33108</v>
      </c>
      <c r="G624" s="40" t="str">
        <f>especies_ativa_codibama[[#This Row],[Nome popular]]</f>
        <v>---</v>
      </c>
      <c r="H624" s="40" t="str">
        <f>especies_ativa_codibama[[#This Row],[Nome científico]]</f>
        <v>Sapium obovatum</v>
      </c>
    </row>
    <row r="625" spans="1:8" x14ac:dyDescent="0.25">
      <c r="A625">
        <v>33109</v>
      </c>
      <c r="B625" t="s">
        <v>106</v>
      </c>
      <c r="C625" t="s">
        <v>894</v>
      </c>
      <c r="D625" t="s">
        <v>38</v>
      </c>
      <c r="E625">
        <v>646942</v>
      </c>
      <c r="F625" s="24">
        <f>especies_ativa_codibama[[#This Row],[Código]]</f>
        <v>33109</v>
      </c>
      <c r="G625" s="40" t="str">
        <f>especies_ativa_codibama[[#This Row],[Nome popular]]</f>
        <v>---</v>
      </c>
      <c r="H625" s="40" t="str">
        <f>especies_ativa_codibama[[#This Row],[Nome científico]]</f>
        <v>Manihot caerulescens</v>
      </c>
    </row>
    <row r="626" spans="1:8" x14ac:dyDescent="0.25">
      <c r="A626">
        <v>33117</v>
      </c>
      <c r="B626" t="s">
        <v>106</v>
      </c>
      <c r="C626" t="s">
        <v>895</v>
      </c>
      <c r="D626" t="s">
        <v>38</v>
      </c>
      <c r="E626">
        <v>33650</v>
      </c>
      <c r="F626" s="24">
        <f>especies_ativa_codibama[[#This Row],[Código]]</f>
        <v>33117</v>
      </c>
      <c r="G626" s="40" t="str">
        <f>especies_ativa_codibama[[#This Row],[Nome popular]]</f>
        <v>---</v>
      </c>
      <c r="H626" s="40" t="str">
        <f>especies_ativa_codibama[[#This Row],[Nome científico]]</f>
        <v>Mabea pohliana</v>
      </c>
    </row>
    <row r="627" spans="1:8" x14ac:dyDescent="0.25">
      <c r="A627">
        <v>33120</v>
      </c>
      <c r="B627" t="s">
        <v>106</v>
      </c>
      <c r="C627" t="s">
        <v>896</v>
      </c>
      <c r="D627" t="s">
        <v>38</v>
      </c>
      <c r="E627">
        <v>35857</v>
      </c>
      <c r="F627" s="24">
        <f>especies_ativa_codibama[[#This Row],[Código]]</f>
        <v>33120</v>
      </c>
      <c r="G627" s="40" t="str">
        <f>especies_ativa_codibama[[#This Row],[Nome popular]]</f>
        <v>---</v>
      </c>
      <c r="H627" s="40" t="str">
        <f>especies_ativa_codibama[[#This Row],[Nome científico]]</f>
        <v>Alchornea glandulosa</v>
      </c>
    </row>
    <row r="628" spans="1:8" x14ac:dyDescent="0.25">
      <c r="A628">
        <v>33122</v>
      </c>
      <c r="B628" t="s">
        <v>106</v>
      </c>
      <c r="C628" t="s">
        <v>897</v>
      </c>
      <c r="D628" t="s">
        <v>38</v>
      </c>
      <c r="E628">
        <v>31822</v>
      </c>
      <c r="F628" s="24">
        <f>especies_ativa_codibama[[#This Row],[Código]]</f>
        <v>33122</v>
      </c>
      <c r="G628" s="40" t="str">
        <f>especies_ativa_codibama[[#This Row],[Nome popular]]</f>
        <v>---</v>
      </c>
      <c r="H628" s="40" t="str">
        <f>especies_ativa_codibama[[#This Row],[Nome científico]]</f>
        <v>Maprounea guianensis</v>
      </c>
    </row>
    <row r="629" spans="1:8" x14ac:dyDescent="0.25">
      <c r="A629">
        <v>33127</v>
      </c>
      <c r="B629" t="s">
        <v>106</v>
      </c>
      <c r="C629" t="s">
        <v>898</v>
      </c>
      <c r="D629" t="s">
        <v>38</v>
      </c>
      <c r="E629">
        <v>35524</v>
      </c>
      <c r="F629" s="24">
        <f>especies_ativa_codibama[[#This Row],[Código]]</f>
        <v>33127</v>
      </c>
      <c r="G629" s="40" t="str">
        <f>especies_ativa_codibama[[#This Row],[Nome popular]]</f>
        <v>---</v>
      </c>
      <c r="H629" s="40" t="str">
        <f>especies_ativa_codibama[[#This Row],[Nome científico]]</f>
        <v>Pachystroma longifolium</v>
      </c>
    </row>
    <row r="630" spans="1:8" x14ac:dyDescent="0.25">
      <c r="A630">
        <v>33132</v>
      </c>
      <c r="B630" t="s">
        <v>106</v>
      </c>
      <c r="C630" t="s">
        <v>899</v>
      </c>
      <c r="D630" t="s">
        <v>38</v>
      </c>
      <c r="E630">
        <v>35594</v>
      </c>
      <c r="F630" s="24">
        <f>especies_ativa_codibama[[#This Row],[Código]]</f>
        <v>33132</v>
      </c>
      <c r="G630" s="40" t="str">
        <f>especies_ativa_codibama[[#This Row],[Nome popular]]</f>
        <v>---</v>
      </c>
      <c r="H630" s="40" t="str">
        <f>especies_ativa_codibama[[#This Row],[Nome científico]]</f>
        <v>Sapium haematospermum</v>
      </c>
    </row>
    <row r="631" spans="1:8" x14ac:dyDescent="0.25">
      <c r="A631">
        <v>33137</v>
      </c>
      <c r="B631" t="s">
        <v>106</v>
      </c>
      <c r="C631" t="s">
        <v>900</v>
      </c>
      <c r="D631" t="s">
        <v>38</v>
      </c>
      <c r="E631">
        <v>34181</v>
      </c>
      <c r="F631" s="24">
        <f>especies_ativa_codibama[[#This Row],[Código]]</f>
        <v>33137</v>
      </c>
      <c r="G631" s="40" t="str">
        <f>especies_ativa_codibama[[#This Row],[Nome popular]]</f>
        <v>---</v>
      </c>
      <c r="H631" s="40" t="str">
        <f>especies_ativa_codibama[[#This Row],[Nome científico]]</f>
        <v>Croton floribundus</v>
      </c>
    </row>
    <row r="632" spans="1:8" x14ac:dyDescent="0.25">
      <c r="A632">
        <v>33146</v>
      </c>
      <c r="B632" t="s">
        <v>106</v>
      </c>
      <c r="C632" t="s">
        <v>901</v>
      </c>
      <c r="D632" t="s">
        <v>38</v>
      </c>
      <c r="E632">
        <v>32312</v>
      </c>
      <c r="F632" s="24">
        <f>especies_ativa_codibama[[#This Row],[Código]]</f>
        <v>33146</v>
      </c>
      <c r="G632" s="40" t="str">
        <f>especies_ativa_codibama[[#This Row],[Nome popular]]</f>
        <v>---</v>
      </c>
      <c r="H632" s="40" t="str">
        <f>especies_ativa_codibama[[#This Row],[Nome científico]]</f>
        <v>Cnidoscolus pubescens</v>
      </c>
    </row>
    <row r="633" spans="1:8" x14ac:dyDescent="0.25">
      <c r="A633">
        <v>33150</v>
      </c>
      <c r="B633" t="s">
        <v>106</v>
      </c>
      <c r="C633" t="s">
        <v>902</v>
      </c>
      <c r="D633" t="s">
        <v>196</v>
      </c>
      <c r="E633">
        <v>35365</v>
      </c>
      <c r="F633" s="24">
        <f>especies_ativa_codibama[[#This Row],[Código]]</f>
        <v>33150</v>
      </c>
      <c r="G633" s="40" t="str">
        <f>especies_ativa_codibama[[#This Row],[Nome popular]]</f>
        <v>---</v>
      </c>
      <c r="H633" s="40" t="str">
        <f>especies_ativa_codibama[[#This Row],[Nome científico]]</f>
        <v>Dimorphandra wilsonii</v>
      </c>
    </row>
    <row r="634" spans="1:8" x14ac:dyDescent="0.25">
      <c r="A634">
        <v>33169</v>
      </c>
      <c r="B634" t="s">
        <v>903</v>
      </c>
      <c r="C634" t="s">
        <v>904</v>
      </c>
      <c r="D634" t="s">
        <v>79</v>
      </c>
      <c r="E634">
        <v>35644</v>
      </c>
      <c r="F634" s="24">
        <f>especies_ativa_codibama[[#This Row],[Código]]</f>
        <v>33169</v>
      </c>
      <c r="G634" s="40" t="str">
        <f>especies_ativa_codibama[[#This Row],[Nome popular]]</f>
        <v>Amargoso, Angelim-amargoso, Araroba, Pau-amargoso</v>
      </c>
      <c r="H634" s="40" t="str">
        <f>especies_ativa_codibama[[#This Row],[Nome científico]]</f>
        <v>Vataireopsis araroba</v>
      </c>
    </row>
    <row r="635" spans="1:8" x14ac:dyDescent="0.25">
      <c r="A635">
        <v>33170</v>
      </c>
      <c r="B635" t="s">
        <v>110</v>
      </c>
      <c r="C635" t="s">
        <v>905</v>
      </c>
      <c r="D635" t="s">
        <v>79</v>
      </c>
      <c r="E635">
        <v>36255</v>
      </c>
      <c r="F635" s="24">
        <f>especies_ativa_codibama[[#This Row],[Código]]</f>
        <v>33170</v>
      </c>
      <c r="G635" s="40" t="str">
        <f>especies_ativa_codibama[[#This Row],[Nome popular]]</f>
        <v>Angelim</v>
      </c>
      <c r="H635" s="40" t="str">
        <f>especies_ativa_codibama[[#This Row],[Nome científico]]</f>
        <v>Vatairea heteroptera</v>
      </c>
    </row>
    <row r="636" spans="1:8" x14ac:dyDescent="0.25">
      <c r="A636">
        <v>33173</v>
      </c>
      <c r="B636" t="s">
        <v>906</v>
      </c>
      <c r="C636" t="s">
        <v>907</v>
      </c>
      <c r="D636" t="s">
        <v>79</v>
      </c>
      <c r="E636">
        <v>32876</v>
      </c>
      <c r="F636" s="24">
        <f>especies_ativa_codibama[[#This Row],[Código]]</f>
        <v>33173</v>
      </c>
      <c r="G636" s="40" t="str">
        <f>especies_ativa_codibama[[#This Row],[Nome popular]]</f>
        <v>Arapati</v>
      </c>
      <c r="H636" s="40" t="str">
        <f>especies_ativa_codibama[[#This Row],[Nome científico]]</f>
        <v>Arapatiella psilophylla</v>
      </c>
    </row>
    <row r="637" spans="1:8" x14ac:dyDescent="0.25">
      <c r="A637">
        <v>33174</v>
      </c>
      <c r="B637" t="s">
        <v>908</v>
      </c>
      <c r="C637" t="s">
        <v>909</v>
      </c>
      <c r="D637" t="s">
        <v>196</v>
      </c>
      <c r="E637">
        <v>33793</v>
      </c>
      <c r="F637" s="24">
        <f>especies_ativa_codibama[[#This Row],[Código]]</f>
        <v>33174</v>
      </c>
      <c r="G637" s="40" t="str">
        <f>especies_ativa_codibama[[#This Row],[Nome popular]]</f>
        <v>Arruda-vermelha</v>
      </c>
      <c r="H637" s="40" t="str">
        <f>especies_ativa_codibama[[#This Row],[Nome científico]]</f>
        <v>Swartzia euxylophora</v>
      </c>
    </row>
    <row r="638" spans="1:8" x14ac:dyDescent="0.25">
      <c r="A638">
        <v>33176</v>
      </c>
      <c r="B638" t="s">
        <v>910</v>
      </c>
      <c r="C638" t="s">
        <v>911</v>
      </c>
      <c r="D638" t="s">
        <v>79</v>
      </c>
      <c r="E638">
        <v>36101</v>
      </c>
      <c r="F638" s="24">
        <f>especies_ativa_codibama[[#This Row],[Código]]</f>
        <v>33176</v>
      </c>
      <c r="G638" s="40" t="str">
        <f>especies_ativa_codibama[[#This Row],[Nome popular]]</f>
        <v>bracaatinga</v>
      </c>
      <c r="H638" s="40" t="str">
        <f>especies_ativa_codibama[[#This Row],[Nome científico]]</f>
        <v>Mimosa scabrella</v>
      </c>
    </row>
    <row r="639" spans="1:8" x14ac:dyDescent="0.25">
      <c r="A639">
        <v>33178</v>
      </c>
      <c r="B639" t="s">
        <v>912</v>
      </c>
      <c r="C639" t="s">
        <v>913</v>
      </c>
      <c r="D639" t="s">
        <v>465</v>
      </c>
      <c r="E639">
        <v>32842</v>
      </c>
      <c r="F639" s="24">
        <f>especies_ativa_codibama[[#This Row],[Código]]</f>
        <v>33178</v>
      </c>
      <c r="G639" s="40" t="str">
        <f>especies_ativa_codibama[[#This Row],[Nome popular]]</f>
        <v>Braú-preta, Faveca</v>
      </c>
      <c r="H639" s="40" t="str">
        <f>especies_ativa_codibama[[#This Row],[Nome científico]]</f>
        <v>Moldenhawera blanchetiana</v>
      </c>
    </row>
    <row r="640" spans="1:8" x14ac:dyDescent="0.25">
      <c r="A640">
        <v>33182</v>
      </c>
      <c r="B640" t="s">
        <v>914</v>
      </c>
      <c r="C640" t="s">
        <v>915</v>
      </c>
      <c r="D640" t="s">
        <v>79</v>
      </c>
      <c r="E640">
        <v>32966</v>
      </c>
      <c r="F640" s="24">
        <f>especies_ativa_codibama[[#This Row],[Código]]</f>
        <v>33182</v>
      </c>
      <c r="G640" s="40" t="str">
        <f>especies_ativa_codibama[[#This Row],[Nome popular]]</f>
        <v>embira-de-carrapato, pau-carrapato</v>
      </c>
      <c r="H640" s="40" t="str">
        <f>especies_ativa_codibama[[#This Row],[Nome científico]]</f>
        <v>Deguelia costata</v>
      </c>
    </row>
    <row r="641" spans="1:8" x14ac:dyDescent="0.25">
      <c r="A641">
        <v>33183</v>
      </c>
      <c r="B641" t="s">
        <v>916</v>
      </c>
      <c r="C641" t="s">
        <v>917</v>
      </c>
      <c r="D641" t="s">
        <v>79</v>
      </c>
      <c r="E641">
        <v>33079</v>
      </c>
      <c r="F641" s="24">
        <f>especies_ativa_codibama[[#This Row],[Código]]</f>
        <v>33183</v>
      </c>
      <c r="G641" s="40" t="str">
        <f>especies_ativa_codibama[[#This Row],[Nome popular]]</f>
        <v>Faveca, Guaraçaí</v>
      </c>
      <c r="H641" s="40" t="str">
        <f>especies_ativa_codibama[[#This Row],[Nome científico]]</f>
        <v>Moldenhawera floribunda</v>
      </c>
    </row>
    <row r="642" spans="1:8" x14ac:dyDescent="0.25">
      <c r="A642">
        <v>33185</v>
      </c>
      <c r="B642" t="s">
        <v>918</v>
      </c>
      <c r="C642" t="s">
        <v>919</v>
      </c>
      <c r="D642" t="s">
        <v>79</v>
      </c>
      <c r="E642">
        <v>36142</v>
      </c>
      <c r="F642" s="24">
        <f>especies_ativa_codibama[[#This Row],[Código]]</f>
        <v>33185</v>
      </c>
      <c r="G642" s="40" t="str">
        <f>especies_ativa_codibama[[#This Row],[Nome popular]]</f>
        <v>Guarabu, Guarabu roxo, Roxinho</v>
      </c>
      <c r="H642" s="40" t="str">
        <f>especies_ativa_codibama[[#This Row],[Nome científico]]</f>
        <v>Peltogyne angustiflora</v>
      </c>
    </row>
    <row r="643" spans="1:8" x14ac:dyDescent="0.25">
      <c r="A643">
        <v>33195</v>
      </c>
      <c r="B643" t="s">
        <v>920</v>
      </c>
      <c r="C643" t="s">
        <v>921</v>
      </c>
      <c r="D643" t="s">
        <v>79</v>
      </c>
      <c r="E643">
        <v>32963</v>
      </c>
      <c r="F643" s="24">
        <f>especies_ativa_codibama[[#This Row],[Código]]</f>
        <v>33195</v>
      </c>
      <c r="G643" s="40" t="str">
        <f>especies_ativa_codibama[[#This Row],[Nome popular]]</f>
        <v>Jacarandá-do-cerrado, Caviú-do-cerrado, Jacarandá-do-campo</v>
      </c>
      <c r="H643" s="40" t="str">
        <f>especies_ativa_codibama[[#This Row],[Nome científico]]</f>
        <v>Dalbergia miscolobium</v>
      </c>
    </row>
    <row r="644" spans="1:8" x14ac:dyDescent="0.25">
      <c r="A644">
        <v>33197</v>
      </c>
      <c r="B644" t="s">
        <v>922</v>
      </c>
      <c r="C644" t="s">
        <v>923</v>
      </c>
      <c r="D644" t="s">
        <v>79</v>
      </c>
      <c r="E644">
        <v>35825</v>
      </c>
      <c r="F644" s="24">
        <f>especies_ativa_codibama[[#This Row],[Código]]</f>
        <v>33197</v>
      </c>
      <c r="G644" s="40" t="str">
        <f>especies_ativa_codibama[[#This Row],[Nome popular]]</f>
        <v>Jacarandá-preto</v>
      </c>
      <c r="H644" s="40" t="str">
        <f>especies_ativa_codibama[[#This Row],[Nome científico]]</f>
        <v>Machaerium nigrum</v>
      </c>
    </row>
    <row r="645" spans="1:8" x14ac:dyDescent="0.25">
      <c r="A645">
        <v>33198</v>
      </c>
      <c r="B645" t="s">
        <v>924</v>
      </c>
      <c r="C645" t="s">
        <v>925</v>
      </c>
      <c r="D645" t="s">
        <v>79</v>
      </c>
      <c r="E645">
        <v>33057</v>
      </c>
      <c r="F645" s="24">
        <f>especies_ativa_codibama[[#This Row],[Código]]</f>
        <v>33198</v>
      </c>
      <c r="G645" s="40" t="str">
        <f>especies_ativa_codibama[[#This Row],[Nome popular]]</f>
        <v>Jacarandá-preto, Jacarandá-rosa</v>
      </c>
      <c r="H645" s="40" t="str">
        <f>especies_ativa_codibama[[#This Row],[Nome científico]]</f>
        <v>Machaerium incorruptibile</v>
      </c>
    </row>
    <row r="646" spans="1:8" x14ac:dyDescent="0.25">
      <c r="A646">
        <v>33200</v>
      </c>
      <c r="B646" t="s">
        <v>926</v>
      </c>
      <c r="C646" t="s">
        <v>927</v>
      </c>
      <c r="D646" t="s">
        <v>79</v>
      </c>
      <c r="E646">
        <v>34281</v>
      </c>
      <c r="F646" s="24">
        <f>especies_ativa_codibama[[#This Row],[Código]]</f>
        <v>33200</v>
      </c>
      <c r="G646" s="40" t="str">
        <f>especies_ativa_codibama[[#This Row],[Nome popular]]</f>
        <v>Jacarandá-tan</v>
      </c>
      <c r="H646" s="40" t="str">
        <f>especies_ativa_codibama[[#This Row],[Nome científico]]</f>
        <v>Machaerium fulvovenosum</v>
      </c>
    </row>
    <row r="647" spans="1:8" x14ac:dyDescent="0.25">
      <c r="A647">
        <v>33201</v>
      </c>
      <c r="B647" t="s">
        <v>928</v>
      </c>
      <c r="C647" t="s">
        <v>929</v>
      </c>
      <c r="D647" t="s">
        <v>79</v>
      </c>
      <c r="E647">
        <v>34554</v>
      </c>
      <c r="F647" s="24">
        <f>especies_ativa_codibama[[#This Row],[Código]]</f>
        <v>33201</v>
      </c>
      <c r="G647" s="40" t="str">
        <f>especies_ativa_codibama[[#This Row],[Nome popular]]</f>
        <v>Jatobá piloso, Jatobá verdadeiro</v>
      </c>
      <c r="H647" s="40" t="str">
        <f>especies_ativa_codibama[[#This Row],[Nome científico]]</f>
        <v>Hymenaea aurea</v>
      </c>
    </row>
    <row r="648" spans="1:8" x14ac:dyDescent="0.25">
      <c r="A648">
        <v>33202</v>
      </c>
      <c r="B648" t="s">
        <v>930</v>
      </c>
      <c r="C648" t="s">
        <v>931</v>
      </c>
      <c r="D648" t="s">
        <v>79</v>
      </c>
      <c r="E648">
        <v>33020</v>
      </c>
      <c r="F648" s="24">
        <f>especies_ativa_codibama[[#This Row],[Código]]</f>
        <v>33202</v>
      </c>
      <c r="G648" s="40" t="str">
        <f>especies_ativa_codibama[[#This Row],[Nome popular]]</f>
        <v>Jatobá, Tamarindo</v>
      </c>
      <c r="H648" s="40" t="str">
        <f>especies_ativa_codibama[[#This Row],[Nome científico]]</f>
        <v>Hymenaea rubriflora</v>
      </c>
    </row>
    <row r="649" spans="1:8" x14ac:dyDescent="0.25">
      <c r="A649">
        <v>33203</v>
      </c>
      <c r="B649" t="s">
        <v>2655</v>
      </c>
      <c r="C649" t="s">
        <v>932</v>
      </c>
      <c r="D649" t="s">
        <v>196</v>
      </c>
      <c r="E649">
        <v>1984191</v>
      </c>
      <c r="F649" s="24">
        <f>especies_ativa_codibama[[#This Row],[Código]]</f>
        <v>33203</v>
      </c>
      <c r="G649" s="40" t="str">
        <f>especies_ativa_codibama[[#This Row],[Nome popular]]</f>
        <v>juru, sucupira-da-beira-d'água</v>
      </c>
      <c r="H649" s="40" t="str">
        <f>especies_ativa_codibama[[#This Row],[Nome científico]]</f>
        <v>Leptolobium tenuifolium</v>
      </c>
    </row>
    <row r="650" spans="1:8" x14ac:dyDescent="0.25">
      <c r="A650">
        <v>33205</v>
      </c>
      <c r="B650" t="s">
        <v>933</v>
      </c>
      <c r="C650" t="s">
        <v>934</v>
      </c>
      <c r="D650" t="s">
        <v>79</v>
      </c>
      <c r="E650">
        <v>36340</v>
      </c>
      <c r="F650" s="24">
        <f>especies_ativa_codibama[[#This Row],[Código]]</f>
        <v>33205</v>
      </c>
      <c r="G650" s="40" t="str">
        <f>especies_ativa_codibama[[#This Row],[Nome popular]]</f>
        <v>murta, osso-de-burro</v>
      </c>
      <c r="H650" s="40" t="str">
        <f>especies_ativa_codibama[[#This Row],[Nome científico]]</f>
        <v>Acosmium lentiscifolium</v>
      </c>
    </row>
    <row r="651" spans="1:8" x14ac:dyDescent="0.25">
      <c r="A651">
        <v>33206</v>
      </c>
      <c r="B651" t="s">
        <v>935</v>
      </c>
      <c r="C651" t="s">
        <v>936</v>
      </c>
      <c r="D651" t="s">
        <v>79</v>
      </c>
      <c r="E651">
        <v>35263</v>
      </c>
      <c r="F651" s="24">
        <f>especies_ativa_codibama[[#This Row],[Código]]</f>
        <v>33206</v>
      </c>
      <c r="G651" s="40" t="str">
        <f>especies_ativa_codibama[[#This Row],[Nome popular]]</f>
        <v>pau-de-espinho, quebra-foice</v>
      </c>
      <c r="H651" s="40" t="str">
        <f>especies_ativa_codibama[[#This Row],[Nome científico]]</f>
        <v>Mimosa laticifera</v>
      </c>
    </row>
    <row r="652" spans="1:8" x14ac:dyDescent="0.25">
      <c r="A652">
        <v>33207</v>
      </c>
      <c r="B652" t="s">
        <v>937</v>
      </c>
      <c r="C652" t="s">
        <v>938</v>
      </c>
      <c r="D652" t="s">
        <v>79</v>
      </c>
      <c r="E652">
        <v>33528</v>
      </c>
      <c r="F652" s="24">
        <f>especies_ativa_codibama[[#This Row],[Código]]</f>
        <v>33207</v>
      </c>
      <c r="G652" s="40" t="str">
        <f>especies_ativa_codibama[[#This Row],[Nome popular]]</f>
        <v>Pau-dói, Podói</v>
      </c>
      <c r="H652" s="40" t="str">
        <f>especies_ativa_codibama[[#This Row],[Nome científico]]</f>
        <v>Copaifera luetzelburgii</v>
      </c>
    </row>
    <row r="653" spans="1:8" x14ac:dyDescent="0.25">
      <c r="A653">
        <v>33208</v>
      </c>
      <c r="B653" t="s">
        <v>939</v>
      </c>
      <c r="C653" t="s">
        <v>940</v>
      </c>
      <c r="D653" t="s">
        <v>196</v>
      </c>
      <c r="E653">
        <v>35408</v>
      </c>
      <c r="F653" s="24">
        <f>especies_ativa_codibama[[#This Row],[Código]]</f>
        <v>33208</v>
      </c>
      <c r="G653" s="40" t="str">
        <f>especies_ativa_codibama[[#This Row],[Nome popular]]</f>
        <v>Peroba-candeia</v>
      </c>
      <c r="H653" s="40" t="str">
        <f>especies_ativa_codibama[[#This Row],[Nome científico]]</f>
        <v>Grazielodendron rio-docensis</v>
      </c>
    </row>
    <row r="654" spans="1:8" x14ac:dyDescent="0.25">
      <c r="A654">
        <v>33211</v>
      </c>
      <c r="B654" t="s">
        <v>941</v>
      </c>
      <c r="C654" t="s">
        <v>942</v>
      </c>
      <c r="D654" t="s">
        <v>79</v>
      </c>
      <c r="E654">
        <v>1049671</v>
      </c>
      <c r="F654" s="24">
        <f>especies_ativa_codibama[[#This Row],[Código]]</f>
        <v>33211</v>
      </c>
      <c r="G654" s="40" t="str">
        <f>especies_ativa_codibama[[#This Row],[Nome popular]]</f>
        <v>suinã, crista-de-galo</v>
      </c>
      <c r="H654" s="40" t="str">
        <f>especies_ativa_codibama[[#This Row],[Nome científico]]</f>
        <v>Dahlstedtia pinnata</v>
      </c>
    </row>
    <row r="655" spans="1:8" x14ac:dyDescent="0.25">
      <c r="A655">
        <v>33220</v>
      </c>
      <c r="B655" t="s">
        <v>2632</v>
      </c>
      <c r="C655" t="s">
        <v>943</v>
      </c>
      <c r="D655" t="s">
        <v>79</v>
      </c>
      <c r="E655">
        <v>1040401</v>
      </c>
      <c r="F655" s="24">
        <f>especies_ativa_codibama[[#This Row],[Código]]</f>
        <v>33220</v>
      </c>
      <c r="G655" s="40" t="str">
        <f>especies_ativa_codibama[[#This Row],[Nome popular]]</f>
        <v>Grão de galo</v>
      </c>
      <c r="H655" s="40" t="str">
        <f>especies_ativa_codibama[[#This Row],[Nome científico]]</f>
        <v>Andira cordata</v>
      </c>
    </row>
    <row r="656" spans="1:8" x14ac:dyDescent="0.25">
      <c r="A656">
        <v>33234</v>
      </c>
      <c r="B656" t="s">
        <v>106</v>
      </c>
      <c r="C656" t="s">
        <v>2656</v>
      </c>
      <c r="D656" t="s">
        <v>79</v>
      </c>
      <c r="E656">
        <v>595787</v>
      </c>
      <c r="F656" s="24">
        <f>especies_ativa_codibama[[#This Row],[Código]]</f>
        <v>33234</v>
      </c>
      <c r="G656" s="40" t="str">
        <f>especies_ativa_codibama[[#This Row],[Nome popular]]</f>
        <v>---</v>
      </c>
      <c r="H656" s="40" t="str">
        <f>especies_ativa_codibama[[#This Row],[Nome científico]]</f>
        <v>Bauhinia holophylla</v>
      </c>
    </row>
    <row r="657" spans="1:8" x14ac:dyDescent="0.25">
      <c r="A657">
        <v>33274</v>
      </c>
      <c r="B657" t="s">
        <v>106</v>
      </c>
      <c r="C657" t="s">
        <v>944</v>
      </c>
      <c r="D657" t="s">
        <v>79</v>
      </c>
      <c r="E657">
        <v>34788</v>
      </c>
      <c r="F657" s="24">
        <f>especies_ativa_codibama[[#This Row],[Código]]</f>
        <v>33274</v>
      </c>
      <c r="G657" s="40" t="str">
        <f>especies_ativa_codibama[[#This Row],[Nome popular]]</f>
        <v>---</v>
      </c>
      <c r="H657" s="40" t="str">
        <f>especies_ativa_codibama[[#This Row],[Nome científico]]</f>
        <v>Copaifera elliptica</v>
      </c>
    </row>
    <row r="658" spans="1:8" x14ac:dyDescent="0.25">
      <c r="A658">
        <v>33299</v>
      </c>
      <c r="B658" t="s">
        <v>106</v>
      </c>
      <c r="C658" t="s">
        <v>945</v>
      </c>
      <c r="D658" t="s">
        <v>79</v>
      </c>
      <c r="E658">
        <v>1049335</v>
      </c>
      <c r="F658" s="24">
        <f>especies_ativa_codibama[[#This Row],[Código]]</f>
        <v>33299</v>
      </c>
      <c r="G658" s="40" t="str">
        <f>especies_ativa_codibama[[#This Row],[Nome popular]]</f>
        <v>---</v>
      </c>
      <c r="H658" s="40" t="str">
        <f>especies_ativa_codibama[[#This Row],[Nome científico]]</f>
        <v>Abarema filamentosa</v>
      </c>
    </row>
    <row r="659" spans="1:8" x14ac:dyDescent="0.25">
      <c r="A659">
        <v>33301</v>
      </c>
      <c r="B659" t="s">
        <v>106</v>
      </c>
      <c r="C659" t="s">
        <v>946</v>
      </c>
      <c r="D659" t="s">
        <v>79</v>
      </c>
      <c r="E659">
        <v>36046</v>
      </c>
      <c r="F659" s="24">
        <f>especies_ativa_codibama[[#This Row],[Código]]</f>
        <v>33301</v>
      </c>
      <c r="G659" s="40" t="str">
        <f>especies_ativa_codibama[[#This Row],[Nome popular]]</f>
        <v>---</v>
      </c>
      <c r="H659" s="40" t="str">
        <f>especies_ativa_codibama[[#This Row],[Nome científico]]</f>
        <v>Inga hispida</v>
      </c>
    </row>
    <row r="660" spans="1:8" x14ac:dyDescent="0.25">
      <c r="A660">
        <v>33304</v>
      </c>
      <c r="B660" t="s">
        <v>106</v>
      </c>
      <c r="C660" t="s">
        <v>947</v>
      </c>
      <c r="D660" t="s">
        <v>38</v>
      </c>
      <c r="E660">
        <v>31963</v>
      </c>
      <c r="F660" s="24">
        <f>especies_ativa_codibama[[#This Row],[Código]]</f>
        <v>33304</v>
      </c>
      <c r="G660" s="40" t="str">
        <f>especies_ativa_codibama[[#This Row],[Nome popular]]</f>
        <v>---</v>
      </c>
      <c r="H660" s="40" t="str">
        <f>especies_ativa_codibama[[#This Row],[Nome científico]]</f>
        <v>Swartzia flaemingii</v>
      </c>
    </row>
    <row r="661" spans="1:8" x14ac:dyDescent="0.25">
      <c r="A661">
        <v>33305</v>
      </c>
      <c r="B661" t="s">
        <v>2657</v>
      </c>
      <c r="C661" t="s">
        <v>948</v>
      </c>
      <c r="D661" t="s">
        <v>79</v>
      </c>
      <c r="E661">
        <v>34197</v>
      </c>
      <c r="F661" s="24">
        <f>especies_ativa_codibama[[#This Row],[Código]]</f>
        <v>33305</v>
      </c>
      <c r="G661" s="40" t="str">
        <f>especies_ativa_codibama[[#This Row],[Nome popular]]</f>
        <v>macanaiba-marreta, sucupira, sucupira-açu, sucupira-açu, sucupira-mirim, macanaíba-marreta</v>
      </c>
      <c r="H661" s="40" t="str">
        <f>especies_ativa_codibama[[#This Row],[Nome científico]]</f>
        <v>Diplotropis incexis</v>
      </c>
    </row>
    <row r="662" spans="1:8" x14ac:dyDescent="0.25">
      <c r="A662">
        <v>33307</v>
      </c>
      <c r="B662" t="s">
        <v>106</v>
      </c>
      <c r="C662" t="s">
        <v>949</v>
      </c>
      <c r="D662" t="s">
        <v>79</v>
      </c>
      <c r="E662">
        <v>35864</v>
      </c>
      <c r="F662" s="24">
        <f>especies_ativa_codibama[[#This Row],[Código]]</f>
        <v>33307</v>
      </c>
      <c r="G662" s="40" t="str">
        <f>especies_ativa_codibama[[#This Row],[Nome popular]]</f>
        <v>---</v>
      </c>
      <c r="H662" s="40" t="str">
        <f>especies_ativa_codibama[[#This Row],[Nome científico]]</f>
        <v>Andira nitida</v>
      </c>
    </row>
    <row r="663" spans="1:8" x14ac:dyDescent="0.25">
      <c r="A663">
        <v>33308</v>
      </c>
      <c r="B663" t="s">
        <v>106</v>
      </c>
      <c r="C663" t="s">
        <v>950</v>
      </c>
      <c r="D663" t="s">
        <v>79</v>
      </c>
      <c r="E663">
        <v>32091</v>
      </c>
      <c r="F663" s="24">
        <f>especies_ativa_codibama[[#This Row],[Código]]</f>
        <v>33308</v>
      </c>
      <c r="G663" s="40" t="str">
        <f>especies_ativa_codibama[[#This Row],[Nome popular]]</f>
        <v>---</v>
      </c>
      <c r="H663" s="40" t="str">
        <f>especies_ativa_codibama[[#This Row],[Nome científico]]</f>
        <v>Hymenolobium alagoanum</v>
      </c>
    </row>
    <row r="664" spans="1:8" x14ac:dyDescent="0.25">
      <c r="A664">
        <v>33309</v>
      </c>
      <c r="B664" t="s">
        <v>106</v>
      </c>
      <c r="C664" t="s">
        <v>951</v>
      </c>
      <c r="D664" t="s">
        <v>79</v>
      </c>
      <c r="E664">
        <v>725230</v>
      </c>
      <c r="F664" s="24">
        <f>especies_ativa_codibama[[#This Row],[Código]]</f>
        <v>33309</v>
      </c>
      <c r="G664" s="40" t="str">
        <f>especies_ativa_codibama[[#This Row],[Nome popular]]</f>
        <v>---</v>
      </c>
      <c r="H664" s="40" t="str">
        <f>especies_ativa_codibama[[#This Row],[Nome científico]]</f>
        <v>Dimorphandra jorgei</v>
      </c>
    </row>
    <row r="665" spans="1:8" x14ac:dyDescent="0.25">
      <c r="A665">
        <v>33344</v>
      </c>
      <c r="B665" t="s">
        <v>106</v>
      </c>
      <c r="C665" t="s">
        <v>952</v>
      </c>
      <c r="D665" t="s">
        <v>79</v>
      </c>
      <c r="E665">
        <v>34759</v>
      </c>
      <c r="F665" s="24">
        <f>especies_ativa_codibama[[#This Row],[Código]]</f>
        <v>33344</v>
      </c>
      <c r="G665" s="40" t="str">
        <f>especies_ativa_codibama[[#This Row],[Nome popular]]</f>
        <v>---</v>
      </c>
      <c r="H665" s="40" t="str">
        <f>especies_ativa_codibama[[#This Row],[Nome científico]]</f>
        <v>Cassia leptophylla</v>
      </c>
    </row>
    <row r="666" spans="1:8" x14ac:dyDescent="0.25">
      <c r="A666">
        <v>33345</v>
      </c>
      <c r="B666" t="s">
        <v>106</v>
      </c>
      <c r="C666" t="s">
        <v>953</v>
      </c>
      <c r="D666" t="s">
        <v>79</v>
      </c>
      <c r="E666">
        <v>32457</v>
      </c>
      <c r="F666" s="24">
        <f>especies_ativa_codibama[[#This Row],[Código]]</f>
        <v>33345</v>
      </c>
      <c r="G666" s="40" t="str">
        <f>especies_ativa_codibama[[#This Row],[Nome popular]]</f>
        <v>---</v>
      </c>
      <c r="H666" s="40" t="str">
        <f>especies_ativa_codibama[[#This Row],[Nome científico]]</f>
        <v>Macrolobium latifolium</v>
      </c>
    </row>
    <row r="667" spans="1:8" x14ac:dyDescent="0.25">
      <c r="A667">
        <v>33347</v>
      </c>
      <c r="B667" t="s">
        <v>106</v>
      </c>
      <c r="C667" t="s">
        <v>954</v>
      </c>
      <c r="D667" t="s">
        <v>79</v>
      </c>
      <c r="E667">
        <v>35521</v>
      </c>
      <c r="F667" s="24">
        <f>especies_ativa_codibama[[#This Row],[Código]]</f>
        <v>33347</v>
      </c>
      <c r="G667" s="40" t="str">
        <f>especies_ativa_codibama[[#This Row],[Nome popular]]</f>
        <v>---</v>
      </c>
      <c r="H667" s="40" t="str">
        <f>especies_ativa_codibama[[#This Row],[Nome científico]]</f>
        <v>Ormosia nitida</v>
      </c>
    </row>
    <row r="668" spans="1:8" x14ac:dyDescent="0.25">
      <c r="A668">
        <v>33350</v>
      </c>
      <c r="B668" t="s">
        <v>106</v>
      </c>
      <c r="C668" t="s">
        <v>955</v>
      </c>
      <c r="D668" t="s">
        <v>79</v>
      </c>
      <c r="E668">
        <v>35821</v>
      </c>
      <c r="F668" s="24">
        <f>especies_ativa_codibama[[#This Row],[Código]]</f>
        <v>33350</v>
      </c>
      <c r="G668" s="40" t="str">
        <f>especies_ativa_codibama[[#This Row],[Nome popular]]</f>
        <v>---</v>
      </c>
      <c r="H668" s="40" t="str">
        <f>especies_ativa_codibama[[#This Row],[Nome científico]]</f>
        <v>Chamaecrista aspleniifolia</v>
      </c>
    </row>
    <row r="669" spans="1:8" x14ac:dyDescent="0.25">
      <c r="A669">
        <v>33354</v>
      </c>
      <c r="B669" t="s">
        <v>106</v>
      </c>
      <c r="C669" t="s">
        <v>956</v>
      </c>
      <c r="D669" t="s">
        <v>79</v>
      </c>
      <c r="E669">
        <v>32429</v>
      </c>
      <c r="F669" s="24">
        <f>especies_ativa_codibama[[#This Row],[Código]]</f>
        <v>33354</v>
      </c>
      <c r="G669" s="40" t="str">
        <f>especies_ativa_codibama[[#This Row],[Nome popular]]</f>
        <v>---</v>
      </c>
      <c r="H669" s="40" t="str">
        <f>especies_ativa_codibama[[#This Row],[Nome científico]]</f>
        <v>Inga subnuda</v>
      </c>
    </row>
    <row r="670" spans="1:8" x14ac:dyDescent="0.25">
      <c r="A670">
        <v>33357</v>
      </c>
      <c r="B670" t="s">
        <v>106</v>
      </c>
      <c r="C670" t="s">
        <v>957</v>
      </c>
      <c r="D670" t="s">
        <v>79</v>
      </c>
      <c r="E670">
        <v>31601</v>
      </c>
      <c r="F670" s="24">
        <f>especies_ativa_codibama[[#This Row],[Código]]</f>
        <v>33357</v>
      </c>
      <c r="G670" s="40" t="str">
        <f>especies_ativa_codibama[[#This Row],[Nome popular]]</f>
        <v>---</v>
      </c>
      <c r="H670" s="40" t="str">
        <f>especies_ativa_codibama[[#This Row],[Nome científico]]</f>
        <v>Andira legalis</v>
      </c>
    </row>
    <row r="671" spans="1:8" x14ac:dyDescent="0.25">
      <c r="A671">
        <v>33358</v>
      </c>
      <c r="B671" t="s">
        <v>106</v>
      </c>
      <c r="C671" t="s">
        <v>958</v>
      </c>
      <c r="D671" t="s">
        <v>79</v>
      </c>
      <c r="E671">
        <v>35730</v>
      </c>
      <c r="F671" s="24">
        <f>especies_ativa_codibama[[#This Row],[Código]]</f>
        <v>33358</v>
      </c>
      <c r="G671" s="40" t="str">
        <f>especies_ativa_codibama[[#This Row],[Nome popular]]</f>
        <v>---</v>
      </c>
      <c r="H671" s="40" t="str">
        <f>especies_ativa_codibama[[#This Row],[Nome científico]]</f>
        <v>Andira ormosioides</v>
      </c>
    </row>
    <row r="672" spans="1:8" x14ac:dyDescent="0.25">
      <c r="A672">
        <v>33359</v>
      </c>
      <c r="B672" t="s">
        <v>106</v>
      </c>
      <c r="C672" t="s">
        <v>959</v>
      </c>
      <c r="D672" t="s">
        <v>79</v>
      </c>
      <c r="E672">
        <v>32584</v>
      </c>
      <c r="F672" s="24">
        <f>especies_ativa_codibama[[#This Row],[Código]]</f>
        <v>33359</v>
      </c>
      <c r="G672" s="40" t="str">
        <f>especies_ativa_codibama[[#This Row],[Nome popular]]</f>
        <v>---</v>
      </c>
      <c r="H672" s="40" t="str">
        <f>especies_ativa_codibama[[#This Row],[Nome científico]]</f>
        <v>Swartzia oblata</v>
      </c>
    </row>
    <row r="673" spans="1:8" x14ac:dyDescent="0.25">
      <c r="A673">
        <v>33364</v>
      </c>
      <c r="B673" t="s">
        <v>106</v>
      </c>
      <c r="C673" t="s">
        <v>960</v>
      </c>
      <c r="D673" t="s">
        <v>79</v>
      </c>
      <c r="E673">
        <v>34321</v>
      </c>
      <c r="F673" s="24">
        <f>especies_ativa_codibama[[#This Row],[Código]]</f>
        <v>33364</v>
      </c>
      <c r="G673" s="40" t="str">
        <f>especies_ativa_codibama[[#This Row],[Nome popular]]</f>
        <v>---</v>
      </c>
      <c r="H673" s="40" t="str">
        <f>especies_ativa_codibama[[#This Row],[Nome científico]]</f>
        <v>Parapiptadenia pterosperma</v>
      </c>
    </row>
    <row r="674" spans="1:8" x14ac:dyDescent="0.25">
      <c r="A674">
        <v>33366</v>
      </c>
      <c r="B674" t="s">
        <v>106</v>
      </c>
      <c r="C674" t="s">
        <v>961</v>
      </c>
      <c r="D674" t="s">
        <v>79</v>
      </c>
      <c r="E674">
        <v>860112</v>
      </c>
      <c r="F674" s="24">
        <f>especies_ativa_codibama[[#This Row],[Código]]</f>
        <v>33366</v>
      </c>
      <c r="G674" s="40" t="str">
        <f>especies_ativa_codibama[[#This Row],[Nome popular]]</f>
        <v>---</v>
      </c>
      <c r="H674" s="40" t="str">
        <f>especies_ativa_codibama[[#This Row],[Nome científico]]</f>
        <v>Copaifera lucens</v>
      </c>
    </row>
    <row r="675" spans="1:8" x14ac:dyDescent="0.25">
      <c r="A675">
        <v>33370</v>
      </c>
      <c r="B675" t="s">
        <v>106</v>
      </c>
      <c r="C675" t="s">
        <v>962</v>
      </c>
      <c r="D675" t="s">
        <v>79</v>
      </c>
      <c r="E675">
        <v>32522</v>
      </c>
      <c r="F675" s="24">
        <f>especies_ativa_codibama[[#This Row],[Código]]</f>
        <v>33370</v>
      </c>
      <c r="G675" s="40" t="str">
        <f>especies_ativa_codibama[[#This Row],[Nome popular]]</f>
        <v>---</v>
      </c>
      <c r="H675" s="40" t="str">
        <f>especies_ativa_codibama[[#This Row],[Nome científico]]</f>
        <v>Poecilanthe falcata</v>
      </c>
    </row>
    <row r="676" spans="1:8" x14ac:dyDescent="0.25">
      <c r="A676">
        <v>33371</v>
      </c>
      <c r="B676" t="s">
        <v>106</v>
      </c>
      <c r="C676" t="s">
        <v>963</v>
      </c>
      <c r="D676" t="s">
        <v>79</v>
      </c>
      <c r="E676">
        <v>34675</v>
      </c>
      <c r="F676" s="24">
        <f>especies_ativa_codibama[[#This Row],[Código]]</f>
        <v>33371</v>
      </c>
      <c r="G676" s="40" t="str">
        <f>especies_ativa_codibama[[#This Row],[Nome popular]]</f>
        <v>---</v>
      </c>
      <c r="H676" s="40" t="str">
        <f>especies_ativa_codibama[[#This Row],[Nome científico]]</f>
        <v>Exostyles venusta</v>
      </c>
    </row>
    <row r="677" spans="1:8" x14ac:dyDescent="0.25">
      <c r="A677">
        <v>33380</v>
      </c>
      <c r="B677" t="s">
        <v>106</v>
      </c>
      <c r="C677" t="s">
        <v>964</v>
      </c>
      <c r="D677" t="s">
        <v>465</v>
      </c>
      <c r="E677">
        <v>34187</v>
      </c>
      <c r="F677" s="24">
        <f>especies_ativa_codibama[[#This Row],[Código]]</f>
        <v>33380</v>
      </c>
      <c r="G677" s="40" t="str">
        <f>especies_ativa_codibama[[#This Row],[Nome popular]]</f>
        <v>---</v>
      </c>
      <c r="H677" s="40" t="str">
        <f>especies_ativa_codibama[[#This Row],[Nome científico]]</f>
        <v>Deguelia hatschbachii</v>
      </c>
    </row>
    <row r="678" spans="1:8" x14ac:dyDescent="0.25">
      <c r="A678">
        <v>33383</v>
      </c>
      <c r="B678" t="s">
        <v>106</v>
      </c>
      <c r="C678" t="s">
        <v>965</v>
      </c>
      <c r="D678" t="s">
        <v>196</v>
      </c>
      <c r="E678">
        <v>34811</v>
      </c>
      <c r="F678" s="24">
        <f>especies_ativa_codibama[[#This Row],[Código]]</f>
        <v>33383</v>
      </c>
      <c r="G678" s="40" t="str">
        <f>especies_ativa_codibama[[#This Row],[Nome popular]]</f>
        <v>---</v>
      </c>
      <c r="H678" s="40" t="str">
        <f>especies_ativa_codibama[[#This Row],[Nome científico]]</f>
        <v>Dimorphandra exaltata</v>
      </c>
    </row>
    <row r="679" spans="1:8" x14ac:dyDescent="0.25">
      <c r="A679">
        <v>33394</v>
      </c>
      <c r="B679" t="s">
        <v>106</v>
      </c>
      <c r="C679" t="s">
        <v>966</v>
      </c>
      <c r="D679" t="s">
        <v>79</v>
      </c>
      <c r="E679">
        <v>34361</v>
      </c>
      <c r="F679" s="24">
        <f>especies_ativa_codibama[[#This Row],[Código]]</f>
        <v>33394</v>
      </c>
      <c r="G679" s="40" t="str">
        <f>especies_ativa_codibama[[#This Row],[Nome popular]]</f>
        <v>---</v>
      </c>
      <c r="H679" s="40" t="str">
        <f>especies_ativa_codibama[[#This Row],[Nome científico]]</f>
        <v>Pseudopiptadenia leptostachya</v>
      </c>
    </row>
    <row r="680" spans="1:8" x14ac:dyDescent="0.25">
      <c r="A680">
        <v>33395</v>
      </c>
      <c r="B680" t="s">
        <v>106</v>
      </c>
      <c r="C680" t="s">
        <v>967</v>
      </c>
      <c r="D680" t="s">
        <v>79</v>
      </c>
      <c r="E680">
        <v>33199</v>
      </c>
      <c r="F680" s="24">
        <f>especies_ativa_codibama[[#This Row],[Código]]</f>
        <v>33395</v>
      </c>
      <c r="G680" s="40" t="str">
        <f>especies_ativa_codibama[[#This Row],[Nome popular]]</f>
        <v>---</v>
      </c>
      <c r="H680" s="40" t="str">
        <f>especies_ativa_codibama[[#This Row],[Nome científico]]</f>
        <v>Swartzia langsdorffii</v>
      </c>
    </row>
    <row r="681" spans="1:8" x14ac:dyDescent="0.25">
      <c r="A681">
        <v>33398</v>
      </c>
      <c r="B681" t="s">
        <v>968</v>
      </c>
      <c r="C681" t="s">
        <v>969</v>
      </c>
      <c r="D681" t="s">
        <v>79</v>
      </c>
      <c r="E681">
        <v>35625</v>
      </c>
      <c r="F681" s="24">
        <f>especies_ativa_codibama[[#This Row],[Código]]</f>
        <v>33398</v>
      </c>
      <c r="G681" s="40" t="str">
        <f>especies_ativa_codibama[[#This Row],[Nome popular]]</f>
        <v>Angá</v>
      </c>
      <c r="H681" s="40" t="str">
        <f>especies_ativa_codibama[[#This Row],[Nome científico]]</f>
        <v>Tachigali rugosa</v>
      </c>
    </row>
    <row r="682" spans="1:8" x14ac:dyDescent="0.25">
      <c r="A682">
        <v>33407</v>
      </c>
      <c r="B682" t="s">
        <v>970</v>
      </c>
      <c r="C682" t="s">
        <v>971</v>
      </c>
      <c r="D682" t="s">
        <v>126</v>
      </c>
      <c r="E682">
        <v>2000732</v>
      </c>
      <c r="F682" s="24">
        <f>especies_ativa_codibama[[#This Row],[Código]]</f>
        <v>33407</v>
      </c>
      <c r="G682" s="40" t="str">
        <f>especies_ativa_codibama[[#This Row],[Nome popular]]</f>
        <v>angelim rajado, angelim pintado, urubuzeiro</v>
      </c>
      <c r="H682" s="40" t="str">
        <f>especies_ativa_codibama[[#This Row],[Nome científico]]</f>
        <v>Zygia racemosa</v>
      </c>
    </row>
    <row r="683" spans="1:8" x14ac:dyDescent="0.25">
      <c r="A683">
        <v>33408</v>
      </c>
      <c r="B683" t="s">
        <v>972</v>
      </c>
      <c r="C683" t="s">
        <v>973</v>
      </c>
      <c r="D683" t="s">
        <v>126</v>
      </c>
      <c r="E683">
        <v>33788</v>
      </c>
      <c r="F683" s="24">
        <f>especies_ativa_codibama[[#This Row],[Código]]</f>
        <v>33408</v>
      </c>
      <c r="G683" s="40" t="str">
        <f>especies_ativa_codibama[[#This Row],[Nome popular]]</f>
        <v>Barbatimão, Barba-de-timão, Casca-da-virgindade, Faveira, Barbatimão-Branco</v>
      </c>
      <c r="H683" s="40" t="str">
        <f>especies_ativa_codibama[[#This Row],[Nome científico]]</f>
        <v>Stryphnodendron adstringens</v>
      </c>
    </row>
    <row r="684" spans="1:8" x14ac:dyDescent="0.25">
      <c r="A684">
        <v>33409</v>
      </c>
      <c r="B684" t="s">
        <v>974</v>
      </c>
      <c r="C684" t="s">
        <v>975</v>
      </c>
      <c r="D684" t="s">
        <v>126</v>
      </c>
      <c r="E684">
        <v>1980927</v>
      </c>
      <c r="F684" s="24">
        <f>especies_ativa_codibama[[#This Row],[Código]]</f>
        <v>33409</v>
      </c>
      <c r="G684" s="40" t="str">
        <f>especies_ativa_codibama[[#This Row],[Nome popular]]</f>
        <v>Barbatimão, Bordão-de-velho</v>
      </c>
      <c r="H684" s="40" t="str">
        <f>especies_ativa_codibama[[#This Row],[Nome científico]]</f>
        <v>Abarema cochliacarpos</v>
      </c>
    </row>
    <row r="685" spans="1:8" x14ac:dyDescent="0.25">
      <c r="A685">
        <v>33410</v>
      </c>
      <c r="B685" t="s">
        <v>976</v>
      </c>
      <c r="C685" t="s">
        <v>977</v>
      </c>
      <c r="D685" t="s">
        <v>126</v>
      </c>
      <c r="E685">
        <v>32480</v>
      </c>
      <c r="F685" s="24">
        <f>especies_ativa_codibama[[#This Row],[Código]]</f>
        <v>33410</v>
      </c>
      <c r="G685" s="40" t="str">
        <f>especies_ativa_codibama[[#This Row],[Nome popular]]</f>
        <v>cabreúva, sapuvão</v>
      </c>
      <c r="H685" s="40" t="str">
        <f>especies_ativa_codibama[[#This Row],[Nome científico]]</f>
        <v>Myrocarpus frondosus</v>
      </c>
    </row>
    <row r="686" spans="1:8" x14ac:dyDescent="0.25">
      <c r="A686">
        <v>33411</v>
      </c>
      <c r="B686" t="s">
        <v>2658</v>
      </c>
      <c r="C686" t="s">
        <v>978</v>
      </c>
      <c r="D686" t="s">
        <v>126</v>
      </c>
      <c r="E686">
        <v>31777</v>
      </c>
      <c r="F686" s="24">
        <f>especies_ativa_codibama[[#This Row],[Código]]</f>
        <v>33411</v>
      </c>
      <c r="G686" s="40" t="str">
        <f>especies_ativa_codibama[[#This Row],[Nome popular]]</f>
        <v>ingá mirim, ingá feijão, ingá lagarta, ingá pequenoÃ­ba, ingá branco, ingá da praia, ingá chichi, ingá chichica, ingá cururu, ingaí</v>
      </c>
      <c r="H686" s="40" t="str">
        <f>especies_ativa_codibama[[#This Row],[Nome científico]]</f>
        <v>Inga laurina</v>
      </c>
    </row>
    <row r="687" spans="1:8" x14ac:dyDescent="0.25">
      <c r="A687">
        <v>33412</v>
      </c>
      <c r="B687" t="s">
        <v>979</v>
      </c>
      <c r="C687" t="s">
        <v>980</v>
      </c>
      <c r="D687" t="s">
        <v>126</v>
      </c>
      <c r="E687">
        <v>31807</v>
      </c>
      <c r="F687" s="24">
        <f>especies_ativa_codibama[[#This Row],[Código]]</f>
        <v>33412</v>
      </c>
      <c r="G687" s="40" t="str">
        <f>especies_ativa_codibama[[#This Row],[Nome popular]]</f>
        <v>Jacarandá-bico-de-pato, Tapa-tripa</v>
      </c>
      <c r="H687" s="40" t="str">
        <f>especies_ativa_codibama[[#This Row],[Nome científico]]</f>
        <v>Machaerium nyctitans</v>
      </c>
    </row>
    <row r="688" spans="1:8" x14ac:dyDescent="0.25">
      <c r="A688">
        <v>33413</v>
      </c>
      <c r="B688" t="s">
        <v>981</v>
      </c>
      <c r="C688" t="s">
        <v>982</v>
      </c>
      <c r="D688" t="s">
        <v>126</v>
      </c>
      <c r="E688">
        <v>32454</v>
      </c>
      <c r="F688" s="24">
        <f>especies_ativa_codibama[[#This Row],[Código]]</f>
        <v>33413</v>
      </c>
      <c r="G688" s="40" t="str">
        <f>especies_ativa_codibama[[#This Row],[Nome popular]]</f>
        <v>Jacarandá-branco, Sapuvão</v>
      </c>
      <c r="H688" s="40" t="str">
        <f>especies_ativa_codibama[[#This Row],[Nome científico]]</f>
        <v>Machaerium paraguariense</v>
      </c>
    </row>
    <row r="689" spans="1:8" x14ac:dyDescent="0.25">
      <c r="A689">
        <v>33414</v>
      </c>
      <c r="B689" t="s">
        <v>983</v>
      </c>
      <c r="C689" t="s">
        <v>984</v>
      </c>
      <c r="D689" t="s">
        <v>126</v>
      </c>
      <c r="E689">
        <v>34894</v>
      </c>
      <c r="F689" s="24">
        <f>especies_ativa_codibama[[#This Row],[Código]]</f>
        <v>33414</v>
      </c>
      <c r="G689" s="40" t="str">
        <f>especies_ativa_codibama[[#This Row],[Nome popular]]</f>
        <v>Jacarandá-do-campo, Jacarandá-do-cerradão, Jacarandá-pardo, Jacarandá-preto</v>
      </c>
      <c r="H689" s="40" t="str">
        <f>especies_ativa_codibama[[#This Row],[Nome científico]]</f>
        <v>Machaerium villosum</v>
      </c>
    </row>
    <row r="690" spans="1:8" x14ac:dyDescent="0.25">
      <c r="A690">
        <v>33415</v>
      </c>
      <c r="B690" t="s">
        <v>985</v>
      </c>
      <c r="C690" t="s">
        <v>986</v>
      </c>
      <c r="D690" t="s">
        <v>126</v>
      </c>
      <c r="E690">
        <v>34858</v>
      </c>
      <c r="F690" s="24">
        <f>especies_ativa_codibama[[#This Row],[Código]]</f>
        <v>33415</v>
      </c>
      <c r="G690" s="40" t="str">
        <f>especies_ativa_codibama[[#This Row],[Nome popular]]</f>
        <v>jatobá</v>
      </c>
      <c r="H690" s="40" t="str">
        <f>especies_ativa_codibama[[#This Row],[Nome científico]]</f>
        <v>Hymenaea courbaril</v>
      </c>
    </row>
    <row r="691" spans="1:8" x14ac:dyDescent="0.25">
      <c r="A691">
        <v>33418</v>
      </c>
      <c r="B691" t="s">
        <v>987</v>
      </c>
      <c r="C691" t="s">
        <v>988</v>
      </c>
      <c r="D691" t="s">
        <v>126</v>
      </c>
      <c r="E691">
        <v>33154</v>
      </c>
      <c r="F691" s="24">
        <f>especies_ativa_codibama[[#This Row],[Código]]</f>
        <v>33418</v>
      </c>
      <c r="G691" s="40" t="str">
        <f>especies_ativa_codibama[[#This Row],[Nome popular]]</f>
        <v>madeira-nova, vilão</v>
      </c>
      <c r="H691" s="40" t="str">
        <f>especies_ativa_codibama[[#This Row],[Nome científico]]</f>
        <v>Pterogyne nitens</v>
      </c>
    </row>
    <row r="692" spans="1:8" x14ac:dyDescent="0.25">
      <c r="A692">
        <v>33419</v>
      </c>
      <c r="B692" t="s">
        <v>989</v>
      </c>
      <c r="C692" t="s">
        <v>990</v>
      </c>
      <c r="D692" t="s">
        <v>126</v>
      </c>
      <c r="E692">
        <v>35530</v>
      </c>
      <c r="F692" s="24">
        <f>especies_ativa_codibama[[#This Row],[Código]]</f>
        <v>33419</v>
      </c>
      <c r="G692" s="40" t="str">
        <f>especies_ativa_codibama[[#This Row],[Nome popular]]</f>
        <v>Quebra machado, Jatobá roxo, Guarabu roxo</v>
      </c>
      <c r="H692" s="40" t="str">
        <f>especies_ativa_codibama[[#This Row],[Nome científico]]</f>
        <v>Peltogyne confertiflora</v>
      </c>
    </row>
    <row r="693" spans="1:8" x14ac:dyDescent="0.25">
      <c r="A693">
        <v>33420</v>
      </c>
      <c r="B693" t="s">
        <v>991</v>
      </c>
      <c r="C693" t="s">
        <v>992</v>
      </c>
      <c r="D693" t="s">
        <v>126</v>
      </c>
      <c r="E693">
        <v>36100</v>
      </c>
      <c r="F693" s="24">
        <f>especies_ativa_codibama[[#This Row],[Código]]</f>
        <v>33420</v>
      </c>
      <c r="G693" s="40" t="str">
        <f>especies_ativa_codibama[[#This Row],[Nome popular]]</f>
        <v>unha-de-gato, sabiá</v>
      </c>
      <c r="H693" s="40" t="str">
        <f>especies_ativa_codibama[[#This Row],[Nome científico]]</f>
        <v>Mimosa caesalpiniifolia</v>
      </c>
    </row>
    <row r="694" spans="1:8" x14ac:dyDescent="0.25">
      <c r="A694">
        <v>33421</v>
      </c>
      <c r="B694" t="s">
        <v>2659</v>
      </c>
      <c r="C694" t="s">
        <v>993</v>
      </c>
      <c r="D694" t="s">
        <v>126</v>
      </c>
      <c r="E694">
        <v>34967</v>
      </c>
      <c r="F694" s="24">
        <f>especies_ativa_codibama[[#This Row],[Código]]</f>
        <v>33421</v>
      </c>
      <c r="G694" s="40" t="str">
        <f>especies_ativa_codibama[[#This Row],[Nome popular]]</f>
        <v>Vinhático-do-cerrado, Vinhático-do-campo, Vinhático, Amarelinho, Vinhático-testa-de-boi, Candeia, Pau-de-candeia, Oiteira, Vinhático-castanho, Pau-amarelo, Amarelo, Acende-candeia, Vinhático-branco, VinhÃ¡tivo-rajado</v>
      </c>
      <c r="H694" s="40" t="str">
        <f>especies_ativa_codibama[[#This Row],[Nome científico]]</f>
        <v>Plathymenia reticulata</v>
      </c>
    </row>
    <row r="695" spans="1:8" x14ac:dyDescent="0.25">
      <c r="A695">
        <v>33422</v>
      </c>
      <c r="B695" t="s">
        <v>106</v>
      </c>
      <c r="C695" t="s">
        <v>994</v>
      </c>
      <c r="D695" t="s">
        <v>126</v>
      </c>
      <c r="E695">
        <v>34094</v>
      </c>
      <c r="F695" s="24">
        <f>especies_ativa_codibama[[#This Row],[Código]]</f>
        <v>33422</v>
      </c>
      <c r="G695" s="40" t="str">
        <f>especies_ativa_codibama[[#This Row],[Nome popular]]</f>
        <v>---</v>
      </c>
      <c r="H695" s="40" t="str">
        <f>especies_ativa_codibama[[#This Row],[Nome científico]]</f>
        <v>Andira vermifuga</v>
      </c>
    </row>
    <row r="696" spans="1:8" x14ac:dyDescent="0.25">
      <c r="A696">
        <v>33423</v>
      </c>
      <c r="B696" t="s">
        <v>106</v>
      </c>
      <c r="C696" t="s">
        <v>995</v>
      </c>
      <c r="D696" t="s">
        <v>126</v>
      </c>
      <c r="E696">
        <v>1040565</v>
      </c>
      <c r="F696" s="24">
        <f>especies_ativa_codibama[[#This Row],[Código]]</f>
        <v>33423</v>
      </c>
      <c r="G696" s="40" t="str">
        <f>especies_ativa_codibama[[#This Row],[Nome popular]]</f>
        <v>---</v>
      </c>
      <c r="H696" s="40" t="str">
        <f>especies_ativa_codibama[[#This Row],[Nome científico]]</f>
        <v>Albizia niopoides</v>
      </c>
    </row>
    <row r="697" spans="1:8" x14ac:dyDescent="0.25">
      <c r="A697">
        <v>33427</v>
      </c>
      <c r="B697" t="s">
        <v>106</v>
      </c>
      <c r="C697" t="s">
        <v>996</v>
      </c>
      <c r="D697" t="s">
        <v>126</v>
      </c>
      <c r="E697">
        <v>32297</v>
      </c>
      <c r="F697" s="24">
        <f>especies_ativa_codibama[[#This Row],[Código]]</f>
        <v>33427</v>
      </c>
      <c r="G697" s="40" t="str">
        <f>especies_ativa_codibama[[#This Row],[Nome popular]]</f>
        <v>---</v>
      </c>
      <c r="H697" s="40" t="str">
        <f>especies_ativa_codibama[[#This Row],[Nome científico]]</f>
        <v>Centrolobium tomentosum</v>
      </c>
    </row>
    <row r="698" spans="1:8" x14ac:dyDescent="0.25">
      <c r="A698">
        <v>33428</v>
      </c>
      <c r="B698" t="s">
        <v>106</v>
      </c>
      <c r="C698" t="s">
        <v>997</v>
      </c>
      <c r="D698" t="s">
        <v>126</v>
      </c>
      <c r="E698">
        <v>34149</v>
      </c>
      <c r="F698" s="24">
        <f>especies_ativa_codibama[[#This Row],[Código]]</f>
        <v>33428</v>
      </c>
      <c r="G698" s="40" t="str">
        <f>especies_ativa_codibama[[#This Row],[Nome popular]]</f>
        <v>---</v>
      </c>
      <c r="H698" s="40" t="str">
        <f>especies_ativa_codibama[[#This Row],[Nome científico]]</f>
        <v>Centrolobium sclerophyllum</v>
      </c>
    </row>
    <row r="699" spans="1:8" x14ac:dyDescent="0.25">
      <c r="A699">
        <v>33429</v>
      </c>
      <c r="B699" t="s">
        <v>106</v>
      </c>
      <c r="C699" t="s">
        <v>998</v>
      </c>
      <c r="D699" t="s">
        <v>126</v>
      </c>
      <c r="E699">
        <v>32411</v>
      </c>
      <c r="F699" s="24">
        <f>especies_ativa_codibama[[#This Row],[Código]]</f>
        <v>33429</v>
      </c>
      <c r="G699" s="40" t="str">
        <f>especies_ativa_codibama[[#This Row],[Nome popular]]</f>
        <v>---</v>
      </c>
      <c r="H699" s="40" t="str">
        <f>especies_ativa_codibama[[#This Row],[Nome científico]]</f>
        <v>Hymenaea martiana</v>
      </c>
    </row>
    <row r="700" spans="1:8" x14ac:dyDescent="0.25">
      <c r="A700">
        <v>33431</v>
      </c>
      <c r="B700" t="s">
        <v>106</v>
      </c>
      <c r="C700" t="s">
        <v>999</v>
      </c>
      <c r="D700" t="s">
        <v>126</v>
      </c>
      <c r="E700">
        <v>31962</v>
      </c>
      <c r="F700" s="24">
        <f>especies_ativa_codibama[[#This Row],[Código]]</f>
        <v>33431</v>
      </c>
      <c r="G700" s="40" t="str">
        <f>especies_ativa_codibama[[#This Row],[Nome popular]]</f>
        <v>---</v>
      </c>
      <c r="H700" s="40" t="str">
        <f>especies_ativa_codibama[[#This Row],[Nome científico]]</f>
        <v>Swartzia acutifolia</v>
      </c>
    </row>
    <row r="701" spans="1:8" x14ac:dyDescent="0.25">
      <c r="A701">
        <v>33432</v>
      </c>
      <c r="B701" t="s">
        <v>106</v>
      </c>
      <c r="C701" t="s">
        <v>1000</v>
      </c>
      <c r="D701" t="s">
        <v>126</v>
      </c>
      <c r="E701">
        <v>31845</v>
      </c>
      <c r="F701" s="24">
        <f>especies_ativa_codibama[[#This Row],[Código]]</f>
        <v>33432</v>
      </c>
      <c r="G701" s="40" t="str">
        <f>especies_ativa_codibama[[#This Row],[Nome popular]]</f>
        <v>---</v>
      </c>
      <c r="H701" s="40" t="str">
        <f>especies_ativa_codibama[[#This Row],[Nome científico]]</f>
        <v>Myroxylon peruiferum</v>
      </c>
    </row>
    <row r="702" spans="1:8" x14ac:dyDescent="0.25">
      <c r="A702">
        <v>33433</v>
      </c>
      <c r="B702" t="s">
        <v>1001</v>
      </c>
      <c r="C702" t="s">
        <v>1002</v>
      </c>
      <c r="D702" t="s">
        <v>205</v>
      </c>
      <c r="E702">
        <v>36154</v>
      </c>
      <c r="F702" s="24">
        <f>especies_ativa_codibama[[#This Row],[Código]]</f>
        <v>33433</v>
      </c>
      <c r="G702" s="40" t="str">
        <f>especies_ativa_codibama[[#This Row],[Nome popular]]</f>
        <v>Pau-jacaré, Pau De Toicinho, Angico, Angico-branco, Camboeteiro, Camoeteiro E Serreiro, Caniveteiro, Monjolo, Casco-de-jacaré, Icarapé, Jacaré, Jacarezeiro, Monjoleiro</v>
      </c>
      <c r="H702" s="40" t="str">
        <f>especies_ativa_codibama[[#This Row],[Nome científico]]</f>
        <v>Piptadenia gonoacantha</v>
      </c>
    </row>
    <row r="703" spans="1:8" x14ac:dyDescent="0.25">
      <c r="A703">
        <v>33434</v>
      </c>
      <c r="B703" t="s">
        <v>106</v>
      </c>
      <c r="C703" t="s">
        <v>1003</v>
      </c>
      <c r="D703" t="s">
        <v>126</v>
      </c>
      <c r="E703">
        <v>33840</v>
      </c>
      <c r="F703" s="24">
        <f>especies_ativa_codibama[[#This Row],[Código]]</f>
        <v>33434</v>
      </c>
      <c r="G703" s="40" t="str">
        <f>especies_ativa_codibama[[#This Row],[Nome popular]]</f>
        <v>---</v>
      </c>
      <c r="H703" s="40" t="str">
        <f>especies_ativa_codibama[[#This Row],[Nome científico]]</f>
        <v>Zollernia glabra</v>
      </c>
    </row>
    <row r="704" spans="1:8" x14ac:dyDescent="0.25">
      <c r="A704">
        <v>33438</v>
      </c>
      <c r="B704" t="s">
        <v>106</v>
      </c>
      <c r="C704" t="s">
        <v>1004</v>
      </c>
      <c r="D704" t="s">
        <v>126</v>
      </c>
      <c r="E704">
        <v>34405</v>
      </c>
      <c r="F704" s="24">
        <f>especies_ativa_codibama[[#This Row],[Código]]</f>
        <v>33438</v>
      </c>
      <c r="G704" s="40" t="str">
        <f>especies_ativa_codibama[[#This Row],[Nome popular]]</f>
        <v>---</v>
      </c>
      <c r="H704" s="40" t="str">
        <f>especies_ativa_codibama[[#This Row],[Nome científico]]</f>
        <v>Swartzia simplex</v>
      </c>
    </row>
    <row r="705" spans="1:8" x14ac:dyDescent="0.25">
      <c r="A705">
        <v>33439</v>
      </c>
      <c r="B705" t="s">
        <v>1005</v>
      </c>
      <c r="C705" t="s">
        <v>1006</v>
      </c>
      <c r="D705" t="s">
        <v>38</v>
      </c>
      <c r="E705">
        <v>34719</v>
      </c>
      <c r="F705" s="24">
        <f>especies_ativa_codibama[[#This Row],[Código]]</f>
        <v>33439</v>
      </c>
      <c r="G705" s="40" t="str">
        <f>especies_ativa_codibama[[#This Row],[Nome popular]]</f>
        <v>Acapura , Acapura de terra firme, Tento, Tento Miúdo</v>
      </c>
      <c r="H705" s="40" t="str">
        <f>especies_ativa_codibama[[#This Row],[Nome científico]]</f>
        <v>Batesia floribunda</v>
      </c>
    </row>
    <row r="706" spans="1:8" x14ac:dyDescent="0.25">
      <c r="A706">
        <v>33440</v>
      </c>
      <c r="B706" t="s">
        <v>1007</v>
      </c>
      <c r="C706" t="s">
        <v>1008</v>
      </c>
      <c r="D706" t="s">
        <v>38</v>
      </c>
      <c r="E706">
        <v>31767</v>
      </c>
      <c r="F706" s="24">
        <f>especies_ativa_codibama[[#This Row],[Código]]</f>
        <v>33440</v>
      </c>
      <c r="G706" s="40" t="str">
        <f>especies_ativa_codibama[[#This Row],[Nome popular]]</f>
        <v>Alecrim,| Alecrim-de-campis,</v>
      </c>
      <c r="H706" s="40" t="str">
        <f>especies_ativa_codibama[[#This Row],[Nome científico]]</f>
        <v>Holocalyx balansae</v>
      </c>
    </row>
    <row r="707" spans="1:8" x14ac:dyDescent="0.25">
      <c r="A707">
        <v>33441</v>
      </c>
      <c r="B707" t="s">
        <v>1009</v>
      </c>
      <c r="C707" t="s">
        <v>1010</v>
      </c>
      <c r="D707" t="s">
        <v>38</v>
      </c>
      <c r="E707">
        <v>34436</v>
      </c>
      <c r="F707" s="24">
        <f>especies_ativa_codibama[[#This Row],[Código]]</f>
        <v>33441</v>
      </c>
      <c r="G707" s="40" t="str">
        <f>especies_ativa_codibama[[#This Row],[Nome popular]]</f>
        <v>Amargo, Amargoso, Pau-roxo, Sucupira-amargosa, Sucupira-preta</v>
      </c>
      <c r="H707" s="40" t="str">
        <f>especies_ativa_codibama[[#This Row],[Nome científico]]</f>
        <v>Vatairea macrocarpa</v>
      </c>
    </row>
    <row r="708" spans="1:8" x14ac:dyDescent="0.25">
      <c r="A708">
        <v>33442</v>
      </c>
      <c r="B708" t="s">
        <v>1011</v>
      </c>
      <c r="C708" t="s">
        <v>1012</v>
      </c>
      <c r="D708" t="s">
        <v>38</v>
      </c>
      <c r="E708">
        <v>33234</v>
      </c>
      <c r="F708" s="24">
        <f>especies_ativa_codibama[[#This Row],[Código]]</f>
        <v>33442</v>
      </c>
      <c r="G708" s="40" t="str">
        <f>especies_ativa_codibama[[#This Row],[Nome popular]]</f>
        <v>Amargosa, Andiroba-amargosa, Angelim-amargoso</v>
      </c>
      <c r="H708" s="40" t="str">
        <f>especies_ativa_codibama[[#This Row],[Nome científico]]</f>
        <v>Vatairea fusca</v>
      </c>
    </row>
    <row r="709" spans="1:8" x14ac:dyDescent="0.25">
      <c r="A709">
        <v>33443</v>
      </c>
      <c r="B709" t="s">
        <v>1013</v>
      </c>
      <c r="C709" t="s">
        <v>1014</v>
      </c>
      <c r="D709" t="s">
        <v>38</v>
      </c>
      <c r="E709">
        <v>523716</v>
      </c>
      <c r="F709" s="24">
        <f>especies_ativa_codibama[[#This Row],[Código]]</f>
        <v>33443</v>
      </c>
      <c r="G709" s="40" t="str">
        <f>especies_ativa_codibama[[#This Row],[Nome popular]]</f>
        <v>amargozinho, perobinha</v>
      </c>
      <c r="H709" s="40" t="str">
        <f>especies_ativa_codibama[[#This Row],[Nome científico]]</f>
        <v>Leptolobium dasycarpum</v>
      </c>
    </row>
    <row r="710" spans="1:8" x14ac:dyDescent="0.25">
      <c r="A710">
        <v>33445</v>
      </c>
      <c r="B710" t="s">
        <v>1015</v>
      </c>
      <c r="C710" t="s">
        <v>1016</v>
      </c>
      <c r="D710" t="s">
        <v>38</v>
      </c>
      <c r="E710">
        <v>34249</v>
      </c>
      <c r="F710" s="24">
        <f>especies_ativa_codibama[[#This Row],[Código]]</f>
        <v>33445</v>
      </c>
      <c r="G710" s="40" t="str">
        <f>especies_ativa_codibama[[#This Row],[Nome popular]]</f>
        <v>Angelim, Angelim pedra</v>
      </c>
      <c r="H710" s="40" t="str">
        <f>especies_ativa_codibama[[#This Row],[Nome científico]]</f>
        <v>Hymenolobium nitidum</v>
      </c>
    </row>
    <row r="711" spans="1:8" x14ac:dyDescent="0.25">
      <c r="A711">
        <v>33448</v>
      </c>
      <c r="B711" t="s">
        <v>1017</v>
      </c>
      <c r="C711" t="s">
        <v>1018</v>
      </c>
      <c r="D711" t="s">
        <v>38</v>
      </c>
      <c r="E711">
        <v>35468</v>
      </c>
      <c r="F711" s="24">
        <f>especies_ativa_codibama[[#This Row],[Código]]</f>
        <v>33448</v>
      </c>
      <c r="G711" s="40" t="str">
        <f>especies_ativa_codibama[[#This Row],[Nome popular]]</f>
        <v>Angelim-da-folha-miúda, Pau-de-chapada, Pau-mocó, Pau-pedra</v>
      </c>
      <c r="H711" s="40" t="str">
        <f>especies_ativa_codibama[[#This Row],[Nome científico]]</f>
        <v>Luetzelburgia auriculata</v>
      </c>
    </row>
    <row r="712" spans="1:8" x14ac:dyDescent="0.25">
      <c r="A712">
        <v>33449</v>
      </c>
      <c r="B712" t="s">
        <v>2660</v>
      </c>
      <c r="C712" t="s">
        <v>1019</v>
      </c>
      <c r="D712" t="s">
        <v>38</v>
      </c>
      <c r="E712">
        <v>33816</v>
      </c>
      <c r="F712" s="24">
        <f>especies_ativa_codibama[[#This Row],[Código]]</f>
        <v>33449</v>
      </c>
      <c r="G712" s="40" t="str">
        <f>especies_ativa_codibama[[#This Row],[Nome popular]]</f>
        <v>Angelim-do-igapó, Fava-bolacha, Fava-de-impigem, Faveira-do-igapó, guáboa Marupa del bajo</v>
      </c>
      <c r="H712" s="40" t="str">
        <f>especies_ativa_codibama[[#This Row],[Nome científico]]</f>
        <v>Vatairea guianensis</v>
      </c>
    </row>
    <row r="713" spans="1:8" x14ac:dyDescent="0.25">
      <c r="A713">
        <v>33451</v>
      </c>
      <c r="B713" t="s">
        <v>1020</v>
      </c>
      <c r="C713" t="s">
        <v>1021</v>
      </c>
      <c r="D713" t="s">
        <v>38</v>
      </c>
      <c r="E713">
        <v>35529</v>
      </c>
      <c r="F713" s="24">
        <f>especies_ativa_codibama[[#This Row],[Código]]</f>
        <v>33451</v>
      </c>
      <c r="G713" s="40" t="str">
        <f>especies_ativa_codibama[[#This Row],[Nome popular]]</f>
        <v>Faveira-de-chorão, Faveirao Angelim-rajado, Angelim-saia, Angelim-saião, Visgueiro, Faveira-bolota, Visgueiro, Arara-tucupi</v>
      </c>
      <c r="H713" s="40" t="str">
        <f>especies_ativa_codibama[[#This Row],[Nome científico]]</f>
        <v>Parkia pendula</v>
      </c>
    </row>
    <row r="714" spans="1:8" x14ac:dyDescent="0.25">
      <c r="A714">
        <v>33454</v>
      </c>
      <c r="B714" t="s">
        <v>1022</v>
      </c>
      <c r="C714" t="s">
        <v>1023</v>
      </c>
      <c r="D714" t="s">
        <v>38</v>
      </c>
      <c r="E714">
        <v>32452</v>
      </c>
      <c r="F714" s="24">
        <f>especies_ativa_codibama[[#This Row],[Código]]</f>
        <v>33454</v>
      </c>
      <c r="G714" s="40" t="str">
        <f>especies_ativa_codibama[[#This Row],[Nome popular]]</f>
        <v>Angiquinho, Espinheira-santa</v>
      </c>
      <c r="H714" s="40" t="str">
        <f>especies_ativa_codibama[[#This Row],[Nome científico]]</f>
        <v>Machaerium eriocarpum</v>
      </c>
    </row>
    <row r="715" spans="1:8" x14ac:dyDescent="0.25">
      <c r="A715">
        <v>33455</v>
      </c>
      <c r="B715" t="s">
        <v>1024</v>
      </c>
      <c r="C715" t="s">
        <v>1025</v>
      </c>
      <c r="D715" t="s">
        <v>38</v>
      </c>
      <c r="E715">
        <v>32586</v>
      </c>
      <c r="F715" s="24">
        <f>especies_ativa_codibama[[#This Row],[Código]]</f>
        <v>33455</v>
      </c>
      <c r="G715" s="40" t="str">
        <f>especies_ativa_codibama[[#This Row],[Nome popular]]</f>
        <v>Arabá-preto-Brasil</v>
      </c>
      <c r="H715" s="40" t="str">
        <f>especies_ativa_codibama[[#This Row],[Nome científico]]</f>
        <v>Swartzia reticulata</v>
      </c>
    </row>
    <row r="716" spans="1:8" x14ac:dyDescent="0.25">
      <c r="A716">
        <v>33457</v>
      </c>
      <c r="B716" t="s">
        <v>1026</v>
      </c>
      <c r="C716" t="s">
        <v>1027</v>
      </c>
      <c r="D716" t="s">
        <v>38</v>
      </c>
      <c r="E716">
        <v>327233</v>
      </c>
      <c r="F716" s="24">
        <f>especies_ativa_codibama[[#This Row],[Código]]</f>
        <v>33457</v>
      </c>
      <c r="G716" s="40" t="str">
        <f>especies_ativa_codibama[[#This Row],[Nome popular]]</f>
        <v>Arapiraca, Jurema-branca</v>
      </c>
      <c r="H716" s="40" t="str">
        <f>especies_ativa_codibama[[#This Row],[Nome científico]]</f>
        <v>Chloroleucon dumosum</v>
      </c>
    </row>
    <row r="717" spans="1:8" x14ac:dyDescent="0.25">
      <c r="A717">
        <v>33458</v>
      </c>
      <c r="B717" t="s">
        <v>1028</v>
      </c>
      <c r="C717" t="s">
        <v>1029</v>
      </c>
      <c r="D717" t="s">
        <v>38</v>
      </c>
      <c r="E717">
        <v>34891</v>
      </c>
      <c r="F717" s="24">
        <f>especies_ativa_codibama[[#This Row],[Código]]</f>
        <v>33458</v>
      </c>
      <c r="G717" s="40" t="str">
        <f>especies_ativa_codibama[[#This Row],[Nome popular]]</f>
        <v>Arranha-gato, Esporão</v>
      </c>
      <c r="H717" s="40" t="str">
        <f>especies_ativa_codibama[[#This Row],[Nome científico]]</f>
        <v>Machaerium amplum</v>
      </c>
    </row>
    <row r="718" spans="1:8" x14ac:dyDescent="0.25">
      <c r="A718">
        <v>33462</v>
      </c>
      <c r="B718" t="s">
        <v>1030</v>
      </c>
      <c r="C718" t="s">
        <v>1031</v>
      </c>
      <c r="D718" t="s">
        <v>38</v>
      </c>
      <c r="E718">
        <v>31961</v>
      </c>
      <c r="F718" s="24">
        <f>especies_ativa_codibama[[#This Row],[Código]]</f>
        <v>33462</v>
      </c>
      <c r="G718" s="40" t="str">
        <f>especies_ativa_codibama[[#This Row],[Nome popular]]</f>
        <v>Baginha ou Baguinha, Baginha-de-São-João, Paricá, Fava, Timbaúba, Timbó-da-mata, Timbora, Paricara, Camuzé, Favinha, Paricá, Muanza, Munzê, Juera, Juera-branca, Barbatimão, Tamba-em-pé, Taimbapé, Tambaipé, Tamanqueira, Cobi, Caubi</v>
      </c>
      <c r="H718" s="40" t="str">
        <f>especies_ativa_codibama[[#This Row],[Nome científico]]</f>
        <v>Stryphnodendron pulcherrimum</v>
      </c>
    </row>
    <row r="719" spans="1:8" x14ac:dyDescent="0.25">
      <c r="A719">
        <v>33463</v>
      </c>
      <c r="B719" t="s">
        <v>1032</v>
      </c>
      <c r="C719" t="s">
        <v>1033</v>
      </c>
      <c r="D719" t="s">
        <v>38</v>
      </c>
      <c r="E719">
        <v>2013519</v>
      </c>
      <c r="F719" s="24">
        <f>especies_ativa_codibama[[#This Row],[Código]]</f>
        <v>33463</v>
      </c>
      <c r="G719" s="40" t="str">
        <f>especies_ativa_codibama[[#This Row],[Nome popular]]</f>
        <v>bandarra, pinho-cuiabano, paricá, paricá-grande</v>
      </c>
      <c r="H719" s="40" t="str">
        <f>especies_ativa_codibama[[#This Row],[Nome científico]]</f>
        <v>Schizolobium parahyba amazonicum</v>
      </c>
    </row>
    <row r="720" spans="1:8" x14ac:dyDescent="0.25">
      <c r="A720">
        <v>33464</v>
      </c>
      <c r="B720" t="s">
        <v>2661</v>
      </c>
      <c r="C720" t="s">
        <v>1034</v>
      </c>
      <c r="D720" t="s">
        <v>38</v>
      </c>
      <c r="E720">
        <v>595376</v>
      </c>
      <c r="F720" s="24">
        <f>especies_ativa_codibama[[#This Row],[Código]]</f>
        <v>33464</v>
      </c>
      <c r="G720" s="40" t="str">
        <f>especies_ativa_codibama[[#This Row],[Nome popular]]</f>
        <v>Banha-de-galinha, Carne-d'anta, Pau-d'anta</v>
      </c>
      <c r="H720" s="40" t="str">
        <f>especies_ativa_codibama[[#This Row],[Nome científico]]</f>
        <v>Luetzelburgia andrade-limae</v>
      </c>
    </row>
    <row r="721" spans="1:8" x14ac:dyDescent="0.25">
      <c r="A721">
        <v>33466</v>
      </c>
      <c r="B721" t="s">
        <v>1035</v>
      </c>
      <c r="C721" t="s">
        <v>1036</v>
      </c>
      <c r="D721" t="s">
        <v>38</v>
      </c>
      <c r="E721">
        <v>35025</v>
      </c>
      <c r="F721" s="24">
        <f>especies_ativa_codibama[[#This Row],[Código]]</f>
        <v>33466</v>
      </c>
      <c r="G721" s="40" t="str">
        <f>especies_ativa_codibama[[#This Row],[Nome popular]]</f>
        <v>Barbatimão-da-folha-miúda</v>
      </c>
      <c r="H721" s="40" t="str">
        <f>especies_ativa_codibama[[#This Row],[Nome científico]]</f>
        <v>Stryphnodendron rotundifolium</v>
      </c>
    </row>
    <row r="722" spans="1:8" x14ac:dyDescent="0.25">
      <c r="A722">
        <v>33468</v>
      </c>
      <c r="B722" t="s">
        <v>1037</v>
      </c>
      <c r="C722" t="s">
        <v>1038</v>
      </c>
      <c r="D722" t="s">
        <v>38</v>
      </c>
      <c r="E722">
        <v>32359</v>
      </c>
      <c r="F722" s="24">
        <f>especies_ativa_codibama[[#This Row],[Código]]</f>
        <v>33468</v>
      </c>
      <c r="G722" s="40" t="str">
        <f>especies_ativa_codibama[[#This Row],[Nome popular]]</f>
        <v>Corticeira-da-serra, Bico de Pato, Boco de Papaguaio, Ceibo, Corticeira, Suinã</v>
      </c>
      <c r="H722" s="40" t="str">
        <f>especies_ativa_codibama[[#This Row],[Nome científico]]</f>
        <v>Erythrina falcata</v>
      </c>
    </row>
    <row r="723" spans="1:8" x14ac:dyDescent="0.25">
      <c r="A723">
        <v>33471</v>
      </c>
      <c r="B723" t="s">
        <v>1039</v>
      </c>
      <c r="C723" t="s">
        <v>1040</v>
      </c>
      <c r="D723" t="s">
        <v>38</v>
      </c>
      <c r="E723">
        <v>35588</v>
      </c>
      <c r="F723" s="24">
        <f>especies_ativa_codibama[[#This Row],[Código]]</f>
        <v>33471</v>
      </c>
      <c r="G723" s="40" t="str">
        <f>especies_ativa_codibama[[#This Row],[Nome popular]]</f>
        <v>burdão de velho</v>
      </c>
      <c r="H723" s="40" t="str">
        <f>especies_ativa_codibama[[#This Row],[Nome científico]]</f>
        <v>Samanea saman</v>
      </c>
    </row>
    <row r="724" spans="1:8" x14ac:dyDescent="0.25">
      <c r="A724">
        <v>33473</v>
      </c>
      <c r="B724" t="s">
        <v>1041</v>
      </c>
      <c r="C724" t="s">
        <v>1042</v>
      </c>
      <c r="D724" t="s">
        <v>38</v>
      </c>
      <c r="E724">
        <v>34787</v>
      </c>
      <c r="F724" s="24">
        <f>especies_ativa_codibama[[#This Row],[Código]]</f>
        <v>33473</v>
      </c>
      <c r="G724" s="40" t="str">
        <f>especies_ativa_codibama[[#This Row],[Nome popular]]</f>
        <v>Cacuricabra, Sapucaia</v>
      </c>
      <c r="H724" s="40" t="str">
        <f>especies_ativa_codibama[[#This Row],[Nome científico]]</f>
        <v>Copaifera coriacea</v>
      </c>
    </row>
    <row r="725" spans="1:8" x14ac:dyDescent="0.25">
      <c r="A725">
        <v>33475</v>
      </c>
      <c r="B725" t="s">
        <v>1043</v>
      </c>
      <c r="C725" t="s">
        <v>1044</v>
      </c>
      <c r="D725" t="s">
        <v>38</v>
      </c>
      <c r="E725">
        <v>35923</v>
      </c>
      <c r="F725" s="24">
        <f>especies_ativa_codibama[[#This Row],[Código]]</f>
        <v>33475</v>
      </c>
      <c r="G725" s="40" t="str">
        <f>especies_ativa_codibama[[#This Row],[Nome popular]]</f>
        <v>cafistula-verdadeira, chuva-de-ouro, cássia-imperial</v>
      </c>
      <c r="H725" s="40" t="str">
        <f>especies_ativa_codibama[[#This Row],[Nome científico]]</f>
        <v>Cassia fistula</v>
      </c>
    </row>
    <row r="726" spans="1:8" x14ac:dyDescent="0.25">
      <c r="A726">
        <v>33477</v>
      </c>
      <c r="B726" t="s">
        <v>1045</v>
      </c>
      <c r="C726" t="s">
        <v>1046</v>
      </c>
      <c r="D726" t="s">
        <v>38</v>
      </c>
      <c r="E726">
        <v>1982905</v>
      </c>
      <c r="F726" s="24">
        <f>especies_ativa_codibama[[#This Row],[Código]]</f>
        <v>33477</v>
      </c>
      <c r="G726" s="40" t="str">
        <f>especies_ativa_codibama[[#This Row],[Nome popular]]</f>
        <v>calumbimi-árido</v>
      </c>
      <c r="H726" s="40" t="str">
        <f>especies_ativa_codibama[[#This Row],[Nome científico]]</f>
        <v>Senegalia bahiensis</v>
      </c>
    </row>
    <row r="727" spans="1:8" x14ac:dyDescent="0.25">
      <c r="A727">
        <v>33478</v>
      </c>
      <c r="B727" t="s">
        <v>1047</v>
      </c>
      <c r="C727" t="s">
        <v>1048</v>
      </c>
      <c r="D727" t="s">
        <v>38</v>
      </c>
      <c r="E727">
        <v>33058</v>
      </c>
      <c r="F727" s="24">
        <f>especies_ativa_codibama[[#This Row],[Código]]</f>
        <v>33478</v>
      </c>
      <c r="G727" s="40" t="str">
        <f>especies_ativa_codibama[[#This Row],[Nome popular]]</f>
        <v>Candeia-do-sertão, Jacarandá-caviú, Pau-ferro, Uruvaeiro</v>
      </c>
      <c r="H727" s="40" t="str">
        <f>especies_ativa_codibama[[#This Row],[Nome científico]]</f>
        <v>Machaerium scleroxylon</v>
      </c>
    </row>
    <row r="728" spans="1:8" x14ac:dyDescent="0.25">
      <c r="A728">
        <v>33479</v>
      </c>
      <c r="B728" t="s">
        <v>2662</v>
      </c>
      <c r="C728" t="s">
        <v>1049</v>
      </c>
      <c r="D728" t="s">
        <v>38</v>
      </c>
      <c r="E728">
        <v>595375</v>
      </c>
      <c r="F728" s="24">
        <f>especies_ativa_codibama[[#This Row],[Código]]</f>
        <v>33479</v>
      </c>
      <c r="G728" s="40" t="str">
        <f>especies_ativa_codibama[[#This Row],[Nome popular]]</f>
        <v>Carne-d'anta, Moela-de-galinha, Pau-de-ema, Pau-mocó</v>
      </c>
      <c r="H728" s="40" t="str">
        <f>especies_ativa_codibama[[#This Row],[Nome científico]]</f>
        <v>Luetzelburgia bahiensis</v>
      </c>
    </row>
    <row r="729" spans="1:8" x14ac:dyDescent="0.25">
      <c r="A729">
        <v>33482</v>
      </c>
      <c r="B729" t="s">
        <v>1050</v>
      </c>
      <c r="C729" t="s">
        <v>1051</v>
      </c>
      <c r="D729" t="s">
        <v>38</v>
      </c>
      <c r="E729">
        <v>31844</v>
      </c>
      <c r="F729" s="24">
        <f>especies_ativa_codibama[[#This Row],[Código]]</f>
        <v>33482</v>
      </c>
      <c r="G729" s="40" t="str">
        <f>especies_ativa_codibama[[#This Row],[Nome popular]]</f>
        <v>catureíba, óleo pardo</v>
      </c>
      <c r="H729" s="40" t="str">
        <f>especies_ativa_codibama[[#This Row],[Nome científico]]</f>
        <v>Myrocarpus fastigiatus</v>
      </c>
    </row>
    <row r="730" spans="1:8" x14ac:dyDescent="0.25">
      <c r="A730">
        <v>33483</v>
      </c>
      <c r="B730" t="s">
        <v>1052</v>
      </c>
      <c r="C730" t="s">
        <v>1053</v>
      </c>
      <c r="D730" t="s">
        <v>38</v>
      </c>
      <c r="E730">
        <v>31654</v>
      </c>
      <c r="F730" s="24">
        <f>especies_ativa_codibama[[#This Row],[Código]]</f>
        <v>33483</v>
      </c>
      <c r="G730" s="40" t="str">
        <f>especies_ativa_codibama[[#This Row],[Nome popular]]</f>
        <v>cedrora</v>
      </c>
      <c r="H730" s="40" t="str">
        <f>especies_ativa_codibama[[#This Row],[Nome científico]]</f>
        <v>Cedrelinga cateniformis</v>
      </c>
    </row>
    <row r="731" spans="1:8" x14ac:dyDescent="0.25">
      <c r="A731">
        <v>33485</v>
      </c>
      <c r="B731" t="s">
        <v>1054</v>
      </c>
      <c r="C731" t="s">
        <v>1055</v>
      </c>
      <c r="D731" t="s">
        <v>38</v>
      </c>
      <c r="E731">
        <v>31876</v>
      </c>
      <c r="F731" s="24">
        <f>especies_ativa_codibama[[#This Row],[Código]]</f>
        <v>33485</v>
      </c>
      <c r="G731" s="40" t="str">
        <f>especies_ativa_codibama[[#This Row],[Nome popular]]</f>
        <v>Cina-Cina, Supresta, Turco, Espinho-de-turco, Espinho-de-jerusalém, Rosa-da-turquia</v>
      </c>
      <c r="H731" s="40" t="str">
        <f>especies_ativa_codibama[[#This Row],[Nome científico]]</f>
        <v>Parkinsonia aculeata</v>
      </c>
    </row>
    <row r="732" spans="1:8" x14ac:dyDescent="0.25">
      <c r="A732">
        <v>33487</v>
      </c>
      <c r="B732" t="s">
        <v>1056</v>
      </c>
      <c r="C732" t="s">
        <v>1057</v>
      </c>
      <c r="D732" t="s">
        <v>38</v>
      </c>
      <c r="E732">
        <v>32317</v>
      </c>
      <c r="F732" s="24">
        <f>especies_ativa_codibama[[#This Row],[Código]]</f>
        <v>33487</v>
      </c>
      <c r="G732" s="40" t="str">
        <f>especies_ativa_codibama[[#This Row],[Nome popular]]</f>
        <v>Copaíba, Copaíba-angelim, Copaíba-branca, Copaíba-rósea</v>
      </c>
      <c r="H732" s="40" t="str">
        <f>especies_ativa_codibama[[#This Row],[Nome científico]]</f>
        <v>Copaifera multijuga</v>
      </c>
    </row>
    <row r="733" spans="1:8" x14ac:dyDescent="0.25">
      <c r="A733">
        <v>33488</v>
      </c>
      <c r="B733" t="s">
        <v>1058</v>
      </c>
      <c r="C733" t="s">
        <v>1059</v>
      </c>
      <c r="D733" t="s">
        <v>38</v>
      </c>
      <c r="E733">
        <v>31679</v>
      </c>
      <c r="F733" s="24">
        <f>especies_ativa_codibama[[#This Row],[Código]]</f>
        <v>33488</v>
      </c>
      <c r="G733" s="40" t="str">
        <f>especies_ativa_codibama[[#This Row],[Nome popular]]</f>
        <v>Copaíba, Copaíba-branca</v>
      </c>
      <c r="H733" s="40" t="str">
        <f>especies_ativa_codibama[[#This Row],[Nome científico]]</f>
        <v>Copaifera reticulata</v>
      </c>
    </row>
    <row r="734" spans="1:8" x14ac:dyDescent="0.25">
      <c r="A734">
        <v>33490</v>
      </c>
      <c r="B734" t="s">
        <v>2663</v>
      </c>
      <c r="C734" t="s">
        <v>1060</v>
      </c>
      <c r="D734" t="s">
        <v>205</v>
      </c>
      <c r="E734">
        <v>35345</v>
      </c>
      <c r="F734" s="24">
        <f>especies_ativa_codibama[[#This Row],[Código]]</f>
        <v>33490</v>
      </c>
      <c r="G734" s="40" t="str">
        <f>especies_ativa_codibama[[#This Row],[Nome popular]]</f>
        <v>Copaíba, Pau-d'óleo</v>
      </c>
      <c r="H734" s="40" t="str">
        <f>especies_ativa_codibama[[#This Row],[Nome científico]]</f>
        <v>Copaifera langsdorffii</v>
      </c>
    </row>
    <row r="735" spans="1:8" x14ac:dyDescent="0.25">
      <c r="A735">
        <v>33491</v>
      </c>
      <c r="B735" t="s">
        <v>1061</v>
      </c>
      <c r="C735" t="s">
        <v>1062</v>
      </c>
      <c r="D735" t="s">
        <v>38</v>
      </c>
      <c r="E735">
        <v>32944</v>
      </c>
      <c r="F735" s="24">
        <f>especies_ativa_codibama[[#This Row],[Código]]</f>
        <v>33491</v>
      </c>
      <c r="G735" s="40" t="str">
        <f>especies_ativa_codibama[[#This Row],[Nome popular]]</f>
        <v>Copaíba, Podói</v>
      </c>
      <c r="H735" s="40" t="str">
        <f>especies_ativa_codibama[[#This Row],[Nome científico]]</f>
        <v>Copaifera duckei</v>
      </c>
    </row>
    <row r="736" spans="1:8" x14ac:dyDescent="0.25">
      <c r="A736">
        <v>33494</v>
      </c>
      <c r="B736" t="s">
        <v>1063</v>
      </c>
      <c r="C736" t="s">
        <v>1064</v>
      </c>
      <c r="D736" t="s">
        <v>38</v>
      </c>
      <c r="E736">
        <v>32976</v>
      </c>
      <c r="F736" s="24">
        <f>especies_ativa_codibama[[#This Row],[Código]]</f>
        <v>33494</v>
      </c>
      <c r="G736" s="40" t="str">
        <f>especies_ativa_codibama[[#This Row],[Nome popular]]</f>
        <v>Corticeira, Ceibo</v>
      </c>
      <c r="H736" s="40" t="str">
        <f>especies_ativa_codibama[[#This Row],[Nome científico]]</f>
        <v>Erythrina crista-galli</v>
      </c>
    </row>
    <row r="737" spans="1:8" x14ac:dyDescent="0.25">
      <c r="A737">
        <v>33496</v>
      </c>
      <c r="B737" t="s">
        <v>1065</v>
      </c>
      <c r="C737" t="s">
        <v>1066</v>
      </c>
      <c r="D737" t="s">
        <v>38</v>
      </c>
      <c r="E737">
        <v>35610</v>
      </c>
      <c r="F737" s="24">
        <f>especies_ativa_codibama[[#This Row],[Código]]</f>
        <v>33496</v>
      </c>
      <c r="G737" s="40" t="str">
        <f>especies_ativa_codibama[[#This Row],[Nome popular]]</f>
        <v>Culhão de bode,</v>
      </c>
      <c r="H737" s="40" t="str">
        <f>especies_ativa_codibama[[#This Row],[Nome científico]]</f>
        <v>Swartzia multijuga</v>
      </c>
    </row>
    <row r="738" spans="1:8" x14ac:dyDescent="0.25">
      <c r="A738">
        <v>33497</v>
      </c>
      <c r="B738" t="s">
        <v>1067</v>
      </c>
      <c r="C738" t="s">
        <v>1068</v>
      </c>
      <c r="D738" t="s">
        <v>38</v>
      </c>
      <c r="E738">
        <v>34198</v>
      </c>
      <c r="F738" s="24">
        <f>especies_ativa_codibama[[#This Row],[Código]]</f>
        <v>33497</v>
      </c>
      <c r="G738" s="40" t="str">
        <f>especies_ativa_codibama[[#This Row],[Nome popular]]</f>
        <v>cumaru ferro</v>
      </c>
      <c r="H738" s="40" t="str">
        <f>especies_ativa_codibama[[#This Row],[Nome científico]]</f>
        <v>Dipteryx odorata</v>
      </c>
    </row>
    <row r="739" spans="1:8" x14ac:dyDescent="0.25">
      <c r="A739">
        <v>33498</v>
      </c>
      <c r="B739" t="s">
        <v>2664</v>
      </c>
      <c r="C739" t="s">
        <v>2665</v>
      </c>
      <c r="D739" t="s">
        <v>38</v>
      </c>
      <c r="E739">
        <v>1980579</v>
      </c>
      <c r="F739" s="24">
        <f>especies_ativa_codibama[[#This Row],[Código]]</f>
        <v>33498</v>
      </c>
      <c r="G739" s="40" t="str">
        <f>especies_ativa_codibama[[#This Row],[Nome popular]]</f>
        <v>Embira-de-sapo, Envira-piaca, Rabo-de-bugiu, Mal-casado, Falso-timbó</v>
      </c>
      <c r="H739" s="40" t="str">
        <f>especies_ativa_codibama[[#This Row],[Nome científico]]</f>
        <v>Lonchocarpus cultratus</v>
      </c>
    </row>
    <row r="740" spans="1:8" x14ac:dyDescent="0.25">
      <c r="A740">
        <v>33502</v>
      </c>
      <c r="B740" t="s">
        <v>1069</v>
      </c>
      <c r="C740" t="s">
        <v>1070</v>
      </c>
      <c r="D740" t="s">
        <v>38</v>
      </c>
      <c r="E740">
        <v>34325</v>
      </c>
      <c r="F740" s="24">
        <f>especies_ativa_codibama[[#This Row],[Código]]</f>
        <v>33502</v>
      </c>
      <c r="G740" s="40" t="str">
        <f>especies_ativa_codibama[[#This Row],[Nome popular]]</f>
        <v>Fava-de-bolota</v>
      </c>
      <c r="H740" s="40" t="str">
        <f>especies_ativa_codibama[[#This Row],[Nome científico]]</f>
        <v>Parkia platycephala</v>
      </c>
    </row>
    <row r="741" spans="1:8" x14ac:dyDescent="0.25">
      <c r="A741">
        <v>33503</v>
      </c>
      <c r="B741" t="s">
        <v>1071</v>
      </c>
      <c r="C741" t="s">
        <v>1072</v>
      </c>
      <c r="D741" t="s">
        <v>38</v>
      </c>
      <c r="E741">
        <v>33817</v>
      </c>
      <c r="F741" s="24">
        <f>especies_ativa_codibama[[#This Row],[Código]]</f>
        <v>33503</v>
      </c>
      <c r="G741" s="40" t="str">
        <f>especies_ativa_codibama[[#This Row],[Nome popular]]</f>
        <v>Faveira</v>
      </c>
      <c r="H741" s="40" t="str">
        <f>especies_ativa_codibama[[#This Row],[Nome científico]]</f>
        <v>Vataireopsis speciosa</v>
      </c>
    </row>
    <row r="742" spans="1:8" x14ac:dyDescent="0.25">
      <c r="A742">
        <v>33505</v>
      </c>
      <c r="B742" t="s">
        <v>1073</v>
      </c>
      <c r="C742" t="s">
        <v>1074</v>
      </c>
      <c r="D742" t="s">
        <v>38</v>
      </c>
      <c r="E742">
        <v>36256</v>
      </c>
      <c r="F742" s="24">
        <f>especies_ativa_codibama[[#This Row],[Código]]</f>
        <v>33505</v>
      </c>
      <c r="G742" s="40" t="str">
        <f>especies_ativa_codibama[[#This Row],[Nome popular]]</f>
        <v>Faveira-amargosa, Sucupira, Sucupira-amarela, Sucupira-preta</v>
      </c>
      <c r="H742" s="40" t="str">
        <f>especies_ativa_codibama[[#This Row],[Nome científico]]</f>
        <v>Vatairea sericea</v>
      </c>
    </row>
    <row r="743" spans="1:8" x14ac:dyDescent="0.25">
      <c r="A743">
        <v>33506</v>
      </c>
      <c r="B743" t="s">
        <v>1075</v>
      </c>
      <c r="C743" t="s">
        <v>1076</v>
      </c>
      <c r="D743" t="s">
        <v>38</v>
      </c>
      <c r="E743">
        <v>34950</v>
      </c>
      <c r="F743" s="24">
        <f>especies_ativa_codibama[[#This Row],[Código]]</f>
        <v>33506</v>
      </c>
      <c r="G743" s="40" t="str">
        <f>especies_ativa_codibama[[#This Row],[Nome popular]]</f>
        <v>Faveira-branca</v>
      </c>
      <c r="H743" s="40" t="str">
        <f>especies_ativa_codibama[[#This Row],[Nome científico]]</f>
        <v>Parkia multijuga</v>
      </c>
    </row>
    <row r="744" spans="1:8" x14ac:dyDescent="0.25">
      <c r="A744">
        <v>33509</v>
      </c>
      <c r="B744" t="s">
        <v>1077</v>
      </c>
      <c r="C744" t="s">
        <v>1078</v>
      </c>
      <c r="D744" t="s">
        <v>38</v>
      </c>
      <c r="E744">
        <v>32047</v>
      </c>
      <c r="F744" s="24">
        <f>especies_ativa_codibama[[#This Row],[Código]]</f>
        <v>33509</v>
      </c>
      <c r="G744" s="40" t="str">
        <f>especies_ativa_codibama[[#This Row],[Nome popular]]</f>
        <v>Flamboyant</v>
      </c>
      <c r="H744" s="40" t="str">
        <f>especies_ativa_codibama[[#This Row],[Nome científico]]</f>
        <v>Delonix regia</v>
      </c>
    </row>
    <row r="745" spans="1:8" x14ac:dyDescent="0.25">
      <c r="A745">
        <v>33513</v>
      </c>
      <c r="B745" t="s">
        <v>1079</v>
      </c>
      <c r="C745" t="s">
        <v>1080</v>
      </c>
      <c r="D745" t="s">
        <v>38</v>
      </c>
      <c r="E745">
        <v>35548</v>
      </c>
      <c r="F745" s="24">
        <f>especies_ativa_codibama[[#This Row],[Código]]</f>
        <v>33513</v>
      </c>
      <c r="G745" s="40" t="str">
        <f>especies_ativa_codibama[[#This Row],[Nome popular]]</f>
        <v>Guarapiranga, Louro vermelha, Macacaúba</v>
      </c>
      <c r="H745" s="40" t="str">
        <f>especies_ativa_codibama[[#This Row],[Nome científico]]</f>
        <v>Platymiscium trinitatis</v>
      </c>
    </row>
    <row r="746" spans="1:8" x14ac:dyDescent="0.25">
      <c r="A746">
        <v>33514</v>
      </c>
      <c r="B746" t="s">
        <v>1081</v>
      </c>
      <c r="C746" t="s">
        <v>1082</v>
      </c>
      <c r="D746" t="s">
        <v>38</v>
      </c>
      <c r="E746">
        <v>1049023</v>
      </c>
      <c r="F746" s="24">
        <f>especies_ativa_codibama[[#This Row],[Código]]</f>
        <v>33514</v>
      </c>
      <c r="G746" s="40" t="str">
        <f>especies_ativa_codibama[[#This Row],[Nome popular]]</f>
        <v>guarucaia, monjoleiro, paricá-ra, paricá-branco</v>
      </c>
      <c r="H746" s="40" t="str">
        <f>especies_ativa_codibama[[#This Row],[Nome científico]]</f>
        <v>Senegalia polyphylla</v>
      </c>
    </row>
    <row r="747" spans="1:8" x14ac:dyDescent="0.25">
      <c r="A747">
        <v>33516</v>
      </c>
      <c r="B747" t="s">
        <v>1083</v>
      </c>
      <c r="C747" t="s">
        <v>1084</v>
      </c>
      <c r="D747" t="s">
        <v>38</v>
      </c>
      <c r="E747">
        <v>36048</v>
      </c>
      <c r="F747" s="24">
        <f>especies_ativa_codibama[[#This Row],[Código]]</f>
        <v>33516</v>
      </c>
      <c r="G747" s="40" t="str">
        <f>especies_ativa_codibama[[#This Row],[Nome popular]]</f>
        <v>ingá</v>
      </c>
      <c r="H747" s="40" t="str">
        <f>especies_ativa_codibama[[#This Row],[Nome científico]]</f>
        <v>Inga lateriflora</v>
      </c>
    </row>
    <row r="748" spans="1:8" x14ac:dyDescent="0.25">
      <c r="A748">
        <v>33518</v>
      </c>
      <c r="B748" t="s">
        <v>2666</v>
      </c>
      <c r="C748" t="s">
        <v>1085</v>
      </c>
      <c r="D748" t="s">
        <v>38</v>
      </c>
      <c r="E748">
        <v>31781</v>
      </c>
      <c r="F748" s="24">
        <f>especies_ativa_codibama[[#This Row],[Código]]</f>
        <v>33518</v>
      </c>
      <c r="G748" s="40" t="str">
        <f>especies_ativa_codibama[[#This Row],[Nome popular]]</f>
        <v>ingá banana, ingá caixão, ingá facão, ingá banana, ingá branco, ingá de quatro quina</v>
      </c>
      <c r="H748" s="40" t="str">
        <f>especies_ativa_codibama[[#This Row],[Nome científico]]</f>
        <v>Inga striata</v>
      </c>
    </row>
    <row r="749" spans="1:8" x14ac:dyDescent="0.25">
      <c r="A749">
        <v>33521</v>
      </c>
      <c r="B749" t="s">
        <v>1086</v>
      </c>
      <c r="C749" t="s">
        <v>1087</v>
      </c>
      <c r="D749" t="s">
        <v>38</v>
      </c>
      <c r="E749">
        <v>33036</v>
      </c>
      <c r="F749" s="24">
        <f>especies_ativa_codibama[[#This Row],[Código]]</f>
        <v>33521</v>
      </c>
      <c r="G749" s="40" t="str">
        <f>especies_ativa_codibama[[#This Row],[Nome popular]]</f>
        <v>ingá bugiu, ingá banana</v>
      </c>
      <c r="H749" s="40" t="str">
        <f>especies_ativa_codibama[[#This Row],[Nome científico]]</f>
        <v>Inga vulpina</v>
      </c>
    </row>
    <row r="750" spans="1:8" x14ac:dyDescent="0.25">
      <c r="A750">
        <v>33522</v>
      </c>
      <c r="B750" t="s">
        <v>2667</v>
      </c>
      <c r="C750" t="s">
        <v>1088</v>
      </c>
      <c r="D750" t="s">
        <v>38</v>
      </c>
      <c r="E750">
        <v>31775</v>
      </c>
      <c r="F750" s="24">
        <f>especies_ativa_codibama[[#This Row],[Código]]</f>
        <v>33522</v>
      </c>
      <c r="G750" s="40" t="str">
        <f>especies_ativa_codibama[[#This Row],[Nome popular]]</f>
        <v>ingá cabeludo, ingá peludo, ingá</v>
      </c>
      <c r="H750" s="40" t="str">
        <f>especies_ativa_codibama[[#This Row],[Nome científico]]</f>
        <v>Inga barbata</v>
      </c>
    </row>
    <row r="751" spans="1:8" x14ac:dyDescent="0.25">
      <c r="A751">
        <v>33524</v>
      </c>
      <c r="B751" t="s">
        <v>1089</v>
      </c>
      <c r="C751" t="s">
        <v>1090</v>
      </c>
      <c r="D751" t="s">
        <v>38</v>
      </c>
      <c r="E751">
        <v>31778</v>
      </c>
      <c r="F751" s="24">
        <f>especies_ativa_codibama[[#This Row],[Código]]</f>
        <v>33524</v>
      </c>
      <c r="G751" s="40" t="str">
        <f>especies_ativa_codibama[[#This Row],[Nome popular]]</f>
        <v>ingá chata, inga pena</v>
      </c>
      <c r="H751" s="40" t="str">
        <f>especies_ativa_codibama[[#This Row],[Nome científico]]</f>
        <v>Inga macrophylla</v>
      </c>
    </row>
    <row r="752" spans="1:8" x14ac:dyDescent="0.25">
      <c r="A752">
        <v>33526</v>
      </c>
      <c r="B752" t="s">
        <v>1091</v>
      </c>
      <c r="C752" t="s">
        <v>1092</v>
      </c>
      <c r="D752" t="s">
        <v>38</v>
      </c>
      <c r="E752">
        <v>34863</v>
      </c>
      <c r="F752" s="24">
        <f>especies_ativa_codibama[[#This Row],[Código]]</f>
        <v>33526</v>
      </c>
      <c r="G752" s="40" t="str">
        <f>especies_ativa_codibama[[#This Row],[Nome popular]]</f>
        <v>ingá de metro, ingá doce, ingá macarrão, ingá vermelho, ingá timbó, ingá rabo de mico</v>
      </c>
      <c r="H752" s="40" t="str">
        <f>especies_ativa_codibama[[#This Row],[Nome científico]]</f>
        <v>Inga edulis</v>
      </c>
    </row>
    <row r="753" spans="1:8" x14ac:dyDescent="0.25">
      <c r="A753">
        <v>33528</v>
      </c>
      <c r="B753" t="s">
        <v>1093</v>
      </c>
      <c r="C753" t="s">
        <v>1094</v>
      </c>
      <c r="D753" t="s">
        <v>38</v>
      </c>
      <c r="E753">
        <v>36273</v>
      </c>
      <c r="F753" s="24">
        <f>especies_ativa_codibama[[#This Row],[Código]]</f>
        <v>33528</v>
      </c>
      <c r="G753" s="40" t="str">
        <f>especies_ativa_codibama[[#This Row],[Nome popular]]</f>
        <v>ingá do baixo, ingá dura</v>
      </c>
      <c r="H753" s="40" t="str">
        <f>especies_ativa_codibama[[#This Row],[Nome científico]]</f>
        <v>Zygia latifolia</v>
      </c>
    </row>
    <row r="754" spans="1:8" x14ac:dyDescent="0.25">
      <c r="A754">
        <v>33530</v>
      </c>
      <c r="B754" t="s">
        <v>1095</v>
      </c>
      <c r="C754" t="s">
        <v>1096</v>
      </c>
      <c r="D754" t="s">
        <v>38</v>
      </c>
      <c r="E754">
        <v>33873</v>
      </c>
      <c r="F754" s="24">
        <f>especies_ativa_codibama[[#This Row],[Código]]</f>
        <v>33530</v>
      </c>
      <c r="G754" s="40" t="str">
        <f>especies_ativa_codibama[[#This Row],[Nome popular]]</f>
        <v>ingá feijão, ingá, ingá mirim</v>
      </c>
      <c r="H754" s="40" t="str">
        <f>especies_ativa_codibama[[#This Row],[Nome científico]]</f>
        <v>Inga marginata</v>
      </c>
    </row>
    <row r="755" spans="1:8" x14ac:dyDescent="0.25">
      <c r="A755">
        <v>33531</v>
      </c>
      <c r="B755" t="s">
        <v>1097</v>
      </c>
      <c r="C755" t="s">
        <v>1098</v>
      </c>
      <c r="D755" t="s">
        <v>38</v>
      </c>
      <c r="E755">
        <v>34253</v>
      </c>
      <c r="F755" s="24">
        <f>especies_ativa_codibama[[#This Row],[Código]]</f>
        <v>33531</v>
      </c>
      <c r="G755" s="40" t="str">
        <f>especies_ativa_codibama[[#This Row],[Nome popular]]</f>
        <v>ingá feijão, ingara, inga xixica, ingá branca</v>
      </c>
      <c r="H755" s="40" t="str">
        <f>especies_ativa_codibama[[#This Row],[Nome científico]]</f>
        <v>Inga cylindrica</v>
      </c>
    </row>
    <row r="756" spans="1:8" x14ac:dyDescent="0.25">
      <c r="A756">
        <v>33532</v>
      </c>
      <c r="B756" t="s">
        <v>1099</v>
      </c>
      <c r="C756" t="s">
        <v>1100</v>
      </c>
      <c r="D756" t="s">
        <v>38</v>
      </c>
      <c r="E756">
        <v>34869</v>
      </c>
      <c r="F756" s="24">
        <f>especies_ativa_codibama[[#This Row],[Código]]</f>
        <v>33532</v>
      </c>
      <c r="G756" s="40" t="str">
        <f>especies_ativa_codibama[[#This Row],[Nome popular]]</f>
        <v>ingá ferradura, ingá macaco</v>
      </c>
      <c r="H756" s="40" t="str">
        <f>especies_ativa_codibama[[#This Row],[Nome científico]]</f>
        <v>Inga sessilis</v>
      </c>
    </row>
    <row r="757" spans="1:8" x14ac:dyDescent="0.25">
      <c r="A757">
        <v>33533</v>
      </c>
      <c r="B757" t="s">
        <v>1101</v>
      </c>
      <c r="C757" t="s">
        <v>1102</v>
      </c>
      <c r="D757" t="s">
        <v>38</v>
      </c>
      <c r="E757">
        <v>33620</v>
      </c>
      <c r="F757" s="24">
        <f>especies_ativa_codibama[[#This Row],[Código]]</f>
        <v>33533</v>
      </c>
      <c r="G757" s="40" t="str">
        <f>especies_ativa_codibama[[#This Row],[Nome popular]]</f>
        <v>ingá pau</v>
      </c>
      <c r="H757" s="40" t="str">
        <f>especies_ativa_codibama[[#This Row],[Nome científico]]</f>
        <v>Inga flagelliformis</v>
      </c>
    </row>
    <row r="758" spans="1:8" x14ac:dyDescent="0.25">
      <c r="A758">
        <v>33536</v>
      </c>
      <c r="B758" t="s">
        <v>1103</v>
      </c>
      <c r="C758" t="s">
        <v>1104</v>
      </c>
      <c r="D758" t="s">
        <v>38</v>
      </c>
      <c r="E758">
        <v>34862</v>
      </c>
      <c r="F758" s="24">
        <f>especies_ativa_codibama[[#This Row],[Código]]</f>
        <v>33536</v>
      </c>
      <c r="G758" s="40" t="str">
        <f>especies_ativa_codibama[[#This Row],[Nome popular]]</f>
        <v>inga, ingá branca, ingá de veado, ingá dura, ingá facão, ingá ferro, ingá feijão ingá fava, kwaracua</v>
      </c>
      <c r="H758" s="40" t="str">
        <f>especies_ativa_codibama[[#This Row],[Nome científico]]</f>
        <v>Inga capitata</v>
      </c>
    </row>
    <row r="759" spans="1:8" x14ac:dyDescent="0.25">
      <c r="A759">
        <v>33538</v>
      </c>
      <c r="B759" t="s">
        <v>2668</v>
      </c>
      <c r="C759" t="s">
        <v>1105</v>
      </c>
      <c r="D759" t="s">
        <v>38</v>
      </c>
      <c r="E759">
        <v>34635</v>
      </c>
      <c r="F759" s="24">
        <f>especies_ativa_codibama[[#This Row],[Código]]</f>
        <v>33538</v>
      </c>
      <c r="G759" s="40" t="str">
        <f>especies_ativa_codibama[[#This Row],[Nome popular]]</f>
        <v>ingá, ingá Cipó, rabo de mico</v>
      </c>
      <c r="H759" s="40" t="str">
        <f>especies_ativa_codibama[[#This Row],[Nome científico]]</f>
        <v>Inga ingoides</v>
      </c>
    </row>
    <row r="760" spans="1:8" x14ac:dyDescent="0.25">
      <c r="A760">
        <v>33539</v>
      </c>
      <c r="B760" t="s">
        <v>2669</v>
      </c>
      <c r="C760" t="s">
        <v>1106</v>
      </c>
      <c r="D760" t="s">
        <v>38</v>
      </c>
      <c r="E760">
        <v>33618</v>
      </c>
      <c r="F760" s="24">
        <f>especies_ativa_codibama[[#This Row],[Código]]</f>
        <v>33539</v>
      </c>
      <c r="G760" s="40" t="str">
        <f>especies_ativa_codibama[[#This Row],[Nome popular]]</f>
        <v>ingá, ingá ferro, ingá vermelha, ingá, Ingaí, ingá branca, ingá xixi</v>
      </c>
      <c r="H760" s="40" t="str">
        <f>especies_ativa_codibama[[#This Row],[Nome científico]]</f>
        <v>Inga alba</v>
      </c>
    </row>
    <row r="761" spans="1:8" x14ac:dyDescent="0.25">
      <c r="A761">
        <v>33540</v>
      </c>
      <c r="B761" t="s">
        <v>1107</v>
      </c>
      <c r="C761" t="s">
        <v>1108</v>
      </c>
      <c r="D761" t="s">
        <v>38</v>
      </c>
      <c r="E761">
        <v>34864</v>
      </c>
      <c r="F761" s="24">
        <f>especies_ativa_codibama[[#This Row],[Código]]</f>
        <v>33540</v>
      </c>
      <c r="G761" s="40" t="str">
        <f>especies_ativa_codibama[[#This Row],[Nome popular]]</f>
        <v>ingá, ingazinho, ingá xixica, ingá vermelha, ingá pacu</v>
      </c>
      <c r="H761" s="40" t="str">
        <f>especies_ativa_codibama[[#This Row],[Nome científico]]</f>
        <v>Inga heterophylla</v>
      </c>
    </row>
    <row r="762" spans="1:8" x14ac:dyDescent="0.25">
      <c r="A762">
        <v>33544</v>
      </c>
      <c r="B762" t="s">
        <v>1109</v>
      </c>
      <c r="C762" t="s">
        <v>1110</v>
      </c>
      <c r="D762" t="s">
        <v>38</v>
      </c>
      <c r="E762">
        <v>32037</v>
      </c>
      <c r="F762" s="24">
        <f>especies_ativa_codibama[[#This Row],[Código]]</f>
        <v>33544</v>
      </c>
      <c r="G762" s="40" t="str">
        <f>especies_ativa_codibama[[#This Row],[Nome popular]]</f>
        <v>Jacarandá-bico-de-pato, Jacarandá-de-espinho</v>
      </c>
      <c r="H762" s="40" t="str">
        <f>especies_ativa_codibama[[#This Row],[Nome científico]]</f>
        <v>Machaerium hirtum</v>
      </c>
    </row>
    <row r="763" spans="1:8" x14ac:dyDescent="0.25">
      <c r="A763">
        <v>33545</v>
      </c>
      <c r="B763" t="s">
        <v>1111</v>
      </c>
      <c r="C763" t="s">
        <v>1112</v>
      </c>
      <c r="D763" t="s">
        <v>38</v>
      </c>
      <c r="E763">
        <v>35029</v>
      </c>
      <c r="F763" s="24">
        <f>especies_ativa_codibama[[#This Row],[Código]]</f>
        <v>33545</v>
      </c>
      <c r="G763" s="40" t="str">
        <f>especies_ativa_codibama[[#This Row],[Nome popular]]</f>
        <v>Jacarandá-branco</v>
      </c>
      <c r="H763" s="40" t="str">
        <f>especies_ativa_codibama[[#This Row],[Nome científico]]</f>
        <v>Swartzia macrostachya</v>
      </c>
    </row>
    <row r="764" spans="1:8" x14ac:dyDescent="0.25">
      <c r="A764">
        <v>33547</v>
      </c>
      <c r="B764" t="s">
        <v>1113</v>
      </c>
      <c r="C764" t="s">
        <v>1114</v>
      </c>
      <c r="D764" t="s">
        <v>38</v>
      </c>
      <c r="E764">
        <v>32521</v>
      </c>
      <c r="F764" s="24">
        <f>especies_ativa_codibama[[#This Row],[Código]]</f>
        <v>33547</v>
      </c>
      <c r="G764" s="40" t="str">
        <f>especies_ativa_codibama[[#This Row],[Nome popular]]</f>
        <v>Jacarandá-branco, Timburí</v>
      </c>
      <c r="H764" s="40" t="str">
        <f>especies_ativa_codibama[[#This Row],[Nome científico]]</f>
        <v>Platymiscium pubescens</v>
      </c>
    </row>
    <row r="765" spans="1:8" x14ac:dyDescent="0.25">
      <c r="A765">
        <v>33548</v>
      </c>
      <c r="B765" t="s">
        <v>2670</v>
      </c>
      <c r="C765" t="s">
        <v>1115</v>
      </c>
      <c r="D765" t="s">
        <v>38</v>
      </c>
      <c r="E765">
        <v>34892</v>
      </c>
      <c r="F765" s="24">
        <f>especies_ativa_codibama[[#This Row],[Código]]</f>
        <v>33548</v>
      </c>
      <c r="G765" s="40" t="str">
        <f>especies_ativa_codibama[[#This Row],[Nome popular]]</f>
        <v>Jacarandá-Cipó, Jacarandá-sangue</v>
      </c>
      <c r="H765" s="40" t="str">
        <f>especies_ativa_codibama[[#This Row],[Nome científico]]</f>
        <v>Machaerium brasiliense</v>
      </c>
    </row>
    <row r="766" spans="1:8" x14ac:dyDescent="0.25">
      <c r="A766">
        <v>33549</v>
      </c>
      <c r="B766" t="s">
        <v>1116</v>
      </c>
      <c r="C766" t="s">
        <v>1117</v>
      </c>
      <c r="D766" t="s">
        <v>38</v>
      </c>
      <c r="E766">
        <v>32453</v>
      </c>
      <c r="F766" s="24">
        <f>especies_ativa_codibama[[#This Row],[Código]]</f>
        <v>33549</v>
      </c>
      <c r="G766" s="40" t="str">
        <f>especies_ativa_codibama[[#This Row],[Nome popular]]</f>
        <v>Jacarandá-de-espinho, Jacarandá-vermelho</v>
      </c>
      <c r="H766" s="40" t="str">
        <f>especies_ativa_codibama[[#This Row],[Nome científico]]</f>
        <v>Machaerium leucopterum</v>
      </c>
    </row>
    <row r="767" spans="1:8" x14ac:dyDescent="0.25">
      <c r="A767">
        <v>33550</v>
      </c>
      <c r="B767" t="s">
        <v>64</v>
      </c>
      <c r="C767" t="s">
        <v>1118</v>
      </c>
      <c r="D767" t="s">
        <v>38</v>
      </c>
      <c r="E767">
        <v>32962</v>
      </c>
      <c r="F767" s="24">
        <f>especies_ativa_codibama[[#This Row],[Código]]</f>
        <v>33550</v>
      </c>
      <c r="G767" s="40" t="str">
        <f>especies_ativa_codibama[[#This Row],[Nome popular]]</f>
        <v>Jacarandá-rosa</v>
      </c>
      <c r="H767" s="40" t="str">
        <f>especies_ativa_codibama[[#This Row],[Nome científico]]</f>
        <v>Dalbergia foliolosa</v>
      </c>
    </row>
    <row r="768" spans="1:8" x14ac:dyDescent="0.25">
      <c r="A768">
        <v>33551</v>
      </c>
      <c r="B768" t="s">
        <v>1119</v>
      </c>
      <c r="C768" t="s">
        <v>1120</v>
      </c>
      <c r="D768" t="s">
        <v>38</v>
      </c>
      <c r="E768">
        <v>31808</v>
      </c>
      <c r="F768" s="24">
        <f>especies_ativa_codibama[[#This Row],[Código]]</f>
        <v>33551</v>
      </c>
      <c r="G768" s="40" t="str">
        <f>especies_ativa_codibama[[#This Row],[Nome popular]]</f>
        <v>Jacarandá-tan, Mucitaíba-amarela</v>
      </c>
      <c r="H768" s="40" t="str">
        <f>especies_ativa_codibama[[#This Row],[Nome científico]]</f>
        <v>Machaerium pedicellatum</v>
      </c>
    </row>
    <row r="769" spans="1:8" x14ac:dyDescent="0.25">
      <c r="A769">
        <v>33552</v>
      </c>
      <c r="B769" t="s">
        <v>1121</v>
      </c>
      <c r="C769" t="s">
        <v>1122</v>
      </c>
      <c r="D769" t="s">
        <v>38</v>
      </c>
      <c r="E769">
        <v>32008</v>
      </c>
      <c r="F769" s="24">
        <f>especies_ativa_codibama[[#This Row],[Código]]</f>
        <v>33552</v>
      </c>
      <c r="G769" s="40" t="str">
        <f>especies_ativa_codibama[[#This Row],[Nome popular]]</f>
        <v>jarandeua,</v>
      </c>
      <c r="H769" s="40" t="str">
        <f>especies_ativa_codibama[[#This Row],[Nome científico]]</f>
        <v>Zygia inaequalis</v>
      </c>
    </row>
    <row r="770" spans="1:8" x14ac:dyDescent="0.25">
      <c r="A770">
        <v>33557</v>
      </c>
      <c r="B770" t="s">
        <v>1123</v>
      </c>
      <c r="C770" t="s">
        <v>1124</v>
      </c>
      <c r="D770" t="s">
        <v>38</v>
      </c>
      <c r="E770">
        <v>34298</v>
      </c>
      <c r="F770" s="24">
        <f>especies_ativa_codibama[[#This Row],[Código]]</f>
        <v>33557</v>
      </c>
      <c r="G770" s="40" t="str">
        <f>especies_ativa_codibama[[#This Row],[Nome popular]]</f>
        <v>jurema, jurema-preta, Cárbon colorado, Tepescohuite</v>
      </c>
      <c r="H770" s="40" t="str">
        <f>especies_ativa_codibama[[#This Row],[Nome científico]]</f>
        <v>Mimosa tenuiflora</v>
      </c>
    </row>
    <row r="771" spans="1:8" x14ac:dyDescent="0.25">
      <c r="A771">
        <v>33558</v>
      </c>
      <c r="B771" t="s">
        <v>1125</v>
      </c>
      <c r="C771" t="s">
        <v>1126</v>
      </c>
      <c r="D771" t="s">
        <v>38</v>
      </c>
      <c r="E771">
        <v>2004147</v>
      </c>
      <c r="F771" s="24">
        <f>especies_ativa_codibama[[#This Row],[Código]]</f>
        <v>33558</v>
      </c>
      <c r="G771" s="40" t="str">
        <f>especies_ativa_codibama[[#This Row],[Nome popular]]</f>
        <v>jurema-branca, jurema-de-caboclo</v>
      </c>
      <c r="H771" s="40" t="str">
        <f>especies_ativa_codibama[[#This Row],[Nome científico]]</f>
        <v>Senegalia piauhiensis</v>
      </c>
    </row>
    <row r="772" spans="1:8" x14ac:dyDescent="0.25">
      <c r="A772">
        <v>33561</v>
      </c>
      <c r="B772" t="s">
        <v>2671</v>
      </c>
      <c r="C772" t="s">
        <v>2672</v>
      </c>
      <c r="D772" t="s">
        <v>38</v>
      </c>
      <c r="E772">
        <v>1035472</v>
      </c>
      <c r="F772" s="24">
        <f>especies_ativa_codibama[[#This Row],[Código]]</f>
        <v>33561</v>
      </c>
      <c r="G772" s="40" t="str">
        <f>especies_ativa_codibama[[#This Row],[Nome popular]]</f>
        <v>jureminha, jurema-branca, jurema-de-imbirra</v>
      </c>
      <c r="H772" s="40" t="str">
        <f>especies_ativa_codibama[[#This Row],[Nome científico]]</f>
        <v>Mimosa ophthalmocentra</v>
      </c>
    </row>
    <row r="773" spans="1:8" x14ac:dyDescent="0.25">
      <c r="A773">
        <v>33562</v>
      </c>
      <c r="B773" t="s">
        <v>2673</v>
      </c>
      <c r="C773" t="s">
        <v>1127</v>
      </c>
      <c r="D773" t="s">
        <v>38</v>
      </c>
      <c r="E773">
        <v>33545</v>
      </c>
      <c r="F773" s="24">
        <f>especies_ativa_codibama[[#This Row],[Código]]</f>
        <v>33562</v>
      </c>
      <c r="G773" s="40" t="str">
        <f>especies_ativa_codibama[[#This Row],[Nome popular]]</f>
        <v>JutaÃ­, JutaÃ­, pororoca, Jutaicica, Cururu, Quebra-machado, Durinho, Ironwood, Jitai-preto, Jataipeba, Roxinho, Pau-ferro, Tamari, Cinzeiro</v>
      </c>
      <c r="H773" s="40" t="str">
        <f>especies_ativa_codibama[[#This Row],[Nome científico]]</f>
        <v>Dialium guianense</v>
      </c>
    </row>
    <row r="774" spans="1:8" x14ac:dyDescent="0.25">
      <c r="A774">
        <v>33563</v>
      </c>
      <c r="B774" t="s">
        <v>2674</v>
      </c>
      <c r="C774" t="s">
        <v>1128</v>
      </c>
      <c r="D774" t="s">
        <v>38</v>
      </c>
      <c r="E774">
        <v>35485</v>
      </c>
      <c r="F774" s="24">
        <f>especies_ativa_codibama[[#This Row],[Código]]</f>
        <v>33563</v>
      </c>
      <c r="G774" s="40" t="str">
        <f>especies_ativa_codibama[[#This Row],[Nome popular]]</f>
        <v>JutaÃ­-cica</v>
      </c>
      <c r="H774" s="40" t="str">
        <f>especies_ativa_codibama[[#This Row],[Nome científico]]</f>
        <v>Martiodendron elatum</v>
      </c>
    </row>
    <row r="775" spans="1:8" x14ac:dyDescent="0.25">
      <c r="A775">
        <v>33564</v>
      </c>
      <c r="B775" t="s">
        <v>1129</v>
      </c>
      <c r="C775" t="s">
        <v>1130</v>
      </c>
      <c r="D775" t="s">
        <v>38</v>
      </c>
      <c r="E775">
        <v>35070</v>
      </c>
      <c r="F775" s="24">
        <f>especies_ativa_codibama[[#This Row],[Código]]</f>
        <v>33564</v>
      </c>
      <c r="G775" s="40" t="str">
        <f>especies_ativa_codibama[[#This Row],[Nome popular]]</f>
        <v>Laranjeira-do-mato, Mocitaiba, Mossetaiba, Pau-de-jantar, Pitomba-preta, Pau-santo,</v>
      </c>
      <c r="H775" s="40" t="str">
        <f>especies_ativa_codibama[[#This Row],[Nome científico]]</f>
        <v>Zollernia ilicifolia</v>
      </c>
    </row>
    <row r="776" spans="1:8" x14ac:dyDescent="0.25">
      <c r="A776">
        <v>33565</v>
      </c>
      <c r="B776" t="s">
        <v>1131</v>
      </c>
      <c r="C776" t="s">
        <v>1132</v>
      </c>
      <c r="D776" t="s">
        <v>38</v>
      </c>
      <c r="E776">
        <v>33310</v>
      </c>
      <c r="F776" s="24">
        <f>especies_ativa_codibama[[#This Row],[Código]]</f>
        <v>33565</v>
      </c>
      <c r="G776" s="40" t="str">
        <f>especies_ativa_codibama[[#This Row],[Nome popular]]</f>
        <v>leptolóbio, perobinha-do-campo</v>
      </c>
      <c r="H776" s="40" t="str">
        <f>especies_ativa_codibama[[#This Row],[Nome científico]]</f>
        <v>Leptolobium elegans</v>
      </c>
    </row>
    <row r="777" spans="1:8" x14ac:dyDescent="0.25">
      <c r="A777">
        <v>33567</v>
      </c>
      <c r="B777" t="s">
        <v>1133</v>
      </c>
      <c r="C777" t="s">
        <v>1134</v>
      </c>
      <c r="D777" t="s">
        <v>38</v>
      </c>
      <c r="E777">
        <v>32566</v>
      </c>
      <c r="F777" s="24">
        <f>especies_ativa_codibama[[#This Row],[Código]]</f>
        <v>33567</v>
      </c>
      <c r="G777" s="40" t="str">
        <f>especies_ativa_codibama[[#This Row],[Nome popular]]</f>
        <v>manduira</v>
      </c>
      <c r="H777" s="40" t="str">
        <f>especies_ativa_codibama[[#This Row],[Nome científico]]</f>
        <v>Senna macranthera</v>
      </c>
    </row>
    <row r="778" spans="1:8" x14ac:dyDescent="0.25">
      <c r="A778">
        <v>33569</v>
      </c>
      <c r="B778" t="s">
        <v>1135</v>
      </c>
      <c r="C778" t="s">
        <v>1136</v>
      </c>
      <c r="D778" t="s">
        <v>38</v>
      </c>
      <c r="E778">
        <v>33791</v>
      </c>
      <c r="F778" s="24">
        <f>especies_ativa_codibama[[#This Row],[Código]]</f>
        <v>33569</v>
      </c>
      <c r="G778" s="40" t="str">
        <f>especies_ativa_codibama[[#This Row],[Nome popular]]</f>
        <v>moirá jibóia preta</v>
      </c>
      <c r="H778" s="40" t="str">
        <f>especies_ativa_codibama[[#This Row],[Nome científico]]</f>
        <v>Swartzia arborescens</v>
      </c>
    </row>
    <row r="779" spans="1:8" x14ac:dyDescent="0.25">
      <c r="A779">
        <v>33572</v>
      </c>
      <c r="B779" t="s">
        <v>1137</v>
      </c>
      <c r="C779" t="s">
        <v>1138</v>
      </c>
      <c r="D779" t="s">
        <v>38</v>
      </c>
      <c r="E779">
        <v>33200</v>
      </c>
      <c r="F779" s="24">
        <f>especies_ativa_codibama[[#This Row],[Código]]</f>
        <v>33572</v>
      </c>
      <c r="G779" s="40" t="str">
        <f>especies_ativa_codibama[[#This Row],[Nome popular]]</f>
        <v>Muira Jibóia-Brasil</v>
      </c>
      <c r="H779" s="40" t="str">
        <f>especies_ativa_codibama[[#This Row],[Nome científico]]</f>
        <v>Swartzia recurva</v>
      </c>
    </row>
    <row r="780" spans="1:8" x14ac:dyDescent="0.25">
      <c r="A780">
        <v>33573</v>
      </c>
      <c r="B780" t="s">
        <v>1139</v>
      </c>
      <c r="C780" t="s">
        <v>1140</v>
      </c>
      <c r="D780" t="s">
        <v>38</v>
      </c>
      <c r="E780">
        <v>34207</v>
      </c>
      <c r="F780" s="24">
        <f>especies_ativa_codibama[[#This Row],[Código]]</f>
        <v>33573</v>
      </c>
      <c r="G780" s="40" t="str">
        <f>especies_ativa_codibama[[#This Row],[Nome popular]]</f>
        <v>mulungu</v>
      </c>
      <c r="H780" s="40" t="str">
        <f>especies_ativa_codibama[[#This Row],[Nome científico]]</f>
        <v>Erythrina velutina</v>
      </c>
    </row>
    <row r="781" spans="1:8" x14ac:dyDescent="0.25">
      <c r="A781">
        <v>33574</v>
      </c>
      <c r="B781" t="s">
        <v>1139</v>
      </c>
      <c r="C781" t="s">
        <v>1141</v>
      </c>
      <c r="D781" t="s">
        <v>38</v>
      </c>
      <c r="E781">
        <v>32361</v>
      </c>
      <c r="F781" s="24">
        <f>especies_ativa_codibama[[#This Row],[Código]]</f>
        <v>33574</v>
      </c>
      <c r="G781" s="40" t="str">
        <f>especies_ativa_codibama[[#This Row],[Nome popular]]</f>
        <v>mulungu</v>
      </c>
      <c r="H781" s="40" t="str">
        <f>especies_ativa_codibama[[#This Row],[Nome científico]]</f>
        <v>Erythrina verna</v>
      </c>
    </row>
    <row r="782" spans="1:8" x14ac:dyDescent="0.25">
      <c r="A782">
        <v>33575</v>
      </c>
      <c r="B782" t="s">
        <v>1142</v>
      </c>
      <c r="C782" t="s">
        <v>1143</v>
      </c>
      <c r="D782" t="s">
        <v>38</v>
      </c>
      <c r="E782">
        <v>35377</v>
      </c>
      <c r="F782" s="24">
        <f>especies_ativa_codibama[[#This Row],[Código]]</f>
        <v>33575</v>
      </c>
      <c r="G782" s="40" t="str">
        <f>especies_ativa_codibama[[#This Row],[Nome popular]]</f>
        <v>mulungu-do-litoral</v>
      </c>
      <c r="H782" s="40" t="str">
        <f>especies_ativa_codibama[[#This Row],[Nome científico]]</f>
        <v>Erythrina speciosa</v>
      </c>
    </row>
    <row r="783" spans="1:8" x14ac:dyDescent="0.25">
      <c r="A783">
        <v>33577</v>
      </c>
      <c r="B783" t="s">
        <v>1144</v>
      </c>
      <c r="C783" t="s">
        <v>1145</v>
      </c>
      <c r="D783" t="s">
        <v>38</v>
      </c>
      <c r="E783">
        <v>31713</v>
      </c>
      <c r="F783" s="24">
        <f>especies_ativa_codibama[[#This Row],[Código]]</f>
        <v>33577</v>
      </c>
      <c r="G783" s="40" t="str">
        <f>especies_ativa_codibama[[#This Row],[Nome popular]]</f>
        <v>orelinha</v>
      </c>
      <c r="H783" s="40" t="str">
        <f>especies_ativa_codibama[[#This Row],[Nome científico]]</f>
        <v>Enterolobium schomburgkii</v>
      </c>
    </row>
    <row r="784" spans="1:8" x14ac:dyDescent="0.25">
      <c r="A784">
        <v>33580</v>
      </c>
      <c r="B784" t="s">
        <v>1146</v>
      </c>
      <c r="C784" t="s">
        <v>1147</v>
      </c>
      <c r="D784" t="s">
        <v>38</v>
      </c>
      <c r="E784">
        <v>33151</v>
      </c>
      <c r="F784" s="24">
        <f>especies_ativa_codibama[[#This Row],[Código]]</f>
        <v>33580</v>
      </c>
      <c r="G784" s="40" t="str">
        <f>especies_ativa_codibama[[#This Row],[Nome popular]]</f>
        <v>pau sangue</v>
      </c>
      <c r="H784" s="40" t="str">
        <f>especies_ativa_codibama[[#This Row],[Nome científico]]</f>
        <v>Pterocarpus rohrii</v>
      </c>
    </row>
    <row r="785" spans="1:8" x14ac:dyDescent="0.25">
      <c r="A785">
        <v>33581</v>
      </c>
      <c r="B785" t="s">
        <v>1146</v>
      </c>
      <c r="C785" t="s">
        <v>1148</v>
      </c>
      <c r="D785" t="s">
        <v>38</v>
      </c>
      <c r="E785">
        <v>36249</v>
      </c>
      <c r="F785" s="24">
        <f>especies_ativa_codibama[[#This Row],[Código]]</f>
        <v>33581</v>
      </c>
      <c r="G785" s="40" t="str">
        <f>especies_ativa_codibama[[#This Row],[Nome popular]]</f>
        <v>pau sangue</v>
      </c>
      <c r="H785" s="40" t="str">
        <f>especies_ativa_codibama[[#This Row],[Nome científico]]</f>
        <v>Tipuana tipu</v>
      </c>
    </row>
    <row r="786" spans="1:8" x14ac:dyDescent="0.25">
      <c r="A786">
        <v>33584</v>
      </c>
      <c r="B786" t="s">
        <v>1149</v>
      </c>
      <c r="C786" t="s">
        <v>1150</v>
      </c>
      <c r="D786" t="s">
        <v>38</v>
      </c>
      <c r="E786">
        <v>33257</v>
      </c>
      <c r="F786" s="24">
        <f>especies_ativa_codibama[[#This Row],[Código]]</f>
        <v>33584</v>
      </c>
      <c r="G786" s="40" t="str">
        <f>especies_ativa_codibama[[#This Row],[Nome popular]]</f>
        <v>Pau-santo, Orelha-de-negro</v>
      </c>
      <c r="H786" s="40" t="str">
        <f>especies_ativa_codibama[[#This Row],[Nome científico]]</f>
        <v>Zollernia paraensis</v>
      </c>
    </row>
    <row r="787" spans="1:8" x14ac:dyDescent="0.25">
      <c r="A787">
        <v>33585</v>
      </c>
      <c r="B787" t="s">
        <v>1151</v>
      </c>
      <c r="C787" t="s">
        <v>1152</v>
      </c>
      <c r="D787" t="s">
        <v>38</v>
      </c>
      <c r="E787">
        <v>33135</v>
      </c>
      <c r="F787" s="24">
        <f>especies_ativa_codibama[[#This Row],[Código]]</f>
        <v>33585</v>
      </c>
      <c r="G787" s="40" t="str">
        <f>especies_ativa_codibama[[#This Row],[Nome popular]]</f>
        <v>pintadinho</v>
      </c>
      <c r="H787" s="40" t="str">
        <f>especies_ativa_codibama[[#This Row],[Nome científico]]</f>
        <v>Poeppigia procera</v>
      </c>
    </row>
    <row r="788" spans="1:8" x14ac:dyDescent="0.25">
      <c r="A788">
        <v>33588</v>
      </c>
      <c r="B788" t="s">
        <v>2675</v>
      </c>
      <c r="C788" t="s">
        <v>1153</v>
      </c>
      <c r="D788" t="s">
        <v>38</v>
      </c>
      <c r="E788">
        <v>35324</v>
      </c>
      <c r="F788" s="24">
        <f>especies_ativa_codibama[[#This Row],[Código]]</f>
        <v>33588</v>
      </c>
      <c r="G788" s="40" t="str">
        <f>especies_ativa_codibama[[#This Row],[Nome popular]]</f>
        <v>São-João-preto</v>
      </c>
      <c r="H788" s="40" t="str">
        <f>especies_ativa_codibama[[#This Row],[Nome científico]]</f>
        <v>Cassia ferruginea</v>
      </c>
    </row>
    <row r="789" spans="1:8" x14ac:dyDescent="0.25">
      <c r="A789">
        <v>33589</v>
      </c>
      <c r="B789" t="s">
        <v>1154</v>
      </c>
      <c r="C789" t="s">
        <v>1155</v>
      </c>
      <c r="D789" t="s">
        <v>38</v>
      </c>
      <c r="E789">
        <v>34282</v>
      </c>
      <c r="F789" s="24">
        <f>especies_ativa_codibama[[#This Row],[Código]]</f>
        <v>33589</v>
      </c>
      <c r="G789" s="40" t="str">
        <f>especies_ativa_codibama[[#This Row],[Nome popular]]</f>
        <v>Sapuvá, Sapuvussu, Farinha-seca, Jacarandá-branco</v>
      </c>
      <c r="H789" s="40" t="str">
        <f>especies_ativa_codibama[[#This Row],[Nome científico]]</f>
        <v>Machaerium stipitatum</v>
      </c>
    </row>
    <row r="790" spans="1:8" x14ac:dyDescent="0.25">
      <c r="A790">
        <v>33590</v>
      </c>
      <c r="B790" t="s">
        <v>1156</v>
      </c>
      <c r="C790" t="s">
        <v>1157</v>
      </c>
      <c r="D790" t="s">
        <v>38</v>
      </c>
      <c r="E790">
        <v>32588</v>
      </c>
      <c r="F790" s="24">
        <f>especies_ativa_codibama[[#This Row],[Código]]</f>
        <v>33590</v>
      </c>
      <c r="G790" s="40" t="str">
        <f>especies_ativa_codibama[[#This Row],[Nome popular]]</f>
        <v>Sucupira-amarela, Sucupira-preta</v>
      </c>
      <c r="H790" s="40" t="str">
        <f>especies_ativa_codibama[[#This Row],[Nome científico]]</f>
        <v>Sweetia fruticosa</v>
      </c>
    </row>
    <row r="791" spans="1:8" x14ac:dyDescent="0.25">
      <c r="A791">
        <v>33592</v>
      </c>
      <c r="B791" t="s">
        <v>2676</v>
      </c>
      <c r="C791" t="s">
        <v>1158</v>
      </c>
      <c r="D791" t="s">
        <v>38</v>
      </c>
      <c r="E791">
        <v>175431</v>
      </c>
      <c r="F791" s="24">
        <f>especies_ativa_codibama[[#This Row],[Código]]</f>
        <v>33592</v>
      </c>
      <c r="G791" s="40" t="str">
        <f>especies_ativa_codibama[[#This Row],[Nome popular]]</f>
        <v>sucupira-preta, Coração-de-negro</v>
      </c>
      <c r="H791" s="40" t="str">
        <f>especies_ativa_codibama[[#This Row],[Nome científico]]</f>
        <v>Chamaecrista bahiae</v>
      </c>
    </row>
    <row r="792" spans="1:8" x14ac:dyDescent="0.25">
      <c r="A792">
        <v>33593</v>
      </c>
      <c r="B792" t="s">
        <v>1159</v>
      </c>
      <c r="C792" t="s">
        <v>1160</v>
      </c>
      <c r="D792" t="s">
        <v>38</v>
      </c>
      <c r="E792">
        <v>34206</v>
      </c>
      <c r="F792" s="24">
        <f>especies_ativa_codibama[[#This Row],[Código]]</f>
        <v>33593</v>
      </c>
      <c r="G792" s="40" t="str">
        <f>especies_ativa_codibama[[#This Row],[Nome popular]]</f>
        <v>suinã, sanduva, alecrim</v>
      </c>
      <c r="H792" s="40" t="str">
        <f>especies_ativa_codibama[[#This Row],[Nome científico]]</f>
        <v>Erythrina fusca</v>
      </c>
    </row>
    <row r="793" spans="1:8" x14ac:dyDescent="0.25">
      <c r="A793">
        <v>33596</v>
      </c>
      <c r="B793" t="s">
        <v>1161</v>
      </c>
      <c r="C793" t="s">
        <v>1162</v>
      </c>
      <c r="D793" t="s">
        <v>38</v>
      </c>
      <c r="E793">
        <v>36239</v>
      </c>
      <c r="F793" s="24">
        <f>especies_ativa_codibama[[#This Row],[Código]]</f>
        <v>33596</v>
      </c>
      <c r="G793" s="40" t="str">
        <f>especies_ativa_codibama[[#This Row],[Nome popular]]</f>
        <v>tamarindo</v>
      </c>
      <c r="H793" s="40" t="str">
        <f>especies_ativa_codibama[[#This Row],[Nome científico]]</f>
        <v>Tamarindus indica</v>
      </c>
    </row>
    <row r="794" spans="1:8" x14ac:dyDescent="0.25">
      <c r="A794">
        <v>33597</v>
      </c>
      <c r="B794" t="s">
        <v>1163</v>
      </c>
      <c r="C794" t="s">
        <v>1164</v>
      </c>
      <c r="D794" t="s">
        <v>38</v>
      </c>
      <c r="E794">
        <v>34400</v>
      </c>
      <c r="F794" s="24">
        <f>especies_ativa_codibama[[#This Row],[Código]]</f>
        <v>33597</v>
      </c>
      <c r="G794" s="40" t="str">
        <f>especies_ativa_codibama[[#This Row],[Nome popular]]</f>
        <v>Tarapirinria</v>
      </c>
      <c r="H794" s="40" t="str">
        <f>especies_ativa_codibama[[#This Row],[Nome científico]]</f>
        <v>Stryphnodendron guianense</v>
      </c>
    </row>
    <row r="795" spans="1:8" x14ac:dyDescent="0.25">
      <c r="A795">
        <v>33598</v>
      </c>
      <c r="B795" t="s">
        <v>1165</v>
      </c>
      <c r="C795" t="s">
        <v>1166</v>
      </c>
      <c r="D795" t="s">
        <v>38</v>
      </c>
      <c r="E795">
        <v>32281</v>
      </c>
      <c r="F795" s="24">
        <f>especies_ativa_codibama[[#This Row],[Código]]</f>
        <v>33598</v>
      </c>
      <c r="G795" s="40" t="str">
        <f>especies_ativa_codibama[[#This Row],[Nome popular]]</f>
        <v>taxi preto da folha miúda</v>
      </c>
      <c r="H795" s="40" t="str">
        <f>especies_ativa_codibama[[#This Row],[Nome científico]]</f>
        <v>Cassia leiandra</v>
      </c>
    </row>
    <row r="796" spans="1:8" x14ac:dyDescent="0.25">
      <c r="A796">
        <v>33605</v>
      </c>
      <c r="B796" t="s">
        <v>106</v>
      </c>
      <c r="C796" t="s">
        <v>1167</v>
      </c>
      <c r="D796" t="s">
        <v>38</v>
      </c>
      <c r="E796">
        <v>31806</v>
      </c>
      <c r="F796" s="24">
        <f>especies_ativa_codibama[[#This Row],[Código]]</f>
        <v>33605</v>
      </c>
      <c r="G796" s="40" t="str">
        <f>especies_ativa_codibama[[#This Row],[Nome popular]]</f>
        <v>---</v>
      </c>
      <c r="H796" s="40" t="str">
        <f>especies_ativa_codibama[[#This Row],[Nome científico]]</f>
        <v>Machaerium floridum</v>
      </c>
    </row>
    <row r="797" spans="1:8" x14ac:dyDescent="0.25">
      <c r="A797">
        <v>33615</v>
      </c>
      <c r="B797" t="s">
        <v>106</v>
      </c>
      <c r="C797" t="s">
        <v>1168</v>
      </c>
      <c r="D797" t="s">
        <v>38</v>
      </c>
      <c r="E797">
        <v>35430</v>
      </c>
      <c r="F797" s="24">
        <f>especies_ativa_codibama[[#This Row],[Código]]</f>
        <v>33615</v>
      </c>
      <c r="G797" s="40" t="str">
        <f>especies_ativa_codibama[[#This Row],[Nome popular]]</f>
        <v>---</v>
      </c>
      <c r="H797" s="40" t="str">
        <f>especies_ativa_codibama[[#This Row],[Nome científico]]</f>
        <v>Hymenaea eriogyne</v>
      </c>
    </row>
    <row r="798" spans="1:8" x14ac:dyDescent="0.25">
      <c r="A798">
        <v>33617</v>
      </c>
      <c r="B798" t="s">
        <v>106</v>
      </c>
      <c r="C798" t="s">
        <v>1169</v>
      </c>
      <c r="D798" t="s">
        <v>38</v>
      </c>
      <c r="E798">
        <v>453682</v>
      </c>
      <c r="F798" s="24">
        <f>especies_ativa_codibama[[#This Row],[Código]]</f>
        <v>33617</v>
      </c>
      <c r="G798" s="40" t="str">
        <f>especies_ativa_codibama[[#This Row],[Nome popular]]</f>
        <v>---</v>
      </c>
      <c r="H798" s="40" t="str">
        <f>especies_ativa_codibama[[#This Row],[Nome científico]]</f>
        <v>Pterodon abruptus</v>
      </c>
    </row>
    <row r="799" spans="1:8" x14ac:dyDescent="0.25">
      <c r="A799">
        <v>33621</v>
      </c>
      <c r="B799" t="s">
        <v>106</v>
      </c>
      <c r="C799" t="s">
        <v>2677</v>
      </c>
      <c r="D799" t="s">
        <v>38</v>
      </c>
      <c r="E799">
        <v>175687</v>
      </c>
      <c r="F799" s="24">
        <f>especies_ativa_codibama[[#This Row],[Código]]</f>
        <v>33621</v>
      </c>
      <c r="G799" s="40" t="str">
        <f>especies_ativa_codibama[[#This Row],[Nome popular]]</f>
        <v>---</v>
      </c>
      <c r="H799" s="40" t="str">
        <f>especies_ativa_codibama[[#This Row],[Nome científico]]</f>
        <v>Chamaecrista orbiculata</v>
      </c>
    </row>
    <row r="800" spans="1:8" x14ac:dyDescent="0.25">
      <c r="A800">
        <v>33623</v>
      </c>
      <c r="B800" t="s">
        <v>106</v>
      </c>
      <c r="C800" t="s">
        <v>1170</v>
      </c>
      <c r="D800" t="s">
        <v>38</v>
      </c>
      <c r="E800">
        <v>33653</v>
      </c>
      <c r="F800" s="24">
        <f>especies_ativa_codibama[[#This Row],[Código]]</f>
        <v>33623</v>
      </c>
      <c r="G800" s="40" t="str">
        <f>especies_ativa_codibama[[#This Row],[Nome popular]]</f>
        <v>---</v>
      </c>
      <c r="H800" s="40" t="str">
        <f>especies_ativa_codibama[[#This Row],[Nome científico]]</f>
        <v>Machaerium opacum</v>
      </c>
    </row>
    <row r="801" spans="1:8" x14ac:dyDescent="0.25">
      <c r="A801">
        <v>33626</v>
      </c>
      <c r="B801" t="s">
        <v>106</v>
      </c>
      <c r="C801" t="s">
        <v>1171</v>
      </c>
      <c r="D801" t="s">
        <v>38</v>
      </c>
      <c r="E801">
        <v>798965</v>
      </c>
      <c r="F801" s="24">
        <f>especies_ativa_codibama[[#This Row],[Código]]</f>
        <v>33626</v>
      </c>
      <c r="G801" s="40" t="str">
        <f>especies_ativa_codibama[[#This Row],[Nome popular]]</f>
        <v>---</v>
      </c>
      <c r="H801" s="40" t="str">
        <f>especies_ativa_codibama[[#This Row],[Nome científico]]</f>
        <v>Pseudopiptadenia brenanii</v>
      </c>
    </row>
    <row r="802" spans="1:8" x14ac:dyDescent="0.25">
      <c r="A802">
        <v>33632</v>
      </c>
      <c r="B802" t="s">
        <v>106</v>
      </c>
      <c r="C802" t="s">
        <v>1172</v>
      </c>
      <c r="D802" t="s">
        <v>196</v>
      </c>
      <c r="E802">
        <v>32170</v>
      </c>
      <c r="F802" s="24">
        <f>especies_ativa_codibama[[#This Row],[Código]]</f>
        <v>33632</v>
      </c>
      <c r="G802" s="40" t="str">
        <f>especies_ativa_codibama[[#This Row],[Nome popular]]</f>
        <v>---</v>
      </c>
      <c r="H802" s="40" t="str">
        <f>especies_ativa_codibama[[#This Row],[Nome científico]]</f>
        <v>Machaerium mucronulatum</v>
      </c>
    </row>
    <row r="803" spans="1:8" x14ac:dyDescent="0.25">
      <c r="A803">
        <v>33633</v>
      </c>
      <c r="B803" t="s">
        <v>106</v>
      </c>
      <c r="C803" t="s">
        <v>1173</v>
      </c>
      <c r="D803" t="s">
        <v>38</v>
      </c>
      <c r="E803">
        <v>33465</v>
      </c>
      <c r="F803" s="24">
        <f>especies_ativa_codibama[[#This Row],[Código]]</f>
        <v>33633</v>
      </c>
      <c r="G803" s="40" t="str">
        <f>especies_ativa_codibama[[#This Row],[Nome popular]]</f>
        <v>---</v>
      </c>
      <c r="H803" s="40" t="str">
        <f>especies_ativa_codibama[[#This Row],[Nome científico]]</f>
        <v>Andira fraxinifolia</v>
      </c>
    </row>
    <row r="804" spans="1:8" x14ac:dyDescent="0.25">
      <c r="A804">
        <v>33634</v>
      </c>
      <c r="B804" t="s">
        <v>106</v>
      </c>
      <c r="C804" t="s">
        <v>1174</v>
      </c>
      <c r="D804" t="s">
        <v>38</v>
      </c>
      <c r="E804">
        <v>31592</v>
      </c>
      <c r="F804" s="24">
        <f>especies_ativa_codibama[[#This Row],[Código]]</f>
        <v>33634</v>
      </c>
      <c r="G804" s="40" t="str">
        <f>especies_ativa_codibama[[#This Row],[Nome popular]]</f>
        <v>---</v>
      </c>
      <c r="H804" s="40" t="str">
        <f>especies_ativa_codibama[[#This Row],[Nome científico]]</f>
        <v>Albizia polycephala</v>
      </c>
    </row>
    <row r="805" spans="1:8" x14ac:dyDescent="0.25">
      <c r="A805">
        <v>33641</v>
      </c>
      <c r="B805" t="s">
        <v>106</v>
      </c>
      <c r="C805" t="s">
        <v>1175</v>
      </c>
      <c r="D805" t="s">
        <v>38</v>
      </c>
      <c r="E805">
        <v>33789</v>
      </c>
      <c r="F805" s="24">
        <f>especies_ativa_codibama[[#This Row],[Código]]</f>
        <v>33641</v>
      </c>
      <c r="G805" s="40" t="str">
        <f>especies_ativa_codibama[[#This Row],[Nome popular]]</f>
        <v>---</v>
      </c>
      <c r="H805" s="40" t="str">
        <f>especies_ativa_codibama[[#This Row],[Nome científico]]</f>
        <v>Stryphnodendron polyphyllum</v>
      </c>
    </row>
    <row r="806" spans="1:8" x14ac:dyDescent="0.25">
      <c r="A806">
        <v>33644</v>
      </c>
      <c r="B806" t="s">
        <v>106</v>
      </c>
      <c r="C806" t="s">
        <v>1176</v>
      </c>
      <c r="D806" t="s">
        <v>38</v>
      </c>
      <c r="E806">
        <v>1037280</v>
      </c>
      <c r="F806" s="24">
        <f>especies_ativa_codibama[[#This Row],[Código]]</f>
        <v>33644</v>
      </c>
      <c r="G806" s="40" t="str">
        <f>especies_ativa_codibama[[#This Row],[Nome popular]]</f>
        <v>---</v>
      </c>
      <c r="H806" s="40" t="str">
        <f>especies_ativa_codibama[[#This Row],[Nome científico]]</f>
        <v>Machaerium punctatum</v>
      </c>
    </row>
    <row r="807" spans="1:8" x14ac:dyDescent="0.25">
      <c r="A807">
        <v>33646</v>
      </c>
      <c r="B807" t="s">
        <v>106</v>
      </c>
      <c r="C807" t="s">
        <v>1177</v>
      </c>
      <c r="D807" t="s">
        <v>38</v>
      </c>
      <c r="E807">
        <v>32523</v>
      </c>
      <c r="F807" s="24">
        <f>especies_ativa_codibama[[#This Row],[Código]]</f>
        <v>33646</v>
      </c>
      <c r="G807" s="40" t="str">
        <f>especies_ativa_codibama[[#This Row],[Nome popular]]</f>
        <v>---</v>
      </c>
      <c r="H807" s="40" t="str">
        <f>especies_ativa_codibama[[#This Row],[Nome científico]]</f>
        <v>Poecilanthe grandiflora</v>
      </c>
    </row>
    <row r="808" spans="1:8" x14ac:dyDescent="0.25">
      <c r="A808">
        <v>33647</v>
      </c>
      <c r="B808" t="s">
        <v>106</v>
      </c>
      <c r="C808" t="s">
        <v>1178</v>
      </c>
      <c r="D808" t="s">
        <v>38</v>
      </c>
      <c r="E808">
        <v>33589</v>
      </c>
      <c r="F808" s="24">
        <f>especies_ativa_codibama[[#This Row],[Código]]</f>
        <v>33647</v>
      </c>
      <c r="G808" s="40" t="str">
        <f>especies_ativa_codibama[[#This Row],[Nome popular]]</f>
        <v>---</v>
      </c>
      <c r="H808" s="40" t="str">
        <f>especies_ativa_codibama[[#This Row],[Nome científico]]</f>
        <v>Goniorrhachis marginata</v>
      </c>
    </row>
    <row r="809" spans="1:8" x14ac:dyDescent="0.25">
      <c r="A809">
        <v>33652</v>
      </c>
      <c r="B809" t="s">
        <v>106</v>
      </c>
      <c r="C809" t="s">
        <v>1179</v>
      </c>
      <c r="D809" t="s">
        <v>38</v>
      </c>
      <c r="E809">
        <v>32338</v>
      </c>
      <c r="F809" s="24">
        <f>especies_ativa_codibama[[#This Row],[Código]]</f>
        <v>33652</v>
      </c>
      <c r="G809" s="40" t="str">
        <f>especies_ativa_codibama[[#This Row],[Nome popular]]</f>
        <v>---</v>
      </c>
      <c r="H809" s="40" t="str">
        <f>especies_ativa_codibama[[#This Row],[Nome científico]]</f>
        <v>Dalbergia decipularis</v>
      </c>
    </row>
    <row r="810" spans="1:8" x14ac:dyDescent="0.25">
      <c r="A810">
        <v>33653</v>
      </c>
      <c r="B810" t="s">
        <v>106</v>
      </c>
      <c r="C810" t="s">
        <v>1180</v>
      </c>
      <c r="D810" t="s">
        <v>38</v>
      </c>
      <c r="E810">
        <v>35360</v>
      </c>
      <c r="F810" s="24">
        <f>especies_ativa_codibama[[#This Row],[Código]]</f>
        <v>33653</v>
      </c>
      <c r="G810" s="40" t="str">
        <f>especies_ativa_codibama[[#This Row],[Nome popular]]</f>
        <v>---</v>
      </c>
      <c r="H810" s="40" t="str">
        <f>especies_ativa_codibama[[#This Row],[Nome científico]]</f>
        <v>Dalbergia cearensis</v>
      </c>
    </row>
    <row r="811" spans="1:8" x14ac:dyDescent="0.25">
      <c r="A811">
        <v>33658</v>
      </c>
      <c r="B811" t="s">
        <v>106</v>
      </c>
      <c r="C811" t="s">
        <v>1181</v>
      </c>
      <c r="D811" t="s">
        <v>38</v>
      </c>
      <c r="E811">
        <v>1981202</v>
      </c>
      <c r="F811" s="24">
        <f>especies_ativa_codibama[[#This Row],[Código]]</f>
        <v>33658</v>
      </c>
      <c r="G811" s="40" t="str">
        <f>especies_ativa_codibama[[#This Row],[Nome popular]]</f>
        <v>---</v>
      </c>
      <c r="H811" s="40" t="str">
        <f>especies_ativa_codibama[[#This Row],[Nome científico]]</f>
        <v>Pityrocarpa moniliformis</v>
      </c>
    </row>
    <row r="812" spans="1:8" x14ac:dyDescent="0.25">
      <c r="A812">
        <v>33659</v>
      </c>
      <c r="B812" t="s">
        <v>106</v>
      </c>
      <c r="C812" t="s">
        <v>1182</v>
      </c>
      <c r="D812" t="s">
        <v>38</v>
      </c>
      <c r="E812">
        <v>33464</v>
      </c>
      <c r="F812" s="24">
        <f>especies_ativa_codibama[[#This Row],[Código]]</f>
        <v>33659</v>
      </c>
      <c r="G812" s="40" t="str">
        <f>especies_ativa_codibama[[#This Row],[Nome popular]]</f>
        <v>---</v>
      </c>
      <c r="H812" s="40" t="str">
        <f>especies_ativa_codibama[[#This Row],[Nome científico]]</f>
        <v>Andira anthelmia</v>
      </c>
    </row>
    <row r="813" spans="1:8" x14ac:dyDescent="0.25">
      <c r="A813">
        <v>33660</v>
      </c>
      <c r="B813" t="s">
        <v>106</v>
      </c>
      <c r="C813" t="s">
        <v>1183</v>
      </c>
      <c r="D813" t="s">
        <v>38</v>
      </c>
      <c r="E813">
        <v>31964</v>
      </c>
      <c r="F813" s="24">
        <f>especies_ativa_codibama[[#This Row],[Código]]</f>
        <v>33660</v>
      </c>
      <c r="G813" s="40" t="str">
        <f>especies_ativa_codibama[[#This Row],[Nome popular]]</f>
        <v>---</v>
      </c>
      <c r="H813" s="40" t="str">
        <f>especies_ativa_codibama[[#This Row],[Nome científico]]</f>
        <v>Swartzia psilonema</v>
      </c>
    </row>
    <row r="814" spans="1:8" x14ac:dyDescent="0.25">
      <c r="A814">
        <v>33661</v>
      </c>
      <c r="B814" t="s">
        <v>106</v>
      </c>
      <c r="C814" t="s">
        <v>1184</v>
      </c>
      <c r="D814" t="s">
        <v>38</v>
      </c>
      <c r="E814">
        <v>33132</v>
      </c>
      <c r="F814" s="24">
        <f>especies_ativa_codibama[[#This Row],[Código]]</f>
        <v>33661</v>
      </c>
      <c r="G814" s="40" t="str">
        <f>especies_ativa_codibama[[#This Row],[Nome popular]]</f>
        <v>---</v>
      </c>
      <c r="H814" s="40" t="str">
        <f>especies_ativa_codibama[[#This Row],[Nome científico]]</f>
        <v>Platycyamus regnellii</v>
      </c>
    </row>
    <row r="815" spans="1:8" x14ac:dyDescent="0.25">
      <c r="A815">
        <v>33664</v>
      </c>
      <c r="B815" t="s">
        <v>106</v>
      </c>
      <c r="C815" t="s">
        <v>1185</v>
      </c>
      <c r="D815" t="s">
        <v>38</v>
      </c>
      <c r="E815">
        <v>35124</v>
      </c>
      <c r="F815" s="24">
        <f>especies_ativa_codibama[[#This Row],[Código]]</f>
        <v>33664</v>
      </c>
      <c r="G815" s="40" t="str">
        <f>especies_ativa_codibama[[#This Row],[Nome popular]]</f>
        <v>---</v>
      </c>
      <c r="H815" s="40" t="str">
        <f>especies_ativa_codibama[[#This Row],[Nome científico]]</f>
        <v>Ormosia fastigiata</v>
      </c>
    </row>
    <row r="816" spans="1:8" x14ac:dyDescent="0.25">
      <c r="A816">
        <v>33666</v>
      </c>
      <c r="B816" t="s">
        <v>106</v>
      </c>
      <c r="C816" t="s">
        <v>1186</v>
      </c>
      <c r="D816" t="s">
        <v>38</v>
      </c>
      <c r="E816">
        <v>33103</v>
      </c>
      <c r="F816" s="24">
        <f>especies_ativa_codibama[[#This Row],[Código]]</f>
        <v>33666</v>
      </c>
      <c r="G816" s="40" t="str">
        <f>especies_ativa_codibama[[#This Row],[Nome popular]]</f>
        <v>---</v>
      </c>
      <c r="H816" s="40" t="str">
        <f>especies_ativa_codibama[[#This Row],[Nome científico]]</f>
        <v>Ormosia arborea</v>
      </c>
    </row>
    <row r="817" spans="1:8" x14ac:dyDescent="0.25">
      <c r="A817">
        <v>33673</v>
      </c>
      <c r="B817" t="s">
        <v>106</v>
      </c>
      <c r="C817" t="s">
        <v>1187</v>
      </c>
      <c r="D817" t="s">
        <v>38</v>
      </c>
      <c r="E817">
        <v>797802</v>
      </c>
      <c r="F817" s="24">
        <f>especies_ativa_codibama[[#This Row],[Código]]</f>
        <v>33673</v>
      </c>
      <c r="G817" s="40" t="str">
        <f>especies_ativa_codibama[[#This Row],[Nome popular]]</f>
        <v>---</v>
      </c>
      <c r="H817" s="40" t="str">
        <f>especies_ativa_codibama[[#This Row],[Nome científico]]</f>
        <v>Leucochloron incuriale</v>
      </c>
    </row>
    <row r="818" spans="1:8" x14ac:dyDescent="0.25">
      <c r="A818">
        <v>33674</v>
      </c>
      <c r="B818" t="s">
        <v>106</v>
      </c>
      <c r="C818" t="s">
        <v>1188</v>
      </c>
      <c r="D818" t="s">
        <v>38</v>
      </c>
      <c r="E818">
        <v>1981208</v>
      </c>
      <c r="F818" s="24">
        <f>especies_ativa_codibama[[#This Row],[Código]]</f>
        <v>33674</v>
      </c>
      <c r="G818" s="40" t="str">
        <f>especies_ativa_codibama[[#This Row],[Nome popular]]</f>
        <v>---</v>
      </c>
      <c r="H818" s="40" t="str">
        <f>especies_ativa_codibama[[#This Row],[Nome científico]]</f>
        <v>Abarema villosa</v>
      </c>
    </row>
    <row r="819" spans="1:8" x14ac:dyDescent="0.25">
      <c r="A819">
        <v>33675</v>
      </c>
      <c r="B819" t="s">
        <v>106</v>
      </c>
      <c r="C819" t="s">
        <v>1189</v>
      </c>
      <c r="D819" t="s">
        <v>38</v>
      </c>
      <c r="E819">
        <v>31696</v>
      </c>
      <c r="F819" s="24">
        <f>especies_ativa_codibama[[#This Row],[Código]]</f>
        <v>33675</v>
      </c>
      <c r="G819" s="40" t="str">
        <f>especies_ativa_codibama[[#This Row],[Nome popular]]</f>
        <v>---</v>
      </c>
      <c r="H819" s="40" t="str">
        <f>especies_ativa_codibama[[#This Row],[Nome científico]]</f>
        <v>Dalbergia brasiliensis</v>
      </c>
    </row>
    <row r="820" spans="1:8" x14ac:dyDescent="0.25">
      <c r="A820">
        <v>33677</v>
      </c>
      <c r="B820" t="s">
        <v>106</v>
      </c>
      <c r="C820" t="s">
        <v>1190</v>
      </c>
      <c r="D820" t="s">
        <v>196</v>
      </c>
      <c r="E820">
        <v>33153</v>
      </c>
      <c r="F820" s="24">
        <f>especies_ativa_codibama[[#This Row],[Código]]</f>
        <v>33677</v>
      </c>
      <c r="G820" s="40" t="str">
        <f>especies_ativa_codibama[[#This Row],[Nome popular]]</f>
        <v>---</v>
      </c>
      <c r="H820" s="40" t="str">
        <f>especies_ativa_codibama[[#This Row],[Nome científico]]</f>
        <v>Pterodon apparicioi</v>
      </c>
    </row>
    <row r="821" spans="1:8" x14ac:dyDescent="0.25">
      <c r="A821">
        <v>33682</v>
      </c>
      <c r="B821" t="s">
        <v>106</v>
      </c>
      <c r="C821" t="s">
        <v>1191</v>
      </c>
      <c r="D821" t="s">
        <v>38</v>
      </c>
      <c r="E821">
        <v>2024554</v>
      </c>
      <c r="F821" s="24">
        <f>especies_ativa_codibama[[#This Row],[Código]]</f>
        <v>33682</v>
      </c>
      <c r="G821" s="40" t="str">
        <f>especies_ativa_codibama[[#This Row],[Nome popular]]</f>
        <v>---</v>
      </c>
      <c r="H821" s="40" t="str">
        <f>especies_ativa_codibama[[#This Row],[Nome científico]]</f>
        <v>Cenostigma pyramidale</v>
      </c>
    </row>
    <row r="822" spans="1:8" x14ac:dyDescent="0.25">
      <c r="A822">
        <v>33694</v>
      </c>
      <c r="B822" t="s">
        <v>106</v>
      </c>
      <c r="C822" t="s">
        <v>1192</v>
      </c>
      <c r="D822" t="s">
        <v>38</v>
      </c>
      <c r="E822">
        <v>31671</v>
      </c>
      <c r="F822" s="24">
        <f>especies_ativa_codibama[[#This Row],[Código]]</f>
        <v>33694</v>
      </c>
      <c r="G822" s="40" t="str">
        <f>especies_ativa_codibama[[#This Row],[Nome popular]]</f>
        <v>---</v>
      </c>
      <c r="H822" s="40" t="str">
        <f>especies_ativa_codibama[[#This Row],[Nome científico]]</f>
        <v>Clitoria fairchildiana</v>
      </c>
    </row>
    <row r="823" spans="1:8" x14ac:dyDescent="0.25">
      <c r="A823">
        <v>33696</v>
      </c>
      <c r="B823" t="s">
        <v>106</v>
      </c>
      <c r="C823" t="s">
        <v>1193</v>
      </c>
      <c r="D823" t="s">
        <v>38</v>
      </c>
      <c r="E823">
        <v>33604</v>
      </c>
      <c r="F823" s="24">
        <f>especies_ativa_codibama[[#This Row],[Código]]</f>
        <v>33696</v>
      </c>
      <c r="G823" s="40" t="str">
        <f>especies_ativa_codibama[[#This Row],[Nome popular]]</f>
        <v>---</v>
      </c>
      <c r="H823" s="40" t="str">
        <f>especies_ativa_codibama[[#This Row],[Nome científico]]</f>
        <v>Heterostemon mimosoides</v>
      </c>
    </row>
    <row r="824" spans="1:8" x14ac:dyDescent="0.25">
      <c r="A824">
        <v>33700</v>
      </c>
      <c r="B824" t="s">
        <v>106</v>
      </c>
      <c r="C824" t="s">
        <v>1194</v>
      </c>
      <c r="D824" t="s">
        <v>38</v>
      </c>
      <c r="E824">
        <v>31716</v>
      </c>
      <c r="F824" s="24">
        <f>especies_ativa_codibama[[#This Row],[Código]]</f>
        <v>33700</v>
      </c>
      <c r="G824" s="40" t="str">
        <f>especies_ativa_codibama[[#This Row],[Nome popular]]</f>
        <v>---</v>
      </c>
      <c r="H824" s="40" t="str">
        <f>especies_ativa_codibama[[#This Row],[Nome científico]]</f>
        <v>Eperua oleifera</v>
      </c>
    </row>
    <row r="825" spans="1:8" x14ac:dyDescent="0.25">
      <c r="A825">
        <v>33704</v>
      </c>
      <c r="B825" t="s">
        <v>106</v>
      </c>
      <c r="C825" t="s">
        <v>1195</v>
      </c>
      <c r="D825" t="s">
        <v>38</v>
      </c>
      <c r="E825">
        <v>1034922</v>
      </c>
      <c r="F825" s="24">
        <f>especies_ativa_codibama[[#This Row],[Código]]</f>
        <v>33704</v>
      </c>
      <c r="G825" s="40" t="str">
        <f>especies_ativa_codibama[[#This Row],[Nome popular]]</f>
        <v>---</v>
      </c>
      <c r="H825" s="40" t="str">
        <f>especies_ativa_codibama[[#This Row],[Nome científico]]</f>
        <v>Acacia plumosa</v>
      </c>
    </row>
    <row r="826" spans="1:8" x14ac:dyDescent="0.25">
      <c r="A826">
        <v>33715</v>
      </c>
      <c r="B826" t="s">
        <v>106</v>
      </c>
      <c r="C826" t="s">
        <v>1196</v>
      </c>
      <c r="D826" t="s">
        <v>38</v>
      </c>
      <c r="E826">
        <v>35851</v>
      </c>
      <c r="F826" s="24">
        <f>especies_ativa_codibama[[#This Row],[Código]]</f>
        <v>33715</v>
      </c>
      <c r="G826" s="40" t="str">
        <f>especies_ativa_codibama[[#This Row],[Nome popular]]</f>
        <v>---</v>
      </c>
      <c r="H826" s="40" t="str">
        <f>especies_ativa_codibama[[#This Row],[Nome científico]]</f>
        <v>Aeschynomene sensitiva</v>
      </c>
    </row>
    <row r="827" spans="1:8" x14ac:dyDescent="0.25">
      <c r="A827">
        <v>33724</v>
      </c>
      <c r="B827" t="s">
        <v>106</v>
      </c>
      <c r="C827" t="s">
        <v>1197</v>
      </c>
      <c r="D827" t="s">
        <v>38</v>
      </c>
      <c r="E827">
        <v>1040652</v>
      </c>
      <c r="F827" s="24">
        <f>especies_ativa_codibama[[#This Row],[Código]]</f>
        <v>33724</v>
      </c>
      <c r="G827" s="40" t="str">
        <f>especies_ativa_codibama[[#This Row],[Nome popular]]</f>
        <v>---</v>
      </c>
      <c r="H827" s="40" t="str">
        <f>especies_ativa_codibama[[#This Row],[Nome científico]]</f>
        <v>Calliandra macrocalyx</v>
      </c>
    </row>
    <row r="828" spans="1:8" x14ac:dyDescent="0.25">
      <c r="A828">
        <v>33749</v>
      </c>
      <c r="B828" t="s">
        <v>106</v>
      </c>
      <c r="C828" t="s">
        <v>1198</v>
      </c>
      <c r="D828" t="s">
        <v>38</v>
      </c>
      <c r="E828">
        <v>35470</v>
      </c>
      <c r="F828" s="24">
        <f>especies_ativa_codibama[[#This Row],[Código]]</f>
        <v>33749</v>
      </c>
      <c r="G828" s="40" t="str">
        <f>especies_ativa_codibama[[#This Row],[Nome popular]]</f>
        <v>---</v>
      </c>
      <c r="H828" s="40" t="str">
        <f>especies_ativa_codibama[[#This Row],[Nome científico]]</f>
        <v>Machaerium acutifolium</v>
      </c>
    </row>
    <row r="829" spans="1:8" x14ac:dyDescent="0.25">
      <c r="A829">
        <v>33752</v>
      </c>
      <c r="B829" t="s">
        <v>106</v>
      </c>
      <c r="C829" t="s">
        <v>1199</v>
      </c>
      <c r="D829" t="s">
        <v>38</v>
      </c>
      <c r="E829">
        <v>35471</v>
      </c>
      <c r="F829" s="24">
        <f>especies_ativa_codibama[[#This Row],[Código]]</f>
        <v>33752</v>
      </c>
      <c r="G829" s="40" t="str">
        <f>especies_ativa_codibama[[#This Row],[Nome popular]]</f>
        <v>---</v>
      </c>
      <c r="H829" s="40" t="str">
        <f>especies_ativa_codibama[[#This Row],[Nome científico]]</f>
        <v>Machaerium macrophyllum</v>
      </c>
    </row>
    <row r="830" spans="1:8" x14ac:dyDescent="0.25">
      <c r="A830">
        <v>33760</v>
      </c>
      <c r="B830" t="s">
        <v>106</v>
      </c>
      <c r="C830" t="s">
        <v>2678</v>
      </c>
      <c r="D830" t="s">
        <v>38</v>
      </c>
      <c r="E830">
        <v>1035332</v>
      </c>
      <c r="F830" s="24">
        <f>especies_ativa_codibama[[#This Row],[Código]]</f>
        <v>33760</v>
      </c>
      <c r="G830" s="40" t="str">
        <f>especies_ativa_codibama[[#This Row],[Nome popular]]</f>
        <v>---</v>
      </c>
      <c r="H830" s="40" t="str">
        <f>especies_ativa_codibama[[#This Row],[Nome científico]]</f>
        <v>Mimosa claussenii</v>
      </c>
    </row>
    <row r="831" spans="1:8" x14ac:dyDescent="0.25">
      <c r="A831">
        <v>33777</v>
      </c>
      <c r="B831" t="s">
        <v>106</v>
      </c>
      <c r="C831" t="s">
        <v>1200</v>
      </c>
      <c r="D831" t="s">
        <v>38</v>
      </c>
      <c r="E831">
        <v>31879</v>
      </c>
      <c r="F831" s="24">
        <f>especies_ativa_codibama[[#This Row],[Código]]</f>
        <v>33777</v>
      </c>
      <c r="G831" s="40" t="str">
        <f>especies_ativa_codibama[[#This Row],[Nome popular]]</f>
        <v>---</v>
      </c>
      <c r="H831" s="40" t="str">
        <f>especies_ativa_codibama[[#This Row],[Nome científico]]</f>
        <v>Peltogyne catingae</v>
      </c>
    </row>
    <row r="832" spans="1:8" x14ac:dyDescent="0.25">
      <c r="A832">
        <v>33778</v>
      </c>
      <c r="B832" t="s">
        <v>106</v>
      </c>
      <c r="C832" t="s">
        <v>1201</v>
      </c>
      <c r="D832" t="s">
        <v>38</v>
      </c>
      <c r="E832">
        <v>31881</v>
      </c>
      <c r="F832" s="24">
        <f>especies_ativa_codibama[[#This Row],[Código]]</f>
        <v>33778</v>
      </c>
      <c r="G832" s="40" t="str">
        <f>especies_ativa_codibama[[#This Row],[Nome popular]]</f>
        <v>---</v>
      </c>
      <c r="H832" s="40" t="str">
        <f>especies_ativa_codibama[[#This Row],[Nome científico]]</f>
        <v>Peltogyne venosa</v>
      </c>
    </row>
    <row r="833" spans="1:8" x14ac:dyDescent="0.25">
      <c r="A833">
        <v>33780</v>
      </c>
      <c r="B833" t="s">
        <v>106</v>
      </c>
      <c r="C833" t="s">
        <v>1202</v>
      </c>
      <c r="D833" t="s">
        <v>38</v>
      </c>
      <c r="E833">
        <v>36162</v>
      </c>
      <c r="F833" s="24">
        <f>especies_ativa_codibama[[#This Row],[Código]]</f>
        <v>33780</v>
      </c>
      <c r="G833" s="40" t="str">
        <f>especies_ativa_codibama[[#This Row],[Nome popular]]</f>
        <v>---</v>
      </c>
      <c r="H833" s="40" t="str">
        <f>especies_ativa_codibama[[#This Row],[Nome científico]]</f>
        <v>Platymiscium floribundum</v>
      </c>
    </row>
    <row r="834" spans="1:8" x14ac:dyDescent="0.25">
      <c r="A834">
        <v>33794</v>
      </c>
      <c r="B834" t="s">
        <v>106</v>
      </c>
      <c r="C834" t="s">
        <v>1203</v>
      </c>
      <c r="D834" t="s">
        <v>38</v>
      </c>
      <c r="E834">
        <v>34402</v>
      </c>
      <c r="F834" s="24">
        <f>especies_ativa_codibama[[#This Row],[Código]]</f>
        <v>33794</v>
      </c>
      <c r="G834" s="40" t="str">
        <f>especies_ativa_codibama[[#This Row],[Nome popular]]</f>
        <v>---</v>
      </c>
      <c r="H834" s="40" t="str">
        <f>especies_ativa_codibama[[#This Row],[Nome científico]]</f>
        <v>Swartzia apetala</v>
      </c>
    </row>
    <row r="835" spans="1:8" x14ac:dyDescent="0.25">
      <c r="A835">
        <v>33795</v>
      </c>
      <c r="B835" t="s">
        <v>106</v>
      </c>
      <c r="C835" t="s">
        <v>1204</v>
      </c>
      <c r="D835" t="s">
        <v>38</v>
      </c>
      <c r="E835">
        <v>35250</v>
      </c>
      <c r="F835" s="24">
        <f>especies_ativa_codibama[[#This Row],[Código]]</f>
        <v>33795</v>
      </c>
      <c r="G835" s="40" t="str">
        <f>especies_ativa_codibama[[#This Row],[Nome popular]]</f>
        <v>---</v>
      </c>
      <c r="H835" s="40" t="str">
        <f>especies_ativa_codibama[[#This Row],[Nome científico]]</f>
        <v>Swartzia brachyrachis</v>
      </c>
    </row>
    <row r="836" spans="1:8" x14ac:dyDescent="0.25">
      <c r="A836">
        <v>33797</v>
      </c>
      <c r="B836" t="s">
        <v>106</v>
      </c>
      <c r="C836" t="s">
        <v>1205</v>
      </c>
      <c r="D836" t="s">
        <v>38</v>
      </c>
      <c r="E836">
        <v>35613</v>
      </c>
      <c r="F836" s="24">
        <f>especies_ativa_codibama[[#This Row],[Código]]</f>
        <v>33797</v>
      </c>
      <c r="G836" s="40" t="str">
        <f>especies_ativa_codibama[[#This Row],[Nome popular]]</f>
        <v>---</v>
      </c>
      <c r="H836" s="40" t="str">
        <f>especies_ativa_codibama[[#This Row],[Nome científico]]</f>
        <v>Swartzia racemosa</v>
      </c>
    </row>
    <row r="837" spans="1:8" x14ac:dyDescent="0.25">
      <c r="A837">
        <v>33810</v>
      </c>
      <c r="B837" t="s">
        <v>106</v>
      </c>
      <c r="C837" t="s">
        <v>1206</v>
      </c>
      <c r="D837" t="s">
        <v>38</v>
      </c>
      <c r="E837">
        <v>32219</v>
      </c>
      <c r="F837" s="24">
        <f>especies_ativa_codibama[[#This Row],[Código]]</f>
        <v>33810</v>
      </c>
      <c r="G837" s="40" t="str">
        <f>especies_ativa_codibama[[#This Row],[Nome popular]]</f>
        <v>---</v>
      </c>
      <c r="H837" s="40" t="str">
        <f>especies_ativa_codibama[[#This Row],[Nome científico]]</f>
        <v>Amphiodon effusus</v>
      </c>
    </row>
    <row r="838" spans="1:8" x14ac:dyDescent="0.25">
      <c r="A838">
        <v>33811</v>
      </c>
      <c r="B838" t="s">
        <v>106</v>
      </c>
      <c r="C838" t="s">
        <v>1207</v>
      </c>
      <c r="D838" t="s">
        <v>38</v>
      </c>
      <c r="E838">
        <v>32257</v>
      </c>
      <c r="F838" s="24">
        <f>especies_ativa_codibama[[#This Row],[Código]]</f>
        <v>33811</v>
      </c>
      <c r="G838" s="40" t="str">
        <f>especies_ativa_codibama[[#This Row],[Nome popular]]</f>
        <v>---</v>
      </c>
      <c r="H838" s="40" t="str">
        <f>especies_ativa_codibama[[#This Row],[Nome científico]]</f>
        <v>Brownea grandiceps</v>
      </c>
    </row>
    <row r="839" spans="1:8" x14ac:dyDescent="0.25">
      <c r="A839">
        <v>33815</v>
      </c>
      <c r="B839" t="s">
        <v>106</v>
      </c>
      <c r="C839" t="s">
        <v>1208</v>
      </c>
      <c r="D839" t="s">
        <v>38</v>
      </c>
      <c r="E839">
        <v>32923</v>
      </c>
      <c r="F839" s="24">
        <f>especies_ativa_codibama[[#This Row],[Código]]</f>
        <v>33815</v>
      </c>
      <c r="G839" s="40" t="str">
        <f>especies_ativa_codibama[[#This Row],[Nome popular]]</f>
        <v>---</v>
      </c>
      <c r="H839" s="40" t="str">
        <f>especies_ativa_codibama[[#This Row],[Nome científico]]</f>
        <v>Cassia spruceana</v>
      </c>
    </row>
    <row r="840" spans="1:8" x14ac:dyDescent="0.25">
      <c r="A840">
        <v>33816</v>
      </c>
      <c r="B840" t="s">
        <v>106</v>
      </c>
      <c r="C840" t="s">
        <v>1209</v>
      </c>
      <c r="D840" t="s">
        <v>38</v>
      </c>
      <c r="E840">
        <v>31694</v>
      </c>
      <c r="F840" s="24">
        <f>especies_ativa_codibama[[#This Row],[Código]]</f>
        <v>33816</v>
      </c>
      <c r="G840" s="40" t="str">
        <f>especies_ativa_codibama[[#This Row],[Nome popular]]</f>
        <v>---</v>
      </c>
      <c r="H840" s="40" t="str">
        <f>especies_ativa_codibama[[#This Row],[Nome científico]]</f>
        <v>Cynometra bauhiniaefolia</v>
      </c>
    </row>
    <row r="841" spans="1:8" x14ac:dyDescent="0.25">
      <c r="A841">
        <v>33820</v>
      </c>
      <c r="B841" t="s">
        <v>106</v>
      </c>
      <c r="C841" t="s">
        <v>1210</v>
      </c>
      <c r="D841" t="s">
        <v>38</v>
      </c>
      <c r="E841">
        <v>32345</v>
      </c>
      <c r="F841" s="24">
        <f>especies_ativa_codibama[[#This Row],[Código]]</f>
        <v>33820</v>
      </c>
      <c r="G841" s="40" t="str">
        <f>especies_ativa_codibama[[#This Row],[Nome popular]]</f>
        <v>---</v>
      </c>
      <c r="H841" s="40" t="str">
        <f>especies_ativa_codibama[[#This Row],[Nome científico]]</f>
        <v>Dimorphandra macrostachya</v>
      </c>
    </row>
    <row r="842" spans="1:8" x14ac:dyDescent="0.25">
      <c r="A842">
        <v>33821</v>
      </c>
      <c r="B842" t="s">
        <v>106</v>
      </c>
      <c r="C842" t="s">
        <v>1211</v>
      </c>
      <c r="D842" t="s">
        <v>38</v>
      </c>
      <c r="E842">
        <v>33547</v>
      </c>
      <c r="F842" s="24">
        <f>especies_ativa_codibama[[#This Row],[Código]]</f>
        <v>33821</v>
      </c>
      <c r="G842" s="40" t="str">
        <f>especies_ativa_codibama[[#This Row],[Nome popular]]</f>
        <v>---</v>
      </c>
      <c r="H842" s="40" t="str">
        <f>especies_ativa_codibama[[#This Row],[Nome científico]]</f>
        <v>Dinizia excelsa</v>
      </c>
    </row>
    <row r="843" spans="1:8" x14ac:dyDescent="0.25">
      <c r="A843">
        <v>33822</v>
      </c>
      <c r="B843" t="s">
        <v>106</v>
      </c>
      <c r="C843" t="s">
        <v>1212</v>
      </c>
      <c r="D843" t="s">
        <v>38</v>
      </c>
      <c r="E843">
        <v>32189</v>
      </c>
      <c r="F843" s="24">
        <f>especies_ativa_codibama[[#This Row],[Código]]</f>
        <v>33822</v>
      </c>
      <c r="G843" s="40" t="str">
        <f>especies_ativa_codibama[[#This Row],[Nome popular]]</f>
        <v>---</v>
      </c>
      <c r="H843" s="40" t="str">
        <f>especies_ativa_codibama[[#This Row],[Nome científico]]</f>
        <v>Diplotropis brasiliensis</v>
      </c>
    </row>
    <row r="844" spans="1:8" x14ac:dyDescent="0.25">
      <c r="A844">
        <v>33823</v>
      </c>
      <c r="B844" t="s">
        <v>106</v>
      </c>
      <c r="C844" t="s">
        <v>1213</v>
      </c>
      <c r="D844" t="s">
        <v>38</v>
      </c>
      <c r="E844">
        <v>31707</v>
      </c>
      <c r="F844" s="24">
        <f>especies_ativa_codibama[[#This Row],[Código]]</f>
        <v>33823</v>
      </c>
      <c r="G844" s="40" t="str">
        <f>especies_ativa_codibama[[#This Row],[Nome popular]]</f>
        <v>---</v>
      </c>
      <c r="H844" s="40" t="str">
        <f>especies_ativa_codibama[[#This Row],[Nome científico]]</f>
        <v>Diplotropis martiusii</v>
      </c>
    </row>
    <row r="845" spans="1:8" x14ac:dyDescent="0.25">
      <c r="A845">
        <v>33824</v>
      </c>
      <c r="B845" t="s">
        <v>106</v>
      </c>
      <c r="C845" t="s">
        <v>1214</v>
      </c>
      <c r="D845" t="s">
        <v>38</v>
      </c>
      <c r="E845">
        <v>33550</v>
      </c>
      <c r="F845" s="24">
        <f>especies_ativa_codibama[[#This Row],[Código]]</f>
        <v>33824</v>
      </c>
      <c r="G845" s="40" t="str">
        <f>especies_ativa_codibama[[#This Row],[Nome popular]]</f>
        <v>---</v>
      </c>
      <c r="H845" s="40" t="str">
        <f>especies_ativa_codibama[[#This Row],[Nome científico]]</f>
        <v>Diplotropis purpurea</v>
      </c>
    </row>
    <row r="846" spans="1:8" x14ac:dyDescent="0.25">
      <c r="A846">
        <v>33826</v>
      </c>
      <c r="B846" t="s">
        <v>106</v>
      </c>
      <c r="C846" t="s">
        <v>1215</v>
      </c>
      <c r="D846" t="s">
        <v>38</v>
      </c>
      <c r="E846">
        <v>35977</v>
      </c>
      <c r="F846" s="24">
        <f>especies_ativa_codibama[[#This Row],[Código]]</f>
        <v>33826</v>
      </c>
      <c r="G846" s="40" t="str">
        <f>especies_ativa_codibama[[#This Row],[Nome popular]]</f>
        <v>---</v>
      </c>
      <c r="H846" s="40" t="str">
        <f>especies_ativa_codibama[[#This Row],[Nome científico]]</f>
        <v>Diplotropis triloba</v>
      </c>
    </row>
    <row r="847" spans="1:8" x14ac:dyDescent="0.25">
      <c r="A847">
        <v>33828</v>
      </c>
      <c r="B847" t="s">
        <v>106</v>
      </c>
      <c r="C847" t="s">
        <v>1216</v>
      </c>
      <c r="D847" t="s">
        <v>38</v>
      </c>
      <c r="E847">
        <v>35371</v>
      </c>
      <c r="F847" s="24">
        <f>especies_ativa_codibama[[#This Row],[Código]]</f>
        <v>33828</v>
      </c>
      <c r="G847" s="40" t="str">
        <f>especies_ativa_codibama[[#This Row],[Nome popular]]</f>
        <v>---</v>
      </c>
      <c r="H847" s="40" t="str">
        <f>especies_ativa_codibama[[#This Row],[Nome científico]]</f>
        <v>Enterolobium maximum</v>
      </c>
    </row>
    <row r="848" spans="1:8" x14ac:dyDescent="0.25">
      <c r="A848">
        <v>33829</v>
      </c>
      <c r="B848" t="s">
        <v>106</v>
      </c>
      <c r="C848" t="s">
        <v>1217</v>
      </c>
      <c r="D848" t="s">
        <v>38</v>
      </c>
      <c r="E848">
        <v>32410</v>
      </c>
      <c r="F848" s="24">
        <f>especies_ativa_codibama[[#This Row],[Código]]</f>
        <v>33829</v>
      </c>
      <c r="G848" s="40" t="str">
        <f>especies_ativa_codibama[[#This Row],[Nome popular]]</f>
        <v>---</v>
      </c>
      <c r="H848" s="40" t="str">
        <f>especies_ativa_codibama[[#This Row],[Nome científico]]</f>
        <v>Hymenaea intermedia</v>
      </c>
    </row>
    <row r="849" spans="1:8" x14ac:dyDescent="0.25">
      <c r="A849">
        <v>33830</v>
      </c>
      <c r="B849" t="s">
        <v>106</v>
      </c>
      <c r="C849" t="s">
        <v>1218</v>
      </c>
      <c r="D849" t="s">
        <v>38</v>
      </c>
      <c r="E849">
        <v>35432</v>
      </c>
      <c r="F849" s="24">
        <f>especies_ativa_codibama[[#This Row],[Código]]</f>
        <v>33830</v>
      </c>
      <c r="G849" s="40" t="str">
        <f>especies_ativa_codibama[[#This Row],[Nome popular]]</f>
        <v>---</v>
      </c>
      <c r="H849" s="40" t="str">
        <f>especies_ativa_codibama[[#This Row],[Nome científico]]</f>
        <v>Hymenolobium pulcherrimum</v>
      </c>
    </row>
    <row r="850" spans="1:8" x14ac:dyDescent="0.25">
      <c r="A850">
        <v>33838</v>
      </c>
      <c r="B850" t="s">
        <v>106</v>
      </c>
      <c r="C850" t="s">
        <v>1219</v>
      </c>
      <c r="D850" t="s">
        <v>38</v>
      </c>
      <c r="E850">
        <v>594297</v>
      </c>
      <c r="F850" s="24">
        <f>especies_ativa_codibama[[#This Row],[Código]]</f>
        <v>33838</v>
      </c>
      <c r="G850" s="40" t="str">
        <f>especies_ativa_codibama[[#This Row],[Nome popular]]</f>
        <v>---</v>
      </c>
      <c r="H850" s="40" t="str">
        <f>especies_ativa_codibama[[#This Row],[Nome científico]]</f>
        <v>Ormosia holerythra</v>
      </c>
    </row>
    <row r="851" spans="1:8" x14ac:dyDescent="0.25">
      <c r="A851">
        <v>33840</v>
      </c>
      <c r="B851" t="s">
        <v>106</v>
      </c>
      <c r="C851" t="s">
        <v>1220</v>
      </c>
      <c r="D851" t="s">
        <v>38</v>
      </c>
      <c r="E851">
        <v>33700</v>
      </c>
      <c r="F851" s="24">
        <f>especies_ativa_codibama[[#This Row],[Código]]</f>
        <v>33840</v>
      </c>
      <c r="G851" s="40" t="str">
        <f>especies_ativa_codibama[[#This Row],[Nome popular]]</f>
        <v>---</v>
      </c>
      <c r="H851" s="40" t="str">
        <f>especies_ativa_codibama[[#This Row],[Nome científico]]</f>
        <v>Parkia ulei</v>
      </c>
    </row>
    <row r="852" spans="1:8" x14ac:dyDescent="0.25">
      <c r="A852">
        <v>33841</v>
      </c>
      <c r="B852" t="s">
        <v>106</v>
      </c>
      <c r="C852" t="s">
        <v>1221</v>
      </c>
      <c r="D852" t="s">
        <v>38</v>
      </c>
      <c r="E852">
        <v>33113</v>
      </c>
      <c r="F852" s="24">
        <f>especies_ativa_codibama[[#This Row],[Código]]</f>
        <v>33841</v>
      </c>
      <c r="G852" s="40" t="str">
        <f>especies_ativa_codibama[[#This Row],[Nome popular]]</f>
        <v>---</v>
      </c>
      <c r="H852" s="40" t="str">
        <f>especies_ativa_codibama[[#This Row],[Nome científico]]</f>
        <v>Parkia velutina</v>
      </c>
    </row>
    <row r="853" spans="1:8" x14ac:dyDescent="0.25">
      <c r="A853">
        <v>33846</v>
      </c>
      <c r="B853" t="s">
        <v>106</v>
      </c>
      <c r="C853" t="s">
        <v>1222</v>
      </c>
      <c r="D853" t="s">
        <v>38</v>
      </c>
      <c r="E853">
        <v>34057</v>
      </c>
      <c r="F853" s="24">
        <f>especies_ativa_codibama[[#This Row],[Código]]</f>
        <v>33846</v>
      </c>
      <c r="G853" s="40" t="str">
        <f>especies_ativa_codibama[[#This Row],[Nome popular]]</f>
        <v>---</v>
      </c>
      <c r="H853" s="40" t="str">
        <f>especies_ativa_codibama[[#This Row],[Nome científico]]</f>
        <v>Stryphnodendron microstachyum</v>
      </c>
    </row>
    <row r="854" spans="1:8" x14ac:dyDescent="0.25">
      <c r="A854">
        <v>33852</v>
      </c>
      <c r="B854" t="s">
        <v>106</v>
      </c>
      <c r="C854" t="s">
        <v>1223</v>
      </c>
      <c r="D854" t="s">
        <v>38</v>
      </c>
      <c r="E854">
        <v>33211</v>
      </c>
      <c r="F854" s="24">
        <f>especies_ativa_codibama[[#This Row],[Código]]</f>
        <v>33852</v>
      </c>
      <c r="G854" s="40" t="str">
        <f>especies_ativa_codibama[[#This Row],[Nome popular]]</f>
        <v>---</v>
      </c>
      <c r="H854" s="40" t="str">
        <f>especies_ativa_codibama[[#This Row],[Nome científico]]</f>
        <v>Tachigali paniculata</v>
      </c>
    </row>
    <row r="855" spans="1:8" x14ac:dyDescent="0.25">
      <c r="A855">
        <v>33854</v>
      </c>
      <c r="B855" t="s">
        <v>106</v>
      </c>
      <c r="C855" t="s">
        <v>1224</v>
      </c>
      <c r="D855" t="s">
        <v>38</v>
      </c>
      <c r="E855">
        <v>1047423</v>
      </c>
      <c r="F855" s="24">
        <f>especies_ativa_codibama[[#This Row],[Código]]</f>
        <v>33854</v>
      </c>
      <c r="G855" s="40" t="str">
        <f>especies_ativa_codibama[[#This Row],[Nome popular]]</f>
        <v>---</v>
      </c>
      <c r="H855" s="40" t="str">
        <f>especies_ativa_codibama[[#This Row],[Nome científico]]</f>
        <v>Tachigali venusta</v>
      </c>
    </row>
    <row r="856" spans="1:8" x14ac:dyDescent="0.25">
      <c r="A856">
        <v>33860</v>
      </c>
      <c r="B856" t="s">
        <v>106</v>
      </c>
      <c r="C856" t="s">
        <v>1225</v>
      </c>
      <c r="D856" t="s">
        <v>38</v>
      </c>
      <c r="E856">
        <v>595994</v>
      </c>
      <c r="F856" s="24">
        <f>especies_ativa_codibama[[#This Row],[Código]]</f>
        <v>33860</v>
      </c>
      <c r="G856" s="40" t="str">
        <f>especies_ativa_codibama[[#This Row],[Nome popular]]</f>
        <v>---</v>
      </c>
      <c r="H856" s="40" t="str">
        <f>especies_ativa_codibama[[#This Row],[Nome científico]]</f>
        <v>Bauhinia brevipes</v>
      </c>
    </row>
    <row r="857" spans="1:8" x14ac:dyDescent="0.25">
      <c r="A857">
        <v>33863</v>
      </c>
      <c r="B857" t="s">
        <v>106</v>
      </c>
      <c r="C857" t="s">
        <v>1226</v>
      </c>
      <c r="D857" t="s">
        <v>38</v>
      </c>
      <c r="E857">
        <v>34703</v>
      </c>
      <c r="F857" s="24">
        <f>especies_ativa_codibama[[#This Row],[Código]]</f>
        <v>33863</v>
      </c>
      <c r="G857" s="40" t="str">
        <f>especies_ativa_codibama[[#This Row],[Nome popular]]</f>
        <v>---</v>
      </c>
      <c r="H857" s="40" t="str">
        <f>especies_ativa_codibama[[#This Row],[Nome científico]]</f>
        <v>Andira surinamensis</v>
      </c>
    </row>
    <row r="858" spans="1:8" x14ac:dyDescent="0.25">
      <c r="A858">
        <v>33865</v>
      </c>
      <c r="B858" t="s">
        <v>106</v>
      </c>
      <c r="C858" t="s">
        <v>1227</v>
      </c>
      <c r="D858" t="s">
        <v>38</v>
      </c>
      <c r="E858">
        <v>595911</v>
      </c>
      <c r="F858" s="24">
        <f>especies_ativa_codibama[[#This Row],[Código]]</f>
        <v>33865</v>
      </c>
      <c r="G858" s="40" t="str">
        <f>especies_ativa_codibama[[#This Row],[Nome popular]]</f>
        <v>---</v>
      </c>
      <c r="H858" s="40" t="str">
        <f>especies_ativa_codibama[[#This Row],[Nome científico]]</f>
        <v>Bauhinia pulchella</v>
      </c>
    </row>
    <row r="859" spans="1:8" x14ac:dyDescent="0.25">
      <c r="A859">
        <v>33866</v>
      </c>
      <c r="B859" t="s">
        <v>106</v>
      </c>
      <c r="C859" t="s">
        <v>1228</v>
      </c>
      <c r="D859" t="s">
        <v>38</v>
      </c>
      <c r="E859">
        <v>35333</v>
      </c>
      <c r="F859" s="24">
        <f>especies_ativa_codibama[[#This Row],[Código]]</f>
        <v>33866</v>
      </c>
      <c r="G859" s="40" t="str">
        <f>especies_ativa_codibama[[#This Row],[Nome popular]]</f>
        <v>---</v>
      </c>
      <c r="H859" s="40" t="str">
        <f>especies_ativa_codibama[[#This Row],[Nome científico]]</f>
        <v>Cenostigma macrophyllum</v>
      </c>
    </row>
    <row r="860" spans="1:8" x14ac:dyDescent="0.25">
      <c r="A860">
        <v>33870</v>
      </c>
      <c r="B860" t="s">
        <v>106</v>
      </c>
      <c r="C860" t="s">
        <v>1229</v>
      </c>
      <c r="D860" t="s">
        <v>38</v>
      </c>
      <c r="E860">
        <v>2024593</v>
      </c>
      <c r="F860" s="24">
        <f>especies_ativa_codibama[[#This Row],[Código]]</f>
        <v>33870</v>
      </c>
      <c r="G860" s="40" t="str">
        <f>especies_ativa_codibama[[#This Row],[Nome popular]]</f>
        <v>---</v>
      </c>
      <c r="H860" s="40" t="str">
        <f>especies_ativa_codibama[[#This Row],[Nome científico]]</f>
        <v>Cenostigma pluviosum</v>
      </c>
    </row>
    <row r="861" spans="1:8" x14ac:dyDescent="0.25">
      <c r="A861">
        <v>33876</v>
      </c>
      <c r="B861" t="s">
        <v>106</v>
      </c>
      <c r="C861" t="s">
        <v>1230</v>
      </c>
      <c r="D861" t="s">
        <v>38</v>
      </c>
      <c r="E861">
        <v>32392</v>
      </c>
      <c r="F861" s="24">
        <f>especies_ativa_codibama[[#This Row],[Código]]</f>
        <v>33876</v>
      </c>
      <c r="G861" s="40" t="str">
        <f>especies_ativa_codibama[[#This Row],[Nome popular]]</f>
        <v>---</v>
      </c>
      <c r="H861" s="40" t="str">
        <f>especies_ativa_codibama[[#This Row],[Nome científico]]</f>
        <v>Gliricidia sepium</v>
      </c>
    </row>
    <row r="862" spans="1:8" x14ac:dyDescent="0.25">
      <c r="A862">
        <v>33877</v>
      </c>
      <c r="B862" t="s">
        <v>106</v>
      </c>
      <c r="C862" t="s">
        <v>1231</v>
      </c>
      <c r="D862" t="s">
        <v>38</v>
      </c>
      <c r="E862">
        <v>33646</v>
      </c>
      <c r="F862" s="24">
        <f>especies_ativa_codibama[[#This Row],[Código]]</f>
        <v>33877</v>
      </c>
      <c r="G862" s="40" t="str">
        <f>especies_ativa_codibama[[#This Row],[Nome popular]]</f>
        <v>---</v>
      </c>
      <c r="H862" s="40" t="str">
        <f>especies_ativa_codibama[[#This Row],[Nome científico]]</f>
        <v>Lonchocarpus sericeus</v>
      </c>
    </row>
    <row r="863" spans="1:8" x14ac:dyDescent="0.25">
      <c r="A863">
        <v>33878</v>
      </c>
      <c r="B863" t="s">
        <v>106</v>
      </c>
      <c r="C863" t="s">
        <v>1232</v>
      </c>
      <c r="D863" t="s">
        <v>38</v>
      </c>
      <c r="E863">
        <v>31898</v>
      </c>
      <c r="F863" s="24">
        <f>especies_ativa_codibama[[#This Row],[Código]]</f>
        <v>33878</v>
      </c>
      <c r="G863" s="40" t="str">
        <f>especies_ativa_codibama[[#This Row],[Nome popular]]</f>
        <v>---</v>
      </c>
      <c r="H863" s="40" t="str">
        <f>especies_ativa_codibama[[#This Row],[Nome científico]]</f>
        <v>Platypodium elegans</v>
      </c>
    </row>
    <row r="864" spans="1:8" x14ac:dyDescent="0.25">
      <c r="A864">
        <v>33881</v>
      </c>
      <c r="B864" t="s">
        <v>106</v>
      </c>
      <c r="C864" t="s">
        <v>1233</v>
      </c>
      <c r="D864" t="s">
        <v>38</v>
      </c>
      <c r="E864">
        <v>34387</v>
      </c>
      <c r="F864" s="24">
        <f>especies_ativa_codibama[[#This Row],[Código]]</f>
        <v>33881</v>
      </c>
      <c r="G864" s="40" t="str">
        <f>especies_ativa_codibama[[#This Row],[Nome popular]]</f>
        <v>---</v>
      </c>
      <c r="H864" s="40" t="str">
        <f>especies_ativa_codibama[[#This Row],[Nome científico]]</f>
        <v>Senna spectabilis</v>
      </c>
    </row>
    <row r="865" spans="1:8" x14ac:dyDescent="0.25">
      <c r="A865">
        <v>33882</v>
      </c>
      <c r="B865" t="s">
        <v>106</v>
      </c>
      <c r="C865" t="s">
        <v>1234</v>
      </c>
      <c r="D865" t="s">
        <v>38</v>
      </c>
      <c r="E865">
        <v>34081</v>
      </c>
      <c r="F865" s="24">
        <f>especies_ativa_codibama[[#This Row],[Código]]</f>
        <v>33882</v>
      </c>
      <c r="G865" s="40" t="str">
        <f>especies_ativa_codibama[[#This Row],[Nome popular]]</f>
        <v>---</v>
      </c>
      <c r="H865" s="40" t="str">
        <f>especies_ativa_codibama[[#This Row],[Nome científico]]</f>
        <v>Albizia inundata</v>
      </c>
    </row>
    <row r="866" spans="1:8" x14ac:dyDescent="0.25">
      <c r="A866">
        <v>33886</v>
      </c>
      <c r="B866" t="s">
        <v>106</v>
      </c>
      <c r="C866" t="s">
        <v>1235</v>
      </c>
      <c r="D866" t="s">
        <v>38</v>
      </c>
      <c r="E866">
        <v>686579</v>
      </c>
      <c r="F866" s="24">
        <f>especies_ativa_codibama[[#This Row],[Código]]</f>
        <v>33886</v>
      </c>
      <c r="G866" s="40" t="str">
        <f>especies_ativa_codibama[[#This Row],[Nome popular]]</f>
        <v>---</v>
      </c>
      <c r="H866" s="40" t="str">
        <f>especies_ativa_codibama[[#This Row],[Nome científico]]</f>
        <v>Senna silvestris</v>
      </c>
    </row>
    <row r="867" spans="1:8" x14ac:dyDescent="0.25">
      <c r="A867">
        <v>33887</v>
      </c>
      <c r="B867" t="s">
        <v>106</v>
      </c>
      <c r="C867" t="s">
        <v>1236</v>
      </c>
      <c r="D867" t="s">
        <v>38</v>
      </c>
      <c r="E867">
        <v>34474</v>
      </c>
      <c r="F867" s="24">
        <f>especies_ativa_codibama[[#This Row],[Código]]</f>
        <v>33887</v>
      </c>
      <c r="G867" s="40" t="str">
        <f>especies_ativa_codibama[[#This Row],[Nome popular]]</f>
        <v>---</v>
      </c>
      <c r="H867" s="40" t="str">
        <f>especies_ativa_codibama[[#This Row],[Nome científico]]</f>
        <v>Enterolobium timbouva</v>
      </c>
    </row>
    <row r="868" spans="1:8" x14ac:dyDescent="0.25">
      <c r="A868">
        <v>33889</v>
      </c>
      <c r="B868" t="s">
        <v>2679</v>
      </c>
      <c r="C868" t="s">
        <v>1237</v>
      </c>
      <c r="D868" t="s">
        <v>205</v>
      </c>
      <c r="E868">
        <v>34367</v>
      </c>
      <c r="F868" s="24">
        <f>especies_ativa_codibama[[#This Row],[Código]]</f>
        <v>33889</v>
      </c>
      <c r="G868" s="40" t="str">
        <f>especies_ativa_codibama[[#This Row],[Nome popular]]</f>
        <v>Fava, Fava-de-sucupira, Faveira, Faveiro-amarelo, Faveiro-azul, Faveiro-vermelho, Sucupira, Sucupira-branca, Sucupira-lisa</v>
      </c>
      <c r="H868" s="40" t="str">
        <f>especies_ativa_codibama[[#This Row],[Nome científico]]</f>
        <v>Pterodon emarginatus</v>
      </c>
    </row>
    <row r="869" spans="1:8" x14ac:dyDescent="0.25">
      <c r="A869">
        <v>33890</v>
      </c>
      <c r="B869" t="s">
        <v>2680</v>
      </c>
      <c r="C869" t="s">
        <v>1238</v>
      </c>
      <c r="D869" t="s">
        <v>205</v>
      </c>
      <c r="E869">
        <v>32051</v>
      </c>
      <c r="F869" s="24">
        <f>especies_ativa_codibama[[#This Row],[Código]]</f>
        <v>33890</v>
      </c>
      <c r="G869" s="40" t="str">
        <f>especies_ativa_codibama[[#This Row],[Nome popular]]</f>
        <v>Faveira, Sucupira-branca, Sucupira-peluda</v>
      </c>
      <c r="H869" s="40" t="str">
        <f>especies_ativa_codibama[[#This Row],[Nome científico]]</f>
        <v>Pterodon pubescens</v>
      </c>
    </row>
    <row r="870" spans="1:8" x14ac:dyDescent="0.25">
      <c r="A870">
        <v>33902</v>
      </c>
      <c r="B870" t="s">
        <v>106</v>
      </c>
      <c r="C870" t="s">
        <v>1239</v>
      </c>
      <c r="D870" t="s">
        <v>38</v>
      </c>
      <c r="E870">
        <v>34865</v>
      </c>
      <c r="F870" s="24">
        <f>especies_ativa_codibama[[#This Row],[Código]]</f>
        <v>33902</v>
      </c>
      <c r="G870" s="40" t="str">
        <f>especies_ativa_codibama[[#This Row],[Nome popular]]</f>
        <v>---</v>
      </c>
      <c r="H870" s="40" t="str">
        <f>especies_ativa_codibama[[#This Row],[Nome científico]]</f>
        <v>Inga nobilis</v>
      </c>
    </row>
    <row r="871" spans="1:8" x14ac:dyDescent="0.25">
      <c r="A871">
        <v>33912</v>
      </c>
      <c r="B871" t="s">
        <v>106</v>
      </c>
      <c r="C871" t="s">
        <v>1240</v>
      </c>
      <c r="D871" t="s">
        <v>38</v>
      </c>
      <c r="E871">
        <v>35312</v>
      </c>
      <c r="F871" s="24">
        <f>especies_ativa_codibama[[#This Row],[Código]]</f>
        <v>33912</v>
      </c>
      <c r="G871" s="40" t="str">
        <f>especies_ativa_codibama[[#This Row],[Nome popular]]</f>
        <v>---</v>
      </c>
      <c r="H871" s="40" t="str">
        <f>especies_ativa_codibama[[#This Row],[Nome científico]]</f>
        <v>Caesalpinia pulcherrima</v>
      </c>
    </row>
    <row r="872" spans="1:8" x14ac:dyDescent="0.25">
      <c r="A872">
        <v>33913</v>
      </c>
      <c r="B872" t="s">
        <v>106</v>
      </c>
      <c r="C872" t="s">
        <v>1241</v>
      </c>
      <c r="D872" t="s">
        <v>38</v>
      </c>
      <c r="E872">
        <v>1035066</v>
      </c>
      <c r="F872" s="24">
        <f>especies_ativa_codibama[[#This Row],[Código]]</f>
        <v>33913</v>
      </c>
      <c r="G872" s="40" t="str">
        <f>especies_ativa_codibama[[#This Row],[Nome popular]]</f>
        <v>---</v>
      </c>
      <c r="H872" s="40" t="str">
        <f>especies_ativa_codibama[[#This Row],[Nome científico]]</f>
        <v>Albizia pedicellaris</v>
      </c>
    </row>
    <row r="873" spans="1:8" x14ac:dyDescent="0.25">
      <c r="A873">
        <v>33914</v>
      </c>
      <c r="B873" t="s">
        <v>106</v>
      </c>
      <c r="C873" t="s">
        <v>1242</v>
      </c>
      <c r="D873" t="s">
        <v>38</v>
      </c>
      <c r="E873">
        <v>32302</v>
      </c>
      <c r="F873" s="24">
        <f>especies_ativa_codibama[[#This Row],[Código]]</f>
        <v>33914</v>
      </c>
      <c r="G873" s="40" t="str">
        <f>especies_ativa_codibama[[#This Row],[Nome popular]]</f>
        <v>---</v>
      </c>
      <c r="H873" s="40" t="str">
        <f>especies_ativa_codibama[[#This Row],[Nome científico]]</f>
        <v>Chloroleucon tenuiflorum</v>
      </c>
    </row>
    <row r="874" spans="1:8" x14ac:dyDescent="0.25">
      <c r="A874">
        <v>33915</v>
      </c>
      <c r="B874" t="s">
        <v>106</v>
      </c>
      <c r="C874" t="s">
        <v>1243</v>
      </c>
      <c r="D874" t="s">
        <v>38</v>
      </c>
      <c r="E874">
        <v>285770</v>
      </c>
      <c r="F874" s="24">
        <f>especies_ativa_codibama[[#This Row],[Código]]</f>
        <v>33915</v>
      </c>
      <c r="G874" s="40" t="str">
        <f>especies_ativa_codibama[[#This Row],[Nome popular]]</f>
        <v>---</v>
      </c>
      <c r="H874" s="40" t="str">
        <f>especies_ativa_codibama[[#This Row],[Nome científico]]</f>
        <v>Cyclolobium brasiliense</v>
      </c>
    </row>
    <row r="875" spans="1:8" x14ac:dyDescent="0.25">
      <c r="A875">
        <v>33917</v>
      </c>
      <c r="B875" t="s">
        <v>106</v>
      </c>
      <c r="C875" t="s">
        <v>1244</v>
      </c>
      <c r="D875" t="s">
        <v>38</v>
      </c>
      <c r="E875">
        <v>34140</v>
      </c>
      <c r="F875" s="24">
        <f>especies_ativa_codibama[[#This Row],[Código]]</f>
        <v>33917</v>
      </c>
      <c r="G875" s="40" t="str">
        <f>especies_ativa_codibama[[#This Row],[Nome popular]]</f>
        <v>---</v>
      </c>
      <c r="H875" s="40" t="str">
        <f>especies_ativa_codibama[[#This Row],[Nome científico]]</f>
        <v>Cassia grandis</v>
      </c>
    </row>
    <row r="876" spans="1:8" x14ac:dyDescent="0.25">
      <c r="A876">
        <v>33918</v>
      </c>
      <c r="B876" t="s">
        <v>106</v>
      </c>
      <c r="C876" t="s">
        <v>1245</v>
      </c>
      <c r="D876" t="s">
        <v>38</v>
      </c>
      <c r="E876">
        <v>35364</v>
      </c>
      <c r="F876" s="24">
        <f>especies_ativa_codibama[[#This Row],[Código]]</f>
        <v>33918</v>
      </c>
      <c r="G876" s="40" t="str">
        <f>especies_ativa_codibama[[#This Row],[Nome popular]]</f>
        <v>---</v>
      </c>
      <c r="H876" s="40" t="str">
        <f>especies_ativa_codibama[[#This Row],[Nome científico]]</f>
        <v>Dimorphandra mollis</v>
      </c>
    </row>
    <row r="877" spans="1:8" x14ac:dyDescent="0.25">
      <c r="A877">
        <v>33919</v>
      </c>
      <c r="B877" t="s">
        <v>106</v>
      </c>
      <c r="C877" t="s">
        <v>1246</v>
      </c>
      <c r="D877" t="s">
        <v>38</v>
      </c>
      <c r="E877">
        <v>36193</v>
      </c>
      <c r="F877" s="24">
        <f>especies_ativa_codibama[[#This Row],[Código]]</f>
        <v>33919</v>
      </c>
      <c r="G877" s="40" t="str">
        <f>especies_ativa_codibama[[#This Row],[Nome popular]]</f>
        <v>---</v>
      </c>
      <c r="H877" s="40" t="str">
        <f>especies_ativa_codibama[[#This Row],[Nome científico]]</f>
        <v>Samanea tubulosa</v>
      </c>
    </row>
    <row r="878" spans="1:8" x14ac:dyDescent="0.25">
      <c r="A878">
        <v>33925</v>
      </c>
      <c r="B878" t="s">
        <v>106</v>
      </c>
      <c r="C878" t="s">
        <v>1247</v>
      </c>
      <c r="D878" t="s">
        <v>38</v>
      </c>
      <c r="E878">
        <v>33179</v>
      </c>
      <c r="F878" s="24">
        <f>especies_ativa_codibama[[#This Row],[Código]]</f>
        <v>33925</v>
      </c>
      <c r="G878" s="40" t="str">
        <f>especies_ativa_codibama[[#This Row],[Nome popular]]</f>
        <v>---</v>
      </c>
      <c r="H878" s="40" t="str">
        <f>especies_ativa_codibama[[#This Row],[Nome científico]]</f>
        <v>Schizolobium parahyba</v>
      </c>
    </row>
    <row r="879" spans="1:8" x14ac:dyDescent="0.25">
      <c r="A879">
        <v>33932</v>
      </c>
      <c r="B879" t="s">
        <v>106</v>
      </c>
      <c r="C879" t="s">
        <v>1248</v>
      </c>
      <c r="D879" t="s">
        <v>38</v>
      </c>
      <c r="E879">
        <v>35971</v>
      </c>
      <c r="F879" s="24">
        <f>especies_ativa_codibama[[#This Row],[Código]]</f>
        <v>33932</v>
      </c>
      <c r="G879" s="40" t="str">
        <f>especies_ativa_codibama[[#This Row],[Nome popular]]</f>
        <v>---</v>
      </c>
      <c r="H879" s="40" t="str">
        <f>especies_ativa_codibama[[#This Row],[Nome científico]]</f>
        <v>Dimorphandra gardneriana</v>
      </c>
    </row>
    <row r="880" spans="1:8" x14ac:dyDescent="0.25">
      <c r="A880">
        <v>33933</v>
      </c>
      <c r="B880" t="s">
        <v>106</v>
      </c>
      <c r="C880" t="s">
        <v>1249</v>
      </c>
      <c r="D880" t="s">
        <v>38</v>
      </c>
      <c r="E880">
        <v>34232</v>
      </c>
      <c r="F880" s="24">
        <f>especies_ativa_codibama[[#This Row],[Código]]</f>
        <v>33933</v>
      </c>
      <c r="G880" s="40" t="str">
        <f>especies_ativa_codibama[[#This Row],[Nome popular]]</f>
        <v>---</v>
      </c>
      <c r="H880" s="40" t="str">
        <f>especies_ativa_codibama[[#This Row],[Nome científico]]</f>
        <v>Geoffroea spinosa</v>
      </c>
    </row>
    <row r="881" spans="1:8" x14ac:dyDescent="0.25">
      <c r="A881">
        <v>33934</v>
      </c>
      <c r="B881" t="s">
        <v>106</v>
      </c>
      <c r="C881" t="s">
        <v>1250</v>
      </c>
      <c r="D881" t="s">
        <v>38</v>
      </c>
      <c r="E881">
        <v>32414</v>
      </c>
      <c r="F881" s="24">
        <f>especies_ativa_codibama[[#This Row],[Código]]</f>
        <v>33934</v>
      </c>
      <c r="G881" s="40" t="str">
        <f>especies_ativa_codibama[[#This Row],[Nome popular]]</f>
        <v>---</v>
      </c>
      <c r="H881" s="40" t="str">
        <f>especies_ativa_codibama[[#This Row],[Nome científico]]</f>
        <v>Hymenaea stigonocarpa</v>
      </c>
    </row>
    <row r="882" spans="1:8" x14ac:dyDescent="0.25">
      <c r="A882">
        <v>33935</v>
      </c>
      <c r="B882" t="s">
        <v>106</v>
      </c>
      <c r="C882" t="s">
        <v>1251</v>
      </c>
      <c r="D882" t="s">
        <v>38</v>
      </c>
      <c r="E882">
        <v>31882</v>
      </c>
      <c r="F882" s="24">
        <f>especies_ativa_codibama[[#This Row],[Código]]</f>
        <v>33935</v>
      </c>
      <c r="G882" s="40" t="str">
        <f>especies_ativa_codibama[[#This Row],[Nome popular]]</f>
        <v>---</v>
      </c>
      <c r="H882" s="40" t="str">
        <f>especies_ativa_codibama[[#This Row],[Nome científico]]</f>
        <v>Peltophorum dubium</v>
      </c>
    </row>
    <row r="883" spans="1:8" x14ac:dyDescent="0.25">
      <c r="A883">
        <v>33936</v>
      </c>
      <c r="B883" t="s">
        <v>1252</v>
      </c>
      <c r="C883" t="s">
        <v>1253</v>
      </c>
      <c r="D883" t="s">
        <v>205</v>
      </c>
      <c r="E883">
        <v>2014417</v>
      </c>
      <c r="F883" s="24">
        <f>especies_ativa_codibama[[#This Row],[Código]]</f>
        <v>33936</v>
      </c>
      <c r="G883" s="40" t="str">
        <f>especies_ativa_codibama[[#This Row],[Nome popular]]</f>
        <v>Angico</v>
      </c>
      <c r="H883" s="40" t="str">
        <f>especies_ativa_codibama[[#This Row],[Nome científico]]</f>
        <v>Anadenanthera peregrina falcata</v>
      </c>
    </row>
    <row r="884" spans="1:8" x14ac:dyDescent="0.25">
      <c r="A884">
        <v>33941</v>
      </c>
      <c r="B884" t="s">
        <v>106</v>
      </c>
      <c r="C884" t="s">
        <v>1254</v>
      </c>
      <c r="D884" t="s">
        <v>38</v>
      </c>
      <c r="E884">
        <v>35978</v>
      </c>
      <c r="F884" s="24">
        <f>especies_ativa_codibama[[#This Row],[Código]]</f>
        <v>33941</v>
      </c>
      <c r="G884" s="40" t="str">
        <f>especies_ativa_codibama[[#This Row],[Nome popular]]</f>
        <v>---</v>
      </c>
      <c r="H884" s="40" t="str">
        <f>especies_ativa_codibama[[#This Row],[Nome científico]]</f>
        <v>Diptychandra aurantiaca</v>
      </c>
    </row>
    <row r="885" spans="1:8" x14ac:dyDescent="0.25">
      <c r="A885">
        <v>33942</v>
      </c>
      <c r="B885" t="s">
        <v>106</v>
      </c>
      <c r="C885" t="s">
        <v>87</v>
      </c>
      <c r="D885" t="s">
        <v>38</v>
      </c>
      <c r="E885">
        <v>34203</v>
      </c>
      <c r="F885" s="24">
        <f>especies_ativa_codibama[[#This Row],[Código]]</f>
        <v>33942</v>
      </c>
      <c r="G885" s="40" t="str">
        <f>especies_ativa_codibama[[#This Row],[Nome popular]]</f>
        <v>---</v>
      </c>
      <c r="H885" s="40" t="str">
        <f>especies_ativa_codibama[[#This Row],[Nome científico]]</f>
        <v>Enterolobium contortisiliquum</v>
      </c>
    </row>
    <row r="886" spans="1:8" x14ac:dyDescent="0.25">
      <c r="A886">
        <v>33945</v>
      </c>
      <c r="B886" t="s">
        <v>106</v>
      </c>
      <c r="C886" t="s">
        <v>1255</v>
      </c>
      <c r="D886" t="s">
        <v>38</v>
      </c>
      <c r="E886">
        <v>36176</v>
      </c>
      <c r="F886" s="24">
        <f>especies_ativa_codibama[[#This Row],[Código]]</f>
        <v>33945</v>
      </c>
      <c r="G886" s="40" t="str">
        <f>especies_ativa_codibama[[#This Row],[Nome popular]]</f>
        <v>---</v>
      </c>
      <c r="H886" s="40" t="str">
        <f>especies_ativa_codibama[[#This Row],[Nome científico]]</f>
        <v>Prosopis ruscifolia</v>
      </c>
    </row>
    <row r="887" spans="1:8" x14ac:dyDescent="0.25">
      <c r="A887">
        <v>33946</v>
      </c>
      <c r="B887" t="s">
        <v>106</v>
      </c>
      <c r="C887" t="s">
        <v>1256</v>
      </c>
      <c r="D887" t="s">
        <v>38</v>
      </c>
      <c r="E887">
        <v>32337</v>
      </c>
      <c r="F887" s="24">
        <f>especies_ativa_codibama[[#This Row],[Código]]</f>
        <v>33946</v>
      </c>
      <c r="G887" s="40" t="str">
        <f>especies_ativa_codibama[[#This Row],[Nome popular]]</f>
        <v>---</v>
      </c>
      <c r="H887" s="40" t="str">
        <f>especies_ativa_codibama[[#This Row],[Nome científico]]</f>
        <v>Dalbergia cuiabensis</v>
      </c>
    </row>
    <row r="888" spans="1:8" x14ac:dyDescent="0.25">
      <c r="A888">
        <v>33949</v>
      </c>
      <c r="B888" t="s">
        <v>106</v>
      </c>
      <c r="C888" t="s">
        <v>1257</v>
      </c>
      <c r="D888" t="s">
        <v>38</v>
      </c>
      <c r="E888">
        <v>32360</v>
      </c>
      <c r="F888" s="24">
        <f>especies_ativa_codibama[[#This Row],[Código]]</f>
        <v>33949</v>
      </c>
      <c r="G888" s="40" t="str">
        <f>especies_ativa_codibama[[#This Row],[Nome popular]]</f>
        <v>---</v>
      </c>
      <c r="H888" s="40" t="str">
        <f>especies_ativa_codibama[[#This Row],[Nome científico]]</f>
        <v>Erythrina mulungu</v>
      </c>
    </row>
    <row r="889" spans="1:8" x14ac:dyDescent="0.25">
      <c r="A889">
        <v>33950</v>
      </c>
      <c r="B889" t="s">
        <v>106</v>
      </c>
      <c r="C889" t="s">
        <v>1258</v>
      </c>
      <c r="D889" t="s">
        <v>38</v>
      </c>
      <c r="E889">
        <v>32246</v>
      </c>
      <c r="F889" s="24">
        <f>especies_ativa_codibama[[#This Row],[Código]]</f>
        <v>33950</v>
      </c>
      <c r="G889" s="40" t="str">
        <f>especies_ativa_codibama[[#This Row],[Nome popular]]</f>
        <v>---</v>
      </c>
      <c r="H889" s="40" t="str">
        <f>especies_ativa_codibama[[#This Row],[Nome científico]]</f>
        <v>Bauhinia rufa</v>
      </c>
    </row>
    <row r="890" spans="1:8" x14ac:dyDescent="0.25">
      <c r="A890">
        <v>33951</v>
      </c>
      <c r="B890" t="s">
        <v>106</v>
      </c>
      <c r="C890" t="s">
        <v>1259</v>
      </c>
      <c r="D890" t="s">
        <v>38</v>
      </c>
      <c r="E890">
        <v>34807</v>
      </c>
      <c r="F890" s="24">
        <f>especies_ativa_codibama[[#This Row],[Código]]</f>
        <v>33951</v>
      </c>
      <c r="G890" s="40" t="str">
        <f>especies_ativa_codibama[[#This Row],[Nome popular]]</f>
        <v>---</v>
      </c>
      <c r="H890" s="40" t="str">
        <f>especies_ativa_codibama[[#This Row],[Nome científico]]</f>
        <v>Dalbergia villosa</v>
      </c>
    </row>
    <row r="891" spans="1:8" x14ac:dyDescent="0.25">
      <c r="A891">
        <v>33954</v>
      </c>
      <c r="B891" t="s">
        <v>1260</v>
      </c>
      <c r="C891" t="s">
        <v>1261</v>
      </c>
      <c r="D891" t="s">
        <v>38</v>
      </c>
      <c r="E891">
        <v>1039772</v>
      </c>
      <c r="F891" s="24">
        <f>especies_ativa_codibama[[#This Row],[Código]]</f>
        <v>33954</v>
      </c>
      <c r="G891" s="40" t="str">
        <f>especies_ativa_codibama[[#This Row],[Nome popular]]</f>
        <v>Pau-bosta, Fede-fede, Borão</v>
      </c>
      <c r="H891" s="40" t="str">
        <f>especies_ativa_codibama[[#This Row],[Nome científico]]</f>
        <v>Tachigali aurea</v>
      </c>
    </row>
    <row r="892" spans="1:8" x14ac:dyDescent="0.25">
      <c r="A892">
        <v>33955</v>
      </c>
      <c r="B892" t="s">
        <v>1262</v>
      </c>
      <c r="C892" t="s">
        <v>1263</v>
      </c>
      <c r="D892" t="s">
        <v>38</v>
      </c>
      <c r="E892">
        <v>1987185</v>
      </c>
      <c r="F892" s="24">
        <f>especies_ativa_codibama[[#This Row],[Código]]</f>
        <v>33955</v>
      </c>
      <c r="G892" s="40" t="str">
        <f>especies_ativa_codibama[[#This Row],[Nome popular]]</f>
        <v>tachi-branco, cachamorra, pau-pombo, velame, veludo, carvoeiro-do-cerrado, carvoeiro</v>
      </c>
      <c r="H892" s="40" t="str">
        <f>especies_ativa_codibama[[#This Row],[Nome científico]]</f>
        <v>Tachigali subvelutina</v>
      </c>
    </row>
    <row r="893" spans="1:8" x14ac:dyDescent="0.25">
      <c r="A893">
        <v>33959</v>
      </c>
      <c r="B893" t="s">
        <v>106</v>
      </c>
      <c r="C893" t="s">
        <v>1264</v>
      </c>
      <c r="D893" t="s">
        <v>38</v>
      </c>
      <c r="E893">
        <v>34721</v>
      </c>
      <c r="F893" s="24">
        <f>especies_ativa_codibama[[#This Row],[Código]]</f>
        <v>33959</v>
      </c>
      <c r="G893" s="40" t="str">
        <f>especies_ativa_codibama[[#This Row],[Nome popular]]</f>
        <v>---</v>
      </c>
      <c r="H893" s="40" t="str">
        <f>especies_ativa_codibama[[#This Row],[Nome científico]]</f>
        <v>Bauhinia longifolia</v>
      </c>
    </row>
    <row r="894" spans="1:8" x14ac:dyDescent="0.25">
      <c r="A894">
        <v>33962</v>
      </c>
      <c r="B894" t="s">
        <v>106</v>
      </c>
      <c r="C894" t="s">
        <v>1265</v>
      </c>
      <c r="D894" t="s">
        <v>38</v>
      </c>
      <c r="E894">
        <v>33669</v>
      </c>
      <c r="F894" s="24">
        <f>especies_ativa_codibama[[#This Row],[Código]]</f>
        <v>33962</v>
      </c>
      <c r="G894" s="40" t="str">
        <f>especies_ativa_codibama[[#This Row],[Nome popular]]</f>
        <v>---</v>
      </c>
      <c r="H894" s="40" t="str">
        <f>especies_ativa_codibama[[#This Row],[Nome científico]]</f>
        <v>Mimosa flocculosa</v>
      </c>
    </row>
    <row r="895" spans="1:8" x14ac:dyDescent="0.25">
      <c r="A895">
        <v>33967</v>
      </c>
      <c r="B895" t="s">
        <v>106</v>
      </c>
      <c r="C895" t="s">
        <v>1266</v>
      </c>
      <c r="D895" t="s">
        <v>38</v>
      </c>
      <c r="E895">
        <v>34297</v>
      </c>
      <c r="F895" s="24">
        <f>especies_ativa_codibama[[#This Row],[Código]]</f>
        <v>33967</v>
      </c>
      <c r="G895" s="40" t="str">
        <f>especies_ativa_codibama[[#This Row],[Nome popular]]</f>
        <v>---</v>
      </c>
      <c r="H895" s="40" t="str">
        <f>especies_ativa_codibama[[#This Row],[Nome científico]]</f>
        <v>Mimosa glutinosa</v>
      </c>
    </row>
    <row r="896" spans="1:8" x14ac:dyDescent="0.25">
      <c r="A896">
        <v>33971</v>
      </c>
      <c r="B896" t="s">
        <v>106</v>
      </c>
      <c r="C896" t="s">
        <v>1267</v>
      </c>
      <c r="D896" t="s">
        <v>38</v>
      </c>
      <c r="E896">
        <v>35294</v>
      </c>
      <c r="F896" s="24">
        <f>especies_ativa_codibama[[#This Row],[Código]]</f>
        <v>33971</v>
      </c>
      <c r="G896" s="40" t="str">
        <f>especies_ativa_codibama[[#This Row],[Nome popular]]</f>
        <v>---</v>
      </c>
      <c r="H896" s="40" t="str">
        <f>especies_ativa_codibama[[#This Row],[Nome científico]]</f>
        <v>Ateleia glazioveana</v>
      </c>
    </row>
    <row r="897" spans="1:8" x14ac:dyDescent="0.25">
      <c r="A897">
        <v>33972</v>
      </c>
      <c r="B897" t="s">
        <v>106</v>
      </c>
      <c r="C897" t="s">
        <v>1268</v>
      </c>
      <c r="D897" t="s">
        <v>38</v>
      </c>
      <c r="E897">
        <v>34148</v>
      </c>
      <c r="F897" s="24">
        <f>especies_ativa_codibama[[#This Row],[Código]]</f>
        <v>33972</v>
      </c>
      <c r="G897" s="40" t="str">
        <f>especies_ativa_codibama[[#This Row],[Nome popular]]</f>
        <v>---</v>
      </c>
      <c r="H897" s="40" t="str">
        <f>especies_ativa_codibama[[#This Row],[Nome científico]]</f>
        <v>Centrolobium microchaete</v>
      </c>
    </row>
    <row r="898" spans="1:8" x14ac:dyDescent="0.25">
      <c r="A898">
        <v>33973</v>
      </c>
      <c r="B898" t="s">
        <v>106</v>
      </c>
      <c r="C898" t="s">
        <v>1269</v>
      </c>
      <c r="D898" t="s">
        <v>38</v>
      </c>
      <c r="E898">
        <v>35334</v>
      </c>
      <c r="F898" s="24">
        <f>especies_ativa_codibama[[#This Row],[Código]]</f>
        <v>33973</v>
      </c>
      <c r="G898" s="40" t="str">
        <f>especies_ativa_codibama[[#This Row],[Nome popular]]</f>
        <v>---</v>
      </c>
      <c r="H898" s="40" t="str">
        <f>especies_ativa_codibama[[#This Row],[Nome científico]]</f>
        <v>Centrolobium robustum</v>
      </c>
    </row>
    <row r="899" spans="1:8" x14ac:dyDescent="0.25">
      <c r="A899">
        <v>33974</v>
      </c>
      <c r="B899" t="s">
        <v>106</v>
      </c>
      <c r="C899" t="s">
        <v>1270</v>
      </c>
      <c r="D899" t="s">
        <v>38</v>
      </c>
      <c r="E899">
        <v>32946</v>
      </c>
      <c r="F899" s="24">
        <f>especies_ativa_codibama[[#This Row],[Código]]</f>
        <v>33974</v>
      </c>
      <c r="G899" s="40" t="str">
        <f>especies_ativa_codibama[[#This Row],[Nome popular]]</f>
        <v>---</v>
      </c>
      <c r="H899" s="40" t="str">
        <f>especies_ativa_codibama[[#This Row],[Nome científico]]</f>
        <v>Copaifera trapezifolia</v>
      </c>
    </row>
    <row r="900" spans="1:8" x14ac:dyDescent="0.25">
      <c r="A900">
        <v>33980</v>
      </c>
      <c r="B900" t="s">
        <v>106</v>
      </c>
      <c r="C900" t="s">
        <v>1271</v>
      </c>
      <c r="D900" t="s">
        <v>38</v>
      </c>
      <c r="E900">
        <v>31908</v>
      </c>
      <c r="F900" s="24">
        <f>especies_ativa_codibama[[#This Row],[Código]]</f>
        <v>33980</v>
      </c>
      <c r="G900" s="40" t="str">
        <f>especies_ativa_codibama[[#This Row],[Nome popular]]</f>
        <v>---</v>
      </c>
      <c r="H900" s="40" t="str">
        <f>especies_ativa_codibama[[#This Row],[Nome científico]]</f>
        <v>Prosopis juliflora</v>
      </c>
    </row>
    <row r="901" spans="1:8" x14ac:dyDescent="0.25">
      <c r="A901">
        <v>33981</v>
      </c>
      <c r="B901" t="s">
        <v>106</v>
      </c>
      <c r="C901" t="s">
        <v>1272</v>
      </c>
      <c r="D901" t="s">
        <v>38</v>
      </c>
      <c r="E901">
        <v>35843</v>
      </c>
      <c r="F901" s="24">
        <f>especies_ativa_codibama[[#This Row],[Código]]</f>
        <v>33981</v>
      </c>
      <c r="G901" s="40" t="str">
        <f>especies_ativa_codibama[[#This Row],[Nome popular]]</f>
        <v>---</v>
      </c>
      <c r="H901" s="40" t="str">
        <f>especies_ativa_codibama[[#This Row],[Nome científico]]</f>
        <v>Abarema jupunba</v>
      </c>
    </row>
    <row r="902" spans="1:8" x14ac:dyDescent="0.25">
      <c r="A902">
        <v>33982</v>
      </c>
      <c r="B902" t="s">
        <v>106</v>
      </c>
      <c r="C902" t="s">
        <v>1273</v>
      </c>
      <c r="D902" t="s">
        <v>38</v>
      </c>
      <c r="E902">
        <v>31621</v>
      </c>
      <c r="F902" s="24">
        <f>especies_ativa_codibama[[#This Row],[Código]]</f>
        <v>33982</v>
      </c>
      <c r="G902" s="40" t="str">
        <f>especies_ativa_codibama[[#This Row],[Nome popular]]</f>
        <v>---</v>
      </c>
      <c r="H902" s="40" t="str">
        <f>especies_ativa_codibama[[#This Row],[Nome científico]]</f>
        <v>Bauhinia forficata</v>
      </c>
    </row>
    <row r="903" spans="1:8" x14ac:dyDescent="0.25">
      <c r="A903">
        <v>33983</v>
      </c>
      <c r="B903" t="s">
        <v>106</v>
      </c>
      <c r="C903" t="s">
        <v>1274</v>
      </c>
      <c r="D903" t="s">
        <v>38</v>
      </c>
      <c r="E903">
        <v>35323</v>
      </c>
      <c r="F903" s="24">
        <f>especies_ativa_codibama[[#This Row],[Código]]</f>
        <v>33983</v>
      </c>
      <c r="G903" s="40" t="str">
        <f>especies_ativa_codibama[[#This Row],[Nome popular]]</f>
        <v>---</v>
      </c>
      <c r="H903" s="40" t="str">
        <f>especies_ativa_codibama[[#This Row],[Nome científico]]</f>
        <v>Cassia fastuosa</v>
      </c>
    </row>
    <row r="904" spans="1:8" x14ac:dyDescent="0.25">
      <c r="A904">
        <v>33986</v>
      </c>
      <c r="B904" t="s">
        <v>106</v>
      </c>
      <c r="C904" t="s">
        <v>1275</v>
      </c>
      <c r="D904" t="s">
        <v>38</v>
      </c>
      <c r="E904">
        <v>32685</v>
      </c>
      <c r="F904" s="24">
        <f>especies_ativa_codibama[[#This Row],[Código]]</f>
        <v>33986</v>
      </c>
      <c r="G904" s="40" t="str">
        <f>especies_ativa_codibama[[#This Row],[Nome popular]]</f>
        <v>---</v>
      </c>
      <c r="H904" s="40" t="str">
        <f>especies_ativa_codibama[[#This Row],[Nome científico]]</f>
        <v>Inga vera</v>
      </c>
    </row>
    <row r="905" spans="1:8" x14ac:dyDescent="0.25">
      <c r="A905">
        <v>33988</v>
      </c>
      <c r="B905" t="s">
        <v>106</v>
      </c>
      <c r="C905" t="s">
        <v>1276</v>
      </c>
      <c r="D905" t="s">
        <v>38</v>
      </c>
      <c r="E905">
        <v>31951</v>
      </c>
      <c r="F905" s="24">
        <f>especies_ativa_codibama[[#This Row],[Código]]</f>
        <v>33988</v>
      </c>
      <c r="G905" s="40" t="str">
        <f>especies_ativa_codibama[[#This Row],[Nome popular]]</f>
        <v>---</v>
      </c>
      <c r="H905" s="40" t="str">
        <f>especies_ativa_codibama[[#This Row],[Nome científico]]</f>
        <v>Senna multijuga</v>
      </c>
    </row>
    <row r="906" spans="1:8" x14ac:dyDescent="0.25">
      <c r="A906">
        <v>33990</v>
      </c>
      <c r="B906" t="s">
        <v>2681</v>
      </c>
      <c r="C906" t="s">
        <v>2682</v>
      </c>
      <c r="D906" t="s">
        <v>205</v>
      </c>
      <c r="E906">
        <v>452626</v>
      </c>
      <c r="F906" s="24">
        <f>especies_ativa_codibama[[#This Row],[Código]]</f>
        <v>33990</v>
      </c>
      <c r="G906" s="40" t="str">
        <f>especies_ativa_codibama[[#This Row],[Nome popular]]</f>
        <v>Calumbi</v>
      </c>
      <c r="H906" s="40" t="str">
        <f>especies_ativa_codibama[[#This Row],[Nome científico]]</f>
        <v>Piptadenia killipii</v>
      </c>
    </row>
    <row r="907" spans="1:8" x14ac:dyDescent="0.25">
      <c r="A907">
        <v>33995</v>
      </c>
      <c r="B907" t="s">
        <v>106</v>
      </c>
      <c r="C907" t="s">
        <v>1277</v>
      </c>
      <c r="D907" t="s">
        <v>38</v>
      </c>
      <c r="E907">
        <v>35724</v>
      </c>
      <c r="F907" s="24">
        <f>especies_ativa_codibama[[#This Row],[Código]]</f>
        <v>33995</v>
      </c>
      <c r="G907" s="40" t="str">
        <f>especies_ativa_codibama[[#This Row],[Nome popular]]</f>
        <v>---</v>
      </c>
      <c r="H907" s="40" t="str">
        <f>especies_ativa_codibama[[#This Row],[Nome científico]]</f>
        <v>Prosopis rubriflora</v>
      </c>
    </row>
    <row r="908" spans="1:8" x14ac:dyDescent="0.25">
      <c r="A908">
        <v>33999</v>
      </c>
      <c r="B908" t="s">
        <v>106</v>
      </c>
      <c r="C908" t="s">
        <v>1278</v>
      </c>
      <c r="D908" t="s">
        <v>38</v>
      </c>
      <c r="E908">
        <v>36131</v>
      </c>
      <c r="F908" s="24">
        <f>especies_ativa_codibama[[#This Row],[Código]]</f>
        <v>33999</v>
      </c>
      <c r="G908" s="40" t="str">
        <f>especies_ativa_codibama[[#This Row],[Nome popular]]</f>
        <v>---</v>
      </c>
      <c r="H908" s="40" t="str">
        <f>especies_ativa_codibama[[#This Row],[Nome científico]]</f>
        <v>Ormosia paraensis</v>
      </c>
    </row>
    <row r="909" spans="1:8" x14ac:dyDescent="0.25">
      <c r="A909">
        <v>34002</v>
      </c>
      <c r="B909" t="s">
        <v>106</v>
      </c>
      <c r="C909" t="s">
        <v>1279</v>
      </c>
      <c r="D909" t="s">
        <v>38</v>
      </c>
      <c r="E909">
        <v>32413</v>
      </c>
      <c r="F909" s="24">
        <f>especies_ativa_codibama[[#This Row],[Código]]</f>
        <v>34002</v>
      </c>
      <c r="G909" s="40" t="str">
        <f>especies_ativa_codibama[[#This Row],[Nome popular]]</f>
        <v>---</v>
      </c>
      <c r="H909" s="40" t="str">
        <f>especies_ativa_codibama[[#This Row],[Nome científico]]</f>
        <v>Hymenaea oblongifolia</v>
      </c>
    </row>
    <row r="910" spans="1:8" x14ac:dyDescent="0.25">
      <c r="A910">
        <v>34005</v>
      </c>
      <c r="B910" t="s">
        <v>106</v>
      </c>
      <c r="C910" t="s">
        <v>1280</v>
      </c>
      <c r="D910" t="s">
        <v>38</v>
      </c>
      <c r="E910">
        <v>1047348</v>
      </c>
      <c r="F910" s="24">
        <f>especies_ativa_codibama[[#This Row],[Código]]</f>
        <v>34005</v>
      </c>
      <c r="G910" s="40" t="str">
        <f>especies_ativa_codibama[[#This Row],[Nome popular]]</f>
        <v>---</v>
      </c>
      <c r="H910" s="40" t="str">
        <f>especies_ativa_codibama[[#This Row],[Nome científico]]</f>
        <v>Swartzia laurifolia</v>
      </c>
    </row>
    <row r="911" spans="1:8" x14ac:dyDescent="0.25">
      <c r="A911">
        <v>34007</v>
      </c>
      <c r="B911" t="s">
        <v>106</v>
      </c>
      <c r="C911" t="s">
        <v>1281</v>
      </c>
      <c r="D911" t="s">
        <v>38</v>
      </c>
      <c r="E911">
        <v>35972</v>
      </c>
      <c r="F911" s="24">
        <f>especies_ativa_codibama[[#This Row],[Código]]</f>
        <v>34007</v>
      </c>
      <c r="G911" s="40" t="str">
        <f>especies_ativa_codibama[[#This Row],[Nome popular]]</f>
        <v>---</v>
      </c>
      <c r="H911" s="40" t="str">
        <f>especies_ativa_codibama[[#This Row],[Nome científico]]</f>
        <v>Dimorphandra parviflora</v>
      </c>
    </row>
    <row r="912" spans="1:8" x14ac:dyDescent="0.25">
      <c r="A912">
        <v>34012</v>
      </c>
      <c r="B912" t="s">
        <v>106</v>
      </c>
      <c r="C912" t="s">
        <v>1282</v>
      </c>
      <c r="D912" t="s">
        <v>38</v>
      </c>
      <c r="E912">
        <v>35433</v>
      </c>
      <c r="F912" s="24">
        <f>especies_ativa_codibama[[#This Row],[Código]]</f>
        <v>34012</v>
      </c>
      <c r="G912" s="40" t="str">
        <f>especies_ativa_codibama[[#This Row],[Nome popular]]</f>
        <v>---</v>
      </c>
      <c r="H912" s="40" t="str">
        <f>especies_ativa_codibama[[#This Row],[Nome científico]]</f>
        <v>Hymenolobium sericeum</v>
      </c>
    </row>
    <row r="913" spans="1:8" x14ac:dyDescent="0.25">
      <c r="A913">
        <v>34017</v>
      </c>
      <c r="B913" t="s">
        <v>106</v>
      </c>
      <c r="C913" t="s">
        <v>1283</v>
      </c>
      <c r="D913" t="s">
        <v>196</v>
      </c>
      <c r="E913">
        <v>2009407</v>
      </c>
      <c r="F913" s="24">
        <f>especies_ativa_codibama[[#This Row],[Código]]</f>
        <v>34017</v>
      </c>
      <c r="G913" s="40" t="str">
        <f>especies_ativa_codibama[[#This Row],[Nome popular]]</f>
        <v>---</v>
      </c>
      <c r="H913" s="40" t="str">
        <f>especies_ativa_codibama[[#This Row],[Nome científico]]</f>
        <v>Tachigali prancei</v>
      </c>
    </row>
    <row r="914" spans="1:8" x14ac:dyDescent="0.25">
      <c r="A914">
        <v>34018</v>
      </c>
      <c r="B914" t="s">
        <v>106</v>
      </c>
      <c r="C914" t="s">
        <v>1284</v>
      </c>
      <c r="D914" t="s">
        <v>38</v>
      </c>
      <c r="E914">
        <v>31656</v>
      </c>
      <c r="F914" s="24">
        <f>especies_ativa_codibama[[#This Row],[Código]]</f>
        <v>34018</v>
      </c>
      <c r="G914" s="40" t="str">
        <f>especies_ativa_codibama[[#This Row],[Nome popular]]</f>
        <v>---</v>
      </c>
      <c r="H914" s="40" t="str">
        <f>especies_ativa_codibama[[#This Row],[Nome científico]]</f>
        <v>Cenostigma tocantinum</v>
      </c>
    </row>
    <row r="915" spans="1:8" x14ac:dyDescent="0.25">
      <c r="A915">
        <v>34019</v>
      </c>
      <c r="B915" t="s">
        <v>1285</v>
      </c>
      <c r="C915" t="s">
        <v>1286</v>
      </c>
      <c r="D915" t="s">
        <v>38</v>
      </c>
      <c r="E915">
        <v>1987188</v>
      </c>
      <c r="F915" s="24">
        <f>especies_ativa_codibama[[#This Row],[Código]]</f>
        <v>34019</v>
      </c>
      <c r="G915" s="40" t="str">
        <f>especies_ativa_codibama[[#This Row],[Nome popular]]</f>
        <v>Taxi-Branco, Carvoeiro</v>
      </c>
      <c r="H915" s="40" t="str">
        <f>especies_ativa_codibama[[#This Row],[Nome científico]]</f>
        <v>Tachigali vulgaris</v>
      </c>
    </row>
    <row r="916" spans="1:8" x14ac:dyDescent="0.25">
      <c r="A916">
        <v>34022</v>
      </c>
      <c r="B916" t="s">
        <v>106</v>
      </c>
      <c r="C916" t="s">
        <v>1287</v>
      </c>
      <c r="D916" t="s">
        <v>38</v>
      </c>
      <c r="E916">
        <v>33691</v>
      </c>
      <c r="F916" s="24">
        <f>especies_ativa_codibama[[#This Row],[Código]]</f>
        <v>34022</v>
      </c>
      <c r="G916" s="40" t="str">
        <f>especies_ativa_codibama[[#This Row],[Nome popular]]</f>
        <v>---</v>
      </c>
      <c r="H916" s="40" t="str">
        <f>especies_ativa_codibama[[#This Row],[Nome científico]]</f>
        <v>Ormosia excelsa</v>
      </c>
    </row>
    <row r="917" spans="1:8" x14ac:dyDescent="0.25">
      <c r="A917">
        <v>34024</v>
      </c>
      <c r="B917" t="s">
        <v>106</v>
      </c>
      <c r="C917" t="s">
        <v>1288</v>
      </c>
      <c r="D917" t="s">
        <v>38</v>
      </c>
      <c r="E917">
        <v>35370</v>
      </c>
      <c r="F917" s="24">
        <f>especies_ativa_codibama[[#This Row],[Código]]</f>
        <v>34024</v>
      </c>
      <c r="G917" s="40" t="str">
        <f>especies_ativa_codibama[[#This Row],[Nome popular]]</f>
        <v>---</v>
      </c>
      <c r="H917" s="40" t="str">
        <f>especies_ativa_codibama[[#This Row],[Nome científico]]</f>
        <v>Enterolobium gummiferum</v>
      </c>
    </row>
    <row r="918" spans="1:8" x14ac:dyDescent="0.25">
      <c r="A918">
        <v>34027</v>
      </c>
      <c r="B918" t="s">
        <v>106</v>
      </c>
      <c r="C918" t="s">
        <v>2683</v>
      </c>
      <c r="D918" t="s">
        <v>38</v>
      </c>
      <c r="E918">
        <v>1984149</v>
      </c>
      <c r="F918" s="24">
        <f>especies_ativa_codibama[[#This Row],[Código]]</f>
        <v>34027</v>
      </c>
      <c r="G918" s="40" t="str">
        <f>especies_ativa_codibama[[#This Row],[Nome popular]]</f>
        <v>---</v>
      </c>
      <c r="H918" s="40" t="str">
        <f>especies_ativa_codibama[[#This Row],[Nome científico]]</f>
        <v>Swartzia parvipetala</v>
      </c>
    </row>
    <row r="919" spans="1:8" x14ac:dyDescent="0.25">
      <c r="A919">
        <v>34032</v>
      </c>
      <c r="B919" t="s">
        <v>106</v>
      </c>
      <c r="C919" t="s">
        <v>1289</v>
      </c>
      <c r="D919" t="s">
        <v>38</v>
      </c>
      <c r="E919">
        <v>33466</v>
      </c>
      <c r="F919" s="24">
        <f>especies_ativa_codibama[[#This Row],[Código]]</f>
        <v>34032</v>
      </c>
      <c r="G919" s="40" t="str">
        <f>especies_ativa_codibama[[#This Row],[Nome popular]]</f>
        <v>---</v>
      </c>
      <c r="H919" s="40" t="str">
        <f>especies_ativa_codibama[[#This Row],[Nome científico]]</f>
        <v>Andira inermis</v>
      </c>
    </row>
    <row r="920" spans="1:8" x14ac:dyDescent="0.25">
      <c r="A920">
        <v>34040</v>
      </c>
      <c r="B920" t="s">
        <v>106</v>
      </c>
      <c r="C920" t="s">
        <v>1290</v>
      </c>
      <c r="D920" t="s">
        <v>38</v>
      </c>
      <c r="E920">
        <v>2024550</v>
      </c>
      <c r="F920" s="24">
        <f>especies_ativa_codibama[[#This Row],[Código]]</f>
        <v>34040</v>
      </c>
      <c r="G920" s="40" t="str">
        <f>especies_ativa_codibama[[#This Row],[Nome popular]]</f>
        <v>---</v>
      </c>
      <c r="H920" s="40" t="str">
        <f>especies_ativa_codibama[[#This Row],[Nome científico]]</f>
        <v>Cenostigma bracteosum</v>
      </c>
    </row>
    <row r="921" spans="1:8" x14ac:dyDescent="0.25">
      <c r="A921">
        <v>34051</v>
      </c>
      <c r="B921" t="s">
        <v>1291</v>
      </c>
      <c r="C921" t="s">
        <v>1292</v>
      </c>
      <c r="D921" t="s">
        <v>205</v>
      </c>
      <c r="E921">
        <v>33463</v>
      </c>
      <c r="F921" s="24">
        <f>especies_ativa_codibama[[#This Row],[Código]]</f>
        <v>34051</v>
      </c>
      <c r="G921" s="40" t="str">
        <f>especies_ativa_codibama[[#This Row],[Nome popular]]</f>
        <v xml:space="preserve">Cerejeira, Cumaru de cheiro, Amburana </v>
      </c>
      <c r="H921" s="40" t="str">
        <f>especies_ativa_codibama[[#This Row],[Nome científico]]</f>
        <v>Amburana cearensis</v>
      </c>
    </row>
    <row r="922" spans="1:8" x14ac:dyDescent="0.25">
      <c r="A922">
        <v>34052</v>
      </c>
      <c r="B922" t="s">
        <v>1293</v>
      </c>
      <c r="C922" t="s">
        <v>1294</v>
      </c>
      <c r="D922" t="s">
        <v>650</v>
      </c>
      <c r="E922">
        <v>33551</v>
      </c>
      <c r="F922" s="24">
        <f>especies_ativa_codibama[[#This Row],[Código]]</f>
        <v>34052</v>
      </c>
      <c r="G922" s="40" t="str">
        <f>especies_ativa_codibama[[#This Row],[Nome popular]]</f>
        <v>Baru, barú</v>
      </c>
      <c r="H922" s="40" t="str">
        <f>especies_ativa_codibama[[#This Row],[Nome científico]]</f>
        <v>Dipteryx alata</v>
      </c>
    </row>
    <row r="923" spans="1:8" x14ac:dyDescent="0.25">
      <c r="A923">
        <v>34053</v>
      </c>
      <c r="B923" t="s">
        <v>1295</v>
      </c>
      <c r="C923" t="s">
        <v>1296</v>
      </c>
      <c r="D923" t="s">
        <v>205</v>
      </c>
      <c r="E923">
        <v>35280</v>
      </c>
      <c r="F923" s="24">
        <f>especies_ativa_codibama[[#This Row],[Código]]</f>
        <v>34053</v>
      </c>
      <c r="G923" s="40" t="str">
        <f>especies_ativa_codibama[[#This Row],[Nome popular]]</f>
        <v>Angico Preto, Angico, Angico-do-campo, Angico-prego, Angico-pururuca, Angico-vermelho, Barbatimão, Monjoleiro</v>
      </c>
      <c r="H923" s="40" t="str">
        <f>especies_ativa_codibama[[#This Row],[Nome científico]]</f>
        <v>Anadenanthera peregrina</v>
      </c>
    </row>
    <row r="924" spans="1:8" x14ac:dyDescent="0.25">
      <c r="A924">
        <v>34054</v>
      </c>
      <c r="B924" t="s">
        <v>2684</v>
      </c>
      <c r="C924" t="s">
        <v>1297</v>
      </c>
      <c r="D924" t="s">
        <v>205</v>
      </c>
      <c r="E924">
        <v>34963</v>
      </c>
      <c r="F924" s="24">
        <f>especies_ativa_codibama[[#This Row],[Código]]</f>
        <v>34054</v>
      </c>
      <c r="G924" s="40" t="str">
        <f>especies_ativa_codibama[[#This Row],[Nome popular]]</f>
        <v>Jacarandá¡, Faveira-de-espinho, Faveira, Braúna-branca, Angico-de-espinho, Angico-brabo</v>
      </c>
      <c r="H924" s="40" t="str">
        <f>especies_ativa_codibama[[#This Row],[Nome científico]]</f>
        <v>Piptadenia paniculata</v>
      </c>
    </row>
    <row r="925" spans="1:8" x14ac:dyDescent="0.25">
      <c r="A925">
        <v>34055</v>
      </c>
      <c r="B925" t="s">
        <v>2685</v>
      </c>
      <c r="C925" t="s">
        <v>1299</v>
      </c>
      <c r="D925" t="s">
        <v>205</v>
      </c>
      <c r="E925">
        <v>34091</v>
      </c>
      <c r="F925" s="24">
        <f>especies_ativa_codibama[[#This Row],[Código]]</f>
        <v>34055</v>
      </c>
      <c r="G925" s="40" t="str">
        <f>especies_ativa_codibama[[#This Row],[Nome popular]]</f>
        <v>Angico-branco, Angico, Angico-branco-liso, CurupaÃ­, Curupaíba, Angico-coco, Angico-escuro, Angico-liso, Angico-vermelho, Cambuí-angico</v>
      </c>
      <c r="H925" s="40" t="str">
        <f>especies_ativa_codibama[[#This Row],[Nome científico]]</f>
        <v>Anadenanthera colubrina</v>
      </c>
    </row>
    <row r="926" spans="1:8" x14ac:dyDescent="0.25">
      <c r="A926">
        <v>34058</v>
      </c>
      <c r="B926" t="s">
        <v>1300</v>
      </c>
      <c r="C926" t="s">
        <v>1301</v>
      </c>
      <c r="D926" t="s">
        <v>324</v>
      </c>
      <c r="E926">
        <v>31625</v>
      </c>
      <c r="F926" s="24">
        <f>especies_ativa_codibama[[#This Row],[Código]]</f>
        <v>34058</v>
      </c>
      <c r="G926" s="40" t="str">
        <f>especies_ativa_codibama[[#This Row],[Nome popular]]</f>
        <v>Sucupira-preta, Sucupira-do-campo, Sepifirme, Paricarana, Sucupira, Sucupira-mirim, Sucupira-verdadeira, Sapupura-do-campo, Sucupira-amarela, Sucupira-branca, Sucupira-parda, Sucupira-roxa, Sucupiruçu-branco, Sucupira-do-cerrado, Macanaíba, Macanaíba-parda, Macanaíba-pele-de-sapo</v>
      </c>
      <c r="H926" s="40" t="str">
        <f>especies_ativa_codibama[[#This Row],[Nome científico]]</f>
        <v>Bowdichia virgilioides</v>
      </c>
    </row>
    <row r="927" spans="1:8" x14ac:dyDescent="0.25">
      <c r="A927">
        <v>34064</v>
      </c>
      <c r="B927" t="s">
        <v>1302</v>
      </c>
      <c r="C927" t="s">
        <v>1303</v>
      </c>
      <c r="D927" t="s">
        <v>465</v>
      </c>
      <c r="E927">
        <v>35489</v>
      </c>
      <c r="F927" s="24">
        <f>especies_ativa_codibama[[#This Row],[Código]]</f>
        <v>34064</v>
      </c>
      <c r="G927" s="40" t="str">
        <f>especies_ativa_codibama[[#This Row],[Nome popular]]</f>
        <v>braúna, graúna, baraúna</v>
      </c>
      <c r="H927" s="40" t="str">
        <f>especies_ativa_codibama[[#This Row],[Nome científico]]</f>
        <v>Melanoxylon brauna</v>
      </c>
    </row>
    <row r="928" spans="1:8" x14ac:dyDescent="0.25">
      <c r="A928">
        <v>34065</v>
      </c>
      <c r="B928" t="s">
        <v>2686</v>
      </c>
      <c r="C928" t="s">
        <v>1304</v>
      </c>
      <c r="D928" t="s">
        <v>465</v>
      </c>
      <c r="E928">
        <v>33480</v>
      </c>
      <c r="F928" s="24">
        <f>especies_ativa_codibama[[#This Row],[Código]]</f>
        <v>34065</v>
      </c>
      <c r="G928" s="40" t="str">
        <f>especies_ativa_codibama[[#This Row],[Nome popular]]</f>
        <v>cumaru cetim, mitaroÃ¡, Garapa, Amarelão, Grapia</v>
      </c>
      <c r="H928" s="40" t="str">
        <f>especies_ativa_codibama[[#This Row],[Nome científico]]</f>
        <v>Apuleia leiocarpa</v>
      </c>
    </row>
    <row r="929" spans="1:8" x14ac:dyDescent="0.25">
      <c r="A929">
        <v>34068</v>
      </c>
      <c r="B929" t="s">
        <v>1305</v>
      </c>
      <c r="C929" t="s">
        <v>1306</v>
      </c>
      <c r="D929" t="s">
        <v>465</v>
      </c>
      <c r="E929">
        <v>21797</v>
      </c>
      <c r="F929" s="24">
        <f>especies_ativa_codibama[[#This Row],[Código]]</f>
        <v>34068</v>
      </c>
      <c r="G929" s="40" t="str">
        <f>especies_ativa_codibama[[#This Row],[Nome popular]]</f>
        <v xml:space="preserve">Jacarandá-caviu, Jacarandá-da-Bahia, </v>
      </c>
      <c r="H929" s="40" t="str">
        <f>especies_ativa_codibama[[#This Row],[Nome científico]]</f>
        <v>Dalbergia nigra</v>
      </c>
    </row>
    <row r="930" spans="1:8" x14ac:dyDescent="0.25">
      <c r="A930">
        <v>34069</v>
      </c>
      <c r="B930" t="s">
        <v>2687</v>
      </c>
      <c r="C930" t="s">
        <v>1307</v>
      </c>
      <c r="D930" t="s">
        <v>465</v>
      </c>
      <c r="E930">
        <v>31769</v>
      </c>
      <c r="F930" s="24">
        <f>especies_ativa_codibama[[#This Row],[Código]]</f>
        <v>34069</v>
      </c>
      <c r="G930" s="40" t="str">
        <f>especies_ativa_codibama[[#This Row],[Nome popular]]</f>
        <v>jutaÃ­</v>
      </c>
      <c r="H930" s="40" t="str">
        <f>especies_ativa_codibama[[#This Row],[Nome científico]]</f>
        <v>Hymenaea parvifolia</v>
      </c>
    </row>
    <row r="931" spans="1:8" x14ac:dyDescent="0.25">
      <c r="A931">
        <v>34072</v>
      </c>
      <c r="B931" t="s">
        <v>106</v>
      </c>
      <c r="C931" t="s">
        <v>1308</v>
      </c>
      <c r="D931" t="s">
        <v>465</v>
      </c>
      <c r="E931">
        <v>34328</v>
      </c>
      <c r="F931" s="24">
        <f>especies_ativa_codibama[[#This Row],[Código]]</f>
        <v>34072</v>
      </c>
      <c r="G931" s="40" t="str">
        <f>especies_ativa_codibama[[#This Row],[Nome popular]]</f>
        <v>---</v>
      </c>
      <c r="H931" s="40" t="str">
        <f>especies_ativa_codibama[[#This Row],[Nome científico]]</f>
        <v>Peltogyne maranhensis</v>
      </c>
    </row>
    <row r="932" spans="1:8" x14ac:dyDescent="0.25">
      <c r="A932">
        <v>34075</v>
      </c>
      <c r="B932" t="s">
        <v>106</v>
      </c>
      <c r="C932" t="s">
        <v>1309</v>
      </c>
      <c r="D932" t="s">
        <v>465</v>
      </c>
      <c r="E932">
        <v>725152</v>
      </c>
      <c r="F932" s="24">
        <f>especies_ativa_codibama[[#This Row],[Código]]</f>
        <v>34075</v>
      </c>
      <c r="G932" s="40" t="str">
        <f>especies_ativa_codibama[[#This Row],[Nome popular]]</f>
        <v>---</v>
      </c>
      <c r="H932" s="40" t="str">
        <f>especies_ativa_codibama[[#This Row],[Nome científico]]</f>
        <v>Dalbergia elegans</v>
      </c>
    </row>
    <row r="933" spans="1:8" x14ac:dyDescent="0.25">
      <c r="A933">
        <v>34087</v>
      </c>
      <c r="B933" t="s">
        <v>1310</v>
      </c>
      <c r="C933" t="s">
        <v>1311</v>
      </c>
      <c r="D933" t="s">
        <v>38</v>
      </c>
      <c r="E933">
        <v>31752</v>
      </c>
      <c r="F933" s="24">
        <f>especies_ativa_codibama[[#This Row],[Código]]</f>
        <v>34087</v>
      </c>
      <c r="G933" s="40" t="str">
        <f>especies_ativa_codibama[[#This Row],[Nome popular]]</f>
        <v>cupiuba, cupiúba, cupiúva, cupúba, cutiúba</v>
      </c>
      <c r="H933" s="40" t="str">
        <f>especies_ativa_codibama[[#This Row],[Nome científico]]</f>
        <v>Goupia glabra</v>
      </c>
    </row>
    <row r="934" spans="1:8" x14ac:dyDescent="0.25">
      <c r="A934">
        <v>34092</v>
      </c>
      <c r="B934" t="s">
        <v>1312</v>
      </c>
      <c r="C934" t="s">
        <v>1313</v>
      </c>
      <c r="D934" t="s">
        <v>38</v>
      </c>
      <c r="E934">
        <v>35989</v>
      </c>
      <c r="F934" s="24">
        <f>especies_ativa_codibama[[#This Row],[Código]]</f>
        <v>34092</v>
      </c>
      <c r="G934" s="40" t="str">
        <f>especies_ativa_codibama[[#This Row],[Nome popular]]</f>
        <v>uxi</v>
      </c>
      <c r="H934" s="40" t="str">
        <f>especies_ativa_codibama[[#This Row],[Nome científico]]</f>
        <v>Endopleura uchi</v>
      </c>
    </row>
    <row r="935" spans="1:8" x14ac:dyDescent="0.25">
      <c r="A935">
        <v>34096</v>
      </c>
      <c r="B935" t="s">
        <v>106</v>
      </c>
      <c r="C935" t="s">
        <v>1314</v>
      </c>
      <c r="D935" t="s">
        <v>38</v>
      </c>
      <c r="E935">
        <v>31768</v>
      </c>
      <c r="F935" s="24">
        <f>especies_ativa_codibama[[#This Row],[Código]]</f>
        <v>34096</v>
      </c>
      <c r="G935" s="40" t="str">
        <f>especies_ativa_codibama[[#This Row],[Nome popular]]</f>
        <v>---</v>
      </c>
      <c r="H935" s="40" t="str">
        <f>especies_ativa_codibama[[#This Row],[Nome científico]]</f>
        <v>Humiria balsamifera</v>
      </c>
    </row>
    <row r="936" spans="1:8" x14ac:dyDescent="0.25">
      <c r="A936">
        <v>34098</v>
      </c>
      <c r="B936" t="s">
        <v>106</v>
      </c>
      <c r="C936" t="s">
        <v>1315</v>
      </c>
      <c r="D936" t="s">
        <v>38</v>
      </c>
      <c r="E936">
        <v>35002</v>
      </c>
      <c r="F936" s="24">
        <f>especies_ativa_codibama[[#This Row],[Código]]</f>
        <v>34098</v>
      </c>
      <c r="G936" s="40" t="str">
        <f>especies_ativa_codibama[[#This Row],[Nome popular]]</f>
        <v>---</v>
      </c>
      <c r="H936" s="40" t="str">
        <f>especies_ativa_codibama[[#This Row],[Nome científico]]</f>
        <v>Sacoglottis guianensis</v>
      </c>
    </row>
    <row r="937" spans="1:8" x14ac:dyDescent="0.25">
      <c r="A937">
        <v>34099</v>
      </c>
      <c r="B937" t="s">
        <v>106</v>
      </c>
      <c r="C937" t="s">
        <v>1316</v>
      </c>
      <c r="D937" t="s">
        <v>38</v>
      </c>
      <c r="E937">
        <v>35003</v>
      </c>
      <c r="F937" s="24">
        <f>especies_ativa_codibama[[#This Row],[Código]]</f>
        <v>34099</v>
      </c>
      <c r="G937" s="40" t="str">
        <f>especies_ativa_codibama[[#This Row],[Nome popular]]</f>
        <v>---</v>
      </c>
      <c r="H937" s="40" t="str">
        <f>especies_ativa_codibama[[#This Row],[Nome científico]]</f>
        <v>Sacoglottis mattogrossensis</v>
      </c>
    </row>
    <row r="938" spans="1:8" x14ac:dyDescent="0.25">
      <c r="A938">
        <v>34101</v>
      </c>
      <c r="B938" t="s">
        <v>106</v>
      </c>
      <c r="C938" t="s">
        <v>1317</v>
      </c>
      <c r="D938" t="s">
        <v>38</v>
      </c>
      <c r="E938">
        <v>32613</v>
      </c>
      <c r="F938" s="24">
        <f>especies_ativa_codibama[[#This Row],[Código]]</f>
        <v>34101</v>
      </c>
      <c r="G938" s="40" t="str">
        <f>especies_ativa_codibama[[#This Row],[Nome popular]]</f>
        <v>---</v>
      </c>
      <c r="H938" s="40" t="str">
        <f>especies_ativa_codibama[[#This Row],[Nome científico]]</f>
        <v>Vantanea compacta</v>
      </c>
    </row>
    <row r="939" spans="1:8" x14ac:dyDescent="0.25">
      <c r="A939">
        <v>34115</v>
      </c>
      <c r="B939" t="s">
        <v>106</v>
      </c>
      <c r="C939" t="s">
        <v>1318</v>
      </c>
      <c r="D939" t="s">
        <v>196</v>
      </c>
      <c r="E939">
        <v>33422</v>
      </c>
      <c r="F939" s="24">
        <f>especies_ativa_codibama[[#This Row],[Código]]</f>
        <v>34115</v>
      </c>
      <c r="G939" s="40" t="str">
        <f>especies_ativa_codibama[[#This Row],[Nome popular]]</f>
        <v>---</v>
      </c>
      <c r="H939" s="40" t="str">
        <f>especies_ativa_codibama[[#This Row],[Nome científico]]</f>
        <v>Vismia parviflora</v>
      </c>
    </row>
    <row r="940" spans="1:8" x14ac:dyDescent="0.25">
      <c r="A940">
        <v>34117</v>
      </c>
      <c r="B940" t="s">
        <v>1319</v>
      </c>
      <c r="C940" t="s">
        <v>1320</v>
      </c>
      <c r="D940" t="s">
        <v>38</v>
      </c>
      <c r="E940">
        <v>35649</v>
      </c>
      <c r="F940" s="24">
        <f>especies_ativa_codibama[[#This Row],[Código]]</f>
        <v>34117</v>
      </c>
      <c r="G940" s="40" t="str">
        <f>especies_ativa_codibama[[#This Row],[Nome popular]]</f>
        <v>Lacre</v>
      </c>
      <c r="H940" s="40" t="str">
        <f>especies_ativa_codibama[[#This Row],[Nome científico]]</f>
        <v>Vismia guianensis</v>
      </c>
    </row>
    <row r="941" spans="1:8" x14ac:dyDescent="0.25">
      <c r="A941">
        <v>34120</v>
      </c>
      <c r="B941" t="s">
        <v>1321</v>
      </c>
      <c r="C941" t="s">
        <v>1322</v>
      </c>
      <c r="D941" t="s">
        <v>38</v>
      </c>
      <c r="E941">
        <v>32618</v>
      </c>
      <c r="F941" s="24">
        <f>especies_ativa_codibama[[#This Row],[Código]]</f>
        <v>34120</v>
      </c>
      <c r="G941" s="40" t="str">
        <f>especies_ativa_codibama[[#This Row],[Nome popular]]</f>
        <v>Ruão</v>
      </c>
      <c r="H941" s="40" t="str">
        <f>especies_ativa_codibama[[#This Row],[Nome científico]]</f>
        <v>Vismia brasiliensis</v>
      </c>
    </row>
    <row r="942" spans="1:8" x14ac:dyDescent="0.25">
      <c r="A942">
        <v>34121</v>
      </c>
      <c r="B942" t="s">
        <v>106</v>
      </c>
      <c r="C942" t="s">
        <v>1323</v>
      </c>
      <c r="D942" t="s">
        <v>38</v>
      </c>
      <c r="E942">
        <v>32807</v>
      </c>
      <c r="F942" s="24">
        <f>especies_ativa_codibama[[#This Row],[Código]]</f>
        <v>34121</v>
      </c>
      <c r="G942" s="40" t="str">
        <f>especies_ativa_codibama[[#This Row],[Nome popular]]</f>
        <v>---</v>
      </c>
      <c r="H942" s="40" t="str">
        <f>especies_ativa_codibama[[#This Row],[Nome científico]]</f>
        <v>Vismia micrantha</v>
      </c>
    </row>
    <row r="943" spans="1:8" x14ac:dyDescent="0.25">
      <c r="A943">
        <v>34124</v>
      </c>
      <c r="B943" t="s">
        <v>106</v>
      </c>
      <c r="C943" t="s">
        <v>1324</v>
      </c>
      <c r="D943" t="s">
        <v>38</v>
      </c>
      <c r="E943">
        <v>2003960</v>
      </c>
      <c r="F943" s="24">
        <f>especies_ativa_codibama[[#This Row],[Código]]</f>
        <v>34124</v>
      </c>
      <c r="G943" s="40" t="str">
        <f>especies_ativa_codibama[[#This Row],[Nome popular]]</f>
        <v>---</v>
      </c>
      <c r="H943" s="40" t="str">
        <f>especies_ativa_codibama[[#This Row],[Nome científico]]</f>
        <v>Vismia gracilis</v>
      </c>
    </row>
    <row r="944" spans="1:8" x14ac:dyDescent="0.25">
      <c r="A944">
        <v>34125</v>
      </c>
      <c r="B944" t="s">
        <v>106</v>
      </c>
      <c r="C944" t="s">
        <v>1325</v>
      </c>
      <c r="D944" t="s">
        <v>38</v>
      </c>
      <c r="E944">
        <v>35650</v>
      </c>
      <c r="F944" s="24">
        <f>especies_ativa_codibama[[#This Row],[Código]]</f>
        <v>34125</v>
      </c>
      <c r="G944" s="40" t="str">
        <f>especies_ativa_codibama[[#This Row],[Nome popular]]</f>
        <v>---</v>
      </c>
      <c r="H944" s="40" t="str">
        <f>especies_ativa_codibama[[#This Row],[Nome científico]]</f>
        <v>Vismia japurensis</v>
      </c>
    </row>
    <row r="945" spans="1:8" x14ac:dyDescent="0.25">
      <c r="A945">
        <v>34131</v>
      </c>
      <c r="B945" t="s">
        <v>106</v>
      </c>
      <c r="C945" t="s">
        <v>1326</v>
      </c>
      <c r="D945" t="s">
        <v>38</v>
      </c>
      <c r="E945">
        <v>33388</v>
      </c>
      <c r="F945" s="24">
        <f>especies_ativa_codibama[[#This Row],[Código]]</f>
        <v>34131</v>
      </c>
      <c r="G945" s="40" t="str">
        <f>especies_ativa_codibama[[#This Row],[Nome popular]]</f>
        <v>---</v>
      </c>
      <c r="H945" s="40" t="str">
        <f>especies_ativa_codibama[[#This Row],[Nome científico]]</f>
        <v>Lacistema aggregatum</v>
      </c>
    </row>
    <row r="946" spans="1:8" x14ac:dyDescent="0.25">
      <c r="A946">
        <v>34132</v>
      </c>
      <c r="B946" t="s">
        <v>106</v>
      </c>
      <c r="C946" t="s">
        <v>1327</v>
      </c>
      <c r="D946" t="s">
        <v>38</v>
      </c>
      <c r="E946">
        <v>35155</v>
      </c>
      <c r="F946" s="24">
        <f>especies_ativa_codibama[[#This Row],[Código]]</f>
        <v>34132</v>
      </c>
      <c r="G946" s="40" t="str">
        <f>especies_ativa_codibama[[#This Row],[Nome popular]]</f>
        <v>---</v>
      </c>
      <c r="H946" s="40" t="str">
        <f>especies_ativa_codibama[[#This Row],[Nome científico]]</f>
        <v>Lacistema hasslerianum</v>
      </c>
    </row>
    <row r="947" spans="1:8" x14ac:dyDescent="0.25">
      <c r="A947">
        <v>34133</v>
      </c>
      <c r="B947" t="s">
        <v>106</v>
      </c>
      <c r="C947" t="s">
        <v>1328</v>
      </c>
      <c r="D947" t="s">
        <v>38</v>
      </c>
      <c r="E947">
        <v>1929686</v>
      </c>
      <c r="F947" s="24">
        <f>especies_ativa_codibama[[#This Row],[Código]]</f>
        <v>34133</v>
      </c>
      <c r="G947" s="40" t="str">
        <f>especies_ativa_codibama[[#This Row],[Nome popular]]</f>
        <v>---</v>
      </c>
      <c r="H947" s="40" t="str">
        <f>especies_ativa_codibama[[#This Row],[Nome científico]]</f>
        <v>Lacistema pubescens</v>
      </c>
    </row>
    <row r="948" spans="1:8" x14ac:dyDescent="0.25">
      <c r="A948">
        <v>34156</v>
      </c>
      <c r="B948" t="s">
        <v>106</v>
      </c>
      <c r="C948" t="s">
        <v>1329</v>
      </c>
      <c r="D948" t="s">
        <v>79</v>
      </c>
      <c r="E948">
        <v>35272</v>
      </c>
      <c r="F948" s="24">
        <f>especies_ativa_codibama[[#This Row],[Código]]</f>
        <v>34156</v>
      </c>
      <c r="G948" s="40" t="str">
        <f>especies_ativa_codibama[[#This Row],[Nome popular]]</f>
        <v>---</v>
      </c>
      <c r="H948" s="40" t="str">
        <f>especies_ativa_codibama[[#This Row],[Nome científico]]</f>
        <v>Aegiphila pernambucensis</v>
      </c>
    </row>
    <row r="949" spans="1:8" x14ac:dyDescent="0.25">
      <c r="A949">
        <v>34157</v>
      </c>
      <c r="B949" t="s">
        <v>106</v>
      </c>
      <c r="C949" t="s">
        <v>1330</v>
      </c>
      <c r="D949" t="s">
        <v>196</v>
      </c>
      <c r="E949">
        <v>36265</v>
      </c>
      <c r="F949" s="24">
        <f>especies_ativa_codibama[[#This Row],[Código]]</f>
        <v>34157</v>
      </c>
      <c r="G949" s="40" t="str">
        <f>especies_ativa_codibama[[#This Row],[Nome popular]]</f>
        <v>---</v>
      </c>
      <c r="H949" s="40" t="str">
        <f>especies_ativa_codibama[[#This Row],[Nome científico]]</f>
        <v>Vitex hypoleuca</v>
      </c>
    </row>
    <row r="950" spans="1:8" x14ac:dyDescent="0.25">
      <c r="A950">
        <v>34159</v>
      </c>
      <c r="B950" t="s">
        <v>1331</v>
      </c>
      <c r="C950" t="s">
        <v>1332</v>
      </c>
      <c r="D950" t="s">
        <v>126</v>
      </c>
      <c r="E950">
        <v>35434</v>
      </c>
      <c r="F950" s="24">
        <f>especies_ativa_codibama[[#This Row],[Código]]</f>
        <v>34159</v>
      </c>
      <c r="G950" s="40" t="str">
        <f>especies_ativa_codibama[[#This Row],[Nome popular]]</f>
        <v>catinga-de-bode,</v>
      </c>
      <c r="H950" s="40" t="str">
        <f>especies_ativa_codibama[[#This Row],[Nome científico]]</f>
        <v>Hyptidendron asperrimum</v>
      </c>
    </row>
    <row r="951" spans="1:8" x14ac:dyDescent="0.25">
      <c r="A951">
        <v>34161</v>
      </c>
      <c r="B951" t="s">
        <v>1333</v>
      </c>
      <c r="C951" t="s">
        <v>1334</v>
      </c>
      <c r="D951" t="s">
        <v>38</v>
      </c>
      <c r="E951">
        <v>35169</v>
      </c>
      <c r="F951" s="24">
        <f>especies_ativa_codibama[[#This Row],[Código]]</f>
        <v>34161</v>
      </c>
      <c r="G951" s="40" t="str">
        <f>especies_ativa_codibama[[#This Row],[Nome popular]]</f>
        <v>tarumã</v>
      </c>
      <c r="H951" s="40" t="str">
        <f>especies_ativa_codibama[[#This Row],[Nome científico]]</f>
        <v>Vitex triflora</v>
      </c>
    </row>
    <row r="952" spans="1:8" x14ac:dyDescent="0.25">
      <c r="A952">
        <v>34162</v>
      </c>
      <c r="B952" t="s">
        <v>106</v>
      </c>
      <c r="C952" t="s">
        <v>1335</v>
      </c>
      <c r="D952" t="s">
        <v>38</v>
      </c>
      <c r="E952">
        <v>1994410</v>
      </c>
      <c r="F952" s="24">
        <f>especies_ativa_codibama[[#This Row],[Código]]</f>
        <v>34162</v>
      </c>
      <c r="G952" s="40" t="str">
        <f>especies_ativa_codibama[[#This Row],[Nome popular]]</f>
        <v>---</v>
      </c>
      <c r="H952" s="40" t="str">
        <f>especies_ativa_codibama[[#This Row],[Nome científico]]</f>
        <v>Eriope latifolia</v>
      </c>
    </row>
    <row r="953" spans="1:8" x14ac:dyDescent="0.25">
      <c r="A953">
        <v>34175</v>
      </c>
      <c r="B953" t="s">
        <v>106</v>
      </c>
      <c r="C953" t="s">
        <v>1336</v>
      </c>
      <c r="D953" t="s">
        <v>38</v>
      </c>
      <c r="E953">
        <v>1072360</v>
      </c>
      <c r="F953" s="24">
        <f>especies_ativa_codibama[[#This Row],[Código]]</f>
        <v>34175</v>
      </c>
      <c r="G953" s="40" t="str">
        <f>especies_ativa_codibama[[#This Row],[Nome popular]]</f>
        <v>---</v>
      </c>
      <c r="H953" s="40" t="str">
        <f>especies_ativa_codibama[[#This Row],[Nome científico]]</f>
        <v>Aegiphila integrifolia</v>
      </c>
    </row>
    <row r="954" spans="1:8" x14ac:dyDescent="0.25">
      <c r="A954">
        <v>34178</v>
      </c>
      <c r="B954" t="s">
        <v>106</v>
      </c>
      <c r="C954" t="s">
        <v>1337</v>
      </c>
      <c r="D954" t="s">
        <v>38</v>
      </c>
      <c r="E954">
        <v>1982473</v>
      </c>
      <c r="F954" s="24">
        <f>especies_ativa_codibama[[#This Row],[Código]]</f>
        <v>34178</v>
      </c>
      <c r="G954" s="40" t="str">
        <f>especies_ativa_codibama[[#This Row],[Nome popular]]</f>
        <v>---</v>
      </c>
      <c r="H954" s="40" t="str">
        <f>especies_ativa_codibama[[#This Row],[Nome científico]]</f>
        <v>Aegiphila verticillata</v>
      </c>
    </row>
    <row r="955" spans="1:8" x14ac:dyDescent="0.25">
      <c r="A955">
        <v>34179</v>
      </c>
      <c r="B955" t="s">
        <v>106</v>
      </c>
      <c r="C955" t="s">
        <v>1338</v>
      </c>
      <c r="D955" t="s">
        <v>38</v>
      </c>
      <c r="E955">
        <v>35651</v>
      </c>
      <c r="F955" s="24">
        <f>especies_ativa_codibama[[#This Row],[Código]]</f>
        <v>34179</v>
      </c>
      <c r="G955" s="40" t="str">
        <f>especies_ativa_codibama[[#This Row],[Nome popular]]</f>
        <v>---</v>
      </c>
      <c r="H955" s="40" t="str">
        <f>especies_ativa_codibama[[#This Row],[Nome científico]]</f>
        <v>Vitex cymosa</v>
      </c>
    </row>
    <row r="956" spans="1:8" x14ac:dyDescent="0.25">
      <c r="A956">
        <v>34180</v>
      </c>
      <c r="B956" t="s">
        <v>106</v>
      </c>
      <c r="C956" t="s">
        <v>1339</v>
      </c>
      <c r="D956" t="s">
        <v>38</v>
      </c>
      <c r="E956">
        <v>33614</v>
      </c>
      <c r="F956" s="24">
        <f>especies_ativa_codibama[[#This Row],[Código]]</f>
        <v>34180</v>
      </c>
      <c r="G956" s="40" t="str">
        <f>especies_ativa_codibama[[#This Row],[Nome popular]]</f>
        <v>---</v>
      </c>
      <c r="H956" s="40" t="str">
        <f>especies_ativa_codibama[[#This Row],[Nome científico]]</f>
        <v>Hyptidendron canum</v>
      </c>
    </row>
    <row r="957" spans="1:8" x14ac:dyDescent="0.25">
      <c r="A957">
        <v>34183</v>
      </c>
      <c r="B957" t="s">
        <v>106</v>
      </c>
      <c r="C957" t="s">
        <v>1340</v>
      </c>
      <c r="D957" t="s">
        <v>38</v>
      </c>
      <c r="E957">
        <v>34444</v>
      </c>
      <c r="F957" s="24">
        <f>especies_ativa_codibama[[#This Row],[Código]]</f>
        <v>34183</v>
      </c>
      <c r="G957" s="40" t="str">
        <f>especies_ativa_codibama[[#This Row],[Nome popular]]</f>
        <v>---</v>
      </c>
      <c r="H957" s="40" t="str">
        <f>especies_ativa_codibama[[#This Row],[Nome científico]]</f>
        <v>Vitex orinocensis</v>
      </c>
    </row>
    <row r="958" spans="1:8" x14ac:dyDescent="0.25">
      <c r="A958">
        <v>34184</v>
      </c>
      <c r="B958" t="s">
        <v>106</v>
      </c>
      <c r="C958" t="s">
        <v>1341</v>
      </c>
      <c r="D958" t="s">
        <v>38</v>
      </c>
      <c r="E958">
        <v>32679</v>
      </c>
      <c r="F958" s="24">
        <f>especies_ativa_codibama[[#This Row],[Código]]</f>
        <v>34184</v>
      </c>
      <c r="G958" s="40" t="str">
        <f>especies_ativa_codibama[[#This Row],[Nome popular]]</f>
        <v>---</v>
      </c>
      <c r="H958" s="40" t="str">
        <f>especies_ativa_codibama[[#This Row],[Nome científico]]</f>
        <v>Vitex megapotamica</v>
      </c>
    </row>
    <row r="959" spans="1:8" x14ac:dyDescent="0.25">
      <c r="A959">
        <v>34187</v>
      </c>
      <c r="B959" t="s">
        <v>106</v>
      </c>
      <c r="C959" t="s">
        <v>1342</v>
      </c>
      <c r="D959" t="s">
        <v>38</v>
      </c>
      <c r="E959">
        <v>33242</v>
      </c>
      <c r="F959" s="24">
        <f>especies_ativa_codibama[[#This Row],[Código]]</f>
        <v>34187</v>
      </c>
      <c r="G959" s="40" t="str">
        <f>especies_ativa_codibama[[#This Row],[Nome popular]]</f>
        <v>---</v>
      </c>
      <c r="H959" s="40" t="str">
        <f>especies_ativa_codibama[[#This Row],[Nome científico]]</f>
        <v>Vitex flavens</v>
      </c>
    </row>
    <row r="960" spans="1:8" x14ac:dyDescent="0.25">
      <c r="A960">
        <v>34192</v>
      </c>
      <c r="B960" t="s">
        <v>106</v>
      </c>
      <c r="C960" t="s">
        <v>1343</v>
      </c>
      <c r="D960" t="s">
        <v>38</v>
      </c>
      <c r="E960">
        <v>36266</v>
      </c>
      <c r="F960" s="24">
        <f>especies_ativa_codibama[[#This Row],[Código]]</f>
        <v>34192</v>
      </c>
      <c r="G960" s="40" t="str">
        <f>especies_ativa_codibama[[#This Row],[Nome popular]]</f>
        <v>---</v>
      </c>
      <c r="H960" s="40" t="str">
        <f>especies_ativa_codibama[[#This Row],[Nome científico]]</f>
        <v>Vitex polygama</v>
      </c>
    </row>
    <row r="961" spans="1:8" x14ac:dyDescent="0.25">
      <c r="A961">
        <v>34193</v>
      </c>
      <c r="B961" t="s">
        <v>106</v>
      </c>
      <c r="C961" t="s">
        <v>1344</v>
      </c>
      <c r="D961" t="s">
        <v>38</v>
      </c>
      <c r="E961">
        <v>35652</v>
      </c>
      <c r="F961" s="24">
        <f>especies_ativa_codibama[[#This Row],[Código]]</f>
        <v>34193</v>
      </c>
      <c r="G961" s="40" t="str">
        <f>especies_ativa_codibama[[#This Row],[Nome popular]]</f>
        <v>---</v>
      </c>
      <c r="H961" s="40" t="str">
        <f>especies_ativa_codibama[[#This Row],[Nome científico]]</f>
        <v>Vitex sellowiana</v>
      </c>
    </row>
    <row r="962" spans="1:8" x14ac:dyDescent="0.25">
      <c r="A962">
        <v>34194</v>
      </c>
      <c r="B962" t="s">
        <v>106</v>
      </c>
      <c r="C962" t="s">
        <v>1345</v>
      </c>
      <c r="D962" t="s">
        <v>196</v>
      </c>
      <c r="E962">
        <v>34059</v>
      </c>
      <c r="F962" s="24">
        <f>especies_ativa_codibama[[#This Row],[Código]]</f>
        <v>34194</v>
      </c>
      <c r="G962" s="40" t="str">
        <f>especies_ativa_codibama[[#This Row],[Nome popular]]</f>
        <v>---</v>
      </c>
      <c r="H962" s="40" t="str">
        <f>especies_ativa_codibama[[#This Row],[Nome científico]]</f>
        <v>Vitex vauthieri</v>
      </c>
    </row>
    <row r="963" spans="1:8" x14ac:dyDescent="0.25">
      <c r="A963">
        <v>34195</v>
      </c>
      <c r="B963" t="s">
        <v>106</v>
      </c>
      <c r="C963" t="s">
        <v>1346</v>
      </c>
      <c r="D963" t="s">
        <v>38</v>
      </c>
      <c r="E963">
        <v>32619</v>
      </c>
      <c r="F963" s="24">
        <f>especies_ativa_codibama[[#This Row],[Código]]</f>
        <v>34195</v>
      </c>
      <c r="G963" s="40" t="str">
        <f>especies_ativa_codibama[[#This Row],[Nome popular]]</f>
        <v>---</v>
      </c>
      <c r="H963" s="40" t="str">
        <f>especies_ativa_codibama[[#This Row],[Nome científico]]</f>
        <v>Vitex gardneriana</v>
      </c>
    </row>
    <row r="964" spans="1:8" x14ac:dyDescent="0.25">
      <c r="A964">
        <v>34199</v>
      </c>
      <c r="B964" t="s">
        <v>1347</v>
      </c>
      <c r="C964" t="s">
        <v>1348</v>
      </c>
      <c r="D964" t="s">
        <v>196</v>
      </c>
      <c r="E964">
        <v>32492</v>
      </c>
      <c r="F964" s="24">
        <f>especies_ativa_codibama[[#This Row],[Código]]</f>
        <v>34199</v>
      </c>
      <c r="G964" s="40" t="str">
        <f>especies_ativa_codibama[[#This Row],[Nome popular]]</f>
        <v>canela sassafrás</v>
      </c>
      <c r="H964" s="40" t="str">
        <f>especies_ativa_codibama[[#This Row],[Nome científico]]</f>
        <v>Ocotea odorifera</v>
      </c>
    </row>
    <row r="965" spans="1:8" x14ac:dyDescent="0.25">
      <c r="A965">
        <v>34203</v>
      </c>
      <c r="B965" t="s">
        <v>106</v>
      </c>
      <c r="C965" t="s">
        <v>1349</v>
      </c>
      <c r="D965" t="s">
        <v>196</v>
      </c>
      <c r="E965">
        <v>35516</v>
      </c>
      <c r="F965" s="24">
        <f>especies_ativa_codibama[[#This Row],[Código]]</f>
        <v>34203</v>
      </c>
      <c r="G965" s="40" t="str">
        <f>especies_ativa_codibama[[#This Row],[Nome popular]]</f>
        <v>---</v>
      </c>
      <c r="H965" s="40" t="str">
        <f>especies_ativa_codibama[[#This Row],[Nome científico]]</f>
        <v>Ocotea porosa</v>
      </c>
    </row>
    <row r="966" spans="1:8" x14ac:dyDescent="0.25">
      <c r="A966">
        <v>34204</v>
      </c>
      <c r="B966" t="s">
        <v>106</v>
      </c>
      <c r="C966" t="s">
        <v>1350</v>
      </c>
      <c r="D966" t="s">
        <v>196</v>
      </c>
      <c r="E966">
        <v>1998416</v>
      </c>
      <c r="F966" s="24">
        <f>especies_ativa_codibama[[#This Row],[Código]]</f>
        <v>34204</v>
      </c>
      <c r="G966" s="40" t="str">
        <f>especies_ativa_codibama[[#This Row],[Nome popular]]</f>
        <v>---</v>
      </c>
      <c r="H966" s="40" t="str">
        <f>especies_ativa_codibama[[#This Row],[Nome científico]]</f>
        <v>Ocotea tabacifolia</v>
      </c>
    </row>
    <row r="967" spans="1:8" x14ac:dyDescent="0.25">
      <c r="A967">
        <v>34206</v>
      </c>
      <c r="B967" t="s">
        <v>1351</v>
      </c>
      <c r="C967" t="s">
        <v>1352</v>
      </c>
      <c r="D967" t="s">
        <v>79</v>
      </c>
      <c r="E967">
        <v>33091</v>
      </c>
      <c r="F967" s="24">
        <f>especies_ativa_codibama[[#This Row],[Código]]</f>
        <v>34206</v>
      </c>
      <c r="G967" s="40" t="str">
        <f>especies_ativa_codibama[[#This Row],[Nome popular]]</f>
        <v>canela branca</v>
      </c>
      <c r="H967" s="40" t="str">
        <f>especies_ativa_codibama[[#This Row],[Nome científico]]</f>
        <v>Nectandra leucantha</v>
      </c>
    </row>
    <row r="968" spans="1:8" x14ac:dyDescent="0.25">
      <c r="A968">
        <v>34212</v>
      </c>
      <c r="B968" t="s">
        <v>1353</v>
      </c>
      <c r="C968" t="s">
        <v>1354</v>
      </c>
      <c r="D968" t="s">
        <v>79</v>
      </c>
      <c r="E968">
        <v>1998414</v>
      </c>
      <c r="F968" s="24">
        <f>especies_ativa_codibama[[#This Row],[Código]]</f>
        <v>34212</v>
      </c>
      <c r="G968" s="40" t="str">
        <f>especies_ativa_codibama[[#This Row],[Nome popular]]</f>
        <v>canela-copaíba, canela-preta</v>
      </c>
      <c r="H968" s="40" t="str">
        <f>especies_ativa_codibama[[#This Row],[Nome científico]]</f>
        <v>Ocotea silvestris</v>
      </c>
    </row>
    <row r="969" spans="1:8" x14ac:dyDescent="0.25">
      <c r="A969">
        <v>34213</v>
      </c>
      <c r="B969" t="s">
        <v>1355</v>
      </c>
      <c r="C969" t="s">
        <v>1356</v>
      </c>
      <c r="D969" t="s">
        <v>79</v>
      </c>
      <c r="E969">
        <v>34802</v>
      </c>
      <c r="F969" s="24">
        <f>especies_ativa_codibama[[#This Row],[Código]]</f>
        <v>34213</v>
      </c>
      <c r="G969" s="40" t="str">
        <f>especies_ativa_codibama[[#This Row],[Nome popular]]</f>
        <v>canela-inhotinga, noz-moscada-do-brasil</v>
      </c>
      <c r="H969" s="40" t="str">
        <f>especies_ativa_codibama[[#This Row],[Nome científico]]</f>
        <v>Cryptocarya mandioccana</v>
      </c>
    </row>
    <row r="970" spans="1:8" x14ac:dyDescent="0.25">
      <c r="A970">
        <v>34214</v>
      </c>
      <c r="B970" t="s">
        <v>1357</v>
      </c>
      <c r="C970" t="s">
        <v>1358</v>
      </c>
      <c r="D970" t="s">
        <v>79</v>
      </c>
      <c r="E970">
        <v>36127</v>
      </c>
      <c r="F970" s="24">
        <f>especies_ativa_codibama[[#This Row],[Código]]</f>
        <v>34214</v>
      </c>
      <c r="G970" s="40" t="str">
        <f>especies_ativa_codibama[[#This Row],[Nome popular]]</f>
        <v>canela-jacuá, canela-pimenta</v>
      </c>
      <c r="H970" s="40" t="str">
        <f>especies_ativa_codibama[[#This Row],[Nome científico]]</f>
        <v>Ocotea teleiandra</v>
      </c>
    </row>
    <row r="971" spans="1:8" x14ac:dyDescent="0.25">
      <c r="A971">
        <v>34216</v>
      </c>
      <c r="B971" t="s">
        <v>1359</v>
      </c>
      <c r="C971" t="s">
        <v>1360</v>
      </c>
      <c r="D971" t="s">
        <v>79</v>
      </c>
      <c r="E971">
        <v>34942</v>
      </c>
      <c r="F971" s="24">
        <f>especies_ativa_codibama[[#This Row],[Código]]</f>
        <v>34216</v>
      </c>
      <c r="G971" s="40" t="str">
        <f>especies_ativa_codibama[[#This Row],[Nome popular]]</f>
        <v>Canelão</v>
      </c>
      <c r="H971" s="40" t="str">
        <f>especies_ativa_codibama[[#This Row],[Nome científico]]</f>
        <v>Ocotea spixiana</v>
      </c>
    </row>
    <row r="972" spans="1:8" x14ac:dyDescent="0.25">
      <c r="A972">
        <v>34220</v>
      </c>
      <c r="B972" t="s">
        <v>1361</v>
      </c>
      <c r="C972" t="s">
        <v>1362</v>
      </c>
      <c r="D972" t="s">
        <v>79</v>
      </c>
      <c r="E972">
        <v>32486</v>
      </c>
      <c r="F972" s="24">
        <f>especies_ativa_codibama[[#This Row],[Código]]</f>
        <v>34220</v>
      </c>
      <c r="G972" s="40" t="str">
        <f>especies_ativa_codibama[[#This Row],[Nome popular]]</f>
        <v>louro</v>
      </c>
      <c r="H972" s="40" t="str">
        <f>especies_ativa_codibama[[#This Row],[Nome científico]]</f>
        <v>Nectandra warmingii</v>
      </c>
    </row>
    <row r="973" spans="1:8" x14ac:dyDescent="0.25">
      <c r="A973">
        <v>34225</v>
      </c>
      <c r="B973" t="s">
        <v>106</v>
      </c>
      <c r="C973" t="s">
        <v>1363</v>
      </c>
      <c r="D973" t="s">
        <v>79</v>
      </c>
      <c r="E973">
        <v>31859</v>
      </c>
      <c r="F973" s="24">
        <f>especies_ativa_codibama[[#This Row],[Código]]</f>
        <v>34225</v>
      </c>
      <c r="G973" s="40" t="str">
        <f>especies_ativa_codibama[[#This Row],[Nome popular]]</f>
        <v>---</v>
      </c>
      <c r="H973" s="40" t="str">
        <f>especies_ativa_codibama[[#This Row],[Nome científico]]</f>
        <v>Ocotea densiflora</v>
      </c>
    </row>
    <row r="974" spans="1:8" x14ac:dyDescent="0.25">
      <c r="A974">
        <v>34226</v>
      </c>
      <c r="B974" t="s">
        <v>106</v>
      </c>
      <c r="C974" t="s">
        <v>1364</v>
      </c>
      <c r="D974" t="s">
        <v>79</v>
      </c>
      <c r="E974">
        <v>34330</v>
      </c>
      <c r="F974" s="24">
        <f>especies_ativa_codibama[[#This Row],[Código]]</f>
        <v>34226</v>
      </c>
      <c r="G974" s="40" t="str">
        <f>especies_ativa_codibama[[#This Row],[Nome popular]]</f>
        <v>---</v>
      </c>
      <c r="H974" s="40" t="str">
        <f>especies_ativa_codibama[[#This Row],[Nome científico]]</f>
        <v>Persea splendens</v>
      </c>
    </row>
    <row r="975" spans="1:8" x14ac:dyDescent="0.25">
      <c r="A975">
        <v>34230</v>
      </c>
      <c r="B975" t="s">
        <v>106</v>
      </c>
      <c r="C975" t="s">
        <v>1365</v>
      </c>
      <c r="D975" t="s">
        <v>196</v>
      </c>
      <c r="E975">
        <v>32182</v>
      </c>
      <c r="F975" s="24">
        <f>especies_ativa_codibama[[#This Row],[Código]]</f>
        <v>34230</v>
      </c>
      <c r="G975" s="40" t="str">
        <f>especies_ativa_codibama[[#This Row],[Nome popular]]</f>
        <v>---</v>
      </c>
      <c r="H975" s="40" t="str">
        <f>especies_ativa_codibama[[#This Row],[Nome científico]]</f>
        <v>Persea fusca</v>
      </c>
    </row>
    <row r="976" spans="1:8" x14ac:dyDescent="0.25">
      <c r="A976">
        <v>34234</v>
      </c>
      <c r="B976" t="s">
        <v>106</v>
      </c>
      <c r="C976" t="s">
        <v>1366</v>
      </c>
      <c r="D976" t="s">
        <v>79</v>
      </c>
      <c r="E976">
        <v>1982143</v>
      </c>
      <c r="F976" s="24">
        <f>especies_ativa_codibama[[#This Row],[Código]]</f>
        <v>34234</v>
      </c>
      <c r="G976" s="40" t="str">
        <f>especies_ativa_codibama[[#This Row],[Nome popular]]</f>
        <v>---</v>
      </c>
      <c r="H976" s="40" t="str">
        <f>especies_ativa_codibama[[#This Row],[Nome científico]]</f>
        <v>Ocotea daphnifolia</v>
      </c>
    </row>
    <row r="977" spans="1:8" x14ac:dyDescent="0.25">
      <c r="A977">
        <v>34243</v>
      </c>
      <c r="B977" t="s">
        <v>106</v>
      </c>
      <c r="C977" t="s">
        <v>1367</v>
      </c>
      <c r="D977" t="s">
        <v>196</v>
      </c>
      <c r="E977">
        <v>35515</v>
      </c>
      <c r="F977" s="24">
        <f>especies_ativa_codibama[[#This Row],[Código]]</f>
        <v>34243</v>
      </c>
      <c r="G977" s="40" t="str">
        <f>especies_ativa_codibama[[#This Row],[Nome popular]]</f>
        <v>---</v>
      </c>
      <c r="H977" s="40" t="str">
        <f>especies_ativa_codibama[[#This Row],[Nome científico]]</f>
        <v>Ocotea odorata</v>
      </c>
    </row>
    <row r="978" spans="1:8" x14ac:dyDescent="0.25">
      <c r="A978">
        <v>34246</v>
      </c>
      <c r="B978" t="s">
        <v>106</v>
      </c>
      <c r="C978" t="s">
        <v>1368</v>
      </c>
      <c r="D978" t="s">
        <v>79</v>
      </c>
      <c r="E978">
        <v>31861</v>
      </c>
      <c r="F978" s="24">
        <f>especies_ativa_codibama[[#This Row],[Código]]</f>
        <v>34246</v>
      </c>
      <c r="G978" s="40" t="str">
        <f>especies_ativa_codibama[[#This Row],[Nome popular]]</f>
        <v>---</v>
      </c>
      <c r="H978" s="40" t="str">
        <f>especies_ativa_codibama[[#This Row],[Nome científico]]</f>
        <v>Ocotea indecora</v>
      </c>
    </row>
    <row r="979" spans="1:8" x14ac:dyDescent="0.25">
      <c r="A979">
        <v>34247</v>
      </c>
      <c r="B979" t="s">
        <v>106</v>
      </c>
      <c r="C979" t="s">
        <v>1369</v>
      </c>
      <c r="D979" t="s">
        <v>79</v>
      </c>
      <c r="E979">
        <v>33411</v>
      </c>
      <c r="F979" s="24">
        <f>especies_ativa_codibama[[#This Row],[Código]]</f>
        <v>34247</v>
      </c>
      <c r="G979" s="40" t="str">
        <f>especies_ativa_codibama[[#This Row],[Nome popular]]</f>
        <v>---</v>
      </c>
      <c r="H979" s="40" t="str">
        <f>especies_ativa_codibama[[#This Row],[Nome científico]]</f>
        <v>Ocotea prolifera</v>
      </c>
    </row>
    <row r="980" spans="1:8" x14ac:dyDescent="0.25">
      <c r="A980">
        <v>34248</v>
      </c>
      <c r="B980" t="s">
        <v>106</v>
      </c>
      <c r="C980" t="s">
        <v>1370</v>
      </c>
      <c r="D980" t="s">
        <v>79</v>
      </c>
      <c r="E980">
        <v>32490</v>
      </c>
      <c r="F980" s="24">
        <f>especies_ativa_codibama[[#This Row],[Código]]</f>
        <v>34248</v>
      </c>
      <c r="G980" s="40" t="str">
        <f>especies_ativa_codibama[[#This Row],[Nome popular]]</f>
        <v>---</v>
      </c>
      <c r="H980" s="40" t="str">
        <f>especies_ativa_codibama[[#This Row],[Nome científico]]</f>
        <v>Ocotea divaricata</v>
      </c>
    </row>
    <row r="981" spans="1:8" x14ac:dyDescent="0.25">
      <c r="A981">
        <v>34249</v>
      </c>
      <c r="B981" t="s">
        <v>106</v>
      </c>
      <c r="C981" t="s">
        <v>1371</v>
      </c>
      <c r="D981" t="s">
        <v>79</v>
      </c>
      <c r="E981">
        <v>1982156</v>
      </c>
      <c r="F981" s="24">
        <f>especies_ativa_codibama[[#This Row],[Código]]</f>
        <v>34249</v>
      </c>
      <c r="G981" s="40" t="str">
        <f>especies_ativa_codibama[[#This Row],[Nome popular]]</f>
        <v>---</v>
      </c>
      <c r="H981" s="40" t="str">
        <f>especies_ativa_codibama[[#This Row],[Nome científico]]</f>
        <v>Ocotea glauca</v>
      </c>
    </row>
    <row r="982" spans="1:8" x14ac:dyDescent="0.25">
      <c r="A982">
        <v>34256</v>
      </c>
      <c r="B982" t="s">
        <v>106</v>
      </c>
      <c r="C982" t="s">
        <v>1372</v>
      </c>
      <c r="D982" t="s">
        <v>79</v>
      </c>
      <c r="E982">
        <v>34315</v>
      </c>
      <c r="F982" s="24">
        <f>especies_ativa_codibama[[#This Row],[Código]]</f>
        <v>34256</v>
      </c>
      <c r="G982" s="40" t="str">
        <f>especies_ativa_codibama[[#This Row],[Nome popular]]</f>
        <v>---</v>
      </c>
      <c r="H982" s="40" t="str">
        <f>especies_ativa_codibama[[#This Row],[Nome científico]]</f>
        <v>Ocotea dispersa</v>
      </c>
    </row>
    <row r="983" spans="1:8" x14ac:dyDescent="0.25">
      <c r="A983">
        <v>34258</v>
      </c>
      <c r="B983" t="s">
        <v>106</v>
      </c>
      <c r="C983" t="s">
        <v>1373</v>
      </c>
      <c r="D983" t="s">
        <v>79</v>
      </c>
      <c r="E983">
        <v>35517</v>
      </c>
      <c r="F983" s="24">
        <f>especies_ativa_codibama[[#This Row],[Código]]</f>
        <v>34258</v>
      </c>
      <c r="G983" s="40" t="str">
        <f>especies_ativa_codibama[[#This Row],[Nome popular]]</f>
        <v>---</v>
      </c>
      <c r="H983" s="40" t="str">
        <f>especies_ativa_codibama[[#This Row],[Nome científico]]</f>
        <v>Ocotea tenuiflora</v>
      </c>
    </row>
    <row r="984" spans="1:8" x14ac:dyDescent="0.25">
      <c r="A984">
        <v>34274</v>
      </c>
      <c r="B984" t="s">
        <v>1374</v>
      </c>
      <c r="C984" t="s">
        <v>1375</v>
      </c>
      <c r="D984" t="s">
        <v>126</v>
      </c>
      <c r="E984">
        <v>36385</v>
      </c>
      <c r="F984" s="24">
        <f>especies_ativa_codibama[[#This Row],[Código]]</f>
        <v>34274</v>
      </c>
      <c r="G984" s="40" t="str">
        <f>especies_ativa_codibama[[#This Row],[Nome popular]]</f>
        <v>canela</v>
      </c>
      <c r="H984" s="40" t="str">
        <f>especies_ativa_codibama[[#This Row],[Nome científico]]</f>
        <v>Nectandra psammophila</v>
      </c>
    </row>
    <row r="985" spans="1:8" x14ac:dyDescent="0.25">
      <c r="A985">
        <v>34275</v>
      </c>
      <c r="B985" t="s">
        <v>1376</v>
      </c>
      <c r="C985" t="s">
        <v>1377</v>
      </c>
      <c r="D985" t="s">
        <v>126</v>
      </c>
      <c r="E985">
        <v>34316</v>
      </c>
      <c r="F985" s="24">
        <f>especies_ativa_codibama[[#This Row],[Código]]</f>
        <v>34275</v>
      </c>
      <c r="G985" s="40" t="str">
        <f>especies_ativa_codibama[[#This Row],[Nome popular]]</f>
        <v>canela do brejo</v>
      </c>
      <c r="H985" s="40" t="str">
        <f>especies_ativa_codibama[[#This Row],[Nome científico]]</f>
        <v>Ocotea tristis</v>
      </c>
    </row>
    <row r="986" spans="1:8" x14ac:dyDescent="0.25">
      <c r="A986">
        <v>34276</v>
      </c>
      <c r="B986" t="s">
        <v>1378</v>
      </c>
      <c r="C986" t="s">
        <v>1379</v>
      </c>
      <c r="D986" t="s">
        <v>126</v>
      </c>
      <c r="E986">
        <v>33679</v>
      </c>
      <c r="F986" s="24">
        <f>especies_ativa_codibama[[#This Row],[Código]]</f>
        <v>34276</v>
      </c>
      <c r="G986" s="40" t="str">
        <f>especies_ativa_codibama[[#This Row],[Nome popular]]</f>
        <v>canela fedida</v>
      </c>
      <c r="H986" s="40" t="str">
        <f>especies_ativa_codibama[[#This Row],[Nome científico]]</f>
        <v>Nectandra cissiflora</v>
      </c>
    </row>
    <row r="987" spans="1:8" x14ac:dyDescent="0.25">
      <c r="A987">
        <v>34277</v>
      </c>
      <c r="B987" t="s">
        <v>1380</v>
      </c>
      <c r="C987" t="s">
        <v>1381</v>
      </c>
      <c r="D987" t="s">
        <v>126</v>
      </c>
      <c r="E987">
        <v>36115</v>
      </c>
      <c r="F987" s="24">
        <f>especies_ativa_codibama[[#This Row],[Código]]</f>
        <v>34277</v>
      </c>
      <c r="G987" s="40" t="str">
        <f>especies_ativa_codibama[[#This Row],[Nome popular]]</f>
        <v>canela, canela fedida</v>
      </c>
      <c r="H987" s="40" t="str">
        <f>especies_ativa_codibama[[#This Row],[Nome científico]]</f>
        <v>Nectandra grandiflora</v>
      </c>
    </row>
    <row r="988" spans="1:8" x14ac:dyDescent="0.25">
      <c r="A988">
        <v>34278</v>
      </c>
      <c r="B988" t="s">
        <v>1382</v>
      </c>
      <c r="C988" t="s">
        <v>1383</v>
      </c>
      <c r="D988" t="s">
        <v>126</v>
      </c>
      <c r="E988">
        <v>36120</v>
      </c>
      <c r="F988" s="24">
        <f>especies_ativa_codibama[[#This Row],[Código]]</f>
        <v>34278</v>
      </c>
      <c r="G988" s="40" t="str">
        <f>especies_ativa_codibama[[#This Row],[Nome popular]]</f>
        <v>canela-branca, canela-fedida</v>
      </c>
      <c r="H988" s="40" t="str">
        <f>especies_ativa_codibama[[#This Row],[Nome científico]]</f>
        <v>Ocotea bicolor</v>
      </c>
    </row>
    <row r="989" spans="1:8" x14ac:dyDescent="0.25">
      <c r="A989">
        <v>34279</v>
      </c>
      <c r="B989" t="s">
        <v>1384</v>
      </c>
      <c r="C989" t="s">
        <v>1385</v>
      </c>
      <c r="D989" t="s">
        <v>126</v>
      </c>
      <c r="E989">
        <v>34939</v>
      </c>
      <c r="F989" s="24">
        <f>especies_ativa_codibama[[#This Row],[Código]]</f>
        <v>34279</v>
      </c>
      <c r="G989" s="40" t="str">
        <f>especies_ativa_codibama[[#This Row],[Nome popular]]</f>
        <v>canela-preta, inhumirim</v>
      </c>
      <c r="H989" s="40" t="str">
        <f>especies_ativa_codibama[[#This Row],[Nome científico]]</f>
        <v>Ocotea pulchella</v>
      </c>
    </row>
    <row r="990" spans="1:8" x14ac:dyDescent="0.25">
      <c r="A990">
        <v>34280</v>
      </c>
      <c r="B990" t="s">
        <v>1386</v>
      </c>
      <c r="C990" t="s">
        <v>1387</v>
      </c>
      <c r="D990" t="s">
        <v>126</v>
      </c>
      <c r="E990">
        <v>35854</v>
      </c>
      <c r="F990" s="24">
        <f>especies_ativa_codibama[[#This Row],[Código]]</f>
        <v>34280</v>
      </c>
      <c r="G990" s="40" t="str">
        <f>especies_ativa_codibama[[#This Row],[Nome popular]]</f>
        <v>sassafrás</v>
      </c>
      <c r="H990" s="40" t="str">
        <f>especies_ativa_codibama[[#This Row],[Nome científico]]</f>
        <v>Aiouea piauhyensis</v>
      </c>
    </row>
    <row r="991" spans="1:8" x14ac:dyDescent="0.25">
      <c r="A991">
        <v>34281</v>
      </c>
      <c r="B991" t="s">
        <v>106</v>
      </c>
      <c r="C991" t="s">
        <v>1388</v>
      </c>
      <c r="D991" t="s">
        <v>126</v>
      </c>
      <c r="E991">
        <v>32215</v>
      </c>
      <c r="F991" s="24">
        <f>especies_ativa_codibama[[#This Row],[Código]]</f>
        <v>34281</v>
      </c>
      <c r="G991" s="40" t="str">
        <f>especies_ativa_codibama[[#This Row],[Nome popular]]</f>
        <v>---</v>
      </c>
      <c r="H991" s="40" t="str">
        <f>especies_ativa_codibama[[#This Row],[Nome científico]]</f>
        <v>Aiouea trinervis</v>
      </c>
    </row>
    <row r="992" spans="1:8" x14ac:dyDescent="0.25">
      <c r="A992">
        <v>34284</v>
      </c>
      <c r="B992" t="s">
        <v>106</v>
      </c>
      <c r="C992" t="s">
        <v>1389</v>
      </c>
      <c r="D992" t="s">
        <v>126</v>
      </c>
      <c r="E992">
        <v>1088469</v>
      </c>
      <c r="F992" s="24">
        <f>especies_ativa_codibama[[#This Row],[Código]]</f>
        <v>34284</v>
      </c>
      <c r="G992" s="40" t="str">
        <f>especies_ativa_codibama[[#This Row],[Nome popular]]</f>
        <v>---</v>
      </c>
      <c r="H992" s="40" t="str">
        <f>especies_ativa_codibama[[#This Row],[Nome científico]]</f>
        <v>Nectandra hihua</v>
      </c>
    </row>
    <row r="993" spans="1:8" x14ac:dyDescent="0.25">
      <c r="A993">
        <v>34286</v>
      </c>
      <c r="B993" t="s">
        <v>106</v>
      </c>
      <c r="C993" t="s">
        <v>1390</v>
      </c>
      <c r="D993" t="s">
        <v>126</v>
      </c>
      <c r="E993">
        <v>32136</v>
      </c>
      <c r="F993" s="24">
        <f>especies_ativa_codibama[[#This Row],[Código]]</f>
        <v>34286</v>
      </c>
      <c r="G993" s="40" t="str">
        <f>especies_ativa_codibama[[#This Row],[Nome popular]]</f>
        <v>---</v>
      </c>
      <c r="H993" s="40" t="str">
        <f>especies_ativa_codibama[[#This Row],[Nome científico]]</f>
        <v>Ocotea pomaderroides</v>
      </c>
    </row>
    <row r="994" spans="1:8" x14ac:dyDescent="0.25">
      <c r="A994">
        <v>34290</v>
      </c>
      <c r="B994" t="s">
        <v>106</v>
      </c>
      <c r="C994" t="s">
        <v>1391</v>
      </c>
      <c r="D994" t="s">
        <v>126</v>
      </c>
      <c r="E994">
        <v>34310</v>
      </c>
      <c r="F994" s="24">
        <f>especies_ativa_codibama[[#This Row],[Código]]</f>
        <v>34290</v>
      </c>
      <c r="G994" s="40" t="str">
        <f>especies_ativa_codibama[[#This Row],[Nome popular]]</f>
        <v>---</v>
      </c>
      <c r="H994" s="40" t="str">
        <f>especies_ativa_codibama[[#This Row],[Nome científico]]</f>
        <v>Nectandra angustifolia</v>
      </c>
    </row>
    <row r="995" spans="1:8" x14ac:dyDescent="0.25">
      <c r="A995">
        <v>34291</v>
      </c>
      <c r="B995" t="s">
        <v>106</v>
      </c>
      <c r="C995" t="s">
        <v>1392</v>
      </c>
      <c r="D995" t="s">
        <v>126</v>
      </c>
      <c r="E995">
        <v>32491</v>
      </c>
      <c r="F995" s="24">
        <f>especies_ativa_codibama[[#This Row],[Código]]</f>
        <v>34291</v>
      </c>
      <c r="G995" s="40" t="str">
        <f>especies_ativa_codibama[[#This Row],[Nome popular]]</f>
        <v>---</v>
      </c>
      <c r="H995" s="40" t="str">
        <f>especies_ativa_codibama[[#This Row],[Nome científico]]</f>
        <v>Ocotea lancifolia</v>
      </c>
    </row>
    <row r="996" spans="1:8" x14ac:dyDescent="0.25">
      <c r="A996">
        <v>34292</v>
      </c>
      <c r="B996" t="s">
        <v>1393</v>
      </c>
      <c r="C996" t="s">
        <v>1394</v>
      </c>
      <c r="D996" t="s">
        <v>38</v>
      </c>
      <c r="E996">
        <v>36386</v>
      </c>
      <c r="F996" s="24">
        <f>especies_ativa_codibama[[#This Row],[Código]]</f>
        <v>34292</v>
      </c>
      <c r="G996" s="40" t="str">
        <f>especies_ativa_codibama[[#This Row],[Nome popular]]</f>
        <v>abacate-do-mato, massaranduba,</v>
      </c>
      <c r="H996" s="40" t="str">
        <f>especies_ativa_codibama[[#This Row],[Nome científico]]</f>
        <v>Persea major</v>
      </c>
    </row>
    <row r="997" spans="1:8" x14ac:dyDescent="0.25">
      <c r="A997">
        <v>34293</v>
      </c>
      <c r="B997" t="s">
        <v>1395</v>
      </c>
      <c r="C997" t="s">
        <v>1396</v>
      </c>
      <c r="D997" t="s">
        <v>38</v>
      </c>
      <c r="E997">
        <v>31689</v>
      </c>
      <c r="F997" s="24">
        <f>especies_ativa_codibama[[#This Row],[Código]]</f>
        <v>34293</v>
      </c>
      <c r="G997" s="40" t="str">
        <f>especies_ativa_codibama[[#This Row],[Nome popular]]</f>
        <v>caiaxio</v>
      </c>
      <c r="H997" s="40" t="str">
        <f>especies_ativa_codibama[[#This Row],[Nome científico]]</f>
        <v>Cryptocarya guianensis</v>
      </c>
    </row>
    <row r="998" spans="1:8" x14ac:dyDescent="0.25">
      <c r="A998">
        <v>34294</v>
      </c>
      <c r="B998" t="s">
        <v>1397</v>
      </c>
      <c r="C998" t="s">
        <v>1398</v>
      </c>
      <c r="D998" t="s">
        <v>38</v>
      </c>
      <c r="E998">
        <v>31850</v>
      </c>
      <c r="F998" s="24">
        <f>especies_ativa_codibama[[#This Row],[Código]]</f>
        <v>34294</v>
      </c>
      <c r="G998" s="40" t="str">
        <f>especies_ativa_codibama[[#This Row],[Nome popular]]</f>
        <v>canela amarela</v>
      </c>
      <c r="H998" s="40" t="str">
        <f>especies_ativa_codibama[[#This Row],[Nome científico]]</f>
        <v>Nectandra nitidula</v>
      </c>
    </row>
    <row r="999" spans="1:8" x14ac:dyDescent="0.25">
      <c r="A999">
        <v>34295</v>
      </c>
      <c r="B999" t="s">
        <v>1397</v>
      </c>
      <c r="C999" t="s">
        <v>1399</v>
      </c>
      <c r="D999" t="s">
        <v>38</v>
      </c>
      <c r="E999">
        <v>33681</v>
      </c>
      <c r="F999" s="24">
        <f>especies_ativa_codibama[[#This Row],[Código]]</f>
        <v>34295</v>
      </c>
      <c r="G999" s="40" t="str">
        <f>especies_ativa_codibama[[#This Row],[Nome popular]]</f>
        <v>canela amarela</v>
      </c>
      <c r="H999" s="40" t="str">
        <f>especies_ativa_codibama[[#This Row],[Nome científico]]</f>
        <v>Nectandra puberula</v>
      </c>
    </row>
    <row r="1000" spans="1:8" x14ac:dyDescent="0.25">
      <c r="A1000">
        <v>34296</v>
      </c>
      <c r="B1000" t="s">
        <v>1397</v>
      </c>
      <c r="C1000" t="s">
        <v>1400</v>
      </c>
      <c r="D1000" t="s">
        <v>38</v>
      </c>
      <c r="E1000">
        <v>34312</v>
      </c>
      <c r="F1000" s="24">
        <f>especies_ativa_codibama[[#This Row],[Código]]</f>
        <v>34296</v>
      </c>
      <c r="G1000" s="40" t="str">
        <f>especies_ativa_codibama[[#This Row],[Nome popular]]</f>
        <v>canela amarela</v>
      </c>
      <c r="H1000" s="40" t="str">
        <f>especies_ativa_codibama[[#This Row],[Nome científico]]</f>
        <v>Nectandra lanceolata</v>
      </c>
    </row>
    <row r="1001" spans="1:8" x14ac:dyDescent="0.25">
      <c r="A1001">
        <v>34297</v>
      </c>
      <c r="B1001" t="s">
        <v>1351</v>
      </c>
      <c r="C1001" t="s">
        <v>1401</v>
      </c>
      <c r="D1001" t="s">
        <v>38</v>
      </c>
      <c r="E1001">
        <v>31849</v>
      </c>
      <c r="F1001" s="24">
        <f>especies_ativa_codibama[[#This Row],[Código]]</f>
        <v>34297</v>
      </c>
      <c r="G1001" s="40" t="str">
        <f>especies_ativa_codibama[[#This Row],[Nome popular]]</f>
        <v>canela branca</v>
      </c>
      <c r="H1001" s="40" t="str">
        <f>especies_ativa_codibama[[#This Row],[Nome científico]]</f>
        <v>Nectandra membranacea</v>
      </c>
    </row>
    <row r="1002" spans="1:8" x14ac:dyDescent="0.25">
      <c r="A1002">
        <v>34299</v>
      </c>
      <c r="B1002" t="s">
        <v>1402</v>
      </c>
      <c r="C1002" t="s">
        <v>1403</v>
      </c>
      <c r="D1002" t="s">
        <v>38</v>
      </c>
      <c r="E1002">
        <v>31858</v>
      </c>
      <c r="F1002" s="24">
        <f>especies_ativa_codibama[[#This Row],[Código]]</f>
        <v>34299</v>
      </c>
      <c r="G1002" s="40" t="str">
        <f>especies_ativa_codibama[[#This Row],[Nome popular]]</f>
        <v>canela de corvo</v>
      </c>
      <c r="H1002" s="40" t="str">
        <f>especies_ativa_codibama[[#This Row],[Nome científico]]</f>
        <v>Ocotea corymbosa</v>
      </c>
    </row>
    <row r="1003" spans="1:8" x14ac:dyDescent="0.25">
      <c r="A1003">
        <v>34300</v>
      </c>
      <c r="B1003" t="s">
        <v>1404</v>
      </c>
      <c r="C1003" t="s">
        <v>139</v>
      </c>
      <c r="D1003" t="s">
        <v>38</v>
      </c>
      <c r="E1003">
        <v>35511</v>
      </c>
      <c r="F1003" s="24">
        <f>especies_ativa_codibama[[#This Row],[Código]]</f>
        <v>34300</v>
      </c>
      <c r="G1003" s="40" t="str">
        <f>especies_ativa_codibama[[#This Row],[Nome popular]]</f>
        <v>canela ferrugem</v>
      </c>
      <c r="H1003" s="40" t="str">
        <f>especies_ativa_codibama[[#This Row],[Nome científico]]</f>
        <v>Nectandra oppositifolia</v>
      </c>
    </row>
    <row r="1004" spans="1:8" x14ac:dyDescent="0.25">
      <c r="A1004">
        <v>34301</v>
      </c>
      <c r="B1004" t="s">
        <v>1405</v>
      </c>
      <c r="C1004" t="s">
        <v>1406</v>
      </c>
      <c r="D1004" t="s">
        <v>38</v>
      </c>
      <c r="E1004">
        <v>31712</v>
      </c>
      <c r="F1004" s="24">
        <f>especies_ativa_codibama[[#This Row],[Código]]</f>
        <v>34301</v>
      </c>
      <c r="G1004" s="40" t="str">
        <f>especies_ativa_codibama[[#This Row],[Nome popular]]</f>
        <v>canela frade, canela garuva</v>
      </c>
      <c r="H1004" s="40" t="str">
        <f>especies_ativa_codibama[[#This Row],[Nome científico]]</f>
        <v>Endlicheria paniculata</v>
      </c>
    </row>
    <row r="1005" spans="1:8" x14ac:dyDescent="0.25">
      <c r="A1005">
        <v>34302</v>
      </c>
      <c r="B1005" t="s">
        <v>1407</v>
      </c>
      <c r="C1005" t="s">
        <v>1408</v>
      </c>
      <c r="D1005" t="s">
        <v>38</v>
      </c>
      <c r="E1005">
        <v>34313</v>
      </c>
      <c r="F1005" s="24">
        <f>especies_ativa_codibama[[#This Row],[Código]]</f>
        <v>34302</v>
      </c>
      <c r="G1005" s="40" t="str">
        <f>especies_ativa_codibama[[#This Row],[Nome popular]]</f>
        <v>canela jacú</v>
      </c>
      <c r="H1005" s="40" t="str">
        <f>especies_ativa_codibama[[#This Row],[Nome científico]]</f>
        <v>Nectandra reticulata</v>
      </c>
    </row>
    <row r="1006" spans="1:8" x14ac:dyDescent="0.25">
      <c r="A1006">
        <v>34303</v>
      </c>
      <c r="B1006" t="s">
        <v>1409</v>
      </c>
      <c r="C1006" t="s">
        <v>1410</v>
      </c>
      <c r="D1006" t="s">
        <v>38</v>
      </c>
      <c r="E1006">
        <v>35086</v>
      </c>
      <c r="F1006" s="24">
        <f>especies_ativa_codibama[[#This Row],[Código]]</f>
        <v>34303</v>
      </c>
      <c r="G1006" s="40" t="str">
        <f>especies_ativa_codibama[[#This Row],[Nome popular]]</f>
        <v>canela-batalha, louro-precioso</v>
      </c>
      <c r="H1006" s="40" t="str">
        <f>especies_ativa_codibama[[#This Row],[Nome científico]]</f>
        <v>Cryptocarya moschata</v>
      </c>
    </row>
    <row r="1007" spans="1:8" x14ac:dyDescent="0.25">
      <c r="A1007">
        <v>34305</v>
      </c>
      <c r="B1007" t="s">
        <v>1411</v>
      </c>
      <c r="C1007" t="s">
        <v>1412</v>
      </c>
      <c r="D1007" t="s">
        <v>38</v>
      </c>
      <c r="E1007">
        <v>35510</v>
      </c>
      <c r="F1007" s="24">
        <f>especies_ativa_codibama[[#This Row],[Código]]</f>
        <v>34305</v>
      </c>
      <c r="G1007" s="40" t="str">
        <f>especies_ativa_codibama[[#This Row],[Nome popular]]</f>
        <v>canelão seboso, louro preto</v>
      </c>
      <c r="H1007" s="40" t="str">
        <f>especies_ativa_codibama[[#This Row],[Nome científico]]</f>
        <v>Nectandra cuspidata</v>
      </c>
    </row>
    <row r="1008" spans="1:8" x14ac:dyDescent="0.25">
      <c r="A1008">
        <v>34306</v>
      </c>
      <c r="B1008" t="s">
        <v>1413</v>
      </c>
      <c r="C1008" t="s">
        <v>1414</v>
      </c>
      <c r="D1008" t="s">
        <v>38</v>
      </c>
      <c r="E1008">
        <v>32866</v>
      </c>
      <c r="F1008" s="24">
        <f>especies_ativa_codibama[[#This Row],[Código]]</f>
        <v>34306</v>
      </c>
      <c r="G1008" s="40" t="str">
        <f>especies_ativa_codibama[[#This Row],[Nome popular]]</f>
        <v>canelão, louro-imuí</v>
      </c>
      <c r="H1008" s="40" t="str">
        <f>especies_ativa_codibama[[#This Row],[Nome científico]]</f>
        <v>Aniba canelilla</v>
      </c>
    </row>
    <row r="1009" spans="1:8" x14ac:dyDescent="0.25">
      <c r="A1009">
        <v>34307</v>
      </c>
      <c r="B1009" t="s">
        <v>1415</v>
      </c>
      <c r="C1009" t="s">
        <v>1416</v>
      </c>
      <c r="D1009" t="s">
        <v>38</v>
      </c>
      <c r="E1009">
        <v>31848</v>
      </c>
      <c r="F1009" s="24">
        <f>especies_ativa_codibama[[#This Row],[Código]]</f>
        <v>34307</v>
      </c>
      <c r="G1009" s="40" t="str">
        <f>especies_ativa_codibama[[#This Row],[Nome popular]]</f>
        <v>canelinha</v>
      </c>
      <c r="H1009" s="40" t="str">
        <f>especies_ativa_codibama[[#This Row],[Nome científico]]</f>
        <v>Nectandra megapotamica</v>
      </c>
    </row>
    <row r="1010" spans="1:8" x14ac:dyDescent="0.25">
      <c r="A1010">
        <v>34308</v>
      </c>
      <c r="B1010" t="s">
        <v>1417</v>
      </c>
      <c r="C1010" t="s">
        <v>1418</v>
      </c>
      <c r="D1010" t="s">
        <v>38</v>
      </c>
      <c r="E1010">
        <v>33663</v>
      </c>
      <c r="F1010" s="24">
        <f>especies_ativa_codibama[[#This Row],[Código]]</f>
        <v>34308</v>
      </c>
      <c r="G1010" s="40" t="str">
        <f>especies_ativa_codibama[[#This Row],[Nome popular]]</f>
        <v>itaúba, itaúba-abacate, itaúba-amarela</v>
      </c>
      <c r="H1010" s="40" t="str">
        <f>especies_ativa_codibama[[#This Row],[Nome científico]]</f>
        <v>Mezilaurus lindaviana</v>
      </c>
    </row>
    <row r="1011" spans="1:8" x14ac:dyDescent="0.25">
      <c r="A1011">
        <v>34310</v>
      </c>
      <c r="B1011" t="s">
        <v>1361</v>
      </c>
      <c r="C1011" t="s">
        <v>1419</v>
      </c>
      <c r="D1011" t="s">
        <v>38</v>
      </c>
      <c r="E1011">
        <v>33682</v>
      </c>
      <c r="F1011" s="24">
        <f>especies_ativa_codibama[[#This Row],[Código]]</f>
        <v>34310</v>
      </c>
      <c r="G1011" s="40" t="str">
        <f>especies_ativa_codibama[[#This Row],[Nome popular]]</f>
        <v>louro</v>
      </c>
      <c r="H1011" s="40" t="str">
        <f>especies_ativa_codibama[[#This Row],[Nome científico]]</f>
        <v>Nectandra purpurea</v>
      </c>
    </row>
    <row r="1012" spans="1:8" x14ac:dyDescent="0.25">
      <c r="A1012">
        <v>34312</v>
      </c>
      <c r="B1012" t="s">
        <v>1361</v>
      </c>
      <c r="C1012" t="s">
        <v>1420</v>
      </c>
      <c r="D1012" t="s">
        <v>38</v>
      </c>
      <c r="E1012">
        <v>33680</v>
      </c>
      <c r="F1012" s="24">
        <f>especies_ativa_codibama[[#This Row],[Código]]</f>
        <v>34312</v>
      </c>
      <c r="G1012" s="40" t="str">
        <f>especies_ativa_codibama[[#This Row],[Nome popular]]</f>
        <v>louro</v>
      </c>
      <c r="H1012" s="40" t="str">
        <f>especies_ativa_codibama[[#This Row],[Nome científico]]</f>
        <v>Nectandra globosa</v>
      </c>
    </row>
    <row r="1013" spans="1:8" x14ac:dyDescent="0.25">
      <c r="A1013">
        <v>34314</v>
      </c>
      <c r="B1013" t="s">
        <v>1421</v>
      </c>
      <c r="C1013" t="s">
        <v>1422</v>
      </c>
      <c r="D1013" t="s">
        <v>38</v>
      </c>
      <c r="E1013">
        <v>1983620</v>
      </c>
      <c r="F1013" s="24">
        <f>especies_ativa_codibama[[#This Row],[Código]]</f>
        <v>34314</v>
      </c>
      <c r="G1013" s="40" t="str">
        <f>especies_ativa_codibama[[#This Row],[Nome popular]]</f>
        <v>louro abacate</v>
      </c>
      <c r="H1013" s="40" t="str">
        <f>especies_ativa_codibama[[#This Row],[Nome científico]]</f>
        <v>Nectandra pulverulenta</v>
      </c>
    </row>
    <row r="1014" spans="1:8" x14ac:dyDescent="0.25">
      <c r="A1014">
        <v>34315</v>
      </c>
      <c r="B1014" t="s">
        <v>1423</v>
      </c>
      <c r="C1014" t="s">
        <v>1424</v>
      </c>
      <c r="D1014" t="s">
        <v>38</v>
      </c>
      <c r="E1014">
        <v>35203</v>
      </c>
      <c r="F1014" s="24">
        <f>especies_ativa_codibama[[#This Row],[Código]]</f>
        <v>34315</v>
      </c>
      <c r="G1014" s="40" t="str">
        <f>especies_ativa_codibama[[#This Row],[Nome popular]]</f>
        <v>louro chumbo</v>
      </c>
      <c r="H1014" s="40" t="str">
        <f>especies_ativa_codibama[[#This Row],[Nome científico]]</f>
        <v>Aniba burchellii</v>
      </c>
    </row>
    <row r="1015" spans="1:8" x14ac:dyDescent="0.25">
      <c r="A1015">
        <v>34316</v>
      </c>
      <c r="B1015" t="s">
        <v>1425</v>
      </c>
      <c r="C1015" t="s">
        <v>1426</v>
      </c>
      <c r="D1015" t="s">
        <v>38</v>
      </c>
      <c r="E1015">
        <v>34309</v>
      </c>
      <c r="F1015" s="24">
        <f>especies_ativa_codibama[[#This Row],[Código]]</f>
        <v>34316</v>
      </c>
      <c r="G1015" s="40" t="str">
        <f>especies_ativa_codibama[[#This Row],[Nome popular]]</f>
        <v>louro do igapó</v>
      </c>
      <c r="H1015" s="40" t="str">
        <f>especies_ativa_codibama[[#This Row],[Nome científico]]</f>
        <v>Nectandra amazonum</v>
      </c>
    </row>
    <row r="1016" spans="1:8" x14ac:dyDescent="0.25">
      <c r="A1016">
        <v>34317</v>
      </c>
      <c r="B1016" t="s">
        <v>1427</v>
      </c>
      <c r="C1016" t="s">
        <v>1428</v>
      </c>
      <c r="D1016" t="s">
        <v>38</v>
      </c>
      <c r="E1016">
        <v>35513</v>
      </c>
      <c r="F1016" s="24">
        <f>especies_ativa_codibama[[#This Row],[Código]]</f>
        <v>34317</v>
      </c>
      <c r="G1016" s="40" t="str">
        <f>especies_ativa_codibama[[#This Row],[Nome popular]]</f>
        <v>louro seda, puchuri, puxuri</v>
      </c>
      <c r="H1016" s="40" t="str">
        <f>especies_ativa_codibama[[#This Row],[Nome científico]]</f>
        <v>Ocotea guianensis</v>
      </c>
    </row>
    <row r="1017" spans="1:8" x14ac:dyDescent="0.25">
      <c r="A1017">
        <v>34318</v>
      </c>
      <c r="B1017" t="s">
        <v>1429</v>
      </c>
      <c r="C1017" t="s">
        <v>1430</v>
      </c>
      <c r="D1017" t="s">
        <v>38</v>
      </c>
      <c r="E1017">
        <v>34660</v>
      </c>
      <c r="F1017" s="24">
        <f>especies_ativa_codibama[[#This Row],[Código]]</f>
        <v>34318</v>
      </c>
      <c r="G1017" s="40" t="str">
        <f>especies_ativa_codibama[[#This Row],[Nome popular]]</f>
        <v>louro, louro-de-flor-amarela</v>
      </c>
      <c r="H1017" s="40" t="str">
        <f>especies_ativa_codibama[[#This Row],[Nome científico]]</f>
        <v>Licaria armeniaca</v>
      </c>
    </row>
    <row r="1018" spans="1:8" x14ac:dyDescent="0.25">
      <c r="A1018">
        <v>34319</v>
      </c>
      <c r="B1018" t="s">
        <v>1431</v>
      </c>
      <c r="C1018" t="s">
        <v>1432</v>
      </c>
      <c r="D1018" t="s">
        <v>38</v>
      </c>
      <c r="E1018">
        <v>33637</v>
      </c>
      <c r="F1018" s="24">
        <f>especies_ativa_codibama[[#This Row],[Código]]</f>
        <v>34319</v>
      </c>
      <c r="G1018" s="40" t="str">
        <f>especies_ativa_codibama[[#This Row],[Nome popular]]</f>
        <v>louro-aritu, louro-cravo</v>
      </c>
      <c r="H1018" s="40" t="str">
        <f>especies_ativa_codibama[[#This Row],[Nome científico]]</f>
        <v>Licaria guianensis</v>
      </c>
    </row>
    <row r="1019" spans="1:8" x14ac:dyDescent="0.25">
      <c r="A1019">
        <v>34320</v>
      </c>
      <c r="B1019" t="s">
        <v>1433</v>
      </c>
      <c r="C1019" t="s">
        <v>1434</v>
      </c>
      <c r="D1019" t="s">
        <v>38</v>
      </c>
      <c r="E1019">
        <v>1320900</v>
      </c>
      <c r="F1019" s="24">
        <f>especies_ativa_codibama[[#This Row],[Código]]</f>
        <v>34320</v>
      </c>
      <c r="G1019" s="40" t="str">
        <f>especies_ativa_codibama[[#This Row],[Nome popular]]</f>
        <v>Louro-Itauba, Louro-pimenta</v>
      </c>
      <c r="H1019" s="40" t="str">
        <f>especies_ativa_codibama[[#This Row],[Nome científico]]</f>
        <v>Mezilaurus synandra</v>
      </c>
    </row>
    <row r="1020" spans="1:8" x14ac:dyDescent="0.25">
      <c r="A1020">
        <v>34321</v>
      </c>
      <c r="B1020" t="s">
        <v>1435</v>
      </c>
      <c r="C1020" t="s">
        <v>1436</v>
      </c>
      <c r="D1020" t="s">
        <v>38</v>
      </c>
      <c r="E1020">
        <v>1982417</v>
      </c>
      <c r="F1020" s="24">
        <f>especies_ativa_codibama[[#This Row],[Código]]</f>
        <v>34321</v>
      </c>
      <c r="G1020" s="40" t="str">
        <f>especies_ativa_codibama[[#This Row],[Nome popular]]</f>
        <v>louro-preto</v>
      </c>
      <c r="H1020" s="40" t="str">
        <f>especies_ativa_codibama[[#This Row],[Nome científico]]</f>
        <v>Ocotea nigrescens</v>
      </c>
    </row>
    <row r="1021" spans="1:8" x14ac:dyDescent="0.25">
      <c r="A1021">
        <v>34325</v>
      </c>
      <c r="B1021" t="s">
        <v>106</v>
      </c>
      <c r="C1021" t="s">
        <v>1437</v>
      </c>
      <c r="D1021" t="s">
        <v>38</v>
      </c>
      <c r="E1021">
        <v>34558</v>
      </c>
      <c r="F1021" s="24">
        <f>especies_ativa_codibama[[#This Row],[Código]]</f>
        <v>34325</v>
      </c>
      <c r="G1021" s="40" t="str">
        <f>especies_ativa_codibama[[#This Row],[Nome popular]]</f>
        <v>---</v>
      </c>
      <c r="H1021" s="40" t="str">
        <f>especies_ativa_codibama[[#This Row],[Nome científico]]</f>
        <v>Ocotea glaziovii</v>
      </c>
    </row>
    <row r="1022" spans="1:8" x14ac:dyDescent="0.25">
      <c r="A1022">
        <v>34326</v>
      </c>
      <c r="B1022" t="s">
        <v>106</v>
      </c>
      <c r="C1022" t="s">
        <v>1438</v>
      </c>
      <c r="D1022" t="s">
        <v>38</v>
      </c>
      <c r="E1022">
        <v>34053</v>
      </c>
      <c r="F1022" s="24">
        <f>especies_ativa_codibama[[#This Row],[Código]]</f>
        <v>34326</v>
      </c>
      <c r="G1022" s="40" t="str">
        <f>especies_ativa_codibama[[#This Row],[Nome popular]]</f>
        <v>---</v>
      </c>
      <c r="H1022" s="40" t="str">
        <f>especies_ativa_codibama[[#This Row],[Nome científico]]</f>
        <v>Ocotea velloziana</v>
      </c>
    </row>
    <row r="1023" spans="1:8" x14ac:dyDescent="0.25">
      <c r="A1023">
        <v>34329</v>
      </c>
      <c r="B1023" t="s">
        <v>106</v>
      </c>
      <c r="C1023" t="s">
        <v>1439</v>
      </c>
      <c r="D1023" t="s">
        <v>38</v>
      </c>
      <c r="E1023">
        <v>33117</v>
      </c>
      <c r="F1023" s="24">
        <f>especies_ativa_codibama[[#This Row],[Código]]</f>
        <v>34329</v>
      </c>
      <c r="G1023" s="40" t="str">
        <f>especies_ativa_codibama[[#This Row],[Nome popular]]</f>
        <v>---</v>
      </c>
      <c r="H1023" s="40" t="str">
        <f>especies_ativa_codibama[[#This Row],[Nome científico]]</f>
        <v>Persea alba</v>
      </c>
    </row>
    <row r="1024" spans="1:8" x14ac:dyDescent="0.25">
      <c r="A1024">
        <v>34331</v>
      </c>
      <c r="B1024" t="s">
        <v>106</v>
      </c>
      <c r="C1024" t="s">
        <v>1440</v>
      </c>
      <c r="D1024" t="s">
        <v>38</v>
      </c>
      <c r="E1024">
        <v>1982418</v>
      </c>
      <c r="F1024" s="24">
        <f>especies_ativa_codibama[[#This Row],[Código]]</f>
        <v>34331</v>
      </c>
      <c r="G1024" s="40" t="str">
        <f>especies_ativa_codibama[[#This Row],[Nome popular]]</f>
        <v>---</v>
      </c>
      <c r="H1024" s="40" t="str">
        <f>especies_ativa_codibama[[#This Row],[Nome científico]]</f>
        <v>Ocotea notata</v>
      </c>
    </row>
    <row r="1025" spans="1:8" x14ac:dyDescent="0.25">
      <c r="A1025">
        <v>34333</v>
      </c>
      <c r="B1025" t="s">
        <v>106</v>
      </c>
      <c r="C1025" t="s">
        <v>1441</v>
      </c>
      <c r="D1025" t="s">
        <v>38</v>
      </c>
      <c r="E1025">
        <v>32769</v>
      </c>
      <c r="F1025" s="24">
        <f>especies_ativa_codibama[[#This Row],[Código]]</f>
        <v>34333</v>
      </c>
      <c r="G1025" s="40" t="str">
        <f>especies_ativa_codibama[[#This Row],[Nome popular]]</f>
        <v>---</v>
      </c>
      <c r="H1025" s="40" t="str">
        <f>especies_ativa_codibama[[#This Row],[Nome científico]]</f>
        <v>Ocotea velutina</v>
      </c>
    </row>
    <row r="1026" spans="1:8" x14ac:dyDescent="0.25">
      <c r="A1026">
        <v>34334</v>
      </c>
      <c r="B1026" t="s">
        <v>106</v>
      </c>
      <c r="C1026" t="s">
        <v>1442</v>
      </c>
      <c r="D1026" t="s">
        <v>38</v>
      </c>
      <c r="E1026">
        <v>32120</v>
      </c>
      <c r="F1026" s="24">
        <f>especies_ativa_codibama[[#This Row],[Código]]</f>
        <v>34334</v>
      </c>
      <c r="G1026" s="40" t="str">
        <f>especies_ativa_codibama[[#This Row],[Nome popular]]</f>
        <v>---</v>
      </c>
      <c r="H1026" s="40" t="str">
        <f>especies_ativa_codibama[[#This Row],[Nome científico]]</f>
        <v>Ocotea minarum</v>
      </c>
    </row>
    <row r="1027" spans="1:8" x14ac:dyDescent="0.25">
      <c r="A1027">
        <v>34335</v>
      </c>
      <c r="B1027" t="s">
        <v>106</v>
      </c>
      <c r="C1027" t="s">
        <v>1443</v>
      </c>
      <c r="D1027" t="s">
        <v>38</v>
      </c>
      <c r="E1027">
        <v>34941</v>
      </c>
      <c r="F1027" s="24">
        <f>especies_ativa_codibama[[#This Row],[Código]]</f>
        <v>34335</v>
      </c>
      <c r="G1027" s="40" t="str">
        <f>especies_ativa_codibama[[#This Row],[Nome popular]]</f>
        <v>---</v>
      </c>
      <c r="H1027" s="40" t="str">
        <f>especies_ativa_codibama[[#This Row],[Nome científico]]</f>
        <v>Ocotea spectabilis</v>
      </c>
    </row>
    <row r="1028" spans="1:8" x14ac:dyDescent="0.25">
      <c r="A1028">
        <v>34336</v>
      </c>
      <c r="B1028" t="s">
        <v>106</v>
      </c>
      <c r="C1028" t="s">
        <v>1444</v>
      </c>
      <c r="D1028" t="s">
        <v>38</v>
      </c>
      <c r="E1028">
        <v>34156</v>
      </c>
      <c r="F1028" s="24">
        <f>especies_ativa_codibama[[#This Row],[Código]]</f>
        <v>34336</v>
      </c>
      <c r="G1028" s="40" t="str">
        <f>especies_ativa_codibama[[#This Row],[Nome popular]]</f>
        <v>---</v>
      </c>
      <c r="H1028" s="40" t="str">
        <f>especies_ativa_codibama[[#This Row],[Nome científico]]</f>
        <v>Cinnamomum sellowianum</v>
      </c>
    </row>
    <row r="1029" spans="1:8" x14ac:dyDescent="0.25">
      <c r="A1029">
        <v>34337</v>
      </c>
      <c r="B1029" t="s">
        <v>106</v>
      </c>
      <c r="C1029" t="s">
        <v>1445</v>
      </c>
      <c r="D1029" t="s">
        <v>38</v>
      </c>
      <c r="E1029">
        <v>34331</v>
      </c>
      <c r="F1029" s="24">
        <f>especies_ativa_codibama[[#This Row],[Código]]</f>
        <v>34337</v>
      </c>
      <c r="G1029" s="40" t="str">
        <f>especies_ativa_codibama[[#This Row],[Nome popular]]</f>
        <v>---</v>
      </c>
      <c r="H1029" s="40" t="str">
        <f>especies_ativa_codibama[[#This Row],[Nome científico]]</f>
        <v>Persea venosa</v>
      </c>
    </row>
    <row r="1030" spans="1:8" x14ac:dyDescent="0.25">
      <c r="A1030">
        <v>34339</v>
      </c>
      <c r="B1030" t="s">
        <v>106</v>
      </c>
      <c r="C1030" t="s">
        <v>1446</v>
      </c>
      <c r="D1030" t="s">
        <v>38</v>
      </c>
      <c r="E1030">
        <v>34311</v>
      </c>
      <c r="F1030" s="24">
        <f>especies_ativa_codibama[[#This Row],[Código]]</f>
        <v>34339</v>
      </c>
      <c r="G1030" s="40" t="str">
        <f>especies_ativa_codibama[[#This Row],[Nome popular]]</f>
        <v>---</v>
      </c>
      <c r="H1030" s="40" t="str">
        <f>especies_ativa_codibama[[#This Row],[Nome científico]]</f>
        <v>Nectandra gardneri</v>
      </c>
    </row>
    <row r="1031" spans="1:8" x14ac:dyDescent="0.25">
      <c r="A1031">
        <v>34342</v>
      </c>
      <c r="B1031" t="s">
        <v>106</v>
      </c>
      <c r="C1031" t="s">
        <v>1447</v>
      </c>
      <c r="D1031" t="s">
        <v>38</v>
      </c>
      <c r="E1031">
        <v>35181</v>
      </c>
      <c r="F1031" s="24">
        <f>especies_ativa_codibama[[#This Row],[Código]]</f>
        <v>34342</v>
      </c>
      <c r="G1031" s="40" t="str">
        <f>especies_ativa_codibama[[#This Row],[Nome popular]]</f>
        <v>---</v>
      </c>
      <c r="H1031" s="40" t="str">
        <f>especies_ativa_codibama[[#This Row],[Nome científico]]</f>
        <v>Persea americana</v>
      </c>
    </row>
    <row r="1032" spans="1:8" x14ac:dyDescent="0.25">
      <c r="A1032">
        <v>34349</v>
      </c>
      <c r="B1032" t="s">
        <v>106</v>
      </c>
      <c r="C1032" t="s">
        <v>1448</v>
      </c>
      <c r="D1032" t="s">
        <v>38</v>
      </c>
      <c r="E1032">
        <v>36345</v>
      </c>
      <c r="F1032" s="24">
        <f>especies_ativa_codibama[[#This Row],[Código]]</f>
        <v>34349</v>
      </c>
      <c r="G1032" s="40" t="str">
        <f>especies_ativa_codibama[[#This Row],[Nome popular]]</f>
        <v>---</v>
      </c>
      <c r="H1032" s="40" t="str">
        <f>especies_ativa_codibama[[#This Row],[Nome científico]]</f>
        <v>Endlicheria sericea</v>
      </c>
    </row>
    <row r="1033" spans="1:8" x14ac:dyDescent="0.25">
      <c r="A1033">
        <v>34351</v>
      </c>
      <c r="B1033" t="s">
        <v>106</v>
      </c>
      <c r="C1033" t="s">
        <v>1449</v>
      </c>
      <c r="D1033" t="s">
        <v>38</v>
      </c>
      <c r="E1033">
        <v>35159</v>
      </c>
      <c r="F1033" s="24">
        <f>especies_ativa_codibama[[#This Row],[Código]]</f>
        <v>34351</v>
      </c>
      <c r="G1033" s="40" t="str">
        <f>especies_ativa_codibama[[#This Row],[Nome popular]]</f>
        <v>---</v>
      </c>
      <c r="H1033" s="40" t="str">
        <f>especies_ativa_codibama[[#This Row],[Nome científico]]</f>
        <v>Ocotea amazonica</v>
      </c>
    </row>
    <row r="1034" spans="1:8" x14ac:dyDescent="0.25">
      <c r="A1034">
        <v>34353</v>
      </c>
      <c r="B1034" t="s">
        <v>106</v>
      </c>
      <c r="C1034" t="s">
        <v>1450</v>
      </c>
      <c r="D1034" t="s">
        <v>38</v>
      </c>
      <c r="E1034">
        <v>1982406</v>
      </c>
      <c r="F1034" s="24">
        <f>especies_ativa_codibama[[#This Row],[Código]]</f>
        <v>34353</v>
      </c>
      <c r="G1034" s="40" t="str">
        <f>especies_ativa_codibama[[#This Row],[Nome popular]]</f>
        <v>---</v>
      </c>
      <c r="H1034" s="40" t="str">
        <f>especies_ativa_codibama[[#This Row],[Nome científico]]</f>
        <v>Ocotea matogrossensis</v>
      </c>
    </row>
    <row r="1035" spans="1:8" x14ac:dyDescent="0.25">
      <c r="A1035">
        <v>34354</v>
      </c>
      <c r="B1035" t="s">
        <v>106</v>
      </c>
      <c r="C1035" t="s">
        <v>1451</v>
      </c>
      <c r="D1035" t="s">
        <v>38</v>
      </c>
      <c r="E1035">
        <v>35514</v>
      </c>
      <c r="F1035" s="24">
        <f>especies_ativa_codibama[[#This Row],[Código]]</f>
        <v>34354</v>
      </c>
      <c r="G1035" s="40" t="str">
        <f>especies_ativa_codibama[[#This Row],[Nome popular]]</f>
        <v>---</v>
      </c>
      <c r="H1035" s="40" t="str">
        <f>especies_ativa_codibama[[#This Row],[Nome científico]]</f>
        <v>Ocotea neesiana</v>
      </c>
    </row>
    <row r="1036" spans="1:8" x14ac:dyDescent="0.25">
      <c r="A1036">
        <v>34356</v>
      </c>
      <c r="B1036" t="s">
        <v>106</v>
      </c>
      <c r="C1036" t="s">
        <v>1452</v>
      </c>
      <c r="D1036" t="s">
        <v>38</v>
      </c>
      <c r="E1036">
        <v>33098</v>
      </c>
      <c r="F1036" s="24">
        <f>especies_ativa_codibama[[#This Row],[Código]]</f>
        <v>34356</v>
      </c>
      <c r="G1036" s="40" t="str">
        <f>especies_ativa_codibama[[#This Row],[Nome popular]]</f>
        <v>---</v>
      </c>
      <c r="H1036" s="40" t="str">
        <f>especies_ativa_codibama[[#This Row],[Nome científico]]</f>
        <v>Ocotea glomerata</v>
      </c>
    </row>
    <row r="1037" spans="1:8" x14ac:dyDescent="0.25">
      <c r="A1037">
        <v>34359</v>
      </c>
      <c r="B1037" t="s">
        <v>106</v>
      </c>
      <c r="C1037" t="s">
        <v>1453</v>
      </c>
      <c r="D1037" t="s">
        <v>38</v>
      </c>
      <c r="E1037">
        <v>34556</v>
      </c>
      <c r="F1037" s="24">
        <f>especies_ativa_codibama[[#This Row],[Código]]</f>
        <v>34359</v>
      </c>
      <c r="G1037" s="40" t="str">
        <f>especies_ativa_codibama[[#This Row],[Nome popular]]</f>
        <v>---</v>
      </c>
      <c r="H1037" s="40" t="str">
        <f>especies_ativa_codibama[[#This Row],[Nome científico]]</f>
        <v>Nectandra turbacensis</v>
      </c>
    </row>
    <row r="1038" spans="1:8" x14ac:dyDescent="0.25">
      <c r="A1038">
        <v>34360</v>
      </c>
      <c r="B1038" t="s">
        <v>106</v>
      </c>
      <c r="C1038" t="s">
        <v>1454</v>
      </c>
      <c r="D1038" t="s">
        <v>38</v>
      </c>
      <c r="E1038">
        <v>36123</v>
      </c>
      <c r="F1038" s="24">
        <f>especies_ativa_codibama[[#This Row],[Código]]</f>
        <v>34360</v>
      </c>
      <c r="G1038" s="40" t="str">
        <f>especies_ativa_codibama[[#This Row],[Nome popular]]</f>
        <v>---</v>
      </c>
      <c r="H1038" s="40" t="str">
        <f>especies_ativa_codibama[[#This Row],[Nome científico]]</f>
        <v>Ocotea cujumary</v>
      </c>
    </row>
    <row r="1039" spans="1:8" x14ac:dyDescent="0.25">
      <c r="A1039">
        <v>34362</v>
      </c>
      <c r="B1039" t="s">
        <v>106</v>
      </c>
      <c r="C1039" t="s">
        <v>1455</v>
      </c>
      <c r="D1039" t="s">
        <v>38</v>
      </c>
      <c r="E1039">
        <v>34933</v>
      </c>
      <c r="F1039" s="24">
        <f>especies_ativa_codibama[[#This Row],[Código]]</f>
        <v>34362</v>
      </c>
      <c r="G1039" s="40" t="str">
        <f>especies_ativa_codibama[[#This Row],[Nome popular]]</f>
        <v>---</v>
      </c>
      <c r="H1039" s="40" t="str">
        <f>especies_ativa_codibama[[#This Row],[Nome científico]]</f>
        <v>Ocotea canaliculata</v>
      </c>
    </row>
    <row r="1040" spans="1:8" x14ac:dyDescent="0.25">
      <c r="A1040">
        <v>34363</v>
      </c>
      <c r="B1040" t="s">
        <v>106</v>
      </c>
      <c r="C1040" t="s">
        <v>1456</v>
      </c>
      <c r="D1040" t="s">
        <v>38</v>
      </c>
      <c r="E1040">
        <v>34934</v>
      </c>
      <c r="F1040" s="24">
        <f>especies_ativa_codibama[[#This Row],[Código]]</f>
        <v>34363</v>
      </c>
      <c r="G1040" s="40" t="str">
        <f>especies_ativa_codibama[[#This Row],[Nome popular]]</f>
        <v>---</v>
      </c>
      <c r="H1040" s="40" t="str">
        <f>especies_ativa_codibama[[#This Row],[Nome científico]]</f>
        <v>Ocotea cernua</v>
      </c>
    </row>
    <row r="1041" spans="1:8" x14ac:dyDescent="0.25">
      <c r="A1041">
        <v>34365</v>
      </c>
      <c r="B1041" t="s">
        <v>106</v>
      </c>
      <c r="C1041" t="s">
        <v>1457</v>
      </c>
      <c r="D1041" t="s">
        <v>38</v>
      </c>
      <c r="E1041">
        <v>35788</v>
      </c>
      <c r="F1041" s="24">
        <f>especies_ativa_codibama[[#This Row],[Código]]</f>
        <v>34365</v>
      </c>
      <c r="G1041" s="40" t="str">
        <f>especies_ativa_codibama[[#This Row],[Nome popular]]</f>
        <v>---</v>
      </c>
      <c r="H1041" s="40" t="str">
        <f>especies_ativa_codibama[[#This Row],[Nome científico]]</f>
        <v>Aiouea laevis</v>
      </c>
    </row>
    <row r="1042" spans="1:8" x14ac:dyDescent="0.25">
      <c r="A1042">
        <v>34368</v>
      </c>
      <c r="B1042" t="s">
        <v>106</v>
      </c>
      <c r="C1042" t="s">
        <v>1458</v>
      </c>
      <c r="D1042" t="s">
        <v>38</v>
      </c>
      <c r="E1042">
        <v>2009413</v>
      </c>
      <c r="F1042" s="24">
        <f>especies_ativa_codibama[[#This Row],[Código]]</f>
        <v>34368</v>
      </c>
      <c r="G1042" s="40" t="str">
        <f>especies_ativa_codibama[[#This Row],[Nome popular]]</f>
        <v>---</v>
      </c>
      <c r="H1042" s="40" t="str">
        <f>especies_ativa_codibama[[#This Row],[Nome científico]]</f>
        <v>Ocotea percurrens</v>
      </c>
    </row>
    <row r="1043" spans="1:8" x14ac:dyDescent="0.25">
      <c r="A1043">
        <v>34371</v>
      </c>
      <c r="B1043" t="s">
        <v>106</v>
      </c>
      <c r="C1043" t="s">
        <v>1459</v>
      </c>
      <c r="D1043" t="s">
        <v>38</v>
      </c>
      <c r="E1043">
        <v>31855</v>
      </c>
      <c r="F1043" s="24">
        <f>especies_ativa_codibama[[#This Row],[Código]]</f>
        <v>34371</v>
      </c>
      <c r="G1043" s="40" t="str">
        <f>especies_ativa_codibama[[#This Row],[Nome popular]]</f>
        <v>---</v>
      </c>
      <c r="H1043" s="40" t="str">
        <f>especies_ativa_codibama[[#This Row],[Nome científico]]</f>
        <v>Ocotea acutifolia</v>
      </c>
    </row>
    <row r="1044" spans="1:8" x14ac:dyDescent="0.25">
      <c r="A1044">
        <v>34372</v>
      </c>
      <c r="B1044" t="s">
        <v>106</v>
      </c>
      <c r="C1044" t="s">
        <v>1460</v>
      </c>
      <c r="D1044" t="s">
        <v>38</v>
      </c>
      <c r="E1044">
        <v>34935</v>
      </c>
      <c r="F1044" s="24">
        <f>especies_ativa_codibama[[#This Row],[Código]]</f>
        <v>34372</v>
      </c>
      <c r="G1044" s="40" t="str">
        <f>especies_ativa_codibama[[#This Row],[Nome popular]]</f>
        <v>---</v>
      </c>
      <c r="H1044" s="40" t="str">
        <f>especies_ativa_codibama[[#This Row],[Nome científico]]</f>
        <v>Ocotea diospyrifolia</v>
      </c>
    </row>
    <row r="1045" spans="1:8" x14ac:dyDescent="0.25">
      <c r="A1045">
        <v>34376</v>
      </c>
      <c r="B1045" t="s">
        <v>106</v>
      </c>
      <c r="C1045" t="s">
        <v>1461</v>
      </c>
      <c r="D1045" t="s">
        <v>38</v>
      </c>
      <c r="E1045">
        <v>35855</v>
      </c>
      <c r="F1045" s="24">
        <f>especies_ativa_codibama[[#This Row],[Código]]</f>
        <v>34376</v>
      </c>
      <c r="G1045" s="40" t="str">
        <f>especies_ativa_codibama[[#This Row],[Nome popular]]</f>
        <v>---</v>
      </c>
      <c r="H1045" s="40" t="str">
        <f>especies_ativa_codibama[[#This Row],[Nome científico]]</f>
        <v>Aiouea saligna</v>
      </c>
    </row>
    <row r="1046" spans="1:8" x14ac:dyDescent="0.25">
      <c r="A1046">
        <v>34377</v>
      </c>
      <c r="B1046" t="s">
        <v>106</v>
      </c>
      <c r="C1046" t="s">
        <v>1462</v>
      </c>
      <c r="D1046" t="s">
        <v>38</v>
      </c>
      <c r="E1046">
        <v>34704</v>
      </c>
      <c r="F1046" s="24">
        <f>especies_ativa_codibama[[#This Row],[Código]]</f>
        <v>34377</v>
      </c>
      <c r="G1046" s="40" t="str">
        <f>especies_ativa_codibama[[#This Row],[Nome popular]]</f>
        <v>---</v>
      </c>
      <c r="H1046" s="40" t="str">
        <f>especies_ativa_codibama[[#This Row],[Nome científico]]</f>
        <v>Aniba firmula</v>
      </c>
    </row>
    <row r="1047" spans="1:8" x14ac:dyDescent="0.25">
      <c r="A1047">
        <v>34379</v>
      </c>
      <c r="B1047" t="s">
        <v>1463</v>
      </c>
      <c r="C1047" t="s">
        <v>1464</v>
      </c>
      <c r="D1047" t="s">
        <v>324</v>
      </c>
      <c r="E1047">
        <v>33919</v>
      </c>
      <c r="F1047" s="24">
        <f>especies_ativa_codibama[[#This Row],[Código]]</f>
        <v>34379</v>
      </c>
      <c r="G1047" s="40" t="str">
        <f>especies_ativa_codibama[[#This Row],[Nome popular]]</f>
        <v>cumbuca, cumbuquinha, canella-tapinhoam, tapinhoã</v>
      </c>
      <c r="H1047" s="40" t="str">
        <f>especies_ativa_codibama[[#This Row],[Nome científico]]</f>
        <v>Mezilaurus crassiramea</v>
      </c>
    </row>
    <row r="1048" spans="1:8" x14ac:dyDescent="0.25">
      <c r="A1048">
        <v>34380</v>
      </c>
      <c r="B1048" t="s">
        <v>1465</v>
      </c>
      <c r="C1048" t="s">
        <v>1466</v>
      </c>
      <c r="D1048" t="s">
        <v>324</v>
      </c>
      <c r="E1048">
        <v>33688</v>
      </c>
      <c r="F1048" s="24">
        <f>especies_ativa_codibama[[#This Row],[Código]]</f>
        <v>34380</v>
      </c>
      <c r="G1048" s="40" t="str">
        <f>especies_ativa_codibama[[#This Row],[Nome popular]]</f>
        <v>louro, louro-abacate, canela-gosmenta, canela-babosa</v>
      </c>
      <c r="H1048" s="40" t="str">
        <f>especies_ativa_codibama[[#This Row],[Nome científico]]</f>
        <v>Ocotea puberula</v>
      </c>
    </row>
    <row r="1049" spans="1:8" x14ac:dyDescent="0.25">
      <c r="A1049">
        <v>34381</v>
      </c>
      <c r="B1049" t="s">
        <v>106</v>
      </c>
      <c r="C1049" t="s">
        <v>1467</v>
      </c>
      <c r="D1049" t="s">
        <v>324</v>
      </c>
      <c r="E1049">
        <v>36118</v>
      </c>
      <c r="F1049" s="24">
        <f>especies_ativa_codibama[[#This Row],[Código]]</f>
        <v>34381</v>
      </c>
      <c r="G1049" s="40" t="str">
        <f>especies_ativa_codibama[[#This Row],[Nome popular]]</f>
        <v>---</v>
      </c>
      <c r="H1049" s="40" t="str">
        <f>especies_ativa_codibama[[#This Row],[Nome científico]]</f>
        <v>Ocotea aciphylla</v>
      </c>
    </row>
    <row r="1050" spans="1:8" x14ac:dyDescent="0.25">
      <c r="A1050">
        <v>34385</v>
      </c>
      <c r="B1050" t="s">
        <v>1468</v>
      </c>
      <c r="C1050" t="s">
        <v>1469</v>
      </c>
      <c r="D1050" t="s">
        <v>465</v>
      </c>
      <c r="E1050">
        <v>34905</v>
      </c>
      <c r="F1050" s="24">
        <f>especies_ativa_codibama[[#This Row],[Código]]</f>
        <v>34385</v>
      </c>
      <c r="G1050" s="40" t="str">
        <f>especies_ativa_codibama[[#This Row],[Nome popular]]</f>
        <v>itaúba</v>
      </c>
      <c r="H1050" s="40" t="str">
        <f>especies_ativa_codibama[[#This Row],[Nome científico]]</f>
        <v>Mezilaurus itauba</v>
      </c>
    </row>
    <row r="1051" spans="1:8" x14ac:dyDescent="0.25">
      <c r="A1051">
        <v>34386</v>
      </c>
      <c r="B1051" t="s">
        <v>106</v>
      </c>
      <c r="C1051" t="s">
        <v>1470</v>
      </c>
      <c r="D1051" t="s">
        <v>465</v>
      </c>
      <c r="E1051">
        <v>33685</v>
      </c>
      <c r="F1051" s="24">
        <f>especies_ativa_codibama[[#This Row],[Código]]</f>
        <v>34386</v>
      </c>
      <c r="G1051" s="40" t="str">
        <f>especies_ativa_codibama[[#This Row],[Nome popular]]</f>
        <v>---</v>
      </c>
      <c r="H1051" s="40" t="str">
        <f>especies_ativa_codibama[[#This Row],[Nome científico]]</f>
        <v>Ocotea catharinensis</v>
      </c>
    </row>
    <row r="1052" spans="1:8" x14ac:dyDescent="0.25">
      <c r="A1052">
        <v>34394</v>
      </c>
      <c r="B1052" t="s">
        <v>106</v>
      </c>
      <c r="C1052" t="s">
        <v>1471</v>
      </c>
      <c r="D1052" t="s">
        <v>196</v>
      </c>
      <c r="E1052">
        <v>35916</v>
      </c>
      <c r="F1052" s="24">
        <f>especies_ativa_codibama[[#This Row],[Código]]</f>
        <v>34394</v>
      </c>
      <c r="G1052" s="40" t="str">
        <f>especies_ativa_codibama[[#This Row],[Nome popular]]</f>
        <v>---</v>
      </c>
      <c r="H1052" s="40" t="str">
        <f>especies_ativa_codibama[[#This Row],[Nome científico]]</f>
        <v>Cariniana legalis</v>
      </c>
    </row>
    <row r="1053" spans="1:8" x14ac:dyDescent="0.25">
      <c r="A1053">
        <v>34400</v>
      </c>
      <c r="B1053" t="s">
        <v>1472</v>
      </c>
      <c r="C1053" t="s">
        <v>1473</v>
      </c>
      <c r="D1053" t="s">
        <v>79</v>
      </c>
      <c r="E1053">
        <v>2024534</v>
      </c>
      <c r="F1053" s="24">
        <f>especies_ativa_codibama[[#This Row],[Código]]</f>
        <v>34400</v>
      </c>
      <c r="G1053" s="40" t="str">
        <f>especies_ativa_codibama[[#This Row],[Nome popular]]</f>
        <v>sapucaia, sapucaiú</v>
      </c>
      <c r="H1053" s="40" t="str">
        <f>especies_ativa_codibama[[#This Row],[Nome científico]]</f>
        <v>Lecythis marcgraaviana</v>
      </c>
    </row>
    <row r="1054" spans="1:8" x14ac:dyDescent="0.25">
      <c r="A1054">
        <v>34401</v>
      </c>
      <c r="B1054" t="s">
        <v>106</v>
      </c>
      <c r="C1054" t="s">
        <v>1474</v>
      </c>
      <c r="D1054" t="s">
        <v>79</v>
      </c>
      <c r="E1054">
        <v>36064</v>
      </c>
      <c r="F1054" s="24">
        <f>especies_ativa_codibama[[#This Row],[Código]]</f>
        <v>34401</v>
      </c>
      <c r="G1054" s="40" t="str">
        <f>especies_ativa_codibama[[#This Row],[Nome popular]]</f>
        <v>---</v>
      </c>
      <c r="H1054" s="40" t="str">
        <f>especies_ativa_codibama[[#This Row],[Nome científico]]</f>
        <v>Lecythis lanceolata</v>
      </c>
    </row>
    <row r="1055" spans="1:8" x14ac:dyDescent="0.25">
      <c r="A1055">
        <v>34402</v>
      </c>
      <c r="B1055" t="s">
        <v>1475</v>
      </c>
      <c r="C1055" t="s">
        <v>1476</v>
      </c>
      <c r="D1055" t="s">
        <v>126</v>
      </c>
      <c r="E1055">
        <v>34179</v>
      </c>
      <c r="F1055" s="24">
        <f>especies_ativa_codibama[[#This Row],[Código]]</f>
        <v>34402</v>
      </c>
      <c r="G1055" s="40" t="str">
        <f>especies_ativa_codibama[[#This Row],[Nome popular]]</f>
        <v>castanha de macaco, coité de macaco, cuiara, cuieira da mata, bola de canhão</v>
      </c>
      <c r="H1055" s="40" t="str">
        <f>especies_ativa_codibama[[#This Row],[Nome científico]]</f>
        <v>Couroupita guianensis</v>
      </c>
    </row>
    <row r="1056" spans="1:8" x14ac:dyDescent="0.25">
      <c r="A1056">
        <v>34403</v>
      </c>
      <c r="B1056" t="s">
        <v>1477</v>
      </c>
      <c r="C1056" t="s">
        <v>1478</v>
      </c>
      <c r="D1056" t="s">
        <v>126</v>
      </c>
      <c r="E1056">
        <v>36065</v>
      </c>
      <c r="F1056" s="24">
        <f>especies_ativa_codibama[[#This Row],[Código]]</f>
        <v>34403</v>
      </c>
      <c r="G1056" s="40" t="str">
        <f>especies_ativa_codibama[[#This Row],[Nome popular]]</f>
        <v>Inhaiba, inhaiba-gigante, jarana</v>
      </c>
      <c r="H1056" s="40" t="str">
        <f>especies_ativa_codibama[[#This Row],[Nome científico]]</f>
        <v>Lecythis lurida</v>
      </c>
    </row>
    <row r="1057" spans="1:8" x14ac:dyDescent="0.25">
      <c r="A1057">
        <v>34405</v>
      </c>
      <c r="B1057" t="s">
        <v>1479</v>
      </c>
      <c r="C1057" t="s">
        <v>1480</v>
      </c>
      <c r="D1057" t="s">
        <v>38</v>
      </c>
      <c r="E1057">
        <v>36404</v>
      </c>
      <c r="F1057" s="24">
        <f>especies_ativa_codibama[[#This Row],[Código]]</f>
        <v>34405</v>
      </c>
      <c r="G1057" s="40" t="str">
        <f>especies_ativa_codibama[[#This Row],[Nome popular]]</f>
        <v>Abiura, castanha fedorenta, envira fedorenta, Hicodi, jenipara, Lalouch, mata fome, mata matá, matamataica</v>
      </c>
      <c r="H1057" s="40" t="str">
        <f>especies_ativa_codibama[[#This Row],[Nome científico]]</f>
        <v>Gustavia hexapetala</v>
      </c>
    </row>
    <row r="1058" spans="1:8" x14ac:dyDescent="0.25">
      <c r="A1058">
        <v>34406</v>
      </c>
      <c r="B1058" t="s">
        <v>1481</v>
      </c>
      <c r="C1058" t="s">
        <v>1482</v>
      </c>
      <c r="D1058" t="s">
        <v>38</v>
      </c>
      <c r="E1058">
        <v>35319</v>
      </c>
      <c r="F1058" s="24">
        <f>especies_ativa_codibama[[#This Row],[Código]]</f>
        <v>34406</v>
      </c>
      <c r="G1058" s="40" t="str">
        <f>especies_ativa_codibama[[#This Row],[Nome popular]]</f>
        <v>bingueiro, cachimbeiro, coatingua, currimboque, estopa, estopeira, jequitibá, jequitibá-branco, jequitibá-rei, jequitibá-rosa, mussambê, pau-de-cachimbo, pau-estopa</v>
      </c>
      <c r="H1058" s="40" t="str">
        <f>especies_ativa_codibama[[#This Row],[Nome científico]]</f>
        <v>Cariniana estrellensis</v>
      </c>
    </row>
    <row r="1059" spans="1:8" x14ac:dyDescent="0.25">
      <c r="A1059">
        <v>34407</v>
      </c>
      <c r="B1059" t="s">
        <v>1483</v>
      </c>
      <c r="C1059" t="s">
        <v>1484</v>
      </c>
      <c r="D1059" t="s">
        <v>38</v>
      </c>
      <c r="E1059">
        <v>34830</v>
      </c>
      <c r="F1059" s="24">
        <f>especies_ativa_codibama[[#This Row],[Código]]</f>
        <v>34407</v>
      </c>
      <c r="G1059" s="40" t="str">
        <f>especies_ativa_codibama[[#This Row],[Nome popular]]</f>
        <v>biriba, biriba-branca, biriba-preta, tauari-sinho</v>
      </c>
      <c r="H1059" s="40" t="str">
        <f>especies_ativa_codibama[[#This Row],[Nome científico]]</f>
        <v>Eschweilera ovata</v>
      </c>
    </row>
    <row r="1060" spans="1:8" x14ac:dyDescent="0.25">
      <c r="A1060">
        <v>34408</v>
      </c>
      <c r="B1060" t="s">
        <v>1485</v>
      </c>
      <c r="C1060" t="s">
        <v>1486</v>
      </c>
      <c r="D1060" t="s">
        <v>38</v>
      </c>
      <c r="E1060">
        <v>34754</v>
      </c>
      <c r="F1060" s="24">
        <f>especies_ativa_codibama[[#This Row],[Código]]</f>
        <v>34408</v>
      </c>
      <c r="G1060" s="40" t="str">
        <f>especies_ativa_codibama[[#This Row],[Nome popular]]</f>
        <v>cachimbeira, cachimbo de macaco, jequitibtá</v>
      </c>
      <c r="H1060" s="40" t="str">
        <f>especies_ativa_codibama[[#This Row],[Nome científico]]</f>
        <v>Cariniana rubra</v>
      </c>
    </row>
    <row r="1061" spans="1:8" x14ac:dyDescent="0.25">
      <c r="A1061">
        <v>34409</v>
      </c>
      <c r="B1061" t="s">
        <v>1487</v>
      </c>
      <c r="C1061" t="s">
        <v>1488</v>
      </c>
      <c r="D1061" t="s">
        <v>38</v>
      </c>
      <c r="E1061">
        <v>34133</v>
      </c>
      <c r="F1061" s="24">
        <f>especies_ativa_codibama[[#This Row],[Código]]</f>
        <v>34409</v>
      </c>
      <c r="G1061" s="40" t="str">
        <f>especies_ativa_codibama[[#This Row],[Nome popular]]</f>
        <v>cachimbeira, currimboque vermelho, jequitibá</v>
      </c>
      <c r="H1061" s="40" t="str">
        <f>especies_ativa_codibama[[#This Row],[Nome científico]]</f>
        <v>Cariniana domestica</v>
      </c>
    </row>
    <row r="1062" spans="1:8" x14ac:dyDescent="0.25">
      <c r="A1062">
        <v>34410</v>
      </c>
      <c r="B1062" t="s">
        <v>1489</v>
      </c>
      <c r="C1062" t="s">
        <v>1490</v>
      </c>
      <c r="D1062" t="s">
        <v>38</v>
      </c>
      <c r="E1062">
        <v>33009</v>
      </c>
      <c r="F1062" s="24">
        <f>especies_ativa_codibama[[#This Row],[Código]]</f>
        <v>34410</v>
      </c>
      <c r="G1062" s="40" t="str">
        <f>especies_ativa_codibama[[#This Row],[Nome popular]]</f>
        <v>castanha fedorenta, jenipapara, jenipara, mata-matá branco</v>
      </c>
      <c r="H1062" s="40" t="str">
        <f>especies_ativa_codibama[[#This Row],[Nome científico]]</f>
        <v>Gustavia augusta</v>
      </c>
    </row>
    <row r="1063" spans="1:8" x14ac:dyDescent="0.25">
      <c r="A1063">
        <v>34411</v>
      </c>
      <c r="B1063" t="s">
        <v>1491</v>
      </c>
      <c r="C1063" t="s">
        <v>1492</v>
      </c>
      <c r="D1063" t="s">
        <v>38</v>
      </c>
      <c r="E1063">
        <v>34268</v>
      </c>
      <c r="F1063" s="24">
        <f>especies_ativa_codibama[[#This Row],[Código]]</f>
        <v>34411</v>
      </c>
      <c r="G1063" s="40" t="str">
        <f>especies_ativa_codibama[[#This Row],[Nome popular]]</f>
        <v>castanheira de sapucaia, sapucaia</v>
      </c>
      <c r="H1063" s="40" t="str">
        <f>especies_ativa_codibama[[#This Row],[Nome científico]]</f>
        <v>Lecythis pisonis</v>
      </c>
    </row>
    <row r="1064" spans="1:8" x14ac:dyDescent="0.25">
      <c r="A1064">
        <v>34413</v>
      </c>
      <c r="B1064" t="s">
        <v>2688</v>
      </c>
      <c r="C1064" t="s">
        <v>1493</v>
      </c>
      <c r="D1064" t="s">
        <v>38</v>
      </c>
      <c r="E1064">
        <v>34641</v>
      </c>
      <c r="F1064" s="24">
        <f>especies_ativa_codibama[[#This Row],[Código]]</f>
        <v>34413</v>
      </c>
      <c r="G1064" s="40" t="str">
        <f>especies_ativa_codibama[[#This Row],[Nome popular]]</f>
        <v>embiramapÃ­rto Santo, tauari, toari</v>
      </c>
      <c r="H1064" s="40" t="str">
        <f>especies_ativa_codibama[[#This Row],[Nome científico]]</f>
        <v>Couratari macrosperma</v>
      </c>
    </row>
    <row r="1065" spans="1:8" x14ac:dyDescent="0.25">
      <c r="A1065">
        <v>34414</v>
      </c>
      <c r="B1065" t="s">
        <v>1494</v>
      </c>
      <c r="C1065" t="s">
        <v>1495</v>
      </c>
      <c r="D1065" t="s">
        <v>38</v>
      </c>
      <c r="E1065">
        <v>34828</v>
      </c>
      <c r="F1065" s="24">
        <f>especies_ativa_codibama[[#This Row],[Código]]</f>
        <v>34414</v>
      </c>
      <c r="G1065" s="40" t="str">
        <f>especies_ativa_codibama[[#This Row],[Nome popular]]</f>
        <v>espinho da várzea</v>
      </c>
      <c r="H1065" s="40" t="str">
        <f>especies_ativa_codibama[[#This Row],[Nome científico]]</f>
        <v>Eschweilera albiflora</v>
      </c>
    </row>
    <row r="1066" spans="1:8" x14ac:dyDescent="0.25">
      <c r="A1066">
        <v>34415</v>
      </c>
      <c r="B1066" t="s">
        <v>1496</v>
      </c>
      <c r="C1066" t="s">
        <v>1497</v>
      </c>
      <c r="D1066" t="s">
        <v>38</v>
      </c>
      <c r="E1066">
        <v>32085</v>
      </c>
      <c r="F1066" s="24">
        <f>especies_ativa_codibama[[#This Row],[Código]]</f>
        <v>34415</v>
      </c>
      <c r="G1066" s="40" t="str">
        <f>especies_ativa_codibama[[#This Row],[Nome popular]]</f>
        <v>mata-matá, matamatá branco, matamatá roxa</v>
      </c>
      <c r="H1066" s="40" t="str">
        <f>especies_ativa_codibama[[#This Row],[Nome científico]]</f>
        <v>Eschweilera pedicellata</v>
      </c>
    </row>
    <row r="1067" spans="1:8" x14ac:dyDescent="0.25">
      <c r="A1067">
        <v>34416</v>
      </c>
      <c r="B1067" t="s">
        <v>1498</v>
      </c>
      <c r="C1067" t="s">
        <v>1499</v>
      </c>
      <c r="D1067" t="s">
        <v>38</v>
      </c>
      <c r="E1067">
        <v>31724</v>
      </c>
      <c r="F1067" s="24">
        <f>especies_ativa_codibama[[#This Row],[Código]]</f>
        <v>34416</v>
      </c>
      <c r="G1067" s="40" t="str">
        <f>especies_ativa_codibama[[#This Row],[Nome popular]]</f>
        <v>mata-matá, mata-matá branco, mata-matá rôxo</v>
      </c>
      <c r="H1067" s="40" t="str">
        <f>especies_ativa_codibama[[#This Row],[Nome científico]]</f>
        <v>Eschweilera coriacea</v>
      </c>
    </row>
    <row r="1068" spans="1:8" x14ac:dyDescent="0.25">
      <c r="A1068">
        <v>34417</v>
      </c>
      <c r="B1068" t="s">
        <v>1500</v>
      </c>
      <c r="C1068" t="s">
        <v>1501</v>
      </c>
      <c r="D1068" t="s">
        <v>38</v>
      </c>
      <c r="E1068">
        <v>32949</v>
      </c>
      <c r="F1068" s="24">
        <f>especies_ativa_codibama[[#This Row],[Código]]</f>
        <v>34417</v>
      </c>
      <c r="G1068" s="40" t="str">
        <f>especies_ativa_codibama[[#This Row],[Nome popular]]</f>
        <v>tauari amarelo, tauari branco</v>
      </c>
      <c r="H1068" s="40" t="str">
        <f>especies_ativa_codibama[[#This Row],[Nome científico]]</f>
        <v>Couratari multiflora</v>
      </c>
    </row>
    <row r="1069" spans="1:8" x14ac:dyDescent="0.25">
      <c r="A1069">
        <v>34418</v>
      </c>
      <c r="B1069" t="s">
        <v>1502</v>
      </c>
      <c r="C1069" t="s">
        <v>1503</v>
      </c>
      <c r="D1069" t="s">
        <v>38</v>
      </c>
      <c r="E1069">
        <v>34829</v>
      </c>
      <c r="F1069" s="24">
        <f>especies_ativa_codibama[[#This Row],[Código]]</f>
        <v>34418</v>
      </c>
      <c r="G1069" s="40" t="str">
        <f>especies_ativa_codibama[[#This Row],[Nome popular]]</f>
        <v>tucari do campo</v>
      </c>
      <c r="H1069" s="40" t="str">
        <f>especies_ativa_codibama[[#This Row],[Nome científico]]</f>
        <v>Eschweilera nana</v>
      </c>
    </row>
    <row r="1070" spans="1:8" x14ac:dyDescent="0.25">
      <c r="A1070">
        <v>34419</v>
      </c>
      <c r="B1070" t="s">
        <v>106</v>
      </c>
      <c r="C1070" t="s">
        <v>1504</v>
      </c>
      <c r="D1070" t="s">
        <v>38</v>
      </c>
      <c r="E1070">
        <v>34798</v>
      </c>
      <c r="F1070" s="24">
        <f>especies_ativa_codibama[[#This Row],[Código]]</f>
        <v>34419</v>
      </c>
      <c r="G1070" s="40" t="str">
        <f>especies_ativa_codibama[[#This Row],[Nome popular]]</f>
        <v>---</v>
      </c>
      <c r="H1070" s="40" t="str">
        <f>especies_ativa_codibama[[#This Row],[Nome científico]]</f>
        <v>Couratari oblongifolia</v>
      </c>
    </row>
    <row r="1071" spans="1:8" x14ac:dyDescent="0.25">
      <c r="A1071">
        <v>34420</v>
      </c>
      <c r="B1071" t="s">
        <v>106</v>
      </c>
      <c r="C1071" t="s">
        <v>1505</v>
      </c>
      <c r="D1071" t="s">
        <v>38</v>
      </c>
      <c r="E1071">
        <v>35352</v>
      </c>
      <c r="F1071" s="24">
        <f>especies_ativa_codibama[[#This Row],[Código]]</f>
        <v>34420</v>
      </c>
      <c r="G1071" s="40" t="str">
        <f>especies_ativa_codibama[[#This Row],[Nome popular]]</f>
        <v>---</v>
      </c>
      <c r="H1071" s="40" t="str">
        <f>especies_ativa_codibama[[#This Row],[Nome científico]]</f>
        <v>Couratari stellata</v>
      </c>
    </row>
    <row r="1072" spans="1:8" x14ac:dyDescent="0.25">
      <c r="A1072">
        <v>34422</v>
      </c>
      <c r="B1072" t="s">
        <v>2689</v>
      </c>
      <c r="C1072" t="s">
        <v>1506</v>
      </c>
      <c r="D1072" t="s">
        <v>465</v>
      </c>
      <c r="E1072">
        <v>32247</v>
      </c>
      <c r="F1072" s="24">
        <f>especies_ativa_codibama[[#This Row],[Código]]</f>
        <v>34422</v>
      </c>
      <c r="G1072" s="40" t="str">
        <f>especies_ativa_codibama[[#This Row],[Nome popular]]</f>
        <v>castanha do Brasil, castanha-do-pará¡, castanheira, castaña</v>
      </c>
      <c r="H1072" s="40" t="str">
        <f>especies_ativa_codibama[[#This Row],[Nome científico]]</f>
        <v>Bertholletia excelsa</v>
      </c>
    </row>
    <row r="1073" spans="1:8" x14ac:dyDescent="0.25">
      <c r="A1073">
        <v>34428</v>
      </c>
      <c r="B1073" t="s">
        <v>106</v>
      </c>
      <c r="C1073" t="s">
        <v>1507</v>
      </c>
      <c r="D1073" t="s">
        <v>126</v>
      </c>
      <c r="E1073">
        <v>34655</v>
      </c>
      <c r="F1073" s="24">
        <f>especies_ativa_codibama[[#This Row],[Código]]</f>
        <v>34428</v>
      </c>
      <c r="G1073" s="40" t="str">
        <f>especies_ativa_codibama[[#This Row],[Nome popular]]</f>
        <v>---</v>
      </c>
      <c r="H1073" s="40" t="str">
        <f>especies_ativa_codibama[[#This Row],[Nome científico]]</f>
        <v>Strychnos rubiginosa</v>
      </c>
    </row>
    <row r="1074" spans="1:8" x14ac:dyDescent="0.25">
      <c r="A1074">
        <v>34431</v>
      </c>
      <c r="B1074" t="s">
        <v>106</v>
      </c>
      <c r="C1074" t="s">
        <v>1508</v>
      </c>
      <c r="D1074" t="s">
        <v>38</v>
      </c>
      <c r="E1074">
        <v>34709</v>
      </c>
      <c r="F1074" s="24">
        <f>especies_ativa_codibama[[#This Row],[Código]]</f>
        <v>34431</v>
      </c>
      <c r="G1074" s="40" t="str">
        <f>especies_ativa_codibama[[#This Row],[Nome popular]]</f>
        <v>---</v>
      </c>
      <c r="H1074" s="40" t="str">
        <f>especies_ativa_codibama[[#This Row],[Nome científico]]</f>
        <v>Antonia ovata</v>
      </c>
    </row>
    <row r="1075" spans="1:8" x14ac:dyDescent="0.25">
      <c r="A1075">
        <v>34432</v>
      </c>
      <c r="B1075" t="s">
        <v>1509</v>
      </c>
      <c r="C1075" t="s">
        <v>1510</v>
      </c>
      <c r="D1075" t="s">
        <v>38</v>
      </c>
      <c r="E1075">
        <v>2000729</v>
      </c>
      <c r="F1075" s="24">
        <f>especies_ativa_codibama[[#This Row],[Código]]</f>
        <v>34432</v>
      </c>
      <c r="G1075" s="40" t="str">
        <f>especies_ativa_codibama[[#This Row],[Nome popular]]</f>
        <v>Quina, Quina-do-cerrado, Quina-grossa</v>
      </c>
      <c r="H1075" s="40" t="str">
        <f>especies_ativa_codibama[[#This Row],[Nome científico]]</f>
        <v>Strychnos pseudoquina</v>
      </c>
    </row>
    <row r="1076" spans="1:8" x14ac:dyDescent="0.25">
      <c r="A1076">
        <v>34434</v>
      </c>
      <c r="B1076" t="s">
        <v>106</v>
      </c>
      <c r="C1076" t="s">
        <v>1511</v>
      </c>
      <c r="D1076" t="s">
        <v>196</v>
      </c>
      <c r="E1076">
        <v>34878</v>
      </c>
      <c r="F1076" s="24">
        <f>especies_ativa_codibama[[#This Row],[Código]]</f>
        <v>34434</v>
      </c>
      <c r="G1076" s="40" t="str">
        <f>especies_ativa_codibama[[#This Row],[Nome popular]]</f>
        <v>---</v>
      </c>
      <c r="H1076" s="40" t="str">
        <f>especies_ativa_codibama[[#This Row],[Nome científico]]</f>
        <v>Lafoensia glyptocarpa</v>
      </c>
    </row>
    <row r="1077" spans="1:8" x14ac:dyDescent="0.25">
      <c r="A1077">
        <v>34435</v>
      </c>
      <c r="B1077" t="s">
        <v>1512</v>
      </c>
      <c r="C1077" t="s">
        <v>1513</v>
      </c>
      <c r="D1077" t="s">
        <v>126</v>
      </c>
      <c r="E1077">
        <v>36062</v>
      </c>
      <c r="F1077" s="24">
        <f>especies_ativa_codibama[[#This Row],[Código]]</f>
        <v>34435</v>
      </c>
      <c r="G1077" s="40" t="str">
        <f>especies_ativa_codibama[[#This Row],[Nome popular]]</f>
        <v>Dedaleira-amarela, Candeia-de-caju, Mangaba-brava, Pacari, Pacari-do-mato, Pacari-do-sertão</v>
      </c>
      <c r="H1077" s="40" t="str">
        <f>especies_ativa_codibama[[#This Row],[Nome científico]]</f>
        <v>Lafoensia pacari</v>
      </c>
    </row>
    <row r="1078" spans="1:8" x14ac:dyDescent="0.25">
      <c r="A1078">
        <v>34436</v>
      </c>
      <c r="B1078" t="s">
        <v>1514</v>
      </c>
      <c r="C1078" t="s">
        <v>1515</v>
      </c>
      <c r="D1078" t="s">
        <v>126</v>
      </c>
      <c r="E1078">
        <v>33709</v>
      </c>
      <c r="F1078" s="24">
        <f>especies_ativa_codibama[[#This Row],[Código]]</f>
        <v>34436</v>
      </c>
      <c r="G1078" s="40" t="str">
        <f>especies_ativa_codibama[[#This Row],[Nome popular]]</f>
        <v>Grão-de-porco, Cega-machado, Pau-de-rosa, Itaúba de capoeira</v>
      </c>
      <c r="H1078" s="40" t="str">
        <f>especies_ativa_codibama[[#This Row],[Nome científico]]</f>
        <v>Physocalymma scaberrimum</v>
      </c>
    </row>
    <row r="1079" spans="1:8" x14ac:dyDescent="0.25">
      <c r="A1079">
        <v>34437</v>
      </c>
      <c r="B1079" t="s">
        <v>1516</v>
      </c>
      <c r="C1079" t="s">
        <v>1517</v>
      </c>
      <c r="D1079" t="s">
        <v>38</v>
      </c>
      <c r="E1079">
        <v>36063</v>
      </c>
      <c r="F1079" s="24">
        <f>especies_ativa_codibama[[#This Row],[Código]]</f>
        <v>34437</v>
      </c>
      <c r="G1079" s="40" t="str">
        <f>especies_ativa_codibama[[#This Row],[Nome popular]]</f>
        <v>Roma, Piqui-amarelo, Loro, Pau-de-bicho, Dedalinho, Dedaleira-amarela, Louro-da-serra, Mangabeira-brava, Louro-de-São-Paulo, Mirindiba-bagre, Mirindiba-rosa</v>
      </c>
      <c r="H1079" s="40" t="str">
        <f>especies_ativa_codibama[[#This Row],[Nome científico]]</f>
        <v>Lafoensia vandelliana</v>
      </c>
    </row>
    <row r="1080" spans="1:8" x14ac:dyDescent="0.25">
      <c r="A1080">
        <v>34444</v>
      </c>
      <c r="B1080" t="s">
        <v>106</v>
      </c>
      <c r="C1080" t="s">
        <v>1518</v>
      </c>
      <c r="D1080" t="s">
        <v>126</v>
      </c>
      <c r="E1080">
        <v>36085</v>
      </c>
      <c r="F1080" s="24">
        <f>especies_ativa_codibama[[#This Row],[Código]]</f>
        <v>34444</v>
      </c>
      <c r="G1080" s="40" t="str">
        <f>especies_ativa_codibama[[#This Row],[Nome popular]]</f>
        <v>---</v>
      </c>
      <c r="H1080" s="40" t="str">
        <f>especies_ativa_codibama[[#This Row],[Nome científico]]</f>
        <v>Magnolia ovata</v>
      </c>
    </row>
    <row r="1081" spans="1:8" x14ac:dyDescent="0.25">
      <c r="A1081">
        <v>34450</v>
      </c>
      <c r="B1081" t="s">
        <v>1519</v>
      </c>
      <c r="C1081" t="s">
        <v>1520</v>
      </c>
      <c r="D1081" t="s">
        <v>79</v>
      </c>
      <c r="E1081">
        <v>34116</v>
      </c>
      <c r="F1081" s="24">
        <f>especies_ativa_codibama[[#This Row],[Código]]</f>
        <v>34450</v>
      </c>
      <c r="G1081" s="40" t="str">
        <f>especies_ativa_codibama[[#This Row],[Nome popular]]</f>
        <v>Acá</v>
      </c>
      <c r="H1081" s="40" t="str">
        <f>especies_ativa_codibama[[#This Row],[Nome científico]]</f>
        <v>Byrsonima cacaophila</v>
      </c>
    </row>
    <row r="1082" spans="1:8" x14ac:dyDescent="0.25">
      <c r="A1082">
        <v>34451</v>
      </c>
      <c r="B1082" t="s">
        <v>1521</v>
      </c>
      <c r="C1082" t="s">
        <v>1522</v>
      </c>
      <c r="D1082" t="s">
        <v>79</v>
      </c>
      <c r="E1082">
        <v>34735</v>
      </c>
      <c r="F1082" s="24">
        <f>especies_ativa_codibama[[#This Row],[Código]]</f>
        <v>34451</v>
      </c>
      <c r="G1082" s="40" t="str">
        <f>especies_ativa_codibama[[#This Row],[Nome popular]]</f>
        <v>murici</v>
      </c>
      <c r="H1082" s="40" t="str">
        <f>especies_ativa_codibama[[#This Row],[Nome científico]]</f>
        <v>Byrsonima basiloba</v>
      </c>
    </row>
    <row r="1083" spans="1:8" x14ac:dyDescent="0.25">
      <c r="A1083">
        <v>34452</v>
      </c>
      <c r="B1083" t="s">
        <v>2690</v>
      </c>
      <c r="C1083" t="s">
        <v>1523</v>
      </c>
      <c r="D1083" t="s">
        <v>79</v>
      </c>
      <c r="E1083">
        <v>1986342</v>
      </c>
      <c r="F1083" s="24">
        <f>especies_ativa_codibama[[#This Row],[Código]]</f>
        <v>34452</v>
      </c>
      <c r="G1083" s="40" t="str">
        <f>especies_ativa_codibama[[#This Row],[Nome popular]]</f>
        <v>Murici D'anta</v>
      </c>
      <c r="H1083" s="40" t="str">
        <f>especies_ativa_codibama[[#This Row],[Nome científico]]</f>
        <v>Byrsonima affinis</v>
      </c>
    </row>
    <row r="1084" spans="1:8" x14ac:dyDescent="0.25">
      <c r="A1084">
        <v>34453</v>
      </c>
      <c r="B1084" t="s">
        <v>1524</v>
      </c>
      <c r="C1084" t="s">
        <v>1525</v>
      </c>
      <c r="D1084" t="s">
        <v>79</v>
      </c>
      <c r="E1084">
        <v>2004325</v>
      </c>
      <c r="F1084" s="24">
        <f>especies_ativa_codibama[[#This Row],[Código]]</f>
        <v>34453</v>
      </c>
      <c r="G1084" s="40" t="str">
        <f>especies_ativa_codibama[[#This Row],[Nome popular]]</f>
        <v>Murici-macho</v>
      </c>
      <c r="H1084" s="40" t="str">
        <f>especies_ativa_codibama[[#This Row],[Nome científico]]</f>
        <v>Heteropterys byrsonimiifolia</v>
      </c>
    </row>
    <row r="1085" spans="1:8" x14ac:dyDescent="0.25">
      <c r="A1085">
        <v>34454</v>
      </c>
      <c r="B1085" t="s">
        <v>106</v>
      </c>
      <c r="C1085" t="s">
        <v>1526</v>
      </c>
      <c r="D1085" t="s">
        <v>79</v>
      </c>
      <c r="E1085">
        <v>1986512</v>
      </c>
      <c r="F1085" s="24">
        <f>especies_ativa_codibama[[#This Row],[Código]]</f>
        <v>34454</v>
      </c>
      <c r="G1085" s="40" t="str">
        <f>especies_ativa_codibama[[#This Row],[Nome popular]]</f>
        <v>---</v>
      </c>
      <c r="H1085" s="40" t="str">
        <f>especies_ativa_codibama[[#This Row],[Nome científico]]</f>
        <v>Banisteriopsis latifolia</v>
      </c>
    </row>
    <row r="1086" spans="1:8" x14ac:dyDescent="0.25">
      <c r="A1086">
        <v>34458</v>
      </c>
      <c r="B1086" t="s">
        <v>106</v>
      </c>
      <c r="C1086" t="s">
        <v>1527</v>
      </c>
      <c r="D1086" t="s">
        <v>79</v>
      </c>
      <c r="E1086">
        <v>31632</v>
      </c>
      <c r="F1086" s="24">
        <f>especies_ativa_codibama[[#This Row],[Código]]</f>
        <v>34458</v>
      </c>
      <c r="G1086" s="40" t="str">
        <f>especies_ativa_codibama[[#This Row],[Nome popular]]</f>
        <v>---</v>
      </c>
      <c r="H1086" s="40" t="str">
        <f>especies_ativa_codibama[[#This Row],[Nome científico]]</f>
        <v>Byrsonima lancifolia</v>
      </c>
    </row>
    <row r="1087" spans="1:8" x14ac:dyDescent="0.25">
      <c r="A1087">
        <v>34462</v>
      </c>
      <c r="B1087" t="s">
        <v>106</v>
      </c>
      <c r="C1087" t="s">
        <v>1528</v>
      </c>
      <c r="D1087" t="s">
        <v>79</v>
      </c>
      <c r="E1087">
        <v>32265</v>
      </c>
      <c r="F1087" s="24">
        <f>especies_ativa_codibama[[#This Row],[Código]]</f>
        <v>34462</v>
      </c>
      <c r="G1087" s="40" t="str">
        <f>especies_ativa_codibama[[#This Row],[Nome popular]]</f>
        <v>---</v>
      </c>
      <c r="H1087" s="40" t="str">
        <f>especies_ativa_codibama[[#This Row],[Nome científico]]</f>
        <v>Byrsonima salzmanniana</v>
      </c>
    </row>
    <row r="1088" spans="1:8" x14ac:dyDescent="0.25">
      <c r="A1088">
        <v>34471</v>
      </c>
      <c r="B1088" t="s">
        <v>106</v>
      </c>
      <c r="C1088" t="s">
        <v>1529</v>
      </c>
      <c r="D1088" t="s">
        <v>79</v>
      </c>
      <c r="E1088">
        <v>32264</v>
      </c>
      <c r="F1088" s="24">
        <f>especies_ativa_codibama[[#This Row],[Código]]</f>
        <v>34471</v>
      </c>
      <c r="G1088" s="40" t="str">
        <f>especies_ativa_codibama[[#This Row],[Nome popular]]</f>
        <v>---</v>
      </c>
      <c r="H1088" s="40" t="str">
        <f>especies_ativa_codibama[[#This Row],[Nome científico]]</f>
        <v>Byrsonima ligustrifolia</v>
      </c>
    </row>
    <row r="1089" spans="1:8" x14ac:dyDescent="0.25">
      <c r="A1089">
        <v>34479</v>
      </c>
      <c r="B1089" t="s">
        <v>106</v>
      </c>
      <c r="C1089" t="s">
        <v>1530</v>
      </c>
      <c r="D1089" t="s">
        <v>126</v>
      </c>
      <c r="E1089">
        <v>32263</v>
      </c>
      <c r="F1089" s="24">
        <f>especies_ativa_codibama[[#This Row],[Código]]</f>
        <v>34479</v>
      </c>
      <c r="G1089" s="40" t="str">
        <f>especies_ativa_codibama[[#This Row],[Nome popular]]</f>
        <v>---</v>
      </c>
      <c r="H1089" s="40" t="str">
        <f>especies_ativa_codibama[[#This Row],[Nome científico]]</f>
        <v>Byrsonima coccolobifolia</v>
      </c>
    </row>
    <row r="1090" spans="1:8" x14ac:dyDescent="0.25">
      <c r="A1090">
        <v>34481</v>
      </c>
      <c r="B1090" t="s">
        <v>1521</v>
      </c>
      <c r="C1090" t="s">
        <v>1531</v>
      </c>
      <c r="D1090" t="s">
        <v>38</v>
      </c>
      <c r="E1090">
        <v>35902</v>
      </c>
      <c r="F1090" s="24">
        <f>especies_ativa_codibama[[#This Row],[Código]]</f>
        <v>34481</v>
      </c>
      <c r="G1090" s="40" t="str">
        <f>especies_ativa_codibama[[#This Row],[Nome popular]]</f>
        <v>murici</v>
      </c>
      <c r="H1090" s="40" t="str">
        <f>especies_ativa_codibama[[#This Row],[Nome científico]]</f>
        <v>Byrsonima crispa</v>
      </c>
    </row>
    <row r="1091" spans="1:8" x14ac:dyDescent="0.25">
      <c r="A1091">
        <v>34493</v>
      </c>
      <c r="B1091" t="s">
        <v>106</v>
      </c>
      <c r="C1091" t="s">
        <v>1532</v>
      </c>
      <c r="D1091" t="s">
        <v>38</v>
      </c>
      <c r="E1091">
        <v>1983376</v>
      </c>
      <c r="F1091" s="24">
        <f>especies_ativa_codibama[[#This Row],[Código]]</f>
        <v>34493</v>
      </c>
      <c r="G1091" s="40" t="str">
        <f>especies_ativa_codibama[[#This Row],[Nome popular]]</f>
        <v>---</v>
      </c>
      <c r="H1091" s="40" t="str">
        <f>especies_ativa_codibama[[#This Row],[Nome científico]]</f>
        <v>Heteropterys umbellata</v>
      </c>
    </row>
    <row r="1092" spans="1:8" x14ac:dyDescent="0.25">
      <c r="A1092">
        <v>34495</v>
      </c>
      <c r="B1092" t="s">
        <v>106</v>
      </c>
      <c r="C1092" t="s">
        <v>1533</v>
      </c>
      <c r="D1092" t="s">
        <v>38</v>
      </c>
      <c r="E1092">
        <v>32714</v>
      </c>
      <c r="F1092" s="24">
        <f>especies_ativa_codibama[[#This Row],[Código]]</f>
        <v>34495</v>
      </c>
      <c r="G1092" s="40" t="str">
        <f>especies_ativa_codibama[[#This Row],[Nome popular]]</f>
        <v>---</v>
      </c>
      <c r="H1092" s="40" t="str">
        <f>especies_ativa_codibama[[#This Row],[Nome científico]]</f>
        <v>Byrsonima laxiflora</v>
      </c>
    </row>
    <row r="1093" spans="1:8" x14ac:dyDescent="0.25">
      <c r="A1093">
        <v>34504</v>
      </c>
      <c r="B1093" t="s">
        <v>106</v>
      </c>
      <c r="C1093" t="s">
        <v>1534</v>
      </c>
      <c r="D1093" t="s">
        <v>38</v>
      </c>
      <c r="E1093">
        <v>35904</v>
      </c>
      <c r="F1093" s="24">
        <f>especies_ativa_codibama[[#This Row],[Código]]</f>
        <v>34504</v>
      </c>
      <c r="G1093" s="40" t="str">
        <f>especies_ativa_codibama[[#This Row],[Nome popular]]</f>
        <v>---</v>
      </c>
      <c r="H1093" s="40" t="str">
        <f>especies_ativa_codibama[[#This Row],[Nome científico]]</f>
        <v>Byrsonima sericea</v>
      </c>
    </row>
    <row r="1094" spans="1:8" x14ac:dyDescent="0.25">
      <c r="A1094">
        <v>34505</v>
      </c>
      <c r="B1094" t="s">
        <v>106</v>
      </c>
      <c r="C1094" t="s">
        <v>1535</v>
      </c>
      <c r="D1094" t="s">
        <v>38</v>
      </c>
      <c r="E1094">
        <v>33498</v>
      </c>
      <c r="F1094" s="24">
        <f>especies_ativa_codibama[[#This Row],[Código]]</f>
        <v>34505</v>
      </c>
      <c r="G1094" s="40" t="str">
        <f>especies_ativa_codibama[[#This Row],[Nome popular]]</f>
        <v>---</v>
      </c>
      <c r="H1094" s="40" t="str">
        <f>especies_ativa_codibama[[#This Row],[Nome científico]]</f>
        <v>Byrsonima verbascifolia</v>
      </c>
    </row>
    <row r="1095" spans="1:8" x14ac:dyDescent="0.25">
      <c r="A1095">
        <v>34506</v>
      </c>
      <c r="B1095" t="s">
        <v>106</v>
      </c>
      <c r="C1095" t="s">
        <v>1536</v>
      </c>
      <c r="D1095" t="s">
        <v>38</v>
      </c>
      <c r="E1095">
        <v>34117</v>
      </c>
      <c r="F1095" s="24">
        <f>especies_ativa_codibama[[#This Row],[Código]]</f>
        <v>34506</v>
      </c>
      <c r="G1095" s="40" t="str">
        <f>especies_ativa_codibama[[#This Row],[Nome popular]]</f>
        <v>---</v>
      </c>
      <c r="H1095" s="40" t="str">
        <f>especies_ativa_codibama[[#This Row],[Nome científico]]</f>
        <v>Byrsonima crassifolia</v>
      </c>
    </row>
    <row r="1096" spans="1:8" x14ac:dyDescent="0.25">
      <c r="A1096">
        <v>34509</v>
      </c>
      <c r="B1096" t="s">
        <v>106</v>
      </c>
      <c r="C1096" t="s">
        <v>1537</v>
      </c>
      <c r="D1096" t="s">
        <v>38</v>
      </c>
      <c r="E1096">
        <v>1986746</v>
      </c>
      <c r="F1096" s="24">
        <f>especies_ativa_codibama[[#This Row],[Código]]</f>
        <v>34509</v>
      </c>
      <c r="G1096" s="40" t="str">
        <f>especies_ativa_codibama[[#This Row],[Nome popular]]</f>
        <v>---</v>
      </c>
      <c r="H1096" s="40" t="str">
        <f>especies_ativa_codibama[[#This Row],[Nome científico]]</f>
        <v>Byrsonima pachyphylla</v>
      </c>
    </row>
    <row r="1097" spans="1:8" x14ac:dyDescent="0.25">
      <c r="A1097">
        <v>34510</v>
      </c>
      <c r="B1097" t="s">
        <v>106</v>
      </c>
      <c r="C1097" t="s">
        <v>1538</v>
      </c>
      <c r="D1097" t="s">
        <v>38</v>
      </c>
      <c r="E1097">
        <v>31633</v>
      </c>
      <c r="F1097" s="24">
        <f>especies_ativa_codibama[[#This Row],[Código]]</f>
        <v>34510</v>
      </c>
      <c r="G1097" s="40" t="str">
        <f>especies_ativa_codibama[[#This Row],[Nome popular]]</f>
        <v>---</v>
      </c>
      <c r="H1097" s="40" t="str">
        <f>especies_ativa_codibama[[#This Row],[Nome científico]]</f>
        <v>Byrsonima spicata</v>
      </c>
    </row>
    <row r="1098" spans="1:8" x14ac:dyDescent="0.25">
      <c r="A1098">
        <v>34511</v>
      </c>
      <c r="B1098" t="s">
        <v>106</v>
      </c>
      <c r="C1098" t="s">
        <v>1539</v>
      </c>
      <c r="D1098" t="s">
        <v>38</v>
      </c>
      <c r="E1098">
        <v>32902</v>
      </c>
      <c r="F1098" s="24">
        <f>especies_ativa_codibama[[#This Row],[Código]]</f>
        <v>34511</v>
      </c>
      <c r="G1098" s="40" t="str">
        <f>especies_ativa_codibama[[#This Row],[Nome popular]]</f>
        <v>---</v>
      </c>
      <c r="H1098" s="40" t="str">
        <f>especies_ativa_codibama[[#This Row],[Nome científico]]</f>
        <v>Byrsonima chrysophylla</v>
      </c>
    </row>
    <row r="1099" spans="1:8" x14ac:dyDescent="0.25">
      <c r="A1099">
        <v>34512</v>
      </c>
      <c r="B1099" t="s">
        <v>106</v>
      </c>
      <c r="C1099" t="s">
        <v>1540</v>
      </c>
      <c r="D1099" t="s">
        <v>38</v>
      </c>
      <c r="E1099">
        <v>32267</v>
      </c>
      <c r="F1099" s="24">
        <f>especies_ativa_codibama[[#This Row],[Código]]</f>
        <v>34512</v>
      </c>
      <c r="G1099" s="40" t="str">
        <f>especies_ativa_codibama[[#This Row],[Nome popular]]</f>
        <v>---</v>
      </c>
      <c r="H1099" s="40" t="str">
        <f>especies_ativa_codibama[[#This Row],[Nome científico]]</f>
        <v>Byrsonima stipulacea</v>
      </c>
    </row>
    <row r="1100" spans="1:8" x14ac:dyDescent="0.25">
      <c r="A1100">
        <v>34515</v>
      </c>
      <c r="B1100" t="s">
        <v>106</v>
      </c>
      <c r="C1100" t="s">
        <v>1541</v>
      </c>
      <c r="D1100" t="s">
        <v>38</v>
      </c>
      <c r="E1100">
        <v>31816</v>
      </c>
      <c r="F1100" s="24">
        <f>especies_ativa_codibama[[#This Row],[Código]]</f>
        <v>34515</v>
      </c>
      <c r="G1100" s="40" t="str">
        <f>especies_ativa_codibama[[#This Row],[Nome popular]]</f>
        <v>---</v>
      </c>
      <c r="H1100" s="40" t="str">
        <f>especies_ativa_codibama[[#This Row],[Nome científico]]</f>
        <v>Malpighia punicifolia</v>
      </c>
    </row>
    <row r="1101" spans="1:8" x14ac:dyDescent="0.25">
      <c r="A1101">
        <v>34521</v>
      </c>
      <c r="B1101" t="s">
        <v>106</v>
      </c>
      <c r="C1101" t="s">
        <v>1542</v>
      </c>
      <c r="D1101" t="s">
        <v>38</v>
      </c>
      <c r="E1101">
        <v>35310</v>
      </c>
      <c r="F1101" s="24">
        <f>especies_ativa_codibama[[#This Row],[Código]]</f>
        <v>34521</v>
      </c>
      <c r="G1101" s="40" t="str">
        <f>especies_ativa_codibama[[#This Row],[Nome popular]]</f>
        <v>---</v>
      </c>
      <c r="H1101" s="40" t="str">
        <f>especies_ativa_codibama[[#This Row],[Nome científico]]</f>
        <v>Byrsonima umbellata</v>
      </c>
    </row>
    <row r="1102" spans="1:8" x14ac:dyDescent="0.25">
      <c r="A1102">
        <v>34522</v>
      </c>
      <c r="B1102" t="s">
        <v>106</v>
      </c>
      <c r="C1102" t="s">
        <v>2691</v>
      </c>
      <c r="D1102" t="s">
        <v>38</v>
      </c>
      <c r="E1102">
        <v>2004546</v>
      </c>
      <c r="F1102" s="24">
        <f>especies_ativa_codibama[[#This Row],[Código]]</f>
        <v>34522</v>
      </c>
      <c r="G1102" s="40" t="str">
        <f>especies_ativa_codibama[[#This Row],[Nome popular]]</f>
        <v>---</v>
      </c>
      <c r="H1102" s="40" t="str">
        <f>especies_ativa_codibama[[#This Row],[Nome científico]]</f>
        <v>Byrsonima intermedia</v>
      </c>
    </row>
    <row r="1103" spans="1:8" x14ac:dyDescent="0.25">
      <c r="A1103">
        <v>34530</v>
      </c>
      <c r="B1103" t="s">
        <v>1543</v>
      </c>
      <c r="C1103" t="s">
        <v>1544</v>
      </c>
      <c r="D1103" t="s">
        <v>79</v>
      </c>
      <c r="E1103">
        <v>31718</v>
      </c>
      <c r="F1103" s="24">
        <f>especies_ativa_codibama[[#This Row],[Código]]</f>
        <v>34530</v>
      </c>
      <c r="G1103" s="40" t="str">
        <f>especies_ativa_codibama[[#This Row],[Nome popular]]</f>
        <v>algodãozinho</v>
      </c>
      <c r="H1103" s="40" t="str">
        <f>especies_ativa_codibama[[#This Row],[Nome científico]]</f>
        <v>Eriotheca macrophylla</v>
      </c>
    </row>
    <row r="1104" spans="1:8" x14ac:dyDescent="0.25">
      <c r="A1104">
        <v>34536</v>
      </c>
      <c r="B1104" t="s">
        <v>106</v>
      </c>
      <c r="C1104" t="s">
        <v>1545</v>
      </c>
      <c r="D1104" t="s">
        <v>79</v>
      </c>
      <c r="E1104">
        <v>34651</v>
      </c>
      <c r="F1104" s="24">
        <f>especies_ativa_codibama[[#This Row],[Código]]</f>
        <v>34536</v>
      </c>
      <c r="G1104" s="40" t="str">
        <f>especies_ativa_codibama[[#This Row],[Nome popular]]</f>
        <v>---</v>
      </c>
      <c r="H1104" s="40" t="str">
        <f>especies_ativa_codibama[[#This Row],[Nome científico]]</f>
        <v>Luehea crispa</v>
      </c>
    </row>
    <row r="1105" spans="1:8" x14ac:dyDescent="0.25">
      <c r="A1105">
        <v>34550</v>
      </c>
      <c r="B1105" t="s">
        <v>106</v>
      </c>
      <c r="C1105" t="s">
        <v>1546</v>
      </c>
      <c r="D1105" t="s">
        <v>79</v>
      </c>
      <c r="E1105">
        <v>34360</v>
      </c>
      <c r="F1105" s="24">
        <f>especies_ativa_codibama[[#This Row],[Código]]</f>
        <v>34550</v>
      </c>
      <c r="G1105" s="40" t="str">
        <f>especies_ativa_codibama[[#This Row],[Nome popular]]</f>
        <v>---</v>
      </c>
      <c r="H1105" s="40" t="str">
        <f>especies_ativa_codibama[[#This Row],[Nome científico]]</f>
        <v>Pseudobombax grandiflorum</v>
      </c>
    </row>
    <row r="1106" spans="1:8" x14ac:dyDescent="0.25">
      <c r="A1106">
        <v>34552</v>
      </c>
      <c r="B1106" t="s">
        <v>106</v>
      </c>
      <c r="C1106" t="s">
        <v>1547</v>
      </c>
      <c r="D1106" t="s">
        <v>79</v>
      </c>
      <c r="E1106">
        <v>2024449</v>
      </c>
      <c r="F1106" s="24">
        <f>especies_ativa_codibama[[#This Row],[Código]]</f>
        <v>34552</v>
      </c>
      <c r="G1106" s="40" t="str">
        <f>especies_ativa_codibama[[#This Row],[Nome popular]]</f>
        <v>---</v>
      </c>
      <c r="H1106" s="40" t="str">
        <f>especies_ativa_codibama[[#This Row],[Nome científico]]</f>
        <v>Pachira endecaphylla</v>
      </c>
    </row>
    <row r="1107" spans="1:8" x14ac:dyDescent="0.25">
      <c r="A1107">
        <v>34569</v>
      </c>
      <c r="B1107" t="s">
        <v>106</v>
      </c>
      <c r="C1107" t="s">
        <v>1548</v>
      </c>
      <c r="D1107" t="s">
        <v>79</v>
      </c>
      <c r="E1107">
        <v>33018</v>
      </c>
      <c r="F1107" s="24">
        <f>especies_ativa_codibama[[#This Row],[Código]]</f>
        <v>34569</v>
      </c>
      <c r="G1107" s="40" t="str">
        <f>especies_ativa_codibama[[#This Row],[Nome popular]]</f>
        <v>---</v>
      </c>
      <c r="H1107" s="40" t="str">
        <f>especies_ativa_codibama[[#This Row],[Nome científico]]</f>
        <v>Hydrogaster trinervis</v>
      </c>
    </row>
    <row r="1108" spans="1:8" x14ac:dyDescent="0.25">
      <c r="A1108">
        <v>34573</v>
      </c>
      <c r="B1108" t="s">
        <v>106</v>
      </c>
      <c r="C1108" t="s">
        <v>1549</v>
      </c>
      <c r="D1108" t="s">
        <v>79</v>
      </c>
      <c r="E1108">
        <v>32544</v>
      </c>
      <c r="F1108" s="24">
        <f>especies_ativa_codibama[[#This Row],[Código]]</f>
        <v>34573</v>
      </c>
      <c r="G1108" s="40" t="str">
        <f>especies_ativa_codibama[[#This Row],[Nome popular]]</f>
        <v>---</v>
      </c>
      <c r="H1108" s="40" t="str">
        <f>especies_ativa_codibama[[#This Row],[Nome científico]]</f>
        <v>Pterygota brasiliensis</v>
      </c>
    </row>
    <row r="1109" spans="1:8" x14ac:dyDescent="0.25">
      <c r="A1109">
        <v>34578</v>
      </c>
      <c r="B1109" t="s">
        <v>1550</v>
      </c>
      <c r="C1109" t="s">
        <v>1551</v>
      </c>
      <c r="D1109" t="s">
        <v>126</v>
      </c>
      <c r="E1109">
        <v>32974</v>
      </c>
      <c r="F1109" s="24">
        <f>especies_ativa_codibama[[#This Row],[Código]]</f>
        <v>34578</v>
      </c>
      <c r="G1109" s="40" t="str">
        <f>especies_ativa_codibama[[#This Row],[Nome popular]]</f>
        <v>Paineira-do-cerrado, Embiruçu, Embiruçu-peludo, Colher-de-vaqueiro</v>
      </c>
      <c r="H1109" s="40" t="str">
        <f>especies_ativa_codibama[[#This Row],[Nome científico]]</f>
        <v>Eriotheca pubescens</v>
      </c>
    </row>
    <row r="1110" spans="1:8" x14ac:dyDescent="0.25">
      <c r="A1110">
        <v>34579</v>
      </c>
      <c r="B1110" t="s">
        <v>1552</v>
      </c>
      <c r="C1110" t="s">
        <v>1553</v>
      </c>
      <c r="D1110" t="s">
        <v>126</v>
      </c>
      <c r="E1110">
        <v>32541</v>
      </c>
      <c r="F1110" s="24">
        <f>especies_ativa_codibama[[#This Row],[Código]]</f>
        <v>34579</v>
      </c>
      <c r="G1110" s="40" t="str">
        <f>especies_ativa_codibama[[#This Row],[Nome popular]]</f>
        <v>embiruçu, imbiruçu, mamoara</v>
      </c>
      <c r="H1110" s="40" t="str">
        <f>especies_ativa_codibama[[#This Row],[Nome científico]]</f>
        <v>Pseudobombax tomentosum</v>
      </c>
    </row>
    <row r="1111" spans="1:8" x14ac:dyDescent="0.25">
      <c r="A1111">
        <v>34581</v>
      </c>
      <c r="B1111" t="s">
        <v>2692</v>
      </c>
      <c r="C1111" t="s">
        <v>1554</v>
      </c>
      <c r="D1111" t="s">
        <v>126</v>
      </c>
      <c r="E1111">
        <v>32789</v>
      </c>
      <c r="F1111" s="24">
        <f>especies_ativa_codibama[[#This Row],[Código]]</f>
        <v>34581</v>
      </c>
      <c r="G1111" s="40" t="str">
        <f>especies_ativa_codibama[[#This Row],[Nome popular]]</f>
        <v>imbiratanha do Brasil, imbiriçuú do Brasil</v>
      </c>
      <c r="H1111" s="40" t="str">
        <f>especies_ativa_codibama[[#This Row],[Nome científico]]</f>
        <v>Pseudobombax marginatum</v>
      </c>
    </row>
    <row r="1112" spans="1:8" x14ac:dyDescent="0.25">
      <c r="A1112">
        <v>34582</v>
      </c>
      <c r="B1112" t="s">
        <v>106</v>
      </c>
      <c r="C1112" t="s">
        <v>1555</v>
      </c>
      <c r="D1112" t="s">
        <v>126</v>
      </c>
      <c r="E1112">
        <v>33648</v>
      </c>
      <c r="F1112" s="24">
        <f>especies_ativa_codibama[[#This Row],[Código]]</f>
        <v>34582</v>
      </c>
      <c r="G1112" s="40" t="str">
        <f>especies_ativa_codibama[[#This Row],[Nome popular]]</f>
        <v>---</v>
      </c>
      <c r="H1112" s="40" t="str">
        <f>especies_ativa_codibama[[#This Row],[Nome científico]]</f>
        <v>Luehea candicans</v>
      </c>
    </row>
    <row r="1113" spans="1:8" x14ac:dyDescent="0.25">
      <c r="A1113">
        <v>34583</v>
      </c>
      <c r="B1113" t="s">
        <v>1556</v>
      </c>
      <c r="C1113" t="s">
        <v>1557</v>
      </c>
      <c r="D1113" t="s">
        <v>38</v>
      </c>
      <c r="E1113">
        <v>35467</v>
      </c>
      <c r="F1113" s="24">
        <f>especies_ativa_codibama[[#This Row],[Código]]</f>
        <v>34583</v>
      </c>
      <c r="G1113" s="40" t="str">
        <f>especies_ativa_codibama[[#This Row],[Nome popular]]</f>
        <v>açoita cavalo</v>
      </c>
      <c r="H1113" s="40" t="str">
        <f>especies_ativa_codibama[[#This Row],[Nome científico]]</f>
        <v>Lueheopsis rosea</v>
      </c>
    </row>
    <row r="1114" spans="1:8" x14ac:dyDescent="0.25">
      <c r="A1114">
        <v>34584</v>
      </c>
      <c r="B1114" t="s">
        <v>1558</v>
      </c>
      <c r="C1114" t="s">
        <v>1559</v>
      </c>
      <c r="D1114" t="s">
        <v>38</v>
      </c>
      <c r="E1114">
        <v>32448</v>
      </c>
      <c r="F1114" s="24">
        <f>especies_ativa_codibama[[#This Row],[Código]]</f>
        <v>34584</v>
      </c>
      <c r="G1114" s="40" t="str">
        <f>especies_ativa_codibama[[#This Row],[Nome popular]]</f>
        <v>açoita-cavalo, fruta-de-cavalo</v>
      </c>
      <c r="H1114" s="40" t="str">
        <f>especies_ativa_codibama[[#This Row],[Nome científico]]</f>
        <v>Luehea grandiflora</v>
      </c>
    </row>
    <row r="1115" spans="1:8" x14ac:dyDescent="0.25">
      <c r="A1115">
        <v>34585</v>
      </c>
      <c r="B1115" t="s">
        <v>1560</v>
      </c>
      <c r="C1115" t="s">
        <v>1561</v>
      </c>
      <c r="D1115" t="s">
        <v>38</v>
      </c>
      <c r="E1115">
        <v>34399</v>
      </c>
      <c r="F1115" s="24">
        <f>especies_ativa_codibama[[#This Row],[Código]]</f>
        <v>34585</v>
      </c>
      <c r="G1115" s="40" t="str">
        <f>especies_ativa_codibama[[#This Row],[Nome popular]]</f>
        <v>amendoim-do-campo, chichá-do-cerrado</v>
      </c>
      <c r="H1115" s="40" t="str">
        <f>especies_ativa_codibama[[#This Row],[Nome científico]]</f>
        <v>Sterculia striata</v>
      </c>
    </row>
    <row r="1116" spans="1:8" x14ac:dyDescent="0.25">
      <c r="A1116">
        <v>34586</v>
      </c>
      <c r="B1116" t="s">
        <v>1562</v>
      </c>
      <c r="C1116" t="s">
        <v>1563</v>
      </c>
      <c r="D1116" t="s">
        <v>38</v>
      </c>
      <c r="E1116">
        <v>33598</v>
      </c>
      <c r="F1116" s="24">
        <f>especies_ativa_codibama[[#This Row],[Código]]</f>
        <v>34586</v>
      </c>
      <c r="G1116" s="40" t="str">
        <f>especies_ativa_codibama[[#This Row],[Nome popular]]</f>
        <v>araticum-bravo, cabeça-de-negro, mutamba</v>
      </c>
      <c r="H1116" s="40" t="str">
        <f>especies_ativa_codibama[[#This Row],[Nome científico]]</f>
        <v>Guazuma ulmifolia</v>
      </c>
    </row>
    <row r="1117" spans="1:8" x14ac:dyDescent="0.25">
      <c r="A1117">
        <v>34588</v>
      </c>
      <c r="B1117" t="s">
        <v>1564</v>
      </c>
      <c r="C1117" t="s">
        <v>1565</v>
      </c>
      <c r="D1117" t="s">
        <v>38</v>
      </c>
      <c r="E1117">
        <v>33223</v>
      </c>
      <c r="F1117" s="24">
        <f>especies_ativa_codibama[[#This Row],[Código]]</f>
        <v>34588</v>
      </c>
      <c r="G1117" s="40" t="str">
        <f>especies_ativa_codibama[[#This Row],[Nome popular]]</f>
        <v>cacau, cacau da mata</v>
      </c>
      <c r="H1117" s="40" t="str">
        <f>especies_ativa_codibama[[#This Row],[Nome científico]]</f>
        <v>Theobroma cacao</v>
      </c>
    </row>
    <row r="1118" spans="1:8" x14ac:dyDescent="0.25">
      <c r="A1118">
        <v>34590</v>
      </c>
      <c r="B1118" t="s">
        <v>1566</v>
      </c>
      <c r="C1118" t="s">
        <v>1567</v>
      </c>
      <c r="D1118" t="s">
        <v>38</v>
      </c>
      <c r="E1118">
        <v>36245</v>
      </c>
      <c r="F1118" s="24">
        <f>especies_ativa_codibama[[#This Row],[Código]]</f>
        <v>34590</v>
      </c>
      <c r="G1118" s="40" t="str">
        <f>especies_ativa_codibama[[#This Row],[Nome popular]]</f>
        <v>cacau-branco</v>
      </c>
      <c r="H1118" s="40" t="str">
        <f>especies_ativa_codibama[[#This Row],[Nome científico]]</f>
        <v>Theobroma bicolor</v>
      </c>
    </row>
    <row r="1119" spans="1:8" x14ac:dyDescent="0.25">
      <c r="A1119">
        <v>34591</v>
      </c>
      <c r="B1119" t="s">
        <v>1568</v>
      </c>
      <c r="C1119" t="s">
        <v>1569</v>
      </c>
      <c r="D1119" t="s">
        <v>38</v>
      </c>
      <c r="E1119">
        <v>1999734</v>
      </c>
      <c r="F1119" s="24">
        <f>especies_ativa_codibama[[#This Row],[Código]]</f>
        <v>34591</v>
      </c>
      <c r="G1119" s="40" t="str">
        <f>especies_ativa_codibama[[#This Row],[Nome popular]]</f>
        <v>castanha</v>
      </c>
      <c r="H1119" s="40" t="str">
        <f>especies_ativa_codibama[[#This Row],[Nome científico]]</f>
        <v>Pachira retusa</v>
      </c>
    </row>
    <row r="1120" spans="1:8" x14ac:dyDescent="0.25">
      <c r="A1120">
        <v>34592</v>
      </c>
      <c r="B1120" t="s">
        <v>2693</v>
      </c>
      <c r="C1120" t="s">
        <v>2694</v>
      </c>
      <c r="D1120" t="s">
        <v>126</v>
      </c>
      <c r="E1120">
        <v>2004564</v>
      </c>
      <c r="F1120" s="24">
        <f>especies_ativa_codibama[[#This Row],[Código]]</f>
        <v>34592</v>
      </c>
      <c r="G1120" s="40" t="str">
        <f>especies_ativa_codibama[[#This Row],[Nome popular]]</f>
        <v>chichá</v>
      </c>
      <c r="H1120" s="40" t="str">
        <f>especies_ativa_codibama[[#This Row],[Nome científico]]</f>
        <v>Sterculia curiosa</v>
      </c>
    </row>
    <row r="1121" spans="1:8" x14ac:dyDescent="0.25">
      <c r="A1121">
        <v>34593</v>
      </c>
      <c r="B1121" t="s">
        <v>1570</v>
      </c>
      <c r="C1121" t="s">
        <v>1571</v>
      </c>
      <c r="D1121" t="s">
        <v>38</v>
      </c>
      <c r="E1121">
        <v>34423</v>
      </c>
      <c r="F1121" s="24">
        <f>especies_ativa_codibama[[#This Row],[Código]]</f>
        <v>34593</v>
      </c>
      <c r="G1121" s="40" t="str">
        <f>especies_ativa_codibama[[#This Row],[Nome popular]]</f>
        <v>cupuaçu da mata, cupuí</v>
      </c>
      <c r="H1121" s="40" t="str">
        <f>especies_ativa_codibama[[#This Row],[Nome científico]]</f>
        <v>Theobroma subincanum</v>
      </c>
    </row>
    <row r="1122" spans="1:8" x14ac:dyDescent="0.25">
      <c r="A1122">
        <v>34594</v>
      </c>
      <c r="B1122" t="s">
        <v>1572</v>
      </c>
      <c r="C1122" t="s">
        <v>1573</v>
      </c>
      <c r="D1122" t="s">
        <v>38</v>
      </c>
      <c r="E1122">
        <v>35260</v>
      </c>
      <c r="F1122" s="24">
        <f>especies_ativa_codibama[[#This Row],[Código]]</f>
        <v>34594</v>
      </c>
      <c r="G1122" s="40" t="str">
        <f>especies_ativa_codibama[[#This Row],[Nome popular]]</f>
        <v>currimboque, munguba da mata</v>
      </c>
      <c r="H1122" s="40" t="str">
        <f>especies_ativa_codibama[[#This Row],[Nome científico]]</f>
        <v>Huberodendron swietenioides</v>
      </c>
    </row>
    <row r="1123" spans="1:8" x14ac:dyDescent="0.25">
      <c r="A1123">
        <v>34595</v>
      </c>
      <c r="B1123" t="s">
        <v>1574</v>
      </c>
      <c r="C1123" t="s">
        <v>1575</v>
      </c>
      <c r="D1123" t="s">
        <v>38</v>
      </c>
      <c r="E1123">
        <v>32935</v>
      </c>
      <c r="F1123" s="24">
        <f>especies_ativa_codibama[[#This Row],[Código]]</f>
        <v>34595</v>
      </c>
      <c r="G1123" s="40" t="str">
        <f>especies_ativa_codibama[[#This Row],[Nome popular]]</f>
        <v>Gargaúba</v>
      </c>
      <c r="H1123" s="40" t="str">
        <f>especies_ativa_codibama[[#This Row],[Nome científico]]</f>
        <v>Christiana africana</v>
      </c>
    </row>
    <row r="1124" spans="1:8" x14ac:dyDescent="0.25">
      <c r="A1124">
        <v>34597</v>
      </c>
      <c r="B1124" t="s">
        <v>1576</v>
      </c>
      <c r="C1124" t="s">
        <v>1577</v>
      </c>
      <c r="D1124" t="s">
        <v>38</v>
      </c>
      <c r="E1124">
        <v>33479</v>
      </c>
      <c r="F1124" s="24">
        <f>especies_ativa_codibama[[#This Row],[Código]]</f>
        <v>34597</v>
      </c>
      <c r="G1124" s="40" t="str">
        <f>especies_ativa_codibama[[#This Row],[Nome popular]]</f>
        <v>jangada, malva pente de macaco, pente de macaco</v>
      </c>
      <c r="H1124" s="40" t="str">
        <f>especies_ativa_codibama[[#This Row],[Nome científico]]</f>
        <v>Apeiba tibourbou</v>
      </c>
    </row>
    <row r="1125" spans="1:8" x14ac:dyDescent="0.25">
      <c r="A1125">
        <v>34598</v>
      </c>
      <c r="B1125" t="s">
        <v>1578</v>
      </c>
      <c r="C1125" t="s">
        <v>1579</v>
      </c>
      <c r="D1125" t="s">
        <v>38</v>
      </c>
      <c r="E1125">
        <v>32244</v>
      </c>
      <c r="F1125" s="24">
        <f>especies_ativa_codibama[[#This Row],[Código]]</f>
        <v>34598</v>
      </c>
      <c r="G1125" s="40" t="str">
        <f>especies_ativa_codibama[[#This Row],[Nome popular]]</f>
        <v>jangada-brava</v>
      </c>
      <c r="H1125" s="40" t="str">
        <f>especies_ativa_codibama[[#This Row],[Nome científico]]</f>
        <v>Bastardiopsis densiflora</v>
      </c>
    </row>
    <row r="1126" spans="1:8" x14ac:dyDescent="0.25">
      <c r="A1126">
        <v>34600</v>
      </c>
      <c r="B1126" t="s">
        <v>1580</v>
      </c>
      <c r="C1126" t="s">
        <v>1581</v>
      </c>
      <c r="D1126" t="s">
        <v>38</v>
      </c>
      <c r="E1126">
        <v>1320887</v>
      </c>
      <c r="F1126" s="24">
        <f>especies_ativa_codibama[[#This Row],[Código]]</f>
        <v>34600</v>
      </c>
      <c r="G1126" s="40" t="str">
        <f>especies_ativa_codibama[[#This Row],[Nome popular]]</f>
        <v>mamora de terra firme, mungubinha</v>
      </c>
      <c r="H1126" s="40" t="str">
        <f>especies_ativa_codibama[[#This Row],[Nome científico]]</f>
        <v>Eriotheca globosa</v>
      </c>
    </row>
    <row r="1127" spans="1:8" x14ac:dyDescent="0.25">
      <c r="A1127">
        <v>34601</v>
      </c>
      <c r="B1127" t="s">
        <v>1582</v>
      </c>
      <c r="C1127" t="s">
        <v>1583</v>
      </c>
      <c r="D1127" t="s">
        <v>38</v>
      </c>
      <c r="E1127">
        <v>34850</v>
      </c>
      <c r="F1127" s="24">
        <f>especies_ativa_codibama[[#This Row],[Código]]</f>
        <v>34601</v>
      </c>
      <c r="G1127" s="40" t="str">
        <f>especies_ativa_codibama[[#This Row],[Nome popular]]</f>
        <v>mutamba</v>
      </c>
      <c r="H1127" s="40" t="str">
        <f>especies_ativa_codibama[[#This Row],[Nome científico]]</f>
        <v>Guazuma crinita</v>
      </c>
    </row>
    <row r="1128" spans="1:8" x14ac:dyDescent="0.25">
      <c r="A1128">
        <v>34602</v>
      </c>
      <c r="B1128" t="s">
        <v>1584</v>
      </c>
      <c r="C1128" t="s">
        <v>1585</v>
      </c>
      <c r="D1128" t="s">
        <v>38</v>
      </c>
      <c r="E1128">
        <v>35523</v>
      </c>
      <c r="F1128" s="24">
        <f>especies_ativa_codibama[[#This Row],[Código]]</f>
        <v>34602</v>
      </c>
      <c r="G1128" s="40" t="str">
        <f>especies_ativa_codibama[[#This Row],[Nome popular]]</f>
        <v>nuní</v>
      </c>
      <c r="H1128" s="40" t="str">
        <f>especies_ativa_codibama[[#This Row],[Nome científico]]</f>
        <v>Pachira insignis</v>
      </c>
    </row>
    <row r="1129" spans="1:8" x14ac:dyDescent="0.25">
      <c r="A1129">
        <v>34603</v>
      </c>
      <c r="B1129" t="s">
        <v>1586</v>
      </c>
      <c r="C1129" t="s">
        <v>1587</v>
      </c>
      <c r="D1129" t="s">
        <v>38</v>
      </c>
      <c r="E1129">
        <v>33513</v>
      </c>
      <c r="F1129" s="24">
        <f>especies_ativa_codibama[[#This Row],[Código]]</f>
        <v>34603</v>
      </c>
      <c r="G1129" s="40" t="str">
        <f>especies_ativa_codibama[[#This Row],[Nome popular]]</f>
        <v>paineira</v>
      </c>
      <c r="H1129" s="40" t="str">
        <f>especies_ativa_codibama[[#This Row],[Nome científico]]</f>
        <v>Ceiba speciosa</v>
      </c>
    </row>
    <row r="1130" spans="1:8" x14ac:dyDescent="0.25">
      <c r="A1130">
        <v>34605</v>
      </c>
      <c r="B1130" t="s">
        <v>1588</v>
      </c>
      <c r="C1130" t="s">
        <v>1589</v>
      </c>
      <c r="D1130" t="s">
        <v>38</v>
      </c>
      <c r="E1130">
        <v>35332</v>
      </c>
      <c r="F1130" s="24">
        <f>especies_ativa_codibama[[#This Row],[Código]]</f>
        <v>34605</v>
      </c>
      <c r="G1130" s="40" t="str">
        <f>especies_ativa_codibama[[#This Row],[Nome popular]]</f>
        <v>paineira-da-praia</v>
      </c>
      <c r="H1130" s="40" t="str">
        <f>especies_ativa_codibama[[#This Row],[Nome científico]]</f>
        <v>Ceiba erianthos</v>
      </c>
    </row>
    <row r="1131" spans="1:8" x14ac:dyDescent="0.25">
      <c r="A1131">
        <v>34606</v>
      </c>
      <c r="B1131" t="s">
        <v>1590</v>
      </c>
      <c r="C1131" t="s">
        <v>1591</v>
      </c>
      <c r="D1131" t="s">
        <v>38</v>
      </c>
      <c r="E1131">
        <v>32973</v>
      </c>
      <c r="F1131" s="24">
        <f>especies_ativa_codibama[[#This Row],[Código]]</f>
        <v>34606</v>
      </c>
      <c r="G1131" s="40" t="str">
        <f>especies_ativa_codibama[[#This Row],[Nome popular]]</f>
        <v xml:space="preserve"> Imbiru, Binguinha, Bingueiro, Embira, Embira-de-folhas-lisas, Paineira-do-campo, Paineirinha</v>
      </c>
      <c r="H1131" s="40" t="str">
        <f>especies_ativa_codibama[[#This Row],[Nome científico]]</f>
        <v>Eriotheca gracilipes</v>
      </c>
    </row>
    <row r="1132" spans="1:8" x14ac:dyDescent="0.25">
      <c r="A1132">
        <v>34607</v>
      </c>
      <c r="B1132" t="s">
        <v>1592</v>
      </c>
      <c r="C1132" t="s">
        <v>1593</v>
      </c>
      <c r="D1132" t="s">
        <v>38</v>
      </c>
      <c r="E1132">
        <v>32226</v>
      </c>
      <c r="F1132" s="24">
        <f>especies_ativa_codibama[[#This Row],[Código]]</f>
        <v>34607</v>
      </c>
      <c r="G1132" s="40" t="str">
        <f>especies_ativa_codibama[[#This Row],[Nome popular]]</f>
        <v>pau-de-jangada, pente-de-macaco, jangada</v>
      </c>
      <c r="H1132" s="40" t="str">
        <f>especies_ativa_codibama[[#This Row],[Nome científico]]</f>
        <v>Apeiba albiflora</v>
      </c>
    </row>
    <row r="1133" spans="1:8" x14ac:dyDescent="0.25">
      <c r="A1133">
        <v>34608</v>
      </c>
      <c r="B1133" t="s">
        <v>1594</v>
      </c>
      <c r="C1133" t="s">
        <v>1595</v>
      </c>
      <c r="D1133" t="s">
        <v>38</v>
      </c>
      <c r="E1133">
        <v>32931</v>
      </c>
      <c r="F1133" s="24">
        <f>especies_ativa_codibama[[#This Row],[Código]]</f>
        <v>34608</v>
      </c>
      <c r="G1133" s="40" t="str">
        <f>especies_ativa_codibama[[#This Row],[Nome popular]]</f>
        <v>samaúma</v>
      </c>
      <c r="H1133" s="40" t="str">
        <f>especies_ativa_codibama[[#This Row],[Nome científico]]</f>
        <v>Ceiba pentandra</v>
      </c>
    </row>
    <row r="1134" spans="1:8" x14ac:dyDescent="0.25">
      <c r="A1134">
        <v>34610</v>
      </c>
      <c r="B1134" t="s">
        <v>1596</v>
      </c>
      <c r="C1134" t="s">
        <v>1597</v>
      </c>
      <c r="D1134" t="s">
        <v>38</v>
      </c>
      <c r="E1134">
        <v>35196</v>
      </c>
      <c r="F1134" s="24">
        <f>especies_ativa_codibama[[#This Row],[Código]]</f>
        <v>34610</v>
      </c>
      <c r="G1134" s="40" t="str">
        <f>especies_ativa_codibama[[#This Row],[Nome popular]]</f>
        <v>xixá da casca grossa</v>
      </c>
      <c r="H1134" s="40" t="str">
        <f>especies_ativa_codibama[[#This Row],[Nome científico]]</f>
        <v>Sterculia apeibophylla</v>
      </c>
    </row>
    <row r="1135" spans="1:8" x14ac:dyDescent="0.25">
      <c r="A1135">
        <v>34612</v>
      </c>
      <c r="B1135" t="s">
        <v>106</v>
      </c>
      <c r="C1135" t="s">
        <v>1598</v>
      </c>
      <c r="D1135" t="s">
        <v>38</v>
      </c>
      <c r="E1135">
        <v>32540</v>
      </c>
      <c r="F1135" s="24">
        <f>especies_ativa_codibama[[#This Row],[Código]]</f>
        <v>34612</v>
      </c>
      <c r="G1135" s="40" t="str">
        <f>especies_ativa_codibama[[#This Row],[Nome popular]]</f>
        <v>---</v>
      </c>
      <c r="H1135" s="40" t="str">
        <f>especies_ativa_codibama[[#This Row],[Nome científico]]</f>
        <v>Pseudobombax simplicifolium</v>
      </c>
    </row>
    <row r="1136" spans="1:8" x14ac:dyDescent="0.25">
      <c r="A1136">
        <v>34618</v>
      </c>
      <c r="B1136" t="s">
        <v>106</v>
      </c>
      <c r="C1136" t="s">
        <v>1599</v>
      </c>
      <c r="D1136" t="s">
        <v>38</v>
      </c>
      <c r="E1136">
        <v>32356</v>
      </c>
      <c r="F1136" s="24">
        <f>especies_ativa_codibama[[#This Row],[Código]]</f>
        <v>34618</v>
      </c>
      <c r="G1136" s="40" t="str">
        <f>especies_ativa_codibama[[#This Row],[Nome popular]]</f>
        <v>---</v>
      </c>
      <c r="H1136" s="40" t="str">
        <f>especies_ativa_codibama[[#This Row],[Nome científico]]</f>
        <v>Eriotheca candolleana</v>
      </c>
    </row>
    <row r="1137" spans="1:8" x14ac:dyDescent="0.25">
      <c r="A1137">
        <v>34621</v>
      </c>
      <c r="B1137" t="s">
        <v>106</v>
      </c>
      <c r="C1137" t="s">
        <v>1600</v>
      </c>
      <c r="D1137" t="s">
        <v>38</v>
      </c>
      <c r="E1137">
        <v>32140</v>
      </c>
      <c r="F1137" s="24">
        <f>especies_ativa_codibama[[#This Row],[Código]]</f>
        <v>34621</v>
      </c>
      <c r="G1137" s="40" t="str">
        <f>especies_ativa_codibama[[#This Row],[Nome popular]]</f>
        <v>---</v>
      </c>
      <c r="H1137" s="40" t="str">
        <f>especies_ativa_codibama[[#This Row],[Nome científico]]</f>
        <v>Luehea rufescens</v>
      </c>
    </row>
    <row r="1138" spans="1:8" x14ac:dyDescent="0.25">
      <c r="A1138">
        <v>34627</v>
      </c>
      <c r="B1138" t="s">
        <v>106</v>
      </c>
      <c r="C1138" t="s">
        <v>1601</v>
      </c>
      <c r="D1138" t="s">
        <v>38</v>
      </c>
      <c r="E1138">
        <v>33011</v>
      </c>
      <c r="F1138" s="24">
        <f>especies_ativa_codibama[[#This Row],[Código]]</f>
        <v>34627</v>
      </c>
      <c r="G1138" s="40" t="str">
        <f>especies_ativa_codibama[[#This Row],[Nome popular]]</f>
        <v>---</v>
      </c>
      <c r="H1138" s="40" t="str">
        <f>especies_ativa_codibama[[#This Row],[Nome científico]]</f>
        <v>Heliocarpus americanus</v>
      </c>
    </row>
    <row r="1139" spans="1:8" x14ac:dyDescent="0.25">
      <c r="A1139">
        <v>34629</v>
      </c>
      <c r="B1139" t="s">
        <v>106</v>
      </c>
      <c r="C1139" t="s">
        <v>1602</v>
      </c>
      <c r="D1139" t="s">
        <v>38</v>
      </c>
      <c r="E1139">
        <v>32874</v>
      </c>
      <c r="F1139" s="24">
        <f>especies_ativa_codibama[[#This Row],[Código]]</f>
        <v>34629</v>
      </c>
      <c r="G1139" s="40" t="str">
        <f>especies_ativa_codibama[[#This Row],[Nome popular]]</f>
        <v>---</v>
      </c>
      <c r="H1139" s="40" t="str">
        <f>especies_ativa_codibama[[#This Row],[Nome científico]]</f>
        <v>Apeiba echinata</v>
      </c>
    </row>
    <row r="1140" spans="1:8" x14ac:dyDescent="0.25">
      <c r="A1140">
        <v>34632</v>
      </c>
      <c r="B1140" t="s">
        <v>106</v>
      </c>
      <c r="C1140" t="s">
        <v>1603</v>
      </c>
      <c r="D1140" t="s">
        <v>38</v>
      </c>
      <c r="E1140">
        <v>33692</v>
      </c>
      <c r="F1140" s="24">
        <f>especies_ativa_codibama[[#This Row],[Código]]</f>
        <v>34632</v>
      </c>
      <c r="G1140" s="40" t="str">
        <f>especies_ativa_codibama[[#This Row],[Nome popular]]</f>
        <v>---</v>
      </c>
      <c r="H1140" s="40" t="str">
        <f>especies_ativa_codibama[[#This Row],[Nome científico]]</f>
        <v>Pachira aquatica</v>
      </c>
    </row>
    <row r="1141" spans="1:8" x14ac:dyDescent="0.25">
      <c r="A1141">
        <v>34634</v>
      </c>
      <c r="B1141" t="s">
        <v>106</v>
      </c>
      <c r="C1141" t="s">
        <v>1604</v>
      </c>
      <c r="D1141" t="s">
        <v>38</v>
      </c>
      <c r="E1141">
        <v>32576</v>
      </c>
      <c r="F1141" s="24">
        <f>especies_ativa_codibama[[#This Row],[Código]]</f>
        <v>34634</v>
      </c>
      <c r="G1141" s="40" t="str">
        <f>especies_ativa_codibama[[#This Row],[Nome popular]]</f>
        <v>---</v>
      </c>
      <c r="H1141" s="40" t="str">
        <f>especies_ativa_codibama[[#This Row],[Nome científico]]</f>
        <v>Sterculia pruriens</v>
      </c>
    </row>
    <row r="1142" spans="1:8" x14ac:dyDescent="0.25">
      <c r="A1142">
        <v>34636</v>
      </c>
      <c r="B1142" t="s">
        <v>106</v>
      </c>
      <c r="C1142" t="s">
        <v>1605</v>
      </c>
      <c r="D1142" t="s">
        <v>38</v>
      </c>
      <c r="E1142">
        <v>36079</v>
      </c>
      <c r="F1142" s="24">
        <f>especies_ativa_codibama[[#This Row],[Código]]</f>
        <v>34636</v>
      </c>
      <c r="G1142" s="40" t="str">
        <f>especies_ativa_codibama[[#This Row],[Nome popular]]</f>
        <v>---</v>
      </c>
      <c r="H1142" s="40" t="str">
        <f>especies_ativa_codibama[[#This Row],[Nome científico]]</f>
        <v>Luehea ochrophylla</v>
      </c>
    </row>
    <row r="1143" spans="1:8" x14ac:dyDescent="0.25">
      <c r="A1143">
        <v>34637</v>
      </c>
      <c r="B1143" t="s">
        <v>106</v>
      </c>
      <c r="C1143" t="s">
        <v>1606</v>
      </c>
      <c r="D1143" t="s">
        <v>38</v>
      </c>
      <c r="E1143">
        <v>32449</v>
      </c>
      <c r="F1143" s="24">
        <f>especies_ativa_codibama[[#This Row],[Código]]</f>
        <v>34637</v>
      </c>
      <c r="G1143" s="40" t="str">
        <f>especies_ativa_codibama[[#This Row],[Nome popular]]</f>
        <v>---</v>
      </c>
      <c r="H1143" s="40" t="str">
        <f>especies_ativa_codibama[[#This Row],[Nome científico]]</f>
        <v>Luehea paniculata</v>
      </c>
    </row>
    <row r="1144" spans="1:8" x14ac:dyDescent="0.25">
      <c r="A1144">
        <v>34639</v>
      </c>
      <c r="B1144" t="s">
        <v>106</v>
      </c>
      <c r="C1144" t="s">
        <v>1607</v>
      </c>
      <c r="D1144" t="s">
        <v>38</v>
      </c>
      <c r="E1144">
        <v>1985610</v>
      </c>
      <c r="F1144" s="24">
        <f>especies_ativa_codibama[[#This Row],[Código]]</f>
        <v>34639</v>
      </c>
      <c r="G1144" s="40" t="str">
        <f>especies_ativa_codibama[[#This Row],[Nome popular]]</f>
        <v>---</v>
      </c>
      <c r="H1144" s="40" t="str">
        <f>especies_ativa_codibama[[#This Row],[Nome científico]]</f>
        <v>Helicteres brevispira</v>
      </c>
    </row>
    <row r="1145" spans="1:8" x14ac:dyDescent="0.25">
      <c r="A1145">
        <v>34641</v>
      </c>
      <c r="B1145" t="s">
        <v>106</v>
      </c>
      <c r="C1145" t="s">
        <v>1608</v>
      </c>
      <c r="D1145" t="s">
        <v>38</v>
      </c>
      <c r="E1145">
        <v>34147</v>
      </c>
      <c r="F1145" s="24">
        <f>especies_ativa_codibama[[#This Row],[Código]]</f>
        <v>34641</v>
      </c>
      <c r="G1145" s="40" t="str">
        <f>especies_ativa_codibama[[#This Row],[Nome popular]]</f>
        <v>---</v>
      </c>
      <c r="H1145" s="40" t="str">
        <f>especies_ativa_codibama[[#This Row],[Nome científico]]</f>
        <v>Ceiba samauma</v>
      </c>
    </row>
    <row r="1146" spans="1:8" x14ac:dyDescent="0.25">
      <c r="A1146">
        <v>34643</v>
      </c>
      <c r="B1146" t="s">
        <v>106</v>
      </c>
      <c r="C1146" t="s">
        <v>1609</v>
      </c>
      <c r="D1146" t="s">
        <v>38</v>
      </c>
      <c r="E1146">
        <v>33080</v>
      </c>
      <c r="F1146" s="24">
        <f>especies_ativa_codibama[[#This Row],[Código]]</f>
        <v>34643</v>
      </c>
      <c r="G1146" s="40" t="str">
        <f>especies_ativa_codibama[[#This Row],[Nome popular]]</f>
        <v>---</v>
      </c>
      <c r="H1146" s="40" t="str">
        <f>especies_ativa_codibama[[#This Row],[Nome científico]]</f>
        <v>Mollia lepidota</v>
      </c>
    </row>
    <row r="1147" spans="1:8" x14ac:dyDescent="0.25">
      <c r="A1147">
        <v>34645</v>
      </c>
      <c r="B1147" t="s">
        <v>106</v>
      </c>
      <c r="C1147" t="s">
        <v>1610</v>
      </c>
      <c r="D1147" t="s">
        <v>38</v>
      </c>
      <c r="E1147">
        <v>33193</v>
      </c>
      <c r="F1147" s="24">
        <f>especies_ativa_codibama[[#This Row],[Código]]</f>
        <v>34645</v>
      </c>
      <c r="G1147" s="40" t="str">
        <f>especies_ativa_codibama[[#This Row],[Nome popular]]</f>
        <v>---</v>
      </c>
      <c r="H1147" s="40" t="str">
        <f>especies_ativa_codibama[[#This Row],[Nome científico]]</f>
        <v>Sterculia apetala</v>
      </c>
    </row>
    <row r="1148" spans="1:8" x14ac:dyDescent="0.25">
      <c r="A1148">
        <v>34647</v>
      </c>
      <c r="B1148" t="s">
        <v>106</v>
      </c>
      <c r="C1148" t="s">
        <v>1611</v>
      </c>
      <c r="D1148" t="s">
        <v>38</v>
      </c>
      <c r="E1148">
        <v>35689</v>
      </c>
      <c r="F1148" s="24">
        <f>especies_ativa_codibama[[#This Row],[Código]]</f>
        <v>34647</v>
      </c>
      <c r="G1148" s="40" t="str">
        <f>especies_ativa_codibama[[#This Row],[Nome popular]]</f>
        <v>---</v>
      </c>
      <c r="H1148" s="40" t="str">
        <f>especies_ativa_codibama[[#This Row],[Nome científico]]</f>
        <v>Luehea speciosa</v>
      </c>
    </row>
    <row r="1149" spans="1:8" x14ac:dyDescent="0.25">
      <c r="A1149">
        <v>34650</v>
      </c>
      <c r="B1149" t="s">
        <v>106</v>
      </c>
      <c r="C1149" t="s">
        <v>1612</v>
      </c>
      <c r="D1149" t="s">
        <v>38</v>
      </c>
      <c r="E1149">
        <v>32295</v>
      </c>
      <c r="F1149" s="24">
        <f>especies_ativa_codibama[[#This Row],[Código]]</f>
        <v>34650</v>
      </c>
      <c r="G1149" s="40" t="str">
        <f>especies_ativa_codibama[[#This Row],[Nome popular]]</f>
        <v>---</v>
      </c>
      <c r="H1149" s="40" t="str">
        <f>especies_ativa_codibama[[#This Row],[Nome científico]]</f>
        <v>Ceiba pubiflora</v>
      </c>
    </row>
    <row r="1150" spans="1:8" x14ac:dyDescent="0.25">
      <c r="A1150">
        <v>34656</v>
      </c>
      <c r="B1150" t="s">
        <v>106</v>
      </c>
      <c r="C1150" t="s">
        <v>1613</v>
      </c>
      <c r="D1150" t="s">
        <v>38</v>
      </c>
      <c r="E1150">
        <v>31915</v>
      </c>
      <c r="F1150" s="24">
        <f>especies_ativa_codibama[[#This Row],[Código]]</f>
        <v>34656</v>
      </c>
      <c r="G1150" s="40" t="str">
        <f>especies_ativa_codibama[[#This Row],[Nome popular]]</f>
        <v>---</v>
      </c>
      <c r="H1150" s="40" t="str">
        <f>especies_ativa_codibama[[#This Row],[Nome científico]]</f>
        <v>Pseudobombax longiflorum</v>
      </c>
    </row>
    <row r="1151" spans="1:8" x14ac:dyDescent="0.25">
      <c r="A1151">
        <v>34660</v>
      </c>
      <c r="B1151" t="s">
        <v>106</v>
      </c>
      <c r="C1151" t="s">
        <v>1614</v>
      </c>
      <c r="D1151" t="s">
        <v>38</v>
      </c>
      <c r="E1151">
        <v>31804</v>
      </c>
      <c r="F1151" s="24">
        <f>especies_ativa_codibama[[#This Row],[Código]]</f>
        <v>34660</v>
      </c>
      <c r="G1151" s="40" t="str">
        <f>especies_ativa_codibama[[#This Row],[Nome popular]]</f>
        <v>---</v>
      </c>
      <c r="H1151" s="40" t="str">
        <f>especies_ativa_codibama[[#This Row],[Nome científico]]</f>
        <v>Luehea divaricata</v>
      </c>
    </row>
    <row r="1152" spans="1:8" x14ac:dyDescent="0.25">
      <c r="A1152">
        <v>34664</v>
      </c>
      <c r="B1152" t="s">
        <v>106</v>
      </c>
      <c r="C1152" t="s">
        <v>1615</v>
      </c>
      <c r="D1152" t="s">
        <v>38</v>
      </c>
      <c r="E1152">
        <v>1987321</v>
      </c>
      <c r="F1152" s="24">
        <f>especies_ativa_codibama[[#This Row],[Código]]</f>
        <v>34664</v>
      </c>
      <c r="G1152" s="40" t="str">
        <f>especies_ativa_codibama[[#This Row],[Nome popular]]</f>
        <v>---</v>
      </c>
      <c r="H1152" s="40" t="str">
        <f>especies_ativa_codibama[[#This Row],[Nome científico]]</f>
        <v>Sterculia excelsa</v>
      </c>
    </row>
    <row r="1153" spans="1:8" x14ac:dyDescent="0.25">
      <c r="A1153">
        <v>34671</v>
      </c>
      <c r="B1153" t="s">
        <v>106</v>
      </c>
      <c r="C1153" t="s">
        <v>2695</v>
      </c>
      <c r="D1153" t="s">
        <v>38</v>
      </c>
      <c r="E1153">
        <v>2008362</v>
      </c>
      <c r="F1153" s="24">
        <f>especies_ativa_codibama[[#This Row],[Código]]</f>
        <v>34671</v>
      </c>
      <c r="G1153" s="40" t="str">
        <f>especies_ativa_codibama[[#This Row],[Nome popular]]</f>
        <v>---</v>
      </c>
      <c r="H1153" s="40" t="str">
        <f>especies_ativa_codibama[[#This Row],[Nome científico]]</f>
        <v>Norantea goyazensis</v>
      </c>
    </row>
    <row r="1154" spans="1:8" x14ac:dyDescent="0.25">
      <c r="A1154">
        <v>34681</v>
      </c>
      <c r="B1154" t="s">
        <v>106</v>
      </c>
      <c r="C1154" t="s">
        <v>1616</v>
      </c>
      <c r="D1154" t="s">
        <v>79</v>
      </c>
      <c r="E1154">
        <v>1505873</v>
      </c>
      <c r="F1154" s="24">
        <f>especies_ativa_codibama[[#This Row],[Código]]</f>
        <v>34681</v>
      </c>
      <c r="G1154" s="40" t="str">
        <f>especies_ativa_codibama[[#This Row],[Nome popular]]</f>
        <v>---</v>
      </c>
      <c r="H1154" s="40" t="str">
        <f>especies_ativa_codibama[[#This Row],[Nome científico]]</f>
        <v>Miconia leucocarpa</v>
      </c>
    </row>
    <row r="1155" spans="1:8" x14ac:dyDescent="0.25">
      <c r="A1155">
        <v>34683</v>
      </c>
      <c r="B1155" t="s">
        <v>106</v>
      </c>
      <c r="C1155" t="s">
        <v>1617</v>
      </c>
      <c r="D1155" t="s">
        <v>79</v>
      </c>
      <c r="E1155">
        <v>33075</v>
      </c>
      <c r="F1155" s="24">
        <f>especies_ativa_codibama[[#This Row],[Código]]</f>
        <v>34683</v>
      </c>
      <c r="G1155" s="40" t="str">
        <f>especies_ativa_codibama[[#This Row],[Nome popular]]</f>
        <v>---</v>
      </c>
      <c r="H1155" s="40" t="str">
        <f>especies_ativa_codibama[[#This Row],[Nome científico]]</f>
        <v>Miconia pepericarpa</v>
      </c>
    </row>
    <row r="1156" spans="1:8" x14ac:dyDescent="0.25">
      <c r="A1156">
        <v>34684</v>
      </c>
      <c r="B1156" t="s">
        <v>106</v>
      </c>
      <c r="C1156" t="s">
        <v>1618</v>
      </c>
      <c r="D1156" t="s">
        <v>79</v>
      </c>
      <c r="E1156">
        <v>33393</v>
      </c>
      <c r="F1156" s="24">
        <f>especies_ativa_codibama[[#This Row],[Código]]</f>
        <v>34684</v>
      </c>
      <c r="G1156" s="40" t="str">
        <f>especies_ativa_codibama[[#This Row],[Nome popular]]</f>
        <v>---</v>
      </c>
      <c r="H1156" s="40" t="str">
        <f>especies_ativa_codibama[[#This Row],[Nome científico]]</f>
        <v>Mouriri elliptica</v>
      </c>
    </row>
    <row r="1157" spans="1:8" x14ac:dyDescent="0.25">
      <c r="A1157">
        <v>34689</v>
      </c>
      <c r="B1157" t="s">
        <v>106</v>
      </c>
      <c r="C1157" t="s">
        <v>1619</v>
      </c>
      <c r="D1157" t="s">
        <v>79</v>
      </c>
      <c r="E1157">
        <v>33444</v>
      </c>
      <c r="F1157" s="24">
        <f>especies_ativa_codibama[[#This Row],[Código]]</f>
        <v>34689</v>
      </c>
      <c r="G1157" s="40" t="str">
        <f>especies_ativa_codibama[[#This Row],[Nome popular]]</f>
        <v>---</v>
      </c>
      <c r="H1157" s="40" t="str">
        <f>especies_ativa_codibama[[#This Row],[Nome científico]]</f>
        <v>Miconia burchellii</v>
      </c>
    </row>
    <row r="1158" spans="1:8" x14ac:dyDescent="0.25">
      <c r="A1158">
        <v>34732</v>
      </c>
      <c r="B1158" t="s">
        <v>106</v>
      </c>
      <c r="C1158" t="s">
        <v>1620</v>
      </c>
      <c r="D1158" t="s">
        <v>79</v>
      </c>
      <c r="E1158">
        <v>35106</v>
      </c>
      <c r="F1158" s="24">
        <f>especies_ativa_codibama[[#This Row],[Código]]</f>
        <v>34732</v>
      </c>
      <c r="G1158" s="40" t="str">
        <f>especies_ativa_codibama[[#This Row],[Nome popular]]</f>
        <v>---</v>
      </c>
      <c r="H1158" s="40" t="str">
        <f>especies_ativa_codibama[[#This Row],[Nome científico]]</f>
        <v>Miconia cinnamomifolia</v>
      </c>
    </row>
    <row r="1159" spans="1:8" x14ac:dyDescent="0.25">
      <c r="A1159">
        <v>34737</v>
      </c>
      <c r="B1159" t="s">
        <v>106</v>
      </c>
      <c r="C1159" t="s">
        <v>1621</v>
      </c>
      <c r="D1159" t="s">
        <v>79</v>
      </c>
      <c r="E1159">
        <v>32473</v>
      </c>
      <c r="F1159" s="24">
        <f>especies_ativa_codibama[[#This Row],[Código]]</f>
        <v>34737</v>
      </c>
      <c r="G1159" s="40" t="str">
        <f>especies_ativa_codibama[[#This Row],[Nome popular]]</f>
        <v>---</v>
      </c>
      <c r="H1159" s="40" t="str">
        <f>especies_ativa_codibama[[#This Row],[Nome científico]]</f>
        <v>Mouriri chamissoana</v>
      </c>
    </row>
    <row r="1160" spans="1:8" x14ac:dyDescent="0.25">
      <c r="A1160">
        <v>34747</v>
      </c>
      <c r="B1160" t="s">
        <v>106</v>
      </c>
      <c r="C1160" t="s">
        <v>1622</v>
      </c>
      <c r="D1160" t="s">
        <v>79</v>
      </c>
      <c r="E1160">
        <v>36094</v>
      </c>
      <c r="F1160" s="24">
        <f>especies_ativa_codibama[[#This Row],[Código]]</f>
        <v>34747</v>
      </c>
      <c r="G1160" s="40" t="str">
        <f>especies_ativa_codibama[[#This Row],[Nome popular]]</f>
        <v>---</v>
      </c>
      <c r="H1160" s="40" t="str">
        <f>especies_ativa_codibama[[#This Row],[Nome científico]]</f>
        <v>Miconia brunnea</v>
      </c>
    </row>
    <row r="1161" spans="1:8" x14ac:dyDescent="0.25">
      <c r="A1161">
        <v>34749</v>
      </c>
      <c r="B1161" t="s">
        <v>106</v>
      </c>
      <c r="C1161" t="s">
        <v>1623</v>
      </c>
      <c r="D1161" t="s">
        <v>79</v>
      </c>
      <c r="E1161">
        <v>34294</v>
      </c>
      <c r="F1161" s="24">
        <f>especies_ativa_codibama[[#This Row],[Código]]</f>
        <v>34749</v>
      </c>
      <c r="G1161" s="40" t="str">
        <f>especies_ativa_codibama[[#This Row],[Nome popular]]</f>
        <v>---</v>
      </c>
      <c r="H1161" s="40" t="str">
        <f>especies_ativa_codibama[[#This Row],[Nome científico]]</f>
        <v>Miconia brasiliensis</v>
      </c>
    </row>
    <row r="1162" spans="1:8" x14ac:dyDescent="0.25">
      <c r="A1162">
        <v>34751</v>
      </c>
      <c r="B1162" t="s">
        <v>106</v>
      </c>
      <c r="C1162" t="s">
        <v>1624</v>
      </c>
      <c r="D1162" t="s">
        <v>79</v>
      </c>
      <c r="E1162">
        <v>34425</v>
      </c>
      <c r="F1162" s="24">
        <f>especies_ativa_codibama[[#This Row],[Código]]</f>
        <v>34751</v>
      </c>
      <c r="G1162" s="40" t="str">
        <f>especies_ativa_codibama[[#This Row],[Nome popular]]</f>
        <v>---</v>
      </c>
      <c r="H1162" s="40" t="str">
        <f>especies_ativa_codibama[[#This Row],[Nome científico]]</f>
        <v>Tibouchina estrellensis</v>
      </c>
    </row>
    <row r="1163" spans="1:8" x14ac:dyDescent="0.25">
      <c r="A1163">
        <v>34755</v>
      </c>
      <c r="B1163" t="s">
        <v>106</v>
      </c>
      <c r="C1163" t="s">
        <v>1625</v>
      </c>
      <c r="D1163" t="s">
        <v>79</v>
      </c>
      <c r="E1163">
        <v>34428</v>
      </c>
      <c r="F1163" s="24">
        <f>especies_ativa_codibama[[#This Row],[Código]]</f>
        <v>34755</v>
      </c>
      <c r="G1163" s="40" t="str">
        <f>especies_ativa_codibama[[#This Row],[Nome popular]]</f>
        <v>---</v>
      </c>
      <c r="H1163" s="40" t="str">
        <f>especies_ativa_codibama[[#This Row],[Nome científico]]</f>
        <v>Tibouchina sellowiana</v>
      </c>
    </row>
    <row r="1164" spans="1:8" x14ac:dyDescent="0.25">
      <c r="A1164">
        <v>34772</v>
      </c>
      <c r="B1164" t="s">
        <v>106</v>
      </c>
      <c r="C1164" t="s">
        <v>1626</v>
      </c>
      <c r="D1164" t="s">
        <v>79</v>
      </c>
      <c r="E1164">
        <v>2024689</v>
      </c>
      <c r="F1164" s="24">
        <f>especies_ativa_codibama[[#This Row],[Código]]</f>
        <v>34772</v>
      </c>
      <c r="G1164" s="40" t="str">
        <f>especies_ativa_codibama[[#This Row],[Nome popular]]</f>
        <v>---</v>
      </c>
      <c r="H1164" s="40" t="str">
        <f>especies_ativa_codibama[[#This Row],[Nome científico]]</f>
        <v>Pleroma candolleanum</v>
      </c>
    </row>
    <row r="1165" spans="1:8" x14ac:dyDescent="0.25">
      <c r="A1165">
        <v>34782</v>
      </c>
      <c r="B1165" t="s">
        <v>1627</v>
      </c>
      <c r="C1165" t="s">
        <v>1628</v>
      </c>
      <c r="D1165" t="s">
        <v>38</v>
      </c>
      <c r="E1165">
        <v>1684120</v>
      </c>
      <c r="F1165" s="24">
        <f>especies_ativa_codibama[[#This Row],[Código]]</f>
        <v>34782</v>
      </c>
      <c r="G1165" s="40" t="str">
        <f>especies_ativa_codibama[[#This Row],[Nome popular]]</f>
        <v>araçá, gurguí</v>
      </c>
      <c r="H1165" s="40" t="str">
        <f>especies_ativa_codibama[[#This Row],[Nome científico]]</f>
        <v>Mouriri grandiflora</v>
      </c>
    </row>
    <row r="1166" spans="1:8" x14ac:dyDescent="0.25">
      <c r="A1166">
        <v>34783</v>
      </c>
      <c r="B1166" t="s">
        <v>1629</v>
      </c>
      <c r="C1166" t="s">
        <v>1630</v>
      </c>
      <c r="D1166" t="s">
        <v>38</v>
      </c>
      <c r="E1166">
        <v>35888</v>
      </c>
      <c r="F1166" s="24">
        <f>especies_ativa_codibama[[#This Row],[Código]]</f>
        <v>34783</v>
      </c>
      <c r="G1166" s="40" t="str">
        <f>especies_ativa_codibama[[#This Row],[Nome popular]]</f>
        <v>araçá-de-anta, goiaba-de-anta</v>
      </c>
      <c r="H1166" s="40" t="str">
        <f>especies_ativa_codibama[[#This Row],[Nome científico]]</f>
        <v>Bellucia grossularioides</v>
      </c>
    </row>
    <row r="1167" spans="1:8" x14ac:dyDescent="0.25">
      <c r="A1167">
        <v>34785</v>
      </c>
      <c r="B1167" t="s">
        <v>1631</v>
      </c>
      <c r="C1167" t="s">
        <v>1632</v>
      </c>
      <c r="D1167" t="s">
        <v>38</v>
      </c>
      <c r="E1167">
        <v>33046</v>
      </c>
      <c r="F1167" s="24">
        <f>especies_ativa_codibama[[#This Row],[Código]]</f>
        <v>34785</v>
      </c>
      <c r="G1167" s="40" t="str">
        <f>especies_ativa_codibama[[#This Row],[Nome popular]]</f>
        <v>cambará-do-mato, pixirica</v>
      </c>
      <c r="H1167" s="40" t="str">
        <f>especies_ativa_codibama[[#This Row],[Nome científico]]</f>
        <v>Leandra melastomoides</v>
      </c>
    </row>
    <row r="1168" spans="1:8" x14ac:dyDescent="0.25">
      <c r="A1168">
        <v>34787</v>
      </c>
      <c r="B1168" t="s">
        <v>1633</v>
      </c>
      <c r="C1168" t="s">
        <v>1634</v>
      </c>
      <c r="D1168" t="s">
        <v>38</v>
      </c>
      <c r="E1168">
        <v>36108</v>
      </c>
      <c r="F1168" s="24">
        <f>especies_ativa_codibama[[#This Row],[Código]]</f>
        <v>34787</v>
      </c>
      <c r="G1168" s="40" t="str">
        <f>especies_ativa_codibama[[#This Row],[Nome popular]]</f>
        <v>gurguí</v>
      </c>
      <c r="H1168" s="40" t="str">
        <f>especies_ativa_codibama[[#This Row],[Nome científico]]</f>
        <v>Mouriri apiranga</v>
      </c>
    </row>
    <row r="1169" spans="1:8" x14ac:dyDescent="0.25">
      <c r="A1169">
        <v>34790</v>
      </c>
      <c r="B1169" t="s">
        <v>1635</v>
      </c>
      <c r="C1169" t="s">
        <v>1636</v>
      </c>
      <c r="D1169" t="s">
        <v>38</v>
      </c>
      <c r="E1169">
        <v>1671087</v>
      </c>
      <c r="F1169" s="24">
        <f>especies_ativa_codibama[[#This Row],[Código]]</f>
        <v>34790</v>
      </c>
      <c r="G1169" s="40" t="str">
        <f>especies_ativa_codibama[[#This Row],[Nome popular]]</f>
        <v>quaresma, pexirica</v>
      </c>
      <c r="H1169" s="40" t="str">
        <f>especies_ativa_codibama[[#This Row],[Nome científico]]</f>
        <v>Leandra aurea</v>
      </c>
    </row>
    <row r="1170" spans="1:8" x14ac:dyDescent="0.25">
      <c r="A1170">
        <v>34795</v>
      </c>
      <c r="B1170" t="s">
        <v>106</v>
      </c>
      <c r="C1170" t="s">
        <v>1637</v>
      </c>
      <c r="D1170" t="s">
        <v>38</v>
      </c>
      <c r="E1170">
        <v>1440915</v>
      </c>
      <c r="F1170" s="24">
        <f>especies_ativa_codibama[[#This Row],[Código]]</f>
        <v>34795</v>
      </c>
      <c r="G1170" s="40" t="str">
        <f>especies_ativa_codibama[[#This Row],[Nome popular]]</f>
        <v>---</v>
      </c>
      <c r="H1170" s="40" t="str">
        <f>especies_ativa_codibama[[#This Row],[Nome científico]]</f>
        <v>Miconia ligustroides</v>
      </c>
    </row>
    <row r="1171" spans="1:8" x14ac:dyDescent="0.25">
      <c r="A1171">
        <v>34796</v>
      </c>
      <c r="B1171" t="s">
        <v>106</v>
      </c>
      <c r="C1171" t="s">
        <v>1638</v>
      </c>
      <c r="D1171" t="s">
        <v>38</v>
      </c>
      <c r="E1171">
        <v>33666</v>
      </c>
      <c r="F1171" s="24">
        <f>especies_ativa_codibama[[#This Row],[Código]]</f>
        <v>34796</v>
      </c>
      <c r="G1171" s="40" t="str">
        <f>especies_ativa_codibama[[#This Row],[Nome popular]]</f>
        <v>---</v>
      </c>
      <c r="H1171" s="40" t="str">
        <f>especies_ativa_codibama[[#This Row],[Nome científico]]</f>
        <v>Miconia hirtella</v>
      </c>
    </row>
    <row r="1172" spans="1:8" x14ac:dyDescent="0.25">
      <c r="A1172">
        <v>34797</v>
      </c>
      <c r="B1172" t="s">
        <v>106</v>
      </c>
      <c r="C1172" t="s">
        <v>1639</v>
      </c>
      <c r="D1172" t="s">
        <v>38</v>
      </c>
      <c r="E1172">
        <v>33084</v>
      </c>
      <c r="F1172" s="24">
        <f>especies_ativa_codibama[[#This Row],[Código]]</f>
        <v>34797</v>
      </c>
      <c r="G1172" s="40" t="str">
        <f>especies_ativa_codibama[[#This Row],[Nome popular]]</f>
        <v>---</v>
      </c>
      <c r="H1172" s="40" t="str">
        <f>especies_ativa_codibama[[#This Row],[Nome científico]]</f>
        <v>Mouriri glazioviana</v>
      </c>
    </row>
    <row r="1173" spans="1:8" x14ac:dyDescent="0.25">
      <c r="A1173">
        <v>34800</v>
      </c>
      <c r="B1173" t="s">
        <v>106</v>
      </c>
      <c r="C1173" t="s">
        <v>1640</v>
      </c>
      <c r="D1173" t="s">
        <v>38</v>
      </c>
      <c r="E1173">
        <v>34014</v>
      </c>
      <c r="F1173" s="24">
        <f>especies_ativa_codibama[[#This Row],[Código]]</f>
        <v>34800</v>
      </c>
      <c r="G1173" s="40" t="str">
        <f>especies_ativa_codibama[[#This Row],[Nome popular]]</f>
        <v>---</v>
      </c>
      <c r="H1173" s="40" t="str">
        <f>especies_ativa_codibama[[#This Row],[Nome científico]]</f>
        <v>Miconia chartacea</v>
      </c>
    </row>
    <row r="1174" spans="1:8" x14ac:dyDescent="0.25">
      <c r="A1174">
        <v>34801</v>
      </c>
      <c r="B1174" t="s">
        <v>106</v>
      </c>
      <c r="C1174" t="s">
        <v>1641</v>
      </c>
      <c r="D1174" t="s">
        <v>38</v>
      </c>
      <c r="E1174">
        <v>32467</v>
      </c>
      <c r="F1174" s="24">
        <f>especies_ativa_codibama[[#This Row],[Código]]</f>
        <v>34801</v>
      </c>
      <c r="G1174" s="40" t="str">
        <f>especies_ativa_codibama[[#This Row],[Nome popular]]</f>
        <v>---</v>
      </c>
      <c r="H1174" s="40" t="str">
        <f>especies_ativa_codibama[[#This Row],[Nome científico]]</f>
        <v>Miconia cubatanensis</v>
      </c>
    </row>
    <row r="1175" spans="1:8" x14ac:dyDescent="0.25">
      <c r="A1175">
        <v>34809</v>
      </c>
      <c r="B1175" t="s">
        <v>106</v>
      </c>
      <c r="C1175" t="s">
        <v>1642</v>
      </c>
      <c r="D1175" t="s">
        <v>38</v>
      </c>
      <c r="E1175">
        <v>32468</v>
      </c>
      <c r="F1175" s="24">
        <f>especies_ativa_codibama[[#This Row],[Código]]</f>
        <v>34809</v>
      </c>
      <c r="G1175" s="40" t="str">
        <f>especies_ativa_codibama[[#This Row],[Nome popular]]</f>
        <v>---</v>
      </c>
      <c r="H1175" s="40" t="str">
        <f>especies_ativa_codibama[[#This Row],[Nome científico]]</f>
        <v>Miconia sellowiana</v>
      </c>
    </row>
    <row r="1176" spans="1:8" x14ac:dyDescent="0.25">
      <c r="A1176">
        <v>34884</v>
      </c>
      <c r="B1176" t="s">
        <v>106</v>
      </c>
      <c r="C1176" t="s">
        <v>1643</v>
      </c>
      <c r="D1176" t="s">
        <v>38</v>
      </c>
      <c r="E1176">
        <v>35493</v>
      </c>
      <c r="F1176" s="24">
        <f>especies_ativa_codibama[[#This Row],[Código]]</f>
        <v>34884</v>
      </c>
      <c r="G1176" s="40" t="str">
        <f>especies_ativa_codibama[[#This Row],[Nome popular]]</f>
        <v>---</v>
      </c>
      <c r="H1176" s="40" t="str">
        <f>especies_ativa_codibama[[#This Row],[Nome científico]]</f>
        <v>Miconia punctata</v>
      </c>
    </row>
    <row r="1177" spans="1:8" x14ac:dyDescent="0.25">
      <c r="A1177">
        <v>34911</v>
      </c>
      <c r="B1177" t="s">
        <v>106</v>
      </c>
      <c r="C1177" t="s">
        <v>1644</v>
      </c>
      <c r="D1177" t="s">
        <v>38</v>
      </c>
      <c r="E1177">
        <v>34908</v>
      </c>
      <c r="F1177" s="24">
        <f>especies_ativa_codibama[[#This Row],[Código]]</f>
        <v>34911</v>
      </c>
      <c r="G1177" s="40" t="str">
        <f>especies_ativa_codibama[[#This Row],[Nome popular]]</f>
        <v>---</v>
      </c>
      <c r="H1177" s="40" t="str">
        <f>especies_ativa_codibama[[#This Row],[Nome científico]]</f>
        <v>Miconia ferruginata</v>
      </c>
    </row>
    <row r="1178" spans="1:8" x14ac:dyDescent="0.25">
      <c r="A1178">
        <v>34914</v>
      </c>
      <c r="B1178" t="s">
        <v>106</v>
      </c>
      <c r="C1178" t="s">
        <v>1645</v>
      </c>
      <c r="D1178" t="s">
        <v>38</v>
      </c>
      <c r="E1178">
        <v>35941</v>
      </c>
      <c r="F1178" s="24">
        <f>especies_ativa_codibama[[#This Row],[Código]]</f>
        <v>34914</v>
      </c>
      <c r="G1178" s="40" t="str">
        <f>especies_ativa_codibama[[#This Row],[Nome popular]]</f>
        <v>---</v>
      </c>
      <c r="H1178" s="40" t="str">
        <f>especies_ativa_codibama[[#This Row],[Nome científico]]</f>
        <v>Clidemia hirta</v>
      </c>
    </row>
    <row r="1179" spans="1:8" x14ac:dyDescent="0.25">
      <c r="A1179">
        <v>34917</v>
      </c>
      <c r="B1179" t="s">
        <v>106</v>
      </c>
      <c r="C1179" t="s">
        <v>1646</v>
      </c>
      <c r="D1179" t="s">
        <v>38</v>
      </c>
      <c r="E1179">
        <v>1621660</v>
      </c>
      <c r="F1179" s="24">
        <f>especies_ativa_codibama[[#This Row],[Código]]</f>
        <v>34917</v>
      </c>
      <c r="G1179" s="40" t="str">
        <f>especies_ativa_codibama[[#This Row],[Nome popular]]</f>
        <v>---</v>
      </c>
      <c r="H1179" s="40" t="str">
        <f>especies_ativa_codibama[[#This Row],[Nome científico]]</f>
        <v>Miconia albicans</v>
      </c>
    </row>
    <row r="1180" spans="1:8" x14ac:dyDescent="0.25">
      <c r="A1180">
        <v>34919</v>
      </c>
      <c r="B1180" t="s">
        <v>106</v>
      </c>
      <c r="C1180" t="s">
        <v>1647</v>
      </c>
      <c r="D1180" t="s">
        <v>38</v>
      </c>
      <c r="E1180">
        <v>36095</v>
      </c>
      <c r="F1180" s="24">
        <f>especies_ativa_codibama[[#This Row],[Código]]</f>
        <v>34919</v>
      </c>
      <c r="G1180" s="40" t="str">
        <f>especies_ativa_codibama[[#This Row],[Nome popular]]</f>
        <v>---</v>
      </c>
      <c r="H1180" s="40" t="str">
        <f>especies_ativa_codibama[[#This Row],[Nome científico]]</f>
        <v>Miconia minutiflora</v>
      </c>
    </row>
    <row r="1181" spans="1:8" x14ac:dyDescent="0.25">
      <c r="A1181">
        <v>34920</v>
      </c>
      <c r="B1181" t="s">
        <v>106</v>
      </c>
      <c r="C1181" t="s">
        <v>1648</v>
      </c>
      <c r="D1181" t="s">
        <v>38</v>
      </c>
      <c r="E1181">
        <v>34909</v>
      </c>
      <c r="F1181" s="24">
        <f>especies_ativa_codibama[[#This Row],[Código]]</f>
        <v>34920</v>
      </c>
      <c r="G1181" s="40" t="str">
        <f>especies_ativa_codibama[[#This Row],[Nome popular]]</f>
        <v>---</v>
      </c>
      <c r="H1181" s="40" t="str">
        <f>especies_ativa_codibama[[#This Row],[Nome científico]]</f>
        <v>Miconia prasina</v>
      </c>
    </row>
    <row r="1182" spans="1:8" x14ac:dyDescent="0.25">
      <c r="A1182">
        <v>34922</v>
      </c>
      <c r="B1182" t="s">
        <v>106</v>
      </c>
      <c r="C1182" t="s">
        <v>1649</v>
      </c>
      <c r="D1182" t="s">
        <v>38</v>
      </c>
      <c r="E1182">
        <v>35777</v>
      </c>
      <c r="F1182" s="24">
        <f>especies_ativa_codibama[[#This Row],[Código]]</f>
        <v>34922</v>
      </c>
      <c r="G1182" s="40" t="str">
        <f>especies_ativa_codibama[[#This Row],[Nome popular]]</f>
        <v>---</v>
      </c>
      <c r="H1182" s="40" t="str">
        <f>especies_ativa_codibama[[#This Row],[Nome científico]]</f>
        <v>Miconia mirabilis</v>
      </c>
    </row>
    <row r="1183" spans="1:8" x14ac:dyDescent="0.25">
      <c r="A1183">
        <v>34923</v>
      </c>
      <c r="B1183" t="s">
        <v>106</v>
      </c>
      <c r="C1183" t="s">
        <v>1650</v>
      </c>
      <c r="D1183" t="s">
        <v>38</v>
      </c>
      <c r="E1183">
        <v>1743609</v>
      </c>
      <c r="F1183" s="24">
        <f>especies_ativa_codibama[[#This Row],[Código]]</f>
        <v>34923</v>
      </c>
      <c r="G1183" s="40" t="str">
        <f>especies_ativa_codibama[[#This Row],[Nome popular]]</f>
        <v>---</v>
      </c>
      <c r="H1183" s="40" t="str">
        <f>especies_ativa_codibama[[#This Row],[Nome científico]]</f>
        <v>Henriettea succosa</v>
      </c>
    </row>
    <row r="1184" spans="1:8" x14ac:dyDescent="0.25">
      <c r="A1184">
        <v>34950</v>
      </c>
      <c r="B1184" t="s">
        <v>106</v>
      </c>
      <c r="C1184" t="s">
        <v>1651</v>
      </c>
      <c r="D1184" t="s">
        <v>38</v>
      </c>
      <c r="E1184">
        <v>34022</v>
      </c>
      <c r="F1184" s="24">
        <f>especies_ativa_codibama[[#This Row],[Código]]</f>
        <v>34950</v>
      </c>
      <c r="G1184" s="40" t="str">
        <f>especies_ativa_codibama[[#This Row],[Nome popular]]</f>
        <v>---</v>
      </c>
      <c r="H1184" s="40" t="str">
        <f>especies_ativa_codibama[[#This Row],[Nome científico]]</f>
        <v>Miconia dodecandra</v>
      </c>
    </row>
    <row r="1185" spans="1:8" x14ac:dyDescent="0.25">
      <c r="A1185">
        <v>34951</v>
      </c>
      <c r="B1185" t="s">
        <v>106</v>
      </c>
      <c r="C1185" t="s">
        <v>1652</v>
      </c>
      <c r="D1185" t="s">
        <v>38</v>
      </c>
      <c r="E1185">
        <v>32705</v>
      </c>
      <c r="F1185" s="24">
        <f>especies_ativa_codibama[[#This Row],[Código]]</f>
        <v>34951</v>
      </c>
      <c r="G1185" s="40" t="str">
        <f>especies_ativa_codibama[[#This Row],[Nome popular]]</f>
        <v>---</v>
      </c>
      <c r="H1185" s="40" t="str">
        <f>especies_ativa_codibama[[#This Row],[Nome científico]]</f>
        <v>Miconia holosericea</v>
      </c>
    </row>
    <row r="1186" spans="1:8" x14ac:dyDescent="0.25">
      <c r="A1186">
        <v>34954</v>
      </c>
      <c r="B1186" t="s">
        <v>106</v>
      </c>
      <c r="C1186" t="s">
        <v>1653</v>
      </c>
      <c r="D1186" t="s">
        <v>38</v>
      </c>
      <c r="E1186">
        <v>34907</v>
      </c>
      <c r="F1186" s="24">
        <f>especies_ativa_codibama[[#This Row],[Código]]</f>
        <v>34954</v>
      </c>
      <c r="G1186" s="40" t="str">
        <f>especies_ativa_codibama[[#This Row],[Nome popular]]</f>
        <v>---</v>
      </c>
      <c r="H1186" s="40" t="str">
        <f>especies_ativa_codibama[[#This Row],[Nome científico]]</f>
        <v>Miconia cuspidata</v>
      </c>
    </row>
    <row r="1187" spans="1:8" x14ac:dyDescent="0.25">
      <c r="A1187">
        <v>34960</v>
      </c>
      <c r="B1187" t="s">
        <v>106</v>
      </c>
      <c r="C1187" t="s">
        <v>1654</v>
      </c>
      <c r="D1187" t="s">
        <v>38</v>
      </c>
      <c r="E1187">
        <v>33407</v>
      </c>
      <c r="F1187" s="24">
        <f>especies_ativa_codibama[[#This Row],[Código]]</f>
        <v>34960</v>
      </c>
      <c r="G1187" s="40" t="str">
        <f>especies_ativa_codibama[[#This Row],[Nome popular]]</f>
        <v>---</v>
      </c>
      <c r="H1187" s="40" t="str">
        <f>especies_ativa_codibama[[#This Row],[Nome científico]]</f>
        <v>Miconia lepidota</v>
      </c>
    </row>
    <row r="1188" spans="1:8" x14ac:dyDescent="0.25">
      <c r="A1188">
        <v>34963</v>
      </c>
      <c r="B1188" t="s">
        <v>106</v>
      </c>
      <c r="C1188" t="s">
        <v>1655</v>
      </c>
      <c r="D1188" t="s">
        <v>38</v>
      </c>
      <c r="E1188">
        <v>33074</v>
      </c>
      <c r="F1188" s="24">
        <f>especies_ativa_codibama[[#This Row],[Código]]</f>
        <v>34963</v>
      </c>
      <c r="G1188" s="40" t="str">
        <f>especies_ativa_codibama[[#This Row],[Nome popular]]</f>
        <v>---</v>
      </c>
      <c r="H1188" s="40" t="str">
        <f>especies_ativa_codibama[[#This Row],[Nome científico]]</f>
        <v>Miconia chamissois</v>
      </c>
    </row>
    <row r="1189" spans="1:8" x14ac:dyDescent="0.25">
      <c r="A1189">
        <v>34970</v>
      </c>
      <c r="B1189" t="s">
        <v>106</v>
      </c>
      <c r="C1189" t="s">
        <v>1656</v>
      </c>
      <c r="D1189" t="s">
        <v>38</v>
      </c>
      <c r="E1189">
        <v>32825</v>
      </c>
      <c r="F1189" s="24">
        <f>especies_ativa_codibama[[#This Row],[Código]]</f>
        <v>34970</v>
      </c>
      <c r="G1189" s="40" t="str">
        <f>especies_ativa_codibama[[#This Row],[Nome popular]]</f>
        <v>---</v>
      </c>
      <c r="H1189" s="40" t="str">
        <f>especies_ativa_codibama[[#This Row],[Nome científico]]</f>
        <v>Miconia hyemalis</v>
      </c>
    </row>
    <row r="1190" spans="1:8" x14ac:dyDescent="0.25">
      <c r="A1190">
        <v>34972</v>
      </c>
      <c r="B1190" t="s">
        <v>106</v>
      </c>
      <c r="C1190" t="s">
        <v>1657</v>
      </c>
      <c r="D1190" t="s">
        <v>38</v>
      </c>
      <c r="E1190">
        <v>35494</v>
      </c>
      <c r="F1190" s="24">
        <f>especies_ativa_codibama[[#This Row],[Código]]</f>
        <v>34972</v>
      </c>
      <c r="G1190" s="40" t="str">
        <f>especies_ativa_codibama[[#This Row],[Nome popular]]</f>
        <v>---</v>
      </c>
      <c r="H1190" s="40" t="str">
        <f>especies_ativa_codibama[[#This Row],[Nome científico]]</f>
        <v>Miconia theaezans</v>
      </c>
    </row>
    <row r="1191" spans="1:8" x14ac:dyDescent="0.25">
      <c r="A1191">
        <v>34977</v>
      </c>
      <c r="B1191" t="s">
        <v>106</v>
      </c>
      <c r="C1191" t="s">
        <v>1658</v>
      </c>
      <c r="D1191" t="s">
        <v>38</v>
      </c>
      <c r="E1191">
        <v>31826</v>
      </c>
      <c r="F1191" s="24">
        <f>especies_ativa_codibama[[#This Row],[Código]]</f>
        <v>34977</v>
      </c>
      <c r="G1191" s="40" t="str">
        <f>especies_ativa_codibama[[#This Row],[Nome popular]]</f>
        <v>---</v>
      </c>
      <c r="H1191" s="40" t="str">
        <f>especies_ativa_codibama[[#This Row],[Nome científico]]</f>
        <v>Miconia petropolitana</v>
      </c>
    </row>
    <row r="1192" spans="1:8" x14ac:dyDescent="0.25">
      <c r="A1192">
        <v>34979</v>
      </c>
      <c r="B1192" t="s">
        <v>106</v>
      </c>
      <c r="C1192" t="s">
        <v>1659</v>
      </c>
      <c r="D1192" t="s">
        <v>38</v>
      </c>
      <c r="E1192">
        <v>31828</v>
      </c>
      <c r="F1192" s="24">
        <f>especies_ativa_codibama[[#This Row],[Código]]</f>
        <v>34979</v>
      </c>
      <c r="G1192" s="40" t="str">
        <f>especies_ativa_codibama[[#This Row],[Nome popular]]</f>
        <v>---</v>
      </c>
      <c r="H1192" s="40" t="str">
        <f>especies_ativa_codibama[[#This Row],[Nome científico]]</f>
        <v>Miconia tristis</v>
      </c>
    </row>
    <row r="1193" spans="1:8" x14ac:dyDescent="0.25">
      <c r="A1193">
        <v>34980</v>
      </c>
      <c r="B1193" t="s">
        <v>106</v>
      </c>
      <c r="C1193" t="s">
        <v>1660</v>
      </c>
      <c r="D1193" t="s">
        <v>38</v>
      </c>
      <c r="E1193">
        <v>34906</v>
      </c>
      <c r="F1193" s="24">
        <f>especies_ativa_codibama[[#This Row],[Código]]</f>
        <v>34980</v>
      </c>
      <c r="G1193" s="40" t="str">
        <f>especies_ativa_codibama[[#This Row],[Nome popular]]</f>
        <v>---</v>
      </c>
      <c r="H1193" s="40" t="str">
        <f>especies_ativa_codibama[[#This Row],[Nome científico]]</f>
        <v>Miconia cinerascens</v>
      </c>
    </row>
    <row r="1194" spans="1:8" x14ac:dyDescent="0.25">
      <c r="A1194">
        <v>34987</v>
      </c>
      <c r="B1194" t="s">
        <v>106</v>
      </c>
      <c r="C1194" t="s">
        <v>1661</v>
      </c>
      <c r="D1194" t="s">
        <v>38</v>
      </c>
      <c r="E1194">
        <v>35499</v>
      </c>
      <c r="F1194" s="24">
        <f>especies_ativa_codibama[[#This Row],[Código]]</f>
        <v>34987</v>
      </c>
      <c r="G1194" s="40" t="str">
        <f>especies_ativa_codibama[[#This Row],[Nome popular]]</f>
        <v>---</v>
      </c>
      <c r="H1194" s="40" t="str">
        <f>especies_ativa_codibama[[#This Row],[Nome científico]]</f>
        <v>Mouriri pusa</v>
      </c>
    </row>
    <row r="1195" spans="1:8" x14ac:dyDescent="0.25">
      <c r="A1195">
        <v>34988</v>
      </c>
      <c r="B1195" t="s">
        <v>106</v>
      </c>
      <c r="C1195" t="s">
        <v>1662</v>
      </c>
      <c r="D1195" t="s">
        <v>38</v>
      </c>
      <c r="E1195">
        <v>36096</v>
      </c>
      <c r="F1195" s="24">
        <f>especies_ativa_codibama[[#This Row],[Código]]</f>
        <v>34988</v>
      </c>
      <c r="G1195" s="40" t="str">
        <f>especies_ativa_codibama[[#This Row],[Nome popular]]</f>
        <v>---</v>
      </c>
      <c r="H1195" s="40" t="str">
        <f>especies_ativa_codibama[[#This Row],[Nome científico]]</f>
        <v>Miconia nervosa</v>
      </c>
    </row>
    <row r="1196" spans="1:8" x14ac:dyDescent="0.25">
      <c r="A1196">
        <v>34990</v>
      </c>
      <c r="B1196" t="s">
        <v>106</v>
      </c>
      <c r="C1196" t="s">
        <v>1663</v>
      </c>
      <c r="D1196" t="s">
        <v>38</v>
      </c>
      <c r="E1196">
        <v>33665</v>
      </c>
      <c r="F1196" s="24">
        <f>especies_ativa_codibama[[#This Row],[Código]]</f>
        <v>34990</v>
      </c>
      <c r="G1196" s="40" t="str">
        <f>especies_ativa_codibama[[#This Row],[Nome popular]]</f>
        <v>---</v>
      </c>
      <c r="H1196" s="40" t="str">
        <f>especies_ativa_codibama[[#This Row],[Nome científico]]</f>
        <v>Miconia elegans</v>
      </c>
    </row>
    <row r="1197" spans="1:8" x14ac:dyDescent="0.25">
      <c r="A1197">
        <v>35004</v>
      </c>
      <c r="B1197" t="s">
        <v>106</v>
      </c>
      <c r="C1197" t="s">
        <v>1664</v>
      </c>
      <c r="D1197" t="s">
        <v>79</v>
      </c>
      <c r="E1197">
        <v>31755</v>
      </c>
      <c r="F1197" s="24">
        <f>especies_ativa_codibama[[#This Row],[Código]]</f>
        <v>35004</v>
      </c>
      <c r="G1197" s="40" t="str">
        <f>especies_ativa_codibama[[#This Row],[Nome popular]]</f>
        <v>---</v>
      </c>
      <c r="H1197" s="40" t="str">
        <f>especies_ativa_codibama[[#This Row],[Nome científico]]</f>
        <v>Guarea pendula</v>
      </c>
    </row>
    <row r="1198" spans="1:8" x14ac:dyDescent="0.25">
      <c r="A1198">
        <v>35008</v>
      </c>
      <c r="B1198" t="s">
        <v>106</v>
      </c>
      <c r="C1198" t="s">
        <v>1665</v>
      </c>
      <c r="D1198" t="s">
        <v>126</v>
      </c>
      <c r="E1198">
        <v>32176</v>
      </c>
      <c r="F1198" s="24">
        <f>especies_ativa_codibama[[#This Row],[Código]]</f>
        <v>35008</v>
      </c>
      <c r="G1198" s="40" t="str">
        <f>especies_ativa_codibama[[#This Row],[Nome popular]]</f>
        <v>---</v>
      </c>
      <c r="H1198" s="40" t="str">
        <f>especies_ativa_codibama[[#This Row],[Nome científico]]</f>
        <v>Trichilia lepidota</v>
      </c>
    </row>
    <row r="1199" spans="1:8" x14ac:dyDescent="0.25">
      <c r="A1199">
        <v>35010</v>
      </c>
      <c r="B1199" t="s">
        <v>106</v>
      </c>
      <c r="C1199" t="s">
        <v>1666</v>
      </c>
      <c r="D1199" t="s">
        <v>126</v>
      </c>
      <c r="E1199">
        <v>35641</v>
      </c>
      <c r="F1199" s="24">
        <f>especies_ativa_codibama[[#This Row],[Código]]</f>
        <v>35010</v>
      </c>
      <c r="G1199" s="40" t="str">
        <f>especies_ativa_codibama[[#This Row],[Nome popular]]</f>
        <v>---</v>
      </c>
      <c r="H1199" s="40" t="str">
        <f>especies_ativa_codibama[[#This Row],[Nome científico]]</f>
        <v>Trichilia hirta</v>
      </c>
    </row>
    <row r="1200" spans="1:8" x14ac:dyDescent="0.25">
      <c r="A1200">
        <v>35011</v>
      </c>
      <c r="B1200" t="s">
        <v>106</v>
      </c>
      <c r="C1200" t="s">
        <v>1667</v>
      </c>
      <c r="D1200" t="s">
        <v>126</v>
      </c>
      <c r="E1200">
        <v>2009699</v>
      </c>
      <c r="F1200" s="24">
        <f>especies_ativa_codibama[[#This Row],[Código]]</f>
        <v>35011</v>
      </c>
      <c r="G1200" s="40" t="str">
        <f>especies_ativa_codibama[[#This Row],[Nome popular]]</f>
        <v>---</v>
      </c>
      <c r="H1200" s="40" t="str">
        <f>especies_ativa_codibama[[#This Row],[Nome científico]]</f>
        <v>Trichilia emarginata</v>
      </c>
    </row>
    <row r="1201" spans="1:8" x14ac:dyDescent="0.25">
      <c r="A1201">
        <v>35012</v>
      </c>
      <c r="B1201" t="s">
        <v>106</v>
      </c>
      <c r="C1201" t="s">
        <v>1668</v>
      </c>
      <c r="D1201" t="s">
        <v>126</v>
      </c>
      <c r="E1201">
        <v>36250</v>
      </c>
      <c r="F1201" s="24">
        <f>especies_ativa_codibama[[#This Row],[Código]]</f>
        <v>35012</v>
      </c>
      <c r="G1201" s="40" t="str">
        <f>especies_ativa_codibama[[#This Row],[Nome popular]]</f>
        <v>---</v>
      </c>
      <c r="H1201" s="40" t="str">
        <f>especies_ativa_codibama[[#This Row],[Nome científico]]</f>
        <v>Trichilia casaretti</v>
      </c>
    </row>
    <row r="1202" spans="1:8" x14ac:dyDescent="0.25">
      <c r="A1202">
        <v>35013</v>
      </c>
      <c r="B1202" t="s">
        <v>1669</v>
      </c>
      <c r="C1202" t="s">
        <v>1670</v>
      </c>
      <c r="D1202" t="s">
        <v>38</v>
      </c>
      <c r="E1202">
        <v>34432</v>
      </c>
      <c r="F1202" s="24">
        <f>especies_ativa_codibama[[#This Row],[Código]]</f>
        <v>35013</v>
      </c>
      <c r="G1202" s="40" t="str">
        <f>especies_ativa_codibama[[#This Row],[Nome popular]]</f>
        <v>breu maxixe, maraximbé branca, maraximbé branco, murici preto</v>
      </c>
      <c r="H1202" s="40" t="str">
        <f>especies_ativa_codibama[[#This Row],[Nome científico]]</f>
        <v>Trichilia quadrijuga</v>
      </c>
    </row>
    <row r="1203" spans="1:8" x14ac:dyDescent="0.25">
      <c r="A1203">
        <v>35015</v>
      </c>
      <c r="B1203" t="s">
        <v>2696</v>
      </c>
      <c r="C1203" t="s">
        <v>1671</v>
      </c>
      <c r="D1203" t="s">
        <v>38</v>
      </c>
      <c r="E1203">
        <v>34238</v>
      </c>
      <c r="F1203" s="24">
        <f>especies_ativa_codibama[[#This Row],[Código]]</f>
        <v>35015</v>
      </c>
      <c r="G1203" s="40" t="str">
        <f>especies_ativa_codibama[[#This Row],[Nome popular]]</f>
        <v>Café bravo, Café do mato, camboatá, catigua branca, gitó</v>
      </c>
      <c r="H1203" s="40" t="str">
        <f>especies_ativa_codibama[[#This Row],[Nome científico]]</f>
        <v>Guarea macrophylla</v>
      </c>
    </row>
    <row r="1204" spans="1:8" x14ac:dyDescent="0.25">
      <c r="A1204">
        <v>35016</v>
      </c>
      <c r="B1204" t="s">
        <v>1672</v>
      </c>
      <c r="C1204" t="s">
        <v>1673</v>
      </c>
      <c r="D1204" t="s">
        <v>38</v>
      </c>
      <c r="E1204">
        <v>33596</v>
      </c>
      <c r="F1204" s="24">
        <f>especies_ativa_codibama[[#This Row],[Código]]</f>
        <v>35016</v>
      </c>
      <c r="G1204" s="40" t="str">
        <f>especies_ativa_codibama[[#This Row],[Nome popular]]</f>
        <v>carrapeta graúda, cedro bravo, gitó de terra firme, jitó, jitó branco, jitó preto, mancore, peloteira</v>
      </c>
      <c r="H1204" s="40" t="str">
        <f>especies_ativa_codibama[[#This Row],[Nome científico]]</f>
        <v>Guarea kunthiana</v>
      </c>
    </row>
    <row r="1205" spans="1:8" x14ac:dyDescent="0.25">
      <c r="A1205">
        <v>35017</v>
      </c>
      <c r="B1205" t="s">
        <v>1674</v>
      </c>
      <c r="C1205" t="s">
        <v>1675</v>
      </c>
      <c r="D1205" t="s">
        <v>38</v>
      </c>
      <c r="E1205">
        <v>33595</v>
      </c>
      <c r="F1205" s="24">
        <f>especies_ativa_codibama[[#This Row],[Código]]</f>
        <v>35017</v>
      </c>
      <c r="G1205" s="40" t="str">
        <f>especies_ativa_codibama[[#This Row],[Nome popular]]</f>
        <v>carrapeta, gitó, jatuauba, marinheiro</v>
      </c>
      <c r="H1205" s="40" t="str">
        <f>especies_ativa_codibama[[#This Row],[Nome científico]]</f>
        <v>Guarea guidonia</v>
      </c>
    </row>
    <row r="1206" spans="1:8" x14ac:dyDescent="0.25">
      <c r="A1206">
        <v>35018</v>
      </c>
      <c r="B1206" t="s">
        <v>1676</v>
      </c>
      <c r="C1206" t="s">
        <v>1677</v>
      </c>
      <c r="D1206" t="s">
        <v>38</v>
      </c>
      <c r="E1206">
        <v>31983</v>
      </c>
      <c r="F1206" s="24">
        <f>especies_ativa_codibama[[#This Row],[Código]]</f>
        <v>35018</v>
      </c>
      <c r="G1206" s="40" t="str">
        <f>especies_ativa_codibama[[#This Row],[Nome popular]]</f>
        <v>Catigua</v>
      </c>
      <c r="H1206" s="40" t="str">
        <f>especies_ativa_codibama[[#This Row],[Nome científico]]</f>
        <v>Trichilia catigua</v>
      </c>
    </row>
    <row r="1207" spans="1:8" x14ac:dyDescent="0.25">
      <c r="A1207">
        <v>35021</v>
      </c>
      <c r="B1207" t="s">
        <v>1678</v>
      </c>
      <c r="C1207" t="s">
        <v>1679</v>
      </c>
      <c r="D1207" t="s">
        <v>38</v>
      </c>
      <c r="E1207">
        <v>1320881</v>
      </c>
      <c r="F1207" s="24">
        <f>especies_ativa_codibama[[#This Row],[Código]]</f>
        <v>35021</v>
      </c>
      <c r="G1207" s="40" t="str">
        <f>especies_ativa_codibama[[#This Row],[Nome popular]]</f>
        <v>jatuauba</v>
      </c>
      <c r="H1207" s="40" t="str">
        <f>especies_ativa_codibama[[#This Row],[Nome científico]]</f>
        <v>Guarea purusana</v>
      </c>
    </row>
    <row r="1208" spans="1:8" x14ac:dyDescent="0.25">
      <c r="A1208">
        <v>35028</v>
      </c>
      <c r="B1208" t="s">
        <v>1680</v>
      </c>
      <c r="C1208" t="s">
        <v>1681</v>
      </c>
      <c r="D1208" t="s">
        <v>38</v>
      </c>
      <c r="E1208">
        <v>31985</v>
      </c>
      <c r="F1208" s="24">
        <f>especies_ativa_codibama[[#This Row],[Código]]</f>
        <v>35028</v>
      </c>
      <c r="G1208" s="40" t="str">
        <f>especies_ativa_codibama[[#This Row],[Nome popular]]</f>
        <v>maxixe</v>
      </c>
      <c r="H1208" s="40" t="str">
        <f>especies_ativa_codibama[[#This Row],[Nome científico]]</f>
        <v>Trichilia rubra</v>
      </c>
    </row>
    <row r="1209" spans="1:8" x14ac:dyDescent="0.25">
      <c r="A1209">
        <v>35029</v>
      </c>
      <c r="B1209" t="s">
        <v>1521</v>
      </c>
      <c r="C1209" t="s">
        <v>1682</v>
      </c>
      <c r="D1209" t="s">
        <v>38</v>
      </c>
      <c r="E1209">
        <v>33812</v>
      </c>
      <c r="F1209" s="24">
        <f>especies_ativa_codibama[[#This Row],[Código]]</f>
        <v>35029</v>
      </c>
      <c r="G1209" s="40" t="str">
        <f>especies_ativa_codibama[[#This Row],[Nome popular]]</f>
        <v>murici</v>
      </c>
      <c r="H1209" s="40" t="str">
        <f>especies_ativa_codibama[[#This Row],[Nome científico]]</f>
        <v>Trichilia pallida</v>
      </c>
    </row>
    <row r="1210" spans="1:8" x14ac:dyDescent="0.25">
      <c r="A1210">
        <v>35030</v>
      </c>
      <c r="B1210" t="s">
        <v>1683</v>
      </c>
      <c r="C1210" t="s">
        <v>1684</v>
      </c>
      <c r="D1210" t="s">
        <v>38</v>
      </c>
      <c r="E1210">
        <v>35490</v>
      </c>
      <c r="F1210" s="24">
        <f>especies_ativa_codibama[[#This Row],[Código]]</f>
        <v>35030</v>
      </c>
      <c r="G1210" s="40" t="str">
        <f>especies_ativa_codibama[[#This Row],[Nome popular]]</f>
        <v>simomo, amargoseira</v>
      </c>
      <c r="H1210" s="40" t="str">
        <f>especies_ativa_codibama[[#This Row],[Nome científico]]</f>
        <v>Melia azedarach</v>
      </c>
    </row>
    <row r="1211" spans="1:8" x14ac:dyDescent="0.25">
      <c r="A1211">
        <v>35035</v>
      </c>
      <c r="B1211" t="s">
        <v>106</v>
      </c>
      <c r="C1211" t="s">
        <v>1685</v>
      </c>
      <c r="D1211" t="s">
        <v>38</v>
      </c>
      <c r="E1211">
        <v>585277</v>
      </c>
      <c r="F1211" s="24">
        <f>especies_ativa_codibama[[#This Row],[Código]]</f>
        <v>35035</v>
      </c>
      <c r="G1211" s="40" t="str">
        <f>especies_ativa_codibama[[#This Row],[Nome popular]]</f>
        <v>---</v>
      </c>
      <c r="H1211" s="40" t="str">
        <f>especies_ativa_codibama[[#This Row],[Nome científico]]</f>
        <v>Azadirachta indica</v>
      </c>
    </row>
    <row r="1212" spans="1:8" x14ac:dyDescent="0.25">
      <c r="A1212">
        <v>35036</v>
      </c>
      <c r="B1212" t="s">
        <v>106</v>
      </c>
      <c r="C1212" t="s">
        <v>1686</v>
      </c>
      <c r="D1212" t="s">
        <v>38</v>
      </c>
      <c r="E1212">
        <v>29598</v>
      </c>
      <c r="F1212" s="24">
        <f>especies_ativa_codibama[[#This Row],[Código]]</f>
        <v>35036</v>
      </c>
      <c r="G1212" s="40" t="str">
        <f>especies_ativa_codibama[[#This Row],[Nome popular]]</f>
        <v>---</v>
      </c>
      <c r="H1212" s="40" t="str">
        <f>especies_ativa_codibama[[#This Row],[Nome científico]]</f>
        <v>Swietenia mahagoni</v>
      </c>
    </row>
    <row r="1213" spans="1:8" x14ac:dyDescent="0.25">
      <c r="A1213">
        <v>35038</v>
      </c>
      <c r="B1213" t="s">
        <v>106</v>
      </c>
      <c r="C1213" t="s">
        <v>1687</v>
      </c>
      <c r="D1213" t="s">
        <v>38</v>
      </c>
      <c r="E1213">
        <v>1981472</v>
      </c>
      <c r="F1213" s="24">
        <f>especies_ativa_codibama[[#This Row],[Código]]</f>
        <v>35038</v>
      </c>
      <c r="G1213" s="40" t="str">
        <f>especies_ativa_codibama[[#This Row],[Nome popular]]</f>
        <v>---</v>
      </c>
      <c r="H1213" s="40" t="str">
        <f>especies_ativa_codibama[[#This Row],[Nome científico]]</f>
        <v>Guarea carinata</v>
      </c>
    </row>
    <row r="1214" spans="1:8" x14ac:dyDescent="0.25">
      <c r="A1214">
        <v>35040</v>
      </c>
      <c r="B1214" t="s">
        <v>106</v>
      </c>
      <c r="C1214" t="s">
        <v>1688</v>
      </c>
      <c r="D1214" t="s">
        <v>38</v>
      </c>
      <c r="E1214">
        <v>31634</v>
      </c>
      <c r="F1214" s="24">
        <f>especies_ativa_codibama[[#This Row],[Código]]</f>
        <v>35040</v>
      </c>
      <c r="G1214" s="40" t="str">
        <f>especies_ativa_codibama[[#This Row],[Nome popular]]</f>
        <v>---</v>
      </c>
      <c r="H1214" s="40" t="str">
        <f>especies_ativa_codibama[[#This Row],[Nome científico]]</f>
        <v>Cabralea canjerana</v>
      </c>
    </row>
    <row r="1215" spans="1:8" x14ac:dyDescent="0.25">
      <c r="A1215">
        <v>35045</v>
      </c>
      <c r="B1215" t="s">
        <v>106</v>
      </c>
      <c r="C1215" t="s">
        <v>1689</v>
      </c>
      <c r="D1215" t="s">
        <v>38</v>
      </c>
      <c r="E1215">
        <v>720173</v>
      </c>
      <c r="F1215" s="24">
        <f>especies_ativa_codibama[[#This Row],[Código]]</f>
        <v>35045</v>
      </c>
      <c r="G1215" s="40" t="str">
        <f>especies_ativa_codibama[[#This Row],[Nome popular]]</f>
        <v>---</v>
      </c>
      <c r="H1215" s="40" t="str">
        <f>especies_ativa_codibama[[#This Row],[Nome científico]]</f>
        <v>Toona ciliata</v>
      </c>
    </row>
    <row r="1216" spans="1:8" x14ac:dyDescent="0.25">
      <c r="A1216">
        <v>35046</v>
      </c>
      <c r="B1216" t="s">
        <v>106</v>
      </c>
      <c r="C1216" t="s">
        <v>1690</v>
      </c>
      <c r="D1216" t="s">
        <v>38</v>
      </c>
      <c r="E1216">
        <v>35640</v>
      </c>
      <c r="F1216" s="24">
        <f>especies_ativa_codibama[[#This Row],[Código]]</f>
        <v>35046</v>
      </c>
      <c r="G1216" s="40" t="str">
        <f>especies_ativa_codibama[[#This Row],[Nome popular]]</f>
        <v>---</v>
      </c>
      <c r="H1216" s="40" t="str">
        <f>especies_ativa_codibama[[#This Row],[Nome científico]]</f>
        <v>Trichilia elegans</v>
      </c>
    </row>
    <row r="1217" spans="1:8" x14ac:dyDescent="0.25">
      <c r="A1217">
        <v>35049</v>
      </c>
      <c r="B1217" t="s">
        <v>1691</v>
      </c>
      <c r="C1217" t="s">
        <v>1692</v>
      </c>
      <c r="D1217" t="s">
        <v>465</v>
      </c>
      <c r="E1217">
        <v>32930</v>
      </c>
      <c r="F1217" s="24">
        <f>especies_ativa_codibama[[#This Row],[Código]]</f>
        <v>35049</v>
      </c>
      <c r="G1217" s="40" t="str">
        <f>especies_ativa_codibama[[#This Row],[Nome popular]]</f>
        <v>Cedro, cedro branco, cedro rosa, cedro vermelho</v>
      </c>
      <c r="H1217" s="40" t="str">
        <f>especies_ativa_codibama[[#This Row],[Nome científico]]</f>
        <v>Cedrela odorata</v>
      </c>
    </row>
    <row r="1218" spans="1:8" x14ac:dyDescent="0.25">
      <c r="A1218">
        <v>35050</v>
      </c>
      <c r="B1218" t="s">
        <v>1693</v>
      </c>
      <c r="C1218" t="s">
        <v>1694</v>
      </c>
      <c r="D1218" t="s">
        <v>650</v>
      </c>
      <c r="E1218">
        <v>29599</v>
      </c>
      <c r="F1218" s="24">
        <f>especies_ativa_codibama[[#This Row],[Código]]</f>
        <v>35050</v>
      </c>
      <c r="G1218" s="40" t="str">
        <f>especies_ativa_codibama[[#This Row],[Nome popular]]</f>
        <v>Mogno</v>
      </c>
      <c r="H1218" s="40" t="str">
        <f>especies_ativa_codibama[[#This Row],[Nome científico]]</f>
        <v>Swietenia macrophylla</v>
      </c>
    </row>
    <row r="1219" spans="1:8" x14ac:dyDescent="0.25">
      <c r="A1219">
        <v>35051</v>
      </c>
      <c r="B1219" t="s">
        <v>1695</v>
      </c>
      <c r="C1219" t="s">
        <v>1696</v>
      </c>
      <c r="D1219" t="s">
        <v>465</v>
      </c>
      <c r="E1219">
        <v>32292</v>
      </c>
      <c r="F1219" s="24">
        <f>especies_ativa_codibama[[#This Row],[Código]]</f>
        <v>35051</v>
      </c>
      <c r="G1219" s="40" t="str">
        <f>especies_ativa_codibama[[#This Row],[Nome popular]]</f>
        <v>Cedro-branco, Acaiaca, Acaiacatinga, Acaja-catinga, Acajatinga, Acaju, Acaju-caatinga, Capiuva</v>
      </c>
      <c r="H1219" s="40" t="str">
        <f>especies_ativa_codibama[[#This Row],[Nome científico]]</f>
        <v>Cedrela fissilis</v>
      </c>
    </row>
    <row r="1220" spans="1:8" x14ac:dyDescent="0.25">
      <c r="A1220">
        <v>35055</v>
      </c>
      <c r="B1220" t="s">
        <v>1697</v>
      </c>
      <c r="C1220" t="s">
        <v>1698</v>
      </c>
      <c r="D1220" t="s">
        <v>79</v>
      </c>
      <c r="E1220">
        <v>1980769</v>
      </c>
      <c r="F1220" s="24">
        <f>especies_ativa_codibama[[#This Row],[Código]]</f>
        <v>35055</v>
      </c>
      <c r="G1220" s="40" t="str">
        <f>especies_ativa_codibama[[#This Row],[Nome popular]]</f>
        <v>Aderno, Pe, Aderno da Praia, Louro da Caatinga</v>
      </c>
      <c r="H1220" s="40" t="str">
        <f>especies_ativa_codibama[[#This Row],[Nome científico]]</f>
        <v>Emmotum affine</v>
      </c>
    </row>
    <row r="1221" spans="1:8" x14ac:dyDescent="0.25">
      <c r="A1221">
        <v>35056</v>
      </c>
      <c r="B1221" t="s">
        <v>1699</v>
      </c>
      <c r="C1221" t="s">
        <v>1700</v>
      </c>
      <c r="D1221" t="s">
        <v>38</v>
      </c>
      <c r="E1221">
        <v>35969</v>
      </c>
      <c r="F1221" s="24">
        <f>especies_ativa_codibama[[#This Row],[Código]]</f>
        <v>35056</v>
      </c>
      <c r="G1221" s="40" t="str">
        <f>especies_ativa_codibama[[#This Row],[Nome popular]]</f>
        <v>Cafera, Pau-de-cubiú</v>
      </c>
      <c r="H1221" s="40" t="str">
        <f>especies_ativa_codibama[[#This Row],[Nome científico]]</f>
        <v>Dendrobangia boliviana</v>
      </c>
    </row>
    <row r="1222" spans="1:8" x14ac:dyDescent="0.25">
      <c r="A1222">
        <v>35057</v>
      </c>
      <c r="B1222" t="s">
        <v>1701</v>
      </c>
      <c r="C1222" t="s">
        <v>1702</v>
      </c>
      <c r="D1222" t="s">
        <v>38</v>
      </c>
      <c r="E1222">
        <v>32351</v>
      </c>
      <c r="F1222" s="24">
        <f>especies_ativa_codibama[[#This Row],[Código]]</f>
        <v>35057</v>
      </c>
      <c r="G1222" s="40" t="str">
        <f>especies_ativa_codibama[[#This Row],[Nome popular]]</f>
        <v>Pau-sobre, Faia, Pau-de-sobre, Sobre, Cabriteiro, Bapeba-preta, Fruta-de-anta, Aderno</v>
      </c>
      <c r="H1222" s="40" t="str">
        <f>especies_ativa_codibama[[#This Row],[Nome científico]]</f>
        <v>Emmotum nitens</v>
      </c>
    </row>
    <row r="1223" spans="1:8" x14ac:dyDescent="0.25">
      <c r="A1223">
        <v>35059</v>
      </c>
      <c r="B1223" t="s">
        <v>1703</v>
      </c>
      <c r="C1223" t="s">
        <v>1704</v>
      </c>
      <c r="D1223" t="s">
        <v>79</v>
      </c>
      <c r="E1223">
        <v>2007751</v>
      </c>
      <c r="F1223" s="24">
        <f>especies_ativa_codibama[[#This Row],[Código]]</f>
        <v>35059</v>
      </c>
      <c r="G1223" s="40" t="str">
        <f>especies_ativa_codibama[[#This Row],[Nome popular]]</f>
        <v>Espinheira-santa</v>
      </c>
      <c r="H1223" s="40" t="str">
        <f>especies_ativa_codibama[[#This Row],[Nome científico]]</f>
        <v>Mollinedia schottiana</v>
      </c>
    </row>
    <row r="1224" spans="1:8" x14ac:dyDescent="0.25">
      <c r="A1224">
        <v>35060</v>
      </c>
      <c r="B1224" t="s">
        <v>1705</v>
      </c>
      <c r="C1224" t="s">
        <v>1706</v>
      </c>
      <c r="D1224" t="s">
        <v>79</v>
      </c>
      <c r="E1224">
        <v>32728</v>
      </c>
      <c r="F1224" s="24">
        <f>especies_ativa_codibama[[#This Row],[Código]]</f>
        <v>35060</v>
      </c>
      <c r="G1224" s="40" t="str">
        <f>especies_ativa_codibama[[#This Row],[Nome popular]]</f>
        <v>pau-de-espeto</v>
      </c>
      <c r="H1224" s="40" t="str">
        <f>especies_ativa_codibama[[#This Row],[Nome científico]]</f>
        <v>Mollinedia triflora</v>
      </c>
    </row>
    <row r="1225" spans="1:8" x14ac:dyDescent="0.25">
      <c r="A1225">
        <v>35065</v>
      </c>
      <c r="B1225" t="s">
        <v>106</v>
      </c>
      <c r="C1225" t="s">
        <v>1707</v>
      </c>
      <c r="D1225" t="s">
        <v>79</v>
      </c>
      <c r="E1225">
        <v>33994</v>
      </c>
      <c r="F1225" s="24">
        <f>especies_ativa_codibama[[#This Row],[Código]]</f>
        <v>35065</v>
      </c>
      <c r="G1225" s="40" t="str">
        <f>especies_ativa_codibama[[#This Row],[Nome popular]]</f>
        <v>---</v>
      </c>
      <c r="H1225" s="40" t="str">
        <f>especies_ativa_codibama[[#This Row],[Nome científico]]</f>
        <v>Mollinedia oligantha</v>
      </c>
    </row>
    <row r="1226" spans="1:8" x14ac:dyDescent="0.25">
      <c r="A1226">
        <v>35072</v>
      </c>
      <c r="B1226" t="s">
        <v>106</v>
      </c>
      <c r="C1226" t="s">
        <v>1708</v>
      </c>
      <c r="D1226" t="s">
        <v>38</v>
      </c>
      <c r="E1226">
        <v>33350</v>
      </c>
      <c r="F1226" s="24">
        <f>especies_ativa_codibama[[#This Row],[Código]]</f>
        <v>35072</v>
      </c>
      <c r="G1226" s="40" t="str">
        <f>especies_ativa_codibama[[#This Row],[Nome popular]]</f>
        <v>---</v>
      </c>
      <c r="H1226" s="40" t="str">
        <f>especies_ativa_codibama[[#This Row],[Nome científico]]</f>
        <v>Macropeplus ligustrinus</v>
      </c>
    </row>
    <row r="1227" spans="1:8" x14ac:dyDescent="0.25">
      <c r="A1227">
        <v>35073</v>
      </c>
      <c r="B1227" t="s">
        <v>106</v>
      </c>
      <c r="C1227" t="s">
        <v>1709</v>
      </c>
      <c r="D1227" t="s">
        <v>38</v>
      </c>
      <c r="E1227">
        <v>36105</v>
      </c>
      <c r="F1227" s="24">
        <f>especies_ativa_codibama[[#This Row],[Código]]</f>
        <v>35073</v>
      </c>
      <c r="G1227" s="40" t="str">
        <f>especies_ativa_codibama[[#This Row],[Nome popular]]</f>
        <v>---</v>
      </c>
      <c r="H1227" s="40" t="str">
        <f>especies_ativa_codibama[[#This Row],[Nome científico]]</f>
        <v>Mollinedia widgrenii</v>
      </c>
    </row>
    <row r="1228" spans="1:8" x14ac:dyDescent="0.25">
      <c r="A1228">
        <v>35075</v>
      </c>
      <c r="B1228" t="s">
        <v>106</v>
      </c>
      <c r="C1228" t="s">
        <v>1710</v>
      </c>
      <c r="D1228" t="s">
        <v>79</v>
      </c>
      <c r="E1228">
        <v>33582</v>
      </c>
      <c r="F1228" s="24">
        <f>especies_ativa_codibama[[#This Row],[Código]]</f>
        <v>35075</v>
      </c>
      <c r="G1228" s="40" t="str">
        <f>especies_ativa_codibama[[#This Row],[Nome popular]]</f>
        <v>---</v>
      </c>
      <c r="H1228" s="40" t="str">
        <f>especies_ativa_codibama[[#This Row],[Nome científico]]</f>
        <v>Ficus hirsuta</v>
      </c>
    </row>
    <row r="1229" spans="1:8" x14ac:dyDescent="0.25">
      <c r="A1229">
        <v>35080</v>
      </c>
      <c r="B1229" t="s">
        <v>106</v>
      </c>
      <c r="C1229" t="s">
        <v>1711</v>
      </c>
      <c r="D1229" t="s">
        <v>79</v>
      </c>
      <c r="E1229">
        <v>33370</v>
      </c>
      <c r="F1229" s="24">
        <f>especies_ativa_codibama[[#This Row],[Código]]</f>
        <v>35080</v>
      </c>
      <c r="G1229" s="40" t="str">
        <f>especies_ativa_codibama[[#This Row],[Nome popular]]</f>
        <v>---</v>
      </c>
      <c r="H1229" s="40" t="str">
        <f>especies_ativa_codibama[[#This Row],[Nome científico]]</f>
        <v>Ficus cestrifolia</v>
      </c>
    </row>
    <row r="1230" spans="1:8" x14ac:dyDescent="0.25">
      <c r="A1230">
        <v>35081</v>
      </c>
      <c r="B1230" t="s">
        <v>106</v>
      </c>
      <c r="C1230" t="s">
        <v>1712</v>
      </c>
      <c r="D1230" t="s">
        <v>79</v>
      </c>
      <c r="E1230">
        <v>36420</v>
      </c>
      <c r="F1230" s="24">
        <f>especies_ativa_codibama[[#This Row],[Código]]</f>
        <v>35081</v>
      </c>
      <c r="G1230" s="40" t="str">
        <f>especies_ativa_codibama[[#This Row],[Nome popular]]</f>
        <v>---</v>
      </c>
      <c r="H1230" s="40" t="str">
        <f>especies_ativa_codibama[[#This Row],[Nome científico]]</f>
        <v>Ficus longifolia</v>
      </c>
    </row>
    <row r="1231" spans="1:8" x14ac:dyDescent="0.25">
      <c r="A1231">
        <v>35082</v>
      </c>
      <c r="B1231" t="s">
        <v>106</v>
      </c>
      <c r="C1231" t="s">
        <v>1713</v>
      </c>
      <c r="D1231" t="s">
        <v>79</v>
      </c>
      <c r="E1231">
        <v>32389</v>
      </c>
      <c r="F1231" s="24">
        <f>especies_ativa_codibama[[#This Row],[Código]]</f>
        <v>35082</v>
      </c>
      <c r="G1231" s="40" t="str">
        <f>especies_ativa_codibama[[#This Row],[Nome popular]]</f>
        <v>---</v>
      </c>
      <c r="H1231" s="40" t="str">
        <f>especies_ativa_codibama[[#This Row],[Nome científico]]</f>
        <v>Ficus vermifuga</v>
      </c>
    </row>
    <row r="1232" spans="1:8" x14ac:dyDescent="0.25">
      <c r="A1232">
        <v>35083</v>
      </c>
      <c r="B1232" t="s">
        <v>106</v>
      </c>
      <c r="C1232" t="s">
        <v>1714</v>
      </c>
      <c r="D1232" t="s">
        <v>79</v>
      </c>
      <c r="E1232">
        <v>34224</v>
      </c>
      <c r="F1232" s="24">
        <f>especies_ativa_codibama[[#This Row],[Código]]</f>
        <v>35083</v>
      </c>
      <c r="G1232" s="40" t="str">
        <f>especies_ativa_codibama[[#This Row],[Nome popular]]</f>
        <v>---</v>
      </c>
      <c r="H1232" s="40" t="str">
        <f>especies_ativa_codibama[[#This Row],[Nome científico]]</f>
        <v>Ficus organensis</v>
      </c>
    </row>
    <row r="1233" spans="1:8" x14ac:dyDescent="0.25">
      <c r="A1233">
        <v>35085</v>
      </c>
      <c r="B1233" t="s">
        <v>2697</v>
      </c>
      <c r="C1233" t="s">
        <v>2698</v>
      </c>
      <c r="D1233" t="s">
        <v>2699</v>
      </c>
      <c r="E1233">
        <v>1064565</v>
      </c>
      <c r="F1233" s="24">
        <f>especies_ativa_codibama[[#This Row],[Código]]</f>
        <v>35085</v>
      </c>
      <c r="G1233" s="40" t="str">
        <f>especies_ativa_codibama[[#This Row],[Nome popular]]</f>
        <v>Jaca</v>
      </c>
      <c r="H1233" s="40" t="str">
        <f>especies_ativa_codibama[[#This Row],[Nome científico]]</f>
        <v>Artocarpus heterophyllus</v>
      </c>
    </row>
    <row r="1234" spans="1:8" x14ac:dyDescent="0.25">
      <c r="A1234">
        <v>35086</v>
      </c>
      <c r="B1234" t="s">
        <v>1715</v>
      </c>
      <c r="C1234" t="s">
        <v>1716</v>
      </c>
      <c r="D1234" t="s">
        <v>126</v>
      </c>
      <c r="E1234">
        <v>33995</v>
      </c>
      <c r="F1234" s="24">
        <f>especies_ativa_codibama[[#This Row],[Código]]</f>
        <v>35086</v>
      </c>
      <c r="G1234" s="40" t="str">
        <f>especies_ativa_codibama[[#This Row],[Nome popular]]</f>
        <v>bainha-de-espada</v>
      </c>
      <c r="H1234" s="40" t="str">
        <f>especies_ativa_codibama[[#This Row],[Nome científico]]</f>
        <v>Sorocea guilleminiana</v>
      </c>
    </row>
    <row r="1235" spans="1:8" x14ac:dyDescent="0.25">
      <c r="A1235">
        <v>35087</v>
      </c>
      <c r="B1235" t="s">
        <v>1717</v>
      </c>
      <c r="C1235" t="s">
        <v>1718</v>
      </c>
      <c r="D1235" t="s">
        <v>126</v>
      </c>
      <c r="E1235">
        <v>34731</v>
      </c>
      <c r="F1235" s="24">
        <f>especies_ativa_codibama[[#This Row],[Código]]</f>
        <v>35087</v>
      </c>
      <c r="G1235" s="40" t="str">
        <f>especies_ativa_codibama[[#This Row],[Nome popular]]</f>
        <v>inharé, manitê, manixí, mururé, leiteira, muiratinga</v>
      </c>
      <c r="H1235" s="40" t="str">
        <f>especies_ativa_codibama[[#This Row],[Nome científico]]</f>
        <v>Brosimum lactescens</v>
      </c>
    </row>
    <row r="1236" spans="1:8" x14ac:dyDescent="0.25">
      <c r="A1236">
        <v>35088</v>
      </c>
      <c r="B1236" t="s">
        <v>1719</v>
      </c>
      <c r="C1236" t="s">
        <v>1720</v>
      </c>
      <c r="D1236" t="s">
        <v>126</v>
      </c>
      <c r="E1236">
        <v>31762</v>
      </c>
      <c r="F1236" s="24">
        <f>especies_ativa_codibama[[#This Row],[Código]]</f>
        <v>35088</v>
      </c>
      <c r="G1236" s="40" t="str">
        <f>especies_ativa_codibama[[#This Row],[Nome popular]]</f>
        <v>inharé, pama, pama branca, pama caucho, inharé-folha-peluda, inharé-paina</v>
      </c>
      <c r="H1236" s="40" t="str">
        <f>especies_ativa_codibama[[#This Row],[Nome científico]]</f>
        <v>Helicostylis tomentosa</v>
      </c>
    </row>
    <row r="1237" spans="1:8" x14ac:dyDescent="0.25">
      <c r="A1237">
        <v>35091</v>
      </c>
      <c r="B1237" t="s">
        <v>106</v>
      </c>
      <c r="C1237" t="s">
        <v>1721</v>
      </c>
      <c r="D1237" t="s">
        <v>126</v>
      </c>
      <c r="E1237">
        <v>32382</v>
      </c>
      <c r="F1237" s="24">
        <f>especies_ativa_codibama[[#This Row],[Código]]</f>
        <v>35091</v>
      </c>
      <c r="G1237" s="40" t="str">
        <f>especies_ativa_codibama[[#This Row],[Nome popular]]</f>
        <v>---</v>
      </c>
      <c r="H1237" s="40" t="str">
        <f>especies_ativa_codibama[[#This Row],[Nome científico]]</f>
        <v>Ficus castellviana</v>
      </c>
    </row>
    <row r="1238" spans="1:8" x14ac:dyDescent="0.25">
      <c r="A1238">
        <v>35093</v>
      </c>
      <c r="B1238" t="s">
        <v>106</v>
      </c>
      <c r="C1238" t="s">
        <v>1722</v>
      </c>
      <c r="D1238" t="s">
        <v>126</v>
      </c>
      <c r="E1238">
        <v>32385</v>
      </c>
      <c r="F1238" s="24">
        <f>especies_ativa_codibama[[#This Row],[Código]]</f>
        <v>35093</v>
      </c>
      <c r="G1238" s="40" t="str">
        <f>especies_ativa_codibama[[#This Row],[Nome popular]]</f>
        <v>---</v>
      </c>
      <c r="H1238" s="40" t="str">
        <f>especies_ativa_codibama[[#This Row],[Nome científico]]</f>
        <v>Ficus luschnathiana</v>
      </c>
    </row>
    <row r="1239" spans="1:8" x14ac:dyDescent="0.25">
      <c r="A1239">
        <v>35094</v>
      </c>
      <c r="B1239" t="s">
        <v>106</v>
      </c>
      <c r="C1239" t="s">
        <v>1723</v>
      </c>
      <c r="D1239" t="s">
        <v>126</v>
      </c>
      <c r="E1239">
        <v>34223</v>
      </c>
      <c r="F1239" s="24">
        <f>especies_ativa_codibama[[#This Row],[Código]]</f>
        <v>35094</v>
      </c>
      <c r="G1239" s="40" t="str">
        <f>especies_ativa_codibama[[#This Row],[Nome popular]]</f>
        <v>---</v>
      </c>
      <c r="H1239" s="40" t="str">
        <f>especies_ativa_codibama[[#This Row],[Nome científico]]</f>
        <v>Ficus broadwayi</v>
      </c>
    </row>
    <row r="1240" spans="1:8" x14ac:dyDescent="0.25">
      <c r="A1240">
        <v>35096</v>
      </c>
      <c r="B1240" t="s">
        <v>106</v>
      </c>
      <c r="C1240" t="s">
        <v>1724</v>
      </c>
      <c r="D1240" t="s">
        <v>126</v>
      </c>
      <c r="E1240">
        <v>32383</v>
      </c>
      <c r="F1240" s="24">
        <f>especies_ativa_codibama[[#This Row],[Código]]</f>
        <v>35096</v>
      </c>
      <c r="G1240" s="40" t="str">
        <f>especies_ativa_codibama[[#This Row],[Nome popular]]</f>
        <v>---</v>
      </c>
      <c r="H1240" s="40" t="str">
        <f>especies_ativa_codibama[[#This Row],[Nome científico]]</f>
        <v>Ficus eximia</v>
      </c>
    </row>
    <row r="1241" spans="1:8" x14ac:dyDescent="0.25">
      <c r="A1241">
        <v>35098</v>
      </c>
      <c r="B1241" t="s">
        <v>106</v>
      </c>
      <c r="C1241" t="s">
        <v>1725</v>
      </c>
      <c r="D1241" t="s">
        <v>126</v>
      </c>
      <c r="E1241">
        <v>33580</v>
      </c>
      <c r="F1241" s="24">
        <f>especies_ativa_codibama[[#This Row],[Código]]</f>
        <v>35098</v>
      </c>
      <c r="G1241" s="40" t="str">
        <f>especies_ativa_codibama[[#This Row],[Nome popular]]</f>
        <v>---</v>
      </c>
      <c r="H1241" s="40" t="str">
        <f>especies_ativa_codibama[[#This Row],[Nome científico]]</f>
        <v>Ficus catappifolia</v>
      </c>
    </row>
    <row r="1242" spans="1:8" x14ac:dyDescent="0.25">
      <c r="A1242">
        <v>35099</v>
      </c>
      <c r="B1242" t="s">
        <v>106</v>
      </c>
      <c r="C1242" t="s">
        <v>1726</v>
      </c>
      <c r="D1242" t="s">
        <v>126</v>
      </c>
      <c r="E1242">
        <v>34844</v>
      </c>
      <c r="F1242" s="24">
        <f>especies_ativa_codibama[[#This Row],[Código]]</f>
        <v>35099</v>
      </c>
      <c r="G1242" s="40" t="str">
        <f>especies_ativa_codibama[[#This Row],[Nome popular]]</f>
        <v>---</v>
      </c>
      <c r="H1242" s="40" t="str">
        <f>especies_ativa_codibama[[#This Row],[Nome científico]]</f>
        <v>Ficus pakkensis</v>
      </c>
    </row>
    <row r="1243" spans="1:8" x14ac:dyDescent="0.25">
      <c r="A1243">
        <v>35100</v>
      </c>
      <c r="B1243" t="s">
        <v>106</v>
      </c>
      <c r="C1243" t="s">
        <v>1727</v>
      </c>
      <c r="D1243" t="s">
        <v>126</v>
      </c>
      <c r="E1243">
        <v>33583</v>
      </c>
      <c r="F1243" s="24">
        <f>especies_ativa_codibama[[#This Row],[Código]]</f>
        <v>35100</v>
      </c>
      <c r="G1243" s="40" t="str">
        <f>especies_ativa_codibama[[#This Row],[Nome popular]]</f>
        <v>---</v>
      </c>
      <c r="H1243" s="40" t="str">
        <f>especies_ativa_codibama[[#This Row],[Nome científico]]</f>
        <v>Ficus pulchella</v>
      </c>
    </row>
    <row r="1244" spans="1:8" x14ac:dyDescent="0.25">
      <c r="A1244">
        <v>35102</v>
      </c>
      <c r="B1244" t="s">
        <v>106</v>
      </c>
      <c r="C1244" t="s">
        <v>1728</v>
      </c>
      <c r="D1244" t="s">
        <v>126</v>
      </c>
      <c r="E1244">
        <v>36442</v>
      </c>
      <c r="F1244" s="24">
        <f>especies_ativa_codibama[[#This Row],[Código]]</f>
        <v>35102</v>
      </c>
      <c r="G1244" s="40" t="str">
        <f>especies_ativa_codibama[[#This Row],[Nome popular]]</f>
        <v>---</v>
      </c>
      <c r="H1244" s="40" t="str">
        <f>especies_ativa_codibama[[#This Row],[Nome científico]]</f>
        <v>Ficus mexiae</v>
      </c>
    </row>
    <row r="1245" spans="1:8" x14ac:dyDescent="0.25">
      <c r="A1245">
        <v>35103</v>
      </c>
      <c r="B1245" t="s">
        <v>106</v>
      </c>
      <c r="C1245" t="s">
        <v>1729</v>
      </c>
      <c r="D1245" t="s">
        <v>126</v>
      </c>
      <c r="E1245">
        <v>36011</v>
      </c>
      <c r="F1245" s="24">
        <f>especies_ativa_codibama[[#This Row],[Código]]</f>
        <v>35103</v>
      </c>
      <c r="G1245" s="40" t="str">
        <f>especies_ativa_codibama[[#This Row],[Nome popular]]</f>
        <v>---</v>
      </c>
      <c r="H1245" s="40" t="str">
        <f>especies_ativa_codibama[[#This Row],[Nome científico]]</f>
        <v>Ficus calyptroceras</v>
      </c>
    </row>
    <row r="1246" spans="1:8" x14ac:dyDescent="0.25">
      <c r="A1246">
        <v>35104</v>
      </c>
      <c r="B1246" t="s">
        <v>1730</v>
      </c>
      <c r="C1246" t="s">
        <v>1731</v>
      </c>
      <c r="D1246" t="s">
        <v>38</v>
      </c>
      <c r="E1246">
        <v>33493</v>
      </c>
      <c r="F1246" s="24">
        <f>especies_ativa_codibama[[#This Row],[Código]]</f>
        <v>35104</v>
      </c>
      <c r="G1246" s="40" t="str">
        <f>especies_ativa_codibama[[#This Row],[Nome popular]]</f>
        <v>amapá, guariúba-da-folha-miúda</v>
      </c>
      <c r="H1246" s="40" t="str">
        <f>especies_ativa_codibama[[#This Row],[Nome científico]]</f>
        <v>Brosimum potabile</v>
      </c>
    </row>
    <row r="1247" spans="1:8" x14ac:dyDescent="0.25">
      <c r="A1247">
        <v>35105</v>
      </c>
      <c r="B1247" t="s">
        <v>1732</v>
      </c>
      <c r="C1247" t="s">
        <v>1733</v>
      </c>
      <c r="D1247" t="s">
        <v>38</v>
      </c>
      <c r="E1247">
        <v>32255</v>
      </c>
      <c r="F1247" s="24">
        <f>especies_ativa_codibama[[#This Row],[Código]]</f>
        <v>35105</v>
      </c>
      <c r="G1247" s="40" t="str">
        <f>especies_ativa_codibama[[#This Row],[Nome popular]]</f>
        <v>amapá-doce</v>
      </c>
      <c r="H1247" s="40" t="str">
        <f>especies_ativa_codibama[[#This Row],[Nome científico]]</f>
        <v>Brosimum parinarioides</v>
      </c>
    </row>
    <row r="1248" spans="1:8" x14ac:dyDescent="0.25">
      <c r="A1248">
        <v>35106</v>
      </c>
      <c r="B1248" t="s">
        <v>1734</v>
      </c>
      <c r="C1248" t="s">
        <v>1735</v>
      </c>
      <c r="D1248" t="s">
        <v>38</v>
      </c>
      <c r="E1248">
        <v>35146</v>
      </c>
      <c r="F1248" s="24">
        <f>especies_ativa_codibama[[#This Row],[Código]]</f>
        <v>35106</v>
      </c>
      <c r="G1248" s="40" t="str">
        <f>especies_ativa_codibama[[#This Row],[Nome popular]]</f>
        <v>apui</v>
      </c>
      <c r="H1248" s="40" t="str">
        <f>especies_ativa_codibama[[#This Row],[Nome científico]]</f>
        <v>Ficus donnell-smithii</v>
      </c>
    </row>
    <row r="1249" spans="1:8" x14ac:dyDescent="0.25">
      <c r="A1249">
        <v>35107</v>
      </c>
      <c r="B1249" t="s">
        <v>1736</v>
      </c>
      <c r="C1249" t="s">
        <v>1737</v>
      </c>
      <c r="D1249" t="s">
        <v>38</v>
      </c>
      <c r="E1249">
        <v>32998</v>
      </c>
      <c r="F1249" s="24">
        <f>especies_ativa_codibama[[#This Row],[Código]]</f>
        <v>35107</v>
      </c>
      <c r="G1249" s="40" t="str">
        <f>especies_ativa_codibama[[#This Row],[Nome popular]]</f>
        <v>apuí</v>
      </c>
      <c r="H1249" s="40" t="str">
        <f>especies_ativa_codibama[[#This Row],[Nome científico]]</f>
        <v>Ficus nymphaeifolia</v>
      </c>
    </row>
    <row r="1250" spans="1:8" x14ac:dyDescent="0.25">
      <c r="A1250">
        <v>35108</v>
      </c>
      <c r="B1250" t="s">
        <v>1736</v>
      </c>
      <c r="C1250" t="s">
        <v>1738</v>
      </c>
      <c r="D1250" t="s">
        <v>38</v>
      </c>
      <c r="E1250">
        <v>32387</v>
      </c>
      <c r="F1250" s="24">
        <f>especies_ativa_codibama[[#This Row],[Código]]</f>
        <v>35108</v>
      </c>
      <c r="G1250" s="40" t="str">
        <f>especies_ativa_codibama[[#This Row],[Nome popular]]</f>
        <v>apuí</v>
      </c>
      <c r="H1250" s="40" t="str">
        <f>especies_ativa_codibama[[#This Row],[Nome científico]]</f>
        <v>Ficus obtusifolia</v>
      </c>
    </row>
    <row r="1251" spans="1:8" x14ac:dyDescent="0.25">
      <c r="A1251">
        <v>35109</v>
      </c>
      <c r="B1251" t="s">
        <v>1736</v>
      </c>
      <c r="C1251" t="s">
        <v>1739</v>
      </c>
      <c r="D1251" t="s">
        <v>38</v>
      </c>
      <c r="E1251">
        <v>32999</v>
      </c>
      <c r="F1251" s="24">
        <f>especies_ativa_codibama[[#This Row],[Código]]</f>
        <v>35109</v>
      </c>
      <c r="G1251" s="40" t="str">
        <f>especies_ativa_codibama[[#This Row],[Nome popular]]</f>
        <v>apuí</v>
      </c>
      <c r="H1251" s="40" t="str">
        <f>especies_ativa_codibama[[#This Row],[Nome científico]]</f>
        <v>Ficus pertusa</v>
      </c>
    </row>
    <row r="1252" spans="1:8" x14ac:dyDescent="0.25">
      <c r="A1252">
        <v>35111</v>
      </c>
      <c r="B1252" t="s">
        <v>1740</v>
      </c>
      <c r="C1252" t="s">
        <v>1741</v>
      </c>
      <c r="D1252" t="s">
        <v>38</v>
      </c>
      <c r="E1252">
        <v>34842</v>
      </c>
      <c r="F1252" s="24">
        <f>especies_ativa_codibama[[#This Row],[Código]]</f>
        <v>35111</v>
      </c>
      <c r="G1252" s="40" t="str">
        <f>especies_ativa_codibama[[#This Row],[Nome popular]]</f>
        <v>apuí preto</v>
      </c>
      <c r="H1252" s="40" t="str">
        <f>especies_ativa_codibama[[#This Row],[Nome científico]]</f>
        <v>Ficus gomelleira</v>
      </c>
    </row>
    <row r="1253" spans="1:8" x14ac:dyDescent="0.25">
      <c r="A1253">
        <v>35112</v>
      </c>
      <c r="B1253" t="s">
        <v>1742</v>
      </c>
      <c r="C1253" t="s">
        <v>1743</v>
      </c>
      <c r="D1253" t="s">
        <v>38</v>
      </c>
      <c r="E1253">
        <v>34225</v>
      </c>
      <c r="F1253" s="24">
        <f>especies_ativa_codibama[[#This Row],[Código]]</f>
        <v>35112</v>
      </c>
      <c r="G1253" s="40" t="str">
        <f>especies_ativa_codibama[[#This Row],[Nome popular]]</f>
        <v>apuí, apuí amarelo, apuí branco, apuí de formiga</v>
      </c>
      <c r="H1253" s="40" t="str">
        <f>especies_ativa_codibama[[#This Row],[Nome científico]]</f>
        <v>Ficus paraensis</v>
      </c>
    </row>
    <row r="1254" spans="1:8" x14ac:dyDescent="0.25">
      <c r="A1254">
        <v>35113</v>
      </c>
      <c r="B1254" t="s">
        <v>1744</v>
      </c>
      <c r="C1254" t="s">
        <v>1745</v>
      </c>
      <c r="D1254" t="s">
        <v>38</v>
      </c>
      <c r="E1254">
        <v>31746</v>
      </c>
      <c r="F1254" s="24">
        <f>especies_ativa_codibama[[#This Row],[Código]]</f>
        <v>35113</v>
      </c>
      <c r="G1254" s="40" t="str">
        <f>especies_ativa_codibama[[#This Row],[Nome popular]]</f>
        <v>apuí, apuí amarelo, apuí preto</v>
      </c>
      <c r="H1254" s="40" t="str">
        <f>especies_ativa_codibama[[#This Row],[Nome científico]]</f>
        <v>Ficus trigona</v>
      </c>
    </row>
    <row r="1255" spans="1:8" x14ac:dyDescent="0.25">
      <c r="A1255">
        <v>35114</v>
      </c>
      <c r="B1255" t="s">
        <v>1746</v>
      </c>
      <c r="C1255" t="s">
        <v>1747</v>
      </c>
      <c r="D1255" t="s">
        <v>38</v>
      </c>
      <c r="E1255">
        <v>32386</v>
      </c>
      <c r="F1255" s="24">
        <f>especies_ativa_codibama[[#This Row],[Código]]</f>
        <v>35114</v>
      </c>
      <c r="G1255" s="40" t="str">
        <f>especies_ativa_codibama[[#This Row],[Nome popular]]</f>
        <v>apuí, caxinguba, caxinguba do igapó, gameleira, ofé</v>
      </c>
      <c r="H1255" s="40" t="str">
        <f>especies_ativa_codibama[[#This Row],[Nome científico]]</f>
        <v>Ficus maxima</v>
      </c>
    </row>
    <row r="1256" spans="1:8" x14ac:dyDescent="0.25">
      <c r="A1256">
        <v>35116</v>
      </c>
      <c r="B1256" t="s">
        <v>1748</v>
      </c>
      <c r="C1256" t="s">
        <v>1749</v>
      </c>
      <c r="D1256" t="s">
        <v>38</v>
      </c>
      <c r="E1256">
        <v>35925</v>
      </c>
      <c r="F1256" s="24">
        <f>especies_ativa_codibama[[#This Row],[Código]]</f>
        <v>35116</v>
      </c>
      <c r="G1256" s="40" t="str">
        <f>especies_ativa_codibama[[#This Row],[Nome popular]]</f>
        <v>caucho</v>
      </c>
      <c r="H1256" s="40" t="str">
        <f>especies_ativa_codibama[[#This Row],[Nome científico]]</f>
        <v>Castilla ulei</v>
      </c>
    </row>
    <row r="1257" spans="1:8" x14ac:dyDescent="0.25">
      <c r="A1257">
        <v>35117</v>
      </c>
      <c r="B1257" t="s">
        <v>1750</v>
      </c>
      <c r="C1257" t="s">
        <v>1751</v>
      </c>
      <c r="D1257" t="s">
        <v>38</v>
      </c>
      <c r="E1257">
        <v>33067</v>
      </c>
      <c r="F1257" s="24">
        <f>especies_ativa_codibama[[#This Row],[Código]]</f>
        <v>35117</v>
      </c>
      <c r="G1257" s="40" t="str">
        <f>especies_ativa_codibama[[#This Row],[Nome popular]]</f>
        <v>envireira</v>
      </c>
      <c r="H1257" s="40" t="str">
        <f>especies_ativa_codibama[[#This Row],[Nome científico]]</f>
        <v>Maquira coriacea</v>
      </c>
    </row>
    <row r="1258" spans="1:8" x14ac:dyDescent="0.25">
      <c r="A1258">
        <v>35118</v>
      </c>
      <c r="B1258" t="s">
        <v>1752</v>
      </c>
      <c r="C1258" t="s">
        <v>1753</v>
      </c>
      <c r="D1258" t="s">
        <v>38</v>
      </c>
      <c r="E1258">
        <v>2005035</v>
      </c>
      <c r="F1258" s="24">
        <f>especies_ativa_codibama[[#This Row],[Código]]</f>
        <v>35118</v>
      </c>
      <c r="G1258" s="40" t="str">
        <f>especies_ativa_codibama[[#This Row],[Nome popular]]</f>
        <v>folha-de-serra</v>
      </c>
      <c r="H1258" s="40" t="str">
        <f>especies_ativa_codibama[[#This Row],[Nome científico]]</f>
        <v>Clarisia ilicifolia</v>
      </c>
    </row>
    <row r="1259" spans="1:8" x14ac:dyDescent="0.25">
      <c r="A1259">
        <v>35119</v>
      </c>
      <c r="B1259" t="s">
        <v>1754</v>
      </c>
      <c r="C1259" t="s">
        <v>1755</v>
      </c>
      <c r="D1259" t="s">
        <v>38</v>
      </c>
      <c r="E1259">
        <v>32878</v>
      </c>
      <c r="F1259" s="24">
        <f>especies_ativa_codibama[[#This Row],[Código]]</f>
        <v>35119</v>
      </c>
      <c r="G1259" s="40" t="str">
        <f>especies_ativa_codibama[[#This Row],[Nome popular]]</f>
        <v>fruta-pão</v>
      </c>
      <c r="H1259" s="40" t="str">
        <f>especies_ativa_codibama[[#This Row],[Nome científico]]</f>
        <v>Artocarpus altilis</v>
      </c>
    </row>
    <row r="1260" spans="1:8" x14ac:dyDescent="0.25">
      <c r="A1260">
        <v>35121</v>
      </c>
      <c r="B1260" t="s">
        <v>1756</v>
      </c>
      <c r="C1260" t="s">
        <v>1757</v>
      </c>
      <c r="D1260" t="s">
        <v>38</v>
      </c>
      <c r="E1260">
        <v>35307</v>
      </c>
      <c r="F1260" s="24">
        <f>especies_ativa_codibama[[#This Row],[Código]]</f>
        <v>35121</v>
      </c>
      <c r="G1260" s="40" t="str">
        <f>especies_ativa_codibama[[#This Row],[Nome popular]]</f>
        <v>garrote, pau-rainha</v>
      </c>
      <c r="H1260" s="40" t="str">
        <f>especies_ativa_codibama[[#This Row],[Nome científico]]</f>
        <v>Brosimum rubescens</v>
      </c>
    </row>
    <row r="1261" spans="1:8" x14ac:dyDescent="0.25">
      <c r="A1261">
        <v>35122</v>
      </c>
      <c r="B1261" t="s">
        <v>1758</v>
      </c>
      <c r="C1261" t="s">
        <v>1759</v>
      </c>
      <c r="D1261" t="s">
        <v>38</v>
      </c>
      <c r="E1261">
        <v>2004663</v>
      </c>
      <c r="F1261" s="24">
        <f>especies_ativa_codibama[[#This Row],[Código]]</f>
        <v>35122</v>
      </c>
      <c r="G1261" s="40" t="str">
        <f>especies_ativa_codibama[[#This Row],[Nome popular]]</f>
        <v>guariúba branca, mururé</v>
      </c>
      <c r="H1261" s="40" t="str">
        <f>especies_ativa_codibama[[#This Row],[Nome científico]]</f>
        <v>Batocarpus amazonicus</v>
      </c>
    </row>
    <row r="1262" spans="1:8" x14ac:dyDescent="0.25">
      <c r="A1262">
        <v>35124</v>
      </c>
      <c r="B1262" t="s">
        <v>1760</v>
      </c>
      <c r="C1262" t="s">
        <v>1761</v>
      </c>
      <c r="D1262" t="s">
        <v>38</v>
      </c>
      <c r="E1262">
        <v>35897</v>
      </c>
      <c r="F1262" s="24">
        <f>especies_ativa_codibama[[#This Row],[Código]]</f>
        <v>35124</v>
      </c>
      <c r="G1262" s="40" t="str">
        <f>especies_ativa_codibama[[#This Row],[Nome popular]]</f>
        <v>inharé mole, Pau-rainha-roxo</v>
      </c>
      <c r="H1262" s="40" t="str">
        <f>especies_ativa_codibama[[#This Row],[Nome científico]]</f>
        <v>Brosimum guianense</v>
      </c>
    </row>
    <row r="1263" spans="1:8" x14ac:dyDescent="0.25">
      <c r="A1263">
        <v>35126</v>
      </c>
      <c r="B1263" t="s">
        <v>1762</v>
      </c>
      <c r="C1263" t="s">
        <v>1763</v>
      </c>
      <c r="D1263" t="s">
        <v>38</v>
      </c>
      <c r="E1263">
        <v>32256</v>
      </c>
      <c r="F1263" s="24">
        <f>especies_ativa_codibama[[#This Row],[Código]]</f>
        <v>35126</v>
      </c>
      <c r="G1263" s="40" t="str">
        <f>especies_ativa_codibama[[#This Row],[Nome popular]]</f>
        <v>leiteira</v>
      </c>
      <c r="H1263" s="40" t="str">
        <f>especies_ativa_codibama[[#This Row],[Nome científico]]</f>
        <v>Brosimum utile</v>
      </c>
    </row>
    <row r="1264" spans="1:8" x14ac:dyDescent="0.25">
      <c r="A1264">
        <v>35127</v>
      </c>
      <c r="B1264" t="s">
        <v>1764</v>
      </c>
      <c r="C1264" t="s">
        <v>1765</v>
      </c>
      <c r="D1264" t="s">
        <v>38</v>
      </c>
      <c r="E1264">
        <v>35306</v>
      </c>
      <c r="F1264" s="24">
        <f>especies_ativa_codibama[[#This Row],[Código]]</f>
        <v>35127</v>
      </c>
      <c r="G1264" s="40" t="str">
        <f>especies_ativa_codibama[[#This Row],[Nome popular]]</f>
        <v>Mama-cadela, Mamica-de-cadela, Conduru</v>
      </c>
      <c r="H1264" s="40" t="str">
        <f>especies_ativa_codibama[[#This Row],[Nome científico]]</f>
        <v>Brosimum gaudichaudii</v>
      </c>
    </row>
    <row r="1265" spans="1:8" x14ac:dyDescent="0.25">
      <c r="A1265">
        <v>35129</v>
      </c>
      <c r="B1265" t="s">
        <v>1766</v>
      </c>
      <c r="C1265" t="s">
        <v>1767</v>
      </c>
      <c r="D1265" t="s">
        <v>38</v>
      </c>
      <c r="E1265">
        <v>36090</v>
      </c>
      <c r="F1265" s="24">
        <f>especies_ativa_codibama[[#This Row],[Código]]</f>
        <v>35129</v>
      </c>
      <c r="G1265" s="40" t="str">
        <f>especies_ativa_codibama[[#This Row],[Nome popular]]</f>
        <v>Muiratinga, Pau-tanino</v>
      </c>
      <c r="H1265" s="40" t="str">
        <f>especies_ativa_codibama[[#This Row],[Nome científico]]</f>
        <v>Maquira sclerophylla</v>
      </c>
    </row>
    <row r="1266" spans="1:8" x14ac:dyDescent="0.25">
      <c r="A1266">
        <v>35130</v>
      </c>
      <c r="B1266" t="s">
        <v>1768</v>
      </c>
      <c r="C1266" t="s">
        <v>1769</v>
      </c>
      <c r="D1266" t="s">
        <v>38</v>
      </c>
      <c r="E1266">
        <v>34900</v>
      </c>
      <c r="F1266" s="24">
        <f>especies_ativa_codibama[[#This Row],[Código]]</f>
        <v>35130</v>
      </c>
      <c r="G1266" s="40" t="str">
        <f>especies_ativa_codibama[[#This Row],[Nome popular]]</f>
        <v>Muiratinga-da-folha-miúda</v>
      </c>
      <c r="H1266" s="40" t="str">
        <f>especies_ativa_codibama[[#This Row],[Nome científico]]</f>
        <v>Maquira guianensis</v>
      </c>
    </row>
    <row r="1267" spans="1:8" x14ac:dyDescent="0.25">
      <c r="A1267">
        <v>35131</v>
      </c>
      <c r="B1267" t="s">
        <v>1770</v>
      </c>
      <c r="C1267" t="s">
        <v>1771</v>
      </c>
      <c r="D1267" t="s">
        <v>38</v>
      </c>
      <c r="E1267">
        <v>1320849</v>
      </c>
      <c r="F1267" s="24">
        <f>especies_ativa_codibama[[#This Row],[Código]]</f>
        <v>35131</v>
      </c>
      <c r="G1267" s="40" t="str">
        <f>especies_ativa_codibama[[#This Row],[Nome popular]]</f>
        <v>pama, pama amarela, pama caucho, pama ferro, pama peque, pama preta, Inharé da folha miúda, Muiratinga</v>
      </c>
      <c r="H1267" s="40" t="str">
        <f>especies_ativa_codibama[[#This Row],[Nome científico]]</f>
        <v>Pseudolmedia laevis</v>
      </c>
    </row>
    <row r="1268" spans="1:8" x14ac:dyDescent="0.25">
      <c r="A1268">
        <v>35134</v>
      </c>
      <c r="B1268" t="s">
        <v>1772</v>
      </c>
      <c r="C1268" t="s">
        <v>1773</v>
      </c>
      <c r="D1268" t="s">
        <v>38</v>
      </c>
      <c r="E1268">
        <v>31957</v>
      </c>
      <c r="F1268" s="24">
        <f>especies_ativa_codibama[[#This Row],[Código]]</f>
        <v>35134</v>
      </c>
      <c r="G1268" s="40" t="str">
        <f>especies_ativa_codibama[[#This Row],[Nome popular]]</f>
        <v>Sorocaba, Soroco</v>
      </c>
      <c r="H1268" s="40" t="str">
        <f>especies_ativa_codibama[[#This Row],[Nome científico]]</f>
        <v>Sorocea bonplandii</v>
      </c>
    </row>
    <row r="1269" spans="1:8" x14ac:dyDescent="0.25">
      <c r="A1269">
        <v>35136</v>
      </c>
      <c r="B1269" t="s">
        <v>1774</v>
      </c>
      <c r="C1269" t="s">
        <v>1775</v>
      </c>
      <c r="D1269" t="s">
        <v>38</v>
      </c>
      <c r="E1269">
        <v>34895</v>
      </c>
      <c r="F1269" s="24">
        <f>especies_ativa_codibama[[#This Row],[Código]]</f>
        <v>35136</v>
      </c>
      <c r="G1269" s="40" t="str">
        <f>especies_ativa_codibama[[#This Row],[Nome popular]]</f>
        <v>Tatajuba</v>
      </c>
      <c r="H1269" s="40" t="str">
        <f>especies_ativa_codibama[[#This Row],[Nome científico]]</f>
        <v>Maclura tinctoria</v>
      </c>
    </row>
    <row r="1270" spans="1:8" x14ac:dyDescent="0.25">
      <c r="A1270">
        <v>35139</v>
      </c>
      <c r="B1270" t="s">
        <v>106</v>
      </c>
      <c r="C1270" t="s">
        <v>1776</v>
      </c>
      <c r="D1270" t="s">
        <v>38</v>
      </c>
      <c r="E1270">
        <v>32996</v>
      </c>
      <c r="F1270" s="24">
        <f>especies_ativa_codibama[[#This Row],[Código]]</f>
        <v>35139</v>
      </c>
      <c r="G1270" s="40" t="str">
        <f>especies_ativa_codibama[[#This Row],[Nome popular]]</f>
        <v>---</v>
      </c>
      <c r="H1270" s="40" t="str">
        <f>especies_ativa_codibama[[#This Row],[Nome científico]]</f>
        <v>Ficus enormis</v>
      </c>
    </row>
    <row r="1271" spans="1:8" x14ac:dyDescent="0.25">
      <c r="A1271">
        <v>35140</v>
      </c>
      <c r="B1271" t="s">
        <v>106</v>
      </c>
      <c r="C1271" t="s">
        <v>1777</v>
      </c>
      <c r="D1271" t="s">
        <v>38</v>
      </c>
      <c r="E1271">
        <v>1986317</v>
      </c>
      <c r="F1271" s="24">
        <f>especies_ativa_codibama[[#This Row],[Código]]</f>
        <v>35140</v>
      </c>
      <c r="G1271" s="40" t="str">
        <f>especies_ativa_codibama[[#This Row],[Nome popular]]</f>
        <v>---</v>
      </c>
      <c r="H1271" s="40" t="str">
        <f>especies_ativa_codibama[[#This Row],[Nome científico]]</f>
        <v>Ficus bahiensis</v>
      </c>
    </row>
    <row r="1272" spans="1:8" x14ac:dyDescent="0.25">
      <c r="A1272">
        <v>35141</v>
      </c>
      <c r="B1272" t="s">
        <v>106</v>
      </c>
      <c r="C1272" t="s">
        <v>1778</v>
      </c>
      <c r="D1272" t="s">
        <v>38</v>
      </c>
      <c r="E1272">
        <v>33785</v>
      </c>
      <c r="F1272" s="24">
        <f>especies_ativa_codibama[[#This Row],[Código]]</f>
        <v>35141</v>
      </c>
      <c r="G1272" s="40" t="str">
        <f>especies_ativa_codibama[[#This Row],[Nome popular]]</f>
        <v>---</v>
      </c>
      <c r="H1272" s="40" t="str">
        <f>especies_ativa_codibama[[#This Row],[Nome científico]]</f>
        <v>Sorocea hilarii</v>
      </c>
    </row>
    <row r="1273" spans="1:8" x14ac:dyDescent="0.25">
      <c r="A1273">
        <v>35145</v>
      </c>
      <c r="B1273" t="s">
        <v>106</v>
      </c>
      <c r="C1273" t="s">
        <v>1779</v>
      </c>
      <c r="D1273" t="s">
        <v>38</v>
      </c>
      <c r="E1273">
        <v>31836</v>
      </c>
      <c r="F1273" s="24">
        <f>especies_ativa_codibama[[#This Row],[Código]]</f>
        <v>35145</v>
      </c>
      <c r="G1273" s="40" t="str">
        <f>especies_ativa_codibama[[#This Row],[Nome popular]]</f>
        <v>---</v>
      </c>
      <c r="H1273" s="40" t="str">
        <f>especies_ativa_codibama[[#This Row],[Nome científico]]</f>
        <v>Morus alba</v>
      </c>
    </row>
    <row r="1274" spans="1:8" x14ac:dyDescent="0.25">
      <c r="A1274">
        <v>35147</v>
      </c>
      <c r="B1274" t="s">
        <v>106</v>
      </c>
      <c r="C1274" t="s">
        <v>1780</v>
      </c>
      <c r="D1274" t="s">
        <v>38</v>
      </c>
      <c r="E1274">
        <v>32253</v>
      </c>
      <c r="F1274" s="24">
        <f>especies_ativa_codibama[[#This Row],[Código]]</f>
        <v>35147</v>
      </c>
      <c r="G1274" s="40" t="str">
        <f>especies_ativa_codibama[[#This Row],[Nome popular]]</f>
        <v>---</v>
      </c>
      <c r="H1274" s="40" t="str">
        <f>especies_ativa_codibama[[#This Row],[Nome científico]]</f>
        <v>Brosimum acutifolium</v>
      </c>
    </row>
    <row r="1275" spans="1:8" x14ac:dyDescent="0.25">
      <c r="A1275">
        <v>35151</v>
      </c>
      <c r="B1275" t="s">
        <v>106</v>
      </c>
      <c r="C1275" t="s">
        <v>1781</v>
      </c>
      <c r="D1275" t="s">
        <v>38</v>
      </c>
      <c r="E1275">
        <v>36010</v>
      </c>
      <c r="F1275" s="24">
        <f>especies_ativa_codibama[[#This Row],[Código]]</f>
        <v>35151</v>
      </c>
      <c r="G1275" s="40" t="str">
        <f>especies_ativa_codibama[[#This Row],[Nome popular]]</f>
        <v>---</v>
      </c>
      <c r="H1275" s="40" t="str">
        <f>especies_ativa_codibama[[#This Row],[Nome científico]]</f>
        <v>Ficus caballina</v>
      </c>
    </row>
    <row r="1276" spans="1:8" x14ac:dyDescent="0.25">
      <c r="A1276">
        <v>35157</v>
      </c>
      <c r="B1276" t="s">
        <v>106</v>
      </c>
      <c r="C1276" t="s">
        <v>1782</v>
      </c>
      <c r="D1276" t="s">
        <v>38</v>
      </c>
      <c r="E1276">
        <v>31847</v>
      </c>
      <c r="F1276" s="24">
        <f>especies_ativa_codibama[[#This Row],[Código]]</f>
        <v>35157</v>
      </c>
      <c r="G1276" s="40" t="str">
        <f>especies_ativa_codibama[[#This Row],[Nome popular]]</f>
        <v>---</v>
      </c>
      <c r="H1276" s="40" t="str">
        <f>especies_ativa_codibama[[#This Row],[Nome científico]]</f>
        <v>Naucleopsis macrophylla</v>
      </c>
    </row>
    <row r="1277" spans="1:8" x14ac:dyDescent="0.25">
      <c r="A1277">
        <v>35158</v>
      </c>
      <c r="B1277" t="s">
        <v>106</v>
      </c>
      <c r="C1277" t="s">
        <v>1783</v>
      </c>
      <c r="D1277" t="s">
        <v>38</v>
      </c>
      <c r="E1277">
        <v>32507</v>
      </c>
      <c r="F1277" s="24">
        <f>especies_ativa_codibama[[#This Row],[Código]]</f>
        <v>35158</v>
      </c>
      <c r="G1277" s="40" t="str">
        <f>especies_ativa_codibama[[#This Row],[Nome popular]]</f>
        <v>---</v>
      </c>
      <c r="H1277" s="40" t="str">
        <f>especies_ativa_codibama[[#This Row],[Nome científico]]</f>
        <v>Perebea mollis</v>
      </c>
    </row>
    <row r="1278" spans="1:8" x14ac:dyDescent="0.25">
      <c r="A1278">
        <v>35163</v>
      </c>
      <c r="B1278" t="s">
        <v>106</v>
      </c>
      <c r="C1278" t="s">
        <v>1784</v>
      </c>
      <c r="D1278" t="s">
        <v>38</v>
      </c>
      <c r="E1278">
        <v>31742</v>
      </c>
      <c r="F1278" s="24">
        <f>especies_ativa_codibama[[#This Row],[Código]]</f>
        <v>35163</v>
      </c>
      <c r="G1278" s="40" t="str">
        <f>especies_ativa_codibama[[#This Row],[Nome popular]]</f>
        <v>---</v>
      </c>
      <c r="H1278" s="40" t="str">
        <f>especies_ativa_codibama[[#This Row],[Nome científico]]</f>
        <v>Ficus obtusiuscula</v>
      </c>
    </row>
    <row r="1279" spans="1:8" x14ac:dyDescent="0.25">
      <c r="A1279">
        <v>35166</v>
      </c>
      <c r="B1279" t="s">
        <v>106</v>
      </c>
      <c r="C1279" t="s">
        <v>1785</v>
      </c>
      <c r="D1279" t="s">
        <v>38</v>
      </c>
      <c r="E1279">
        <v>33003</v>
      </c>
      <c r="F1279" s="24">
        <f>especies_ativa_codibama[[#This Row],[Código]]</f>
        <v>35166</v>
      </c>
      <c r="G1279" s="40" t="str">
        <f>especies_ativa_codibama[[#This Row],[Nome popular]]</f>
        <v>---</v>
      </c>
      <c r="H1279" s="40" t="str">
        <f>especies_ativa_codibama[[#This Row],[Nome científico]]</f>
        <v>Ficus tomentella</v>
      </c>
    </row>
    <row r="1280" spans="1:8" x14ac:dyDescent="0.25">
      <c r="A1280">
        <v>35167</v>
      </c>
      <c r="B1280" t="s">
        <v>106</v>
      </c>
      <c r="C1280" t="s">
        <v>1786</v>
      </c>
      <c r="D1280" t="s">
        <v>38</v>
      </c>
      <c r="E1280">
        <v>36180</v>
      </c>
      <c r="F1280" s="24">
        <f>especies_ativa_codibama[[#This Row],[Código]]</f>
        <v>35167</v>
      </c>
      <c r="G1280" s="40" t="str">
        <f>especies_ativa_codibama[[#This Row],[Nome popular]]</f>
        <v>---</v>
      </c>
      <c r="H1280" s="40" t="str">
        <f>especies_ativa_codibama[[#This Row],[Nome científico]]</f>
        <v>Pseudolmedia laevigata</v>
      </c>
    </row>
    <row r="1281" spans="1:8" x14ac:dyDescent="0.25">
      <c r="A1281">
        <v>35169</v>
      </c>
      <c r="B1281" t="s">
        <v>106</v>
      </c>
      <c r="C1281" t="s">
        <v>1787</v>
      </c>
      <c r="D1281" t="s">
        <v>38</v>
      </c>
      <c r="E1281">
        <v>35883</v>
      </c>
      <c r="F1281" s="24">
        <f>especies_ativa_codibama[[#This Row],[Código]]</f>
        <v>35169</v>
      </c>
      <c r="G1281" s="40" t="str">
        <f>especies_ativa_codibama[[#This Row],[Nome popular]]</f>
        <v>---</v>
      </c>
      <c r="H1281" s="40" t="str">
        <f>especies_ativa_codibama[[#This Row],[Nome científico]]</f>
        <v>Bagassa guianensis</v>
      </c>
    </row>
    <row r="1282" spans="1:8" x14ac:dyDescent="0.25">
      <c r="A1282">
        <v>35170</v>
      </c>
      <c r="B1282" t="s">
        <v>106</v>
      </c>
      <c r="C1282" t="s">
        <v>1788</v>
      </c>
      <c r="D1282" t="s">
        <v>38</v>
      </c>
      <c r="E1282">
        <v>35419</v>
      </c>
      <c r="F1282" s="24">
        <f>especies_ativa_codibama[[#This Row],[Código]]</f>
        <v>35170</v>
      </c>
      <c r="G1282" s="40" t="str">
        <f>especies_ativa_codibama[[#This Row],[Nome popular]]</f>
        <v>---</v>
      </c>
      <c r="H1282" s="40" t="str">
        <f>especies_ativa_codibama[[#This Row],[Nome científico]]</f>
        <v>Helicostylis pedunculata</v>
      </c>
    </row>
    <row r="1283" spans="1:8" x14ac:dyDescent="0.25">
      <c r="A1283">
        <v>35172</v>
      </c>
      <c r="B1283" t="s">
        <v>106</v>
      </c>
      <c r="C1283" t="s">
        <v>2700</v>
      </c>
      <c r="D1283" t="s">
        <v>38</v>
      </c>
      <c r="E1283">
        <v>2004881</v>
      </c>
      <c r="F1283" s="24">
        <f>especies_ativa_codibama[[#This Row],[Código]]</f>
        <v>35172</v>
      </c>
      <c r="G1283" s="40" t="str">
        <f>especies_ativa_codibama[[#This Row],[Nome popular]]</f>
        <v>---</v>
      </c>
      <c r="H1283" s="40" t="str">
        <f>especies_ativa_codibama[[#This Row],[Nome científico]]</f>
        <v>Ficus adhatodifolia</v>
      </c>
    </row>
    <row r="1284" spans="1:8" x14ac:dyDescent="0.25">
      <c r="A1284">
        <v>35173</v>
      </c>
      <c r="B1284" t="s">
        <v>106</v>
      </c>
      <c r="C1284" t="s">
        <v>1789</v>
      </c>
      <c r="D1284" t="s">
        <v>38</v>
      </c>
      <c r="E1284">
        <v>32997</v>
      </c>
      <c r="F1284" s="24">
        <f>especies_ativa_codibama[[#This Row],[Código]]</f>
        <v>35173</v>
      </c>
      <c r="G1284" s="40" t="str">
        <f>especies_ativa_codibama[[#This Row],[Nome popular]]</f>
        <v>---</v>
      </c>
      <c r="H1284" s="40" t="str">
        <f>especies_ativa_codibama[[#This Row],[Nome científico]]</f>
        <v>Ficus guaranitica</v>
      </c>
    </row>
    <row r="1285" spans="1:8" x14ac:dyDescent="0.25">
      <c r="A1285">
        <v>35177</v>
      </c>
      <c r="B1285" t="s">
        <v>106</v>
      </c>
      <c r="C1285" t="s">
        <v>1790</v>
      </c>
      <c r="D1285" t="s">
        <v>38</v>
      </c>
      <c r="E1285">
        <v>34841</v>
      </c>
      <c r="F1285" s="24">
        <f>especies_ativa_codibama[[#This Row],[Código]]</f>
        <v>35177</v>
      </c>
      <c r="G1285" s="40" t="str">
        <f>especies_ativa_codibama[[#This Row],[Nome popular]]</f>
        <v>---</v>
      </c>
      <c r="H1285" s="40" t="str">
        <f>especies_ativa_codibama[[#This Row],[Nome científico]]</f>
        <v>Ficus carica</v>
      </c>
    </row>
    <row r="1286" spans="1:8" x14ac:dyDescent="0.25">
      <c r="A1286">
        <v>35178</v>
      </c>
      <c r="B1286" t="s">
        <v>106</v>
      </c>
      <c r="C1286" t="s">
        <v>1791</v>
      </c>
      <c r="D1286" t="s">
        <v>38</v>
      </c>
      <c r="E1286">
        <v>33579</v>
      </c>
      <c r="F1286" s="24">
        <f>especies_ativa_codibama[[#This Row],[Código]]</f>
        <v>35178</v>
      </c>
      <c r="G1286" s="40" t="str">
        <f>especies_ativa_codibama[[#This Row],[Nome popular]]</f>
        <v>---</v>
      </c>
      <c r="H1286" s="40" t="str">
        <f>especies_ativa_codibama[[#This Row],[Nome científico]]</f>
        <v>Ficus auriculata</v>
      </c>
    </row>
    <row r="1287" spans="1:8" x14ac:dyDescent="0.25">
      <c r="A1287">
        <v>35179</v>
      </c>
      <c r="B1287" t="s">
        <v>106</v>
      </c>
      <c r="C1287" t="s">
        <v>1792</v>
      </c>
      <c r="D1287" t="s">
        <v>38</v>
      </c>
      <c r="E1287">
        <v>35804</v>
      </c>
      <c r="F1287" s="24">
        <f>especies_ativa_codibama[[#This Row],[Código]]</f>
        <v>35179</v>
      </c>
      <c r="G1287" s="40" t="str">
        <f>especies_ativa_codibama[[#This Row],[Nome popular]]</f>
        <v>---</v>
      </c>
      <c r="H1287" s="40" t="str">
        <f>especies_ativa_codibama[[#This Row],[Nome científico]]</f>
        <v>Ficus religiosa</v>
      </c>
    </row>
    <row r="1288" spans="1:8" x14ac:dyDescent="0.25">
      <c r="A1288">
        <v>35185</v>
      </c>
      <c r="B1288" t="s">
        <v>106</v>
      </c>
      <c r="C1288" t="s">
        <v>1793</v>
      </c>
      <c r="D1288" t="s">
        <v>38</v>
      </c>
      <c r="E1288">
        <v>1986326</v>
      </c>
      <c r="F1288" s="24">
        <f>especies_ativa_codibama[[#This Row],[Código]]</f>
        <v>35185</v>
      </c>
      <c r="G1288" s="40" t="str">
        <f>especies_ativa_codibama[[#This Row],[Nome popular]]</f>
        <v>---</v>
      </c>
      <c r="H1288" s="40" t="str">
        <f>especies_ativa_codibama[[#This Row],[Nome científico]]</f>
        <v>Ficus clusiifolia</v>
      </c>
    </row>
    <row r="1289" spans="1:8" x14ac:dyDescent="0.25">
      <c r="A1289">
        <v>35187</v>
      </c>
      <c r="B1289" t="s">
        <v>106</v>
      </c>
      <c r="C1289" t="s">
        <v>1794</v>
      </c>
      <c r="D1289" t="s">
        <v>38</v>
      </c>
      <c r="E1289">
        <v>32125</v>
      </c>
      <c r="F1289" s="24">
        <f>especies_ativa_codibama[[#This Row],[Código]]</f>
        <v>35187</v>
      </c>
      <c r="G1289" s="40" t="str">
        <f>especies_ativa_codibama[[#This Row],[Nome popular]]</f>
        <v>---</v>
      </c>
      <c r="H1289" s="40" t="str">
        <f>especies_ativa_codibama[[#This Row],[Nome científico]]</f>
        <v>Ficus malacocarpa</v>
      </c>
    </row>
    <row r="1290" spans="1:8" x14ac:dyDescent="0.25">
      <c r="A1290">
        <v>35190</v>
      </c>
      <c r="B1290" t="s">
        <v>2701</v>
      </c>
      <c r="C1290" t="s">
        <v>1795</v>
      </c>
      <c r="D1290" t="s">
        <v>79</v>
      </c>
      <c r="E1290">
        <v>36263</v>
      </c>
      <c r="F1290" s="24">
        <f>especies_ativa_codibama[[#This Row],[Código]]</f>
        <v>35190</v>
      </c>
      <c r="G1290" s="40" t="str">
        <f>especies_ativa_codibama[[#This Row],[Nome popular]]</f>
        <v>Bicuhyba-vermelha, BicuÃ­ba-redonda, Bocuva</v>
      </c>
      <c r="H1290" s="40" t="str">
        <f>especies_ativa_codibama[[#This Row],[Nome científico]]</f>
        <v>Virola officinalis</v>
      </c>
    </row>
    <row r="1291" spans="1:8" x14ac:dyDescent="0.25">
      <c r="A1291">
        <v>35191</v>
      </c>
      <c r="B1291" t="s">
        <v>2702</v>
      </c>
      <c r="C1291" t="s">
        <v>1796</v>
      </c>
      <c r="D1291" t="s">
        <v>79</v>
      </c>
      <c r="E1291">
        <v>36260</v>
      </c>
      <c r="F1291" s="24">
        <f>especies_ativa_codibama[[#This Row],[Código]]</f>
        <v>35191</v>
      </c>
      <c r="G1291" s="40" t="str">
        <f>especies_ativa_codibama[[#This Row],[Nome popular]]</f>
        <v>BicuÃ­ba-açu, BicuÃ­ba-da-folha-larga, Bicuibuçu, Bocuva-fêmea</v>
      </c>
      <c r="H1291" s="40" t="str">
        <f>especies_ativa_codibama[[#This Row],[Nome científico]]</f>
        <v>Virola gardneri</v>
      </c>
    </row>
    <row r="1292" spans="1:8" x14ac:dyDescent="0.25">
      <c r="A1292">
        <v>35192</v>
      </c>
      <c r="B1292" t="s">
        <v>106</v>
      </c>
      <c r="C1292" t="s">
        <v>1797</v>
      </c>
      <c r="D1292" t="s">
        <v>465</v>
      </c>
      <c r="E1292">
        <v>33821</v>
      </c>
      <c r="F1292" s="24">
        <f>especies_ativa_codibama[[#This Row],[Código]]</f>
        <v>35192</v>
      </c>
      <c r="G1292" s="40" t="str">
        <f>especies_ativa_codibama[[#This Row],[Nome popular]]</f>
        <v>---</v>
      </c>
      <c r="H1292" s="40" t="str">
        <f>especies_ativa_codibama[[#This Row],[Nome científico]]</f>
        <v>Virola urbaniana</v>
      </c>
    </row>
    <row r="1293" spans="1:8" x14ac:dyDescent="0.25">
      <c r="A1293">
        <v>35193</v>
      </c>
      <c r="B1293" t="s">
        <v>1798</v>
      </c>
      <c r="C1293" t="s">
        <v>1799</v>
      </c>
      <c r="D1293" t="s">
        <v>38</v>
      </c>
      <c r="E1293">
        <v>34441</v>
      </c>
      <c r="F1293" s="24">
        <f>especies_ativa_codibama[[#This Row],[Código]]</f>
        <v>35193</v>
      </c>
      <c r="G1293" s="40" t="str">
        <f>especies_ativa_codibama[[#This Row],[Nome popular]]</f>
        <v>bicuyba-preta, tawa, ucuúba, ucuúba-preta, ucuuba-punã</v>
      </c>
      <c r="H1293" s="40" t="str">
        <f>especies_ativa_codibama[[#This Row],[Nome científico]]</f>
        <v>Virola sebifera</v>
      </c>
    </row>
    <row r="1294" spans="1:8" x14ac:dyDescent="0.25">
      <c r="A1294">
        <v>35194</v>
      </c>
      <c r="B1294" t="s">
        <v>1800</v>
      </c>
      <c r="C1294" t="s">
        <v>1801</v>
      </c>
      <c r="D1294" t="s">
        <v>38</v>
      </c>
      <c r="E1294">
        <v>33239</v>
      </c>
      <c r="F1294" s="24">
        <f>especies_ativa_codibama[[#This Row],[Código]]</f>
        <v>35194</v>
      </c>
      <c r="G1294" s="40" t="str">
        <f>especies_ativa_codibama[[#This Row],[Nome popular]]</f>
        <v>casca-de-vidro, ucuuba-preta</v>
      </c>
      <c r="H1294" s="40" t="str">
        <f>especies_ativa_codibama[[#This Row],[Nome científico]]</f>
        <v>Virola michelii</v>
      </c>
    </row>
    <row r="1295" spans="1:8" x14ac:dyDescent="0.25">
      <c r="A1295">
        <v>35195</v>
      </c>
      <c r="B1295" t="s">
        <v>1802</v>
      </c>
      <c r="C1295" t="s">
        <v>1803</v>
      </c>
      <c r="D1295" t="s">
        <v>38</v>
      </c>
      <c r="E1295">
        <v>36133</v>
      </c>
      <c r="F1295" s="24">
        <f>especies_ativa_codibama[[#This Row],[Código]]</f>
        <v>35195</v>
      </c>
      <c r="G1295" s="40" t="str">
        <f>especies_ativa_codibama[[#This Row],[Nome popular]]</f>
        <v>ixowahi, ucuuba-chico-de assis, ucuúba-de-banda, ucuubara</v>
      </c>
      <c r="H1295" s="40" t="str">
        <f>especies_ativa_codibama[[#This Row],[Nome científico]]</f>
        <v>Osteophloeum platyspermum</v>
      </c>
    </row>
    <row r="1296" spans="1:8" x14ac:dyDescent="0.25">
      <c r="A1296">
        <v>35196</v>
      </c>
      <c r="B1296" t="s">
        <v>1804</v>
      </c>
      <c r="C1296" t="s">
        <v>1805</v>
      </c>
      <c r="D1296" t="s">
        <v>465</v>
      </c>
      <c r="E1296">
        <v>35819</v>
      </c>
      <c r="F1296" s="24">
        <f>especies_ativa_codibama[[#This Row],[Código]]</f>
        <v>35196</v>
      </c>
      <c r="G1296" s="40" t="str">
        <f>especies_ativa_codibama[[#This Row],[Nome popular]]</f>
        <v>Lacre-amarelo</v>
      </c>
      <c r="H1296" s="40" t="str">
        <f>especies_ativa_codibama[[#This Row],[Nome científico]]</f>
        <v>Virola malmei</v>
      </c>
    </row>
    <row r="1297" spans="1:8" x14ac:dyDescent="0.25">
      <c r="A1297">
        <v>35197</v>
      </c>
      <c r="B1297" t="s">
        <v>1806</v>
      </c>
      <c r="C1297" t="s">
        <v>1807</v>
      </c>
      <c r="D1297" t="s">
        <v>38</v>
      </c>
      <c r="E1297">
        <v>36259</v>
      </c>
      <c r="F1297" s="24">
        <f>especies_ativa_codibama[[#This Row],[Código]]</f>
        <v>35197</v>
      </c>
      <c r="G1297" s="40" t="str">
        <f>especies_ativa_codibama[[#This Row],[Nome popular]]</f>
        <v>sacodi, ucuúba, ucuúba-do-igapó, uiqui</v>
      </c>
      <c r="H1297" s="40" t="str">
        <f>especies_ativa_codibama[[#This Row],[Nome científico]]</f>
        <v>Virola elongata</v>
      </c>
    </row>
    <row r="1298" spans="1:8" x14ac:dyDescent="0.25">
      <c r="A1298">
        <v>35198</v>
      </c>
      <c r="B1298" t="s">
        <v>1808</v>
      </c>
      <c r="C1298" t="s">
        <v>1809</v>
      </c>
      <c r="D1298" t="s">
        <v>38</v>
      </c>
      <c r="E1298">
        <v>31782</v>
      </c>
      <c r="F1298" s="24">
        <f>especies_ativa_codibama[[#This Row],[Código]]</f>
        <v>35198</v>
      </c>
      <c r="G1298" s="40" t="str">
        <f>especies_ativa_codibama[[#This Row],[Nome popular]]</f>
        <v>sangue-de-boi, ucuuba-da-terra-firme, ucuúba-punã, ucuúba-sangue</v>
      </c>
      <c r="H1298" s="40" t="str">
        <f>especies_ativa_codibama[[#This Row],[Nome científico]]</f>
        <v>Iryanthera juruensis</v>
      </c>
    </row>
    <row r="1299" spans="1:8" x14ac:dyDescent="0.25">
      <c r="A1299">
        <v>35199</v>
      </c>
      <c r="B1299" t="s">
        <v>1810</v>
      </c>
      <c r="C1299" t="s">
        <v>1811</v>
      </c>
      <c r="D1299" t="s">
        <v>38</v>
      </c>
      <c r="E1299">
        <v>32617</v>
      </c>
      <c r="F1299" s="24">
        <f>especies_ativa_codibama[[#This Row],[Código]]</f>
        <v>35199</v>
      </c>
      <c r="G1299" s="40" t="str">
        <f>especies_ativa_codibama[[#This Row],[Nome popular]]</f>
        <v>ucuuba, ucuuba-branca-do-baixio</v>
      </c>
      <c r="H1299" s="40" t="str">
        <f>especies_ativa_codibama[[#This Row],[Nome científico]]</f>
        <v>Virola pavonis</v>
      </c>
    </row>
    <row r="1300" spans="1:8" x14ac:dyDescent="0.25">
      <c r="A1300">
        <v>35200</v>
      </c>
      <c r="B1300" t="s">
        <v>1812</v>
      </c>
      <c r="C1300" t="s">
        <v>1813</v>
      </c>
      <c r="D1300" t="s">
        <v>38</v>
      </c>
      <c r="E1300">
        <v>35055</v>
      </c>
      <c r="F1300" s="24">
        <f>especies_ativa_codibama[[#This Row],[Código]]</f>
        <v>35200</v>
      </c>
      <c r="G1300" s="40" t="str">
        <f>especies_ativa_codibama[[#This Row],[Nome popular]]</f>
        <v>Ucuuba, Ucuuba-vermelha</v>
      </c>
      <c r="H1300" s="40" t="str">
        <f>especies_ativa_codibama[[#This Row],[Nome científico]]</f>
        <v>Virola minutiflora</v>
      </c>
    </row>
    <row r="1301" spans="1:8" x14ac:dyDescent="0.25">
      <c r="A1301">
        <v>35201</v>
      </c>
      <c r="B1301" t="s">
        <v>1814</v>
      </c>
      <c r="C1301" t="s">
        <v>1815</v>
      </c>
      <c r="D1301" t="s">
        <v>38</v>
      </c>
      <c r="E1301">
        <v>36262</v>
      </c>
      <c r="F1301" s="24">
        <f>especies_ativa_codibama[[#This Row],[Código]]</f>
        <v>35201</v>
      </c>
      <c r="G1301" s="40" t="str">
        <f>especies_ativa_codibama[[#This Row],[Nome popular]]</f>
        <v>ucuúba, ucuuba-vermelha</v>
      </c>
      <c r="H1301" s="40" t="str">
        <f>especies_ativa_codibama[[#This Row],[Nome científico]]</f>
        <v>Virola mollissima</v>
      </c>
    </row>
    <row r="1302" spans="1:8" x14ac:dyDescent="0.25">
      <c r="A1302">
        <v>35202</v>
      </c>
      <c r="B1302" t="s">
        <v>1816</v>
      </c>
      <c r="C1302" t="s">
        <v>1817</v>
      </c>
      <c r="D1302" t="s">
        <v>38</v>
      </c>
      <c r="E1302">
        <v>31996</v>
      </c>
      <c r="F1302" s="24">
        <f>especies_ativa_codibama[[#This Row],[Código]]</f>
        <v>35202</v>
      </c>
      <c r="G1302" s="40" t="str">
        <f>especies_ativa_codibama[[#This Row],[Nome popular]]</f>
        <v>Ucuuba-branca, Ucuuba-da-mata</v>
      </c>
      <c r="H1302" s="40" t="str">
        <f>especies_ativa_codibama[[#This Row],[Nome científico]]</f>
        <v>Virola venosa</v>
      </c>
    </row>
    <row r="1303" spans="1:8" x14ac:dyDescent="0.25">
      <c r="A1303">
        <v>35204</v>
      </c>
      <c r="B1303" t="s">
        <v>1818</v>
      </c>
      <c r="C1303" t="s">
        <v>1819</v>
      </c>
      <c r="D1303" t="s">
        <v>38</v>
      </c>
      <c r="E1303">
        <v>33625</v>
      </c>
      <c r="F1303" s="24">
        <f>especies_ativa_codibama[[#This Row],[Código]]</f>
        <v>35204</v>
      </c>
      <c r="G1303" s="40" t="str">
        <f>especies_ativa_codibama[[#This Row],[Nome popular]]</f>
        <v>ucuubara</v>
      </c>
      <c r="H1303" s="40" t="str">
        <f>especies_ativa_codibama[[#This Row],[Nome científico]]</f>
        <v>Iryanthera paradoxa</v>
      </c>
    </row>
    <row r="1304" spans="1:8" x14ac:dyDescent="0.25">
      <c r="A1304">
        <v>35205</v>
      </c>
      <c r="B1304" t="s">
        <v>1820</v>
      </c>
      <c r="C1304" t="s">
        <v>1821</v>
      </c>
      <c r="D1304" t="s">
        <v>38</v>
      </c>
      <c r="E1304">
        <v>35787</v>
      </c>
      <c r="F1304" s="24">
        <f>especies_ativa_codibama[[#This Row],[Código]]</f>
        <v>35205</v>
      </c>
      <c r="G1304" s="40" t="str">
        <f>especies_ativa_codibama[[#This Row],[Nome popular]]</f>
        <v>Ucuuba-vermelha, Ucuub-punã</v>
      </c>
      <c r="H1304" s="40" t="str">
        <f>especies_ativa_codibama[[#This Row],[Nome científico]]</f>
        <v>Iryanthera grandis</v>
      </c>
    </row>
    <row r="1305" spans="1:8" x14ac:dyDescent="0.25">
      <c r="A1305">
        <v>35206</v>
      </c>
      <c r="B1305" t="s">
        <v>1822</v>
      </c>
      <c r="C1305" t="s">
        <v>1823</v>
      </c>
      <c r="D1305" t="s">
        <v>38</v>
      </c>
      <c r="E1305">
        <v>33624</v>
      </c>
      <c r="F1305" s="24">
        <f>especies_ativa_codibama[[#This Row],[Código]]</f>
        <v>35206</v>
      </c>
      <c r="G1305" s="40" t="str">
        <f>especies_ativa_codibama[[#This Row],[Nome popular]]</f>
        <v>Ucuuba-vermelhato-Grosso</v>
      </c>
      <c r="H1305" s="40" t="str">
        <f>especies_ativa_codibama[[#This Row],[Nome científico]]</f>
        <v>Iryanthera macrophylla</v>
      </c>
    </row>
    <row r="1306" spans="1:8" x14ac:dyDescent="0.25">
      <c r="A1306">
        <v>35208</v>
      </c>
      <c r="B1306" t="s">
        <v>106</v>
      </c>
      <c r="C1306" t="s">
        <v>1824</v>
      </c>
      <c r="D1306" t="s">
        <v>38</v>
      </c>
      <c r="E1306">
        <v>34872</v>
      </c>
      <c r="F1306" s="24">
        <f>especies_ativa_codibama[[#This Row],[Código]]</f>
        <v>35208</v>
      </c>
      <c r="G1306" s="40" t="str">
        <f>especies_ativa_codibama[[#This Row],[Nome popular]]</f>
        <v>---</v>
      </c>
      <c r="H1306" s="40" t="str">
        <f>especies_ativa_codibama[[#This Row],[Nome científico]]</f>
        <v>Iryanthera tessmannii</v>
      </c>
    </row>
    <row r="1307" spans="1:8" x14ac:dyDescent="0.25">
      <c r="A1307">
        <v>35209</v>
      </c>
      <c r="B1307" t="s">
        <v>106</v>
      </c>
      <c r="C1307" t="s">
        <v>1825</v>
      </c>
      <c r="D1307" t="s">
        <v>38</v>
      </c>
      <c r="E1307">
        <v>35446</v>
      </c>
      <c r="F1307" s="24">
        <f>especies_ativa_codibama[[#This Row],[Código]]</f>
        <v>35209</v>
      </c>
      <c r="G1307" s="40" t="str">
        <f>especies_ativa_codibama[[#This Row],[Nome popular]]</f>
        <v>---</v>
      </c>
      <c r="H1307" s="40" t="str">
        <f>especies_ativa_codibama[[#This Row],[Nome científico]]</f>
        <v>Iryanthera ulei</v>
      </c>
    </row>
    <row r="1308" spans="1:8" x14ac:dyDescent="0.25">
      <c r="A1308">
        <v>35210</v>
      </c>
      <c r="B1308" t="s">
        <v>106</v>
      </c>
      <c r="C1308" t="s">
        <v>1826</v>
      </c>
      <c r="D1308" t="s">
        <v>38</v>
      </c>
      <c r="E1308">
        <v>34258</v>
      </c>
      <c r="F1308" s="24">
        <f>especies_ativa_codibama[[#This Row],[Código]]</f>
        <v>35210</v>
      </c>
      <c r="G1308" s="40" t="str">
        <f>especies_ativa_codibama[[#This Row],[Nome popular]]</f>
        <v>---</v>
      </c>
      <c r="H1308" s="40" t="str">
        <f>especies_ativa_codibama[[#This Row],[Nome científico]]</f>
        <v>Iryanthera elliptica</v>
      </c>
    </row>
    <row r="1309" spans="1:8" x14ac:dyDescent="0.25">
      <c r="A1309">
        <v>35211</v>
      </c>
      <c r="B1309" t="s">
        <v>106</v>
      </c>
      <c r="C1309" t="s">
        <v>1827</v>
      </c>
      <c r="D1309" t="s">
        <v>38</v>
      </c>
      <c r="E1309">
        <v>32430</v>
      </c>
      <c r="F1309" s="24">
        <f>especies_ativa_codibama[[#This Row],[Código]]</f>
        <v>35211</v>
      </c>
      <c r="G1309" s="40" t="str">
        <f>especies_ativa_codibama[[#This Row],[Nome popular]]</f>
        <v>---</v>
      </c>
      <c r="H1309" s="40" t="str">
        <f>especies_ativa_codibama[[#This Row],[Nome científico]]</f>
        <v>Iryanthera hostmannii</v>
      </c>
    </row>
    <row r="1310" spans="1:8" x14ac:dyDescent="0.25">
      <c r="A1310">
        <v>35212</v>
      </c>
      <c r="B1310" t="s">
        <v>106</v>
      </c>
      <c r="C1310" t="s">
        <v>1828</v>
      </c>
      <c r="D1310" t="s">
        <v>38</v>
      </c>
      <c r="E1310">
        <v>35444</v>
      </c>
      <c r="F1310" s="24">
        <f>especies_ativa_codibama[[#This Row],[Código]]</f>
        <v>35212</v>
      </c>
      <c r="G1310" s="40" t="str">
        <f>especies_ativa_codibama[[#This Row],[Nome popular]]</f>
        <v>---</v>
      </c>
      <c r="H1310" s="40" t="str">
        <f>especies_ativa_codibama[[#This Row],[Nome científico]]</f>
        <v>Iryanthera paraensis</v>
      </c>
    </row>
    <row r="1311" spans="1:8" x14ac:dyDescent="0.25">
      <c r="A1311">
        <v>35213</v>
      </c>
      <c r="B1311" t="s">
        <v>106</v>
      </c>
      <c r="C1311" t="s">
        <v>1829</v>
      </c>
      <c r="D1311" t="s">
        <v>38</v>
      </c>
      <c r="E1311">
        <v>35647</v>
      </c>
      <c r="F1311" s="24">
        <f>especies_ativa_codibama[[#This Row],[Código]]</f>
        <v>35213</v>
      </c>
      <c r="G1311" s="40" t="str">
        <f>especies_ativa_codibama[[#This Row],[Nome popular]]</f>
        <v>---</v>
      </c>
      <c r="H1311" s="40" t="str">
        <f>especies_ativa_codibama[[#This Row],[Nome científico]]</f>
        <v>Virola albidiflora</v>
      </c>
    </row>
    <row r="1312" spans="1:8" x14ac:dyDescent="0.25">
      <c r="A1312">
        <v>35214</v>
      </c>
      <c r="B1312" t="s">
        <v>106</v>
      </c>
      <c r="C1312" t="s">
        <v>1830</v>
      </c>
      <c r="D1312" t="s">
        <v>38</v>
      </c>
      <c r="E1312">
        <v>36258</v>
      </c>
      <c r="F1312" s="24">
        <f>especies_ativa_codibama[[#This Row],[Código]]</f>
        <v>35214</v>
      </c>
      <c r="G1312" s="40" t="str">
        <f>especies_ativa_codibama[[#This Row],[Nome popular]]</f>
        <v>---</v>
      </c>
      <c r="H1312" s="40" t="str">
        <f>especies_ativa_codibama[[#This Row],[Nome científico]]</f>
        <v>Virola calophylla</v>
      </c>
    </row>
    <row r="1313" spans="1:8" x14ac:dyDescent="0.25">
      <c r="A1313">
        <v>35215</v>
      </c>
      <c r="B1313" t="s">
        <v>106</v>
      </c>
      <c r="C1313" t="s">
        <v>1831</v>
      </c>
      <c r="D1313" t="s">
        <v>38</v>
      </c>
      <c r="E1313">
        <v>33237</v>
      </c>
      <c r="F1313" s="24">
        <f>especies_ativa_codibama[[#This Row],[Código]]</f>
        <v>35215</v>
      </c>
      <c r="G1313" s="40" t="str">
        <f>especies_ativa_codibama[[#This Row],[Nome popular]]</f>
        <v>---</v>
      </c>
      <c r="H1313" s="40" t="str">
        <f>especies_ativa_codibama[[#This Row],[Nome científico]]</f>
        <v>Virola carinata</v>
      </c>
    </row>
    <row r="1314" spans="1:8" x14ac:dyDescent="0.25">
      <c r="A1314">
        <v>35216</v>
      </c>
      <c r="B1314" t="s">
        <v>106</v>
      </c>
      <c r="C1314" t="s">
        <v>1832</v>
      </c>
      <c r="D1314" t="s">
        <v>38</v>
      </c>
      <c r="E1314">
        <v>33819</v>
      </c>
      <c r="F1314" s="24">
        <f>especies_ativa_codibama[[#This Row],[Código]]</f>
        <v>35216</v>
      </c>
      <c r="G1314" s="40" t="str">
        <f>especies_ativa_codibama[[#This Row],[Nome popular]]</f>
        <v>---</v>
      </c>
      <c r="H1314" s="40" t="str">
        <f>especies_ativa_codibama[[#This Row],[Nome científico]]</f>
        <v>Virola multicostata</v>
      </c>
    </row>
    <row r="1315" spans="1:8" x14ac:dyDescent="0.25">
      <c r="A1315">
        <v>35217</v>
      </c>
      <c r="B1315" t="s">
        <v>2703</v>
      </c>
      <c r="C1315" t="s">
        <v>1833</v>
      </c>
      <c r="D1315" t="s">
        <v>465</v>
      </c>
      <c r="E1315">
        <v>36264</v>
      </c>
      <c r="F1315" s="24">
        <f>especies_ativa_codibama[[#This Row],[Código]]</f>
        <v>35217</v>
      </c>
      <c r="G1315" s="40" t="str">
        <f>especies_ativa_codibama[[#This Row],[Nome popular]]</f>
        <v>mucuí­ra, ucuúba, ucuuba-de-baixio, ucuúba-de -igapó</v>
      </c>
      <c r="H1315" s="40" t="str">
        <f>especies_ativa_codibama[[#This Row],[Nome científico]]</f>
        <v>Virola surinamensis</v>
      </c>
    </row>
    <row r="1316" spans="1:8" x14ac:dyDescent="0.25">
      <c r="A1316">
        <v>35235</v>
      </c>
      <c r="B1316" t="s">
        <v>1834</v>
      </c>
      <c r="C1316" t="s">
        <v>1835</v>
      </c>
      <c r="D1316" t="s">
        <v>79</v>
      </c>
      <c r="E1316">
        <v>1803770</v>
      </c>
      <c r="F1316" s="24">
        <f>especies_ativa_codibama[[#This Row],[Código]]</f>
        <v>35235</v>
      </c>
      <c r="G1316" s="40" t="str">
        <f>especies_ativa_codibama[[#This Row],[Nome popular]]</f>
        <v>Araçá</v>
      </c>
      <c r="H1316" s="40" t="str">
        <f>especies_ativa_codibama[[#This Row],[Nome científico]]</f>
        <v>Psidium bahianum</v>
      </c>
    </row>
    <row r="1317" spans="1:8" x14ac:dyDescent="0.25">
      <c r="A1317">
        <v>35289</v>
      </c>
      <c r="B1317" t="s">
        <v>106</v>
      </c>
      <c r="C1317" t="s">
        <v>1836</v>
      </c>
      <c r="D1317" t="s">
        <v>79</v>
      </c>
      <c r="E1317">
        <v>36351</v>
      </c>
      <c r="F1317" s="24">
        <f>especies_ativa_codibama[[#This Row],[Código]]</f>
        <v>35289</v>
      </c>
      <c r="G1317" s="40" t="str">
        <f>especies_ativa_codibama[[#This Row],[Nome popular]]</f>
        <v>---</v>
      </c>
      <c r="H1317" s="40" t="str">
        <f>especies_ativa_codibama[[#This Row],[Nome científico]]</f>
        <v>Myrcia pubipetala</v>
      </c>
    </row>
    <row r="1318" spans="1:8" x14ac:dyDescent="0.25">
      <c r="A1318">
        <v>35290</v>
      </c>
      <c r="B1318" t="s">
        <v>106</v>
      </c>
      <c r="C1318" t="s">
        <v>1837</v>
      </c>
      <c r="D1318" t="s">
        <v>79</v>
      </c>
      <c r="E1318">
        <v>32372</v>
      </c>
      <c r="F1318" s="24">
        <f>especies_ativa_codibama[[#This Row],[Código]]</f>
        <v>35290</v>
      </c>
      <c r="G1318" s="40" t="str">
        <f>especies_ativa_codibama[[#This Row],[Nome popular]]</f>
        <v>---</v>
      </c>
      <c r="H1318" s="40" t="str">
        <f>especies_ativa_codibama[[#This Row],[Nome científico]]</f>
        <v>Eugenia brasiliensis</v>
      </c>
    </row>
    <row r="1319" spans="1:8" x14ac:dyDescent="0.25">
      <c r="A1319">
        <v>35292</v>
      </c>
      <c r="B1319" t="s">
        <v>106</v>
      </c>
      <c r="C1319" t="s">
        <v>1838</v>
      </c>
      <c r="D1319" t="s">
        <v>79</v>
      </c>
      <c r="E1319">
        <v>31637</v>
      </c>
      <c r="F1319" s="24">
        <f>especies_ativa_codibama[[#This Row],[Código]]</f>
        <v>35292</v>
      </c>
      <c r="G1319" s="40" t="str">
        <f>especies_ativa_codibama[[#This Row],[Nome popular]]</f>
        <v>---</v>
      </c>
      <c r="H1319" s="40" t="str">
        <f>especies_ativa_codibama[[#This Row],[Nome científico]]</f>
        <v>Campomanesia laurifolia</v>
      </c>
    </row>
    <row r="1320" spans="1:8" x14ac:dyDescent="0.25">
      <c r="A1320">
        <v>35296</v>
      </c>
      <c r="B1320" t="s">
        <v>106</v>
      </c>
      <c r="C1320" t="s">
        <v>1839</v>
      </c>
      <c r="D1320" t="s">
        <v>79</v>
      </c>
      <c r="E1320">
        <v>32982</v>
      </c>
      <c r="F1320" s="24">
        <f>especies_ativa_codibama[[#This Row],[Código]]</f>
        <v>35296</v>
      </c>
      <c r="G1320" s="40" t="str">
        <f>especies_ativa_codibama[[#This Row],[Nome popular]]</f>
        <v>---</v>
      </c>
      <c r="H1320" s="40" t="str">
        <f>especies_ativa_codibama[[#This Row],[Nome científico]]</f>
        <v>Eugenia bahiensis</v>
      </c>
    </row>
    <row r="1321" spans="1:8" x14ac:dyDescent="0.25">
      <c r="A1321">
        <v>35309</v>
      </c>
      <c r="B1321" t="s">
        <v>106</v>
      </c>
      <c r="C1321" t="s">
        <v>1840</v>
      </c>
      <c r="D1321" t="s">
        <v>79</v>
      </c>
      <c r="E1321">
        <v>34129</v>
      </c>
      <c r="F1321" s="24">
        <f>especies_ativa_codibama[[#This Row],[Código]]</f>
        <v>35309</v>
      </c>
      <c r="G1321" s="40" t="str">
        <f>especies_ativa_codibama[[#This Row],[Nome popular]]</f>
        <v>---</v>
      </c>
      <c r="H1321" s="40" t="str">
        <f>especies_ativa_codibama[[#This Row],[Nome científico]]</f>
        <v>Campomanesia phaea</v>
      </c>
    </row>
    <row r="1322" spans="1:8" x14ac:dyDescent="0.25">
      <c r="A1322">
        <v>35313</v>
      </c>
      <c r="B1322" t="s">
        <v>106</v>
      </c>
      <c r="C1322" t="s">
        <v>2704</v>
      </c>
      <c r="D1322" t="s">
        <v>79</v>
      </c>
      <c r="E1322">
        <v>1491614</v>
      </c>
      <c r="F1322" s="24">
        <f>especies_ativa_codibama[[#This Row],[Código]]</f>
        <v>35313</v>
      </c>
      <c r="G1322" s="40" t="str">
        <f>especies_ativa_codibama[[#This Row],[Nome popular]]</f>
        <v>---</v>
      </c>
      <c r="H1322" s="40" t="str">
        <f>especies_ativa_codibama[[#This Row],[Nome científico]]</f>
        <v>Myrcia spectabilis</v>
      </c>
    </row>
    <row r="1323" spans="1:8" x14ac:dyDescent="0.25">
      <c r="A1323">
        <v>35318</v>
      </c>
      <c r="B1323" t="s">
        <v>106</v>
      </c>
      <c r="C1323" t="s">
        <v>1841</v>
      </c>
      <c r="D1323" t="s">
        <v>79</v>
      </c>
      <c r="E1323">
        <v>32030</v>
      </c>
      <c r="F1323" s="24">
        <f>especies_ativa_codibama[[#This Row],[Código]]</f>
        <v>35318</v>
      </c>
      <c r="G1323" s="40" t="str">
        <f>especies_ativa_codibama[[#This Row],[Nome popular]]</f>
        <v>---</v>
      </c>
      <c r="H1323" s="40" t="str">
        <f>especies_ativa_codibama[[#This Row],[Nome científico]]</f>
        <v>Myrciaria ferruginea</v>
      </c>
    </row>
    <row r="1324" spans="1:8" x14ac:dyDescent="0.25">
      <c r="A1324">
        <v>35374</v>
      </c>
      <c r="B1324" t="s">
        <v>106</v>
      </c>
      <c r="C1324" t="s">
        <v>1842</v>
      </c>
      <c r="D1324" t="s">
        <v>79</v>
      </c>
      <c r="E1324">
        <v>35234</v>
      </c>
      <c r="F1324" s="24">
        <f>especies_ativa_codibama[[#This Row],[Código]]</f>
        <v>35374</v>
      </c>
      <c r="G1324" s="40" t="str">
        <f>especies_ativa_codibama[[#This Row],[Nome popular]]</f>
        <v>---</v>
      </c>
      <c r="H1324" s="40" t="str">
        <f>especies_ativa_codibama[[#This Row],[Nome científico]]</f>
        <v>Myrciaria strigipes</v>
      </c>
    </row>
    <row r="1325" spans="1:8" x14ac:dyDescent="0.25">
      <c r="A1325">
        <v>35401</v>
      </c>
      <c r="B1325" t="s">
        <v>106</v>
      </c>
      <c r="C1325" t="s">
        <v>1843</v>
      </c>
      <c r="D1325" t="s">
        <v>79</v>
      </c>
      <c r="E1325">
        <v>35394</v>
      </c>
      <c r="F1325" s="24">
        <f>especies_ativa_codibama[[#This Row],[Código]]</f>
        <v>35401</v>
      </c>
      <c r="G1325" s="40" t="str">
        <f>especies_ativa_codibama[[#This Row],[Nome popular]]</f>
        <v>---</v>
      </c>
      <c r="H1325" s="40" t="str">
        <f>especies_ativa_codibama[[#This Row],[Nome científico]]</f>
        <v>Eugenia supraaxillaris</v>
      </c>
    </row>
    <row r="1326" spans="1:8" x14ac:dyDescent="0.25">
      <c r="A1326">
        <v>35409</v>
      </c>
      <c r="B1326" t="s">
        <v>106</v>
      </c>
      <c r="C1326" t="s">
        <v>1844</v>
      </c>
      <c r="D1326" t="s">
        <v>79</v>
      </c>
      <c r="E1326">
        <v>33415</v>
      </c>
      <c r="F1326" s="24">
        <f>especies_ativa_codibama[[#This Row],[Código]]</f>
        <v>35409</v>
      </c>
      <c r="G1326" s="40" t="str">
        <f>especies_ativa_codibama[[#This Row],[Nome popular]]</f>
        <v>---</v>
      </c>
      <c r="H1326" s="40" t="str">
        <f>especies_ativa_codibama[[#This Row],[Nome científico]]</f>
        <v>Eugenia macrantha</v>
      </c>
    </row>
    <row r="1327" spans="1:8" x14ac:dyDescent="0.25">
      <c r="A1327">
        <v>35422</v>
      </c>
      <c r="B1327" t="s">
        <v>106</v>
      </c>
      <c r="C1327" t="s">
        <v>1845</v>
      </c>
      <c r="D1327" t="s">
        <v>196</v>
      </c>
      <c r="E1327">
        <v>32141</v>
      </c>
      <c r="F1327" s="24">
        <f>especies_ativa_codibama[[#This Row],[Código]]</f>
        <v>35422</v>
      </c>
      <c r="G1327" s="40" t="str">
        <f>especies_ativa_codibama[[#This Row],[Nome popular]]</f>
        <v>---</v>
      </c>
      <c r="H1327" s="40" t="str">
        <f>especies_ativa_codibama[[#This Row],[Nome científico]]</f>
        <v>Myrcia reticulata</v>
      </c>
    </row>
    <row r="1328" spans="1:8" x14ac:dyDescent="0.25">
      <c r="A1328">
        <v>35441</v>
      </c>
      <c r="B1328" t="s">
        <v>106</v>
      </c>
      <c r="C1328" t="s">
        <v>1846</v>
      </c>
      <c r="D1328" t="s">
        <v>79</v>
      </c>
      <c r="E1328">
        <v>33094</v>
      </c>
      <c r="F1328" s="24">
        <f>especies_ativa_codibama[[#This Row],[Código]]</f>
        <v>35441</v>
      </c>
      <c r="G1328" s="40" t="str">
        <f>especies_ativa_codibama[[#This Row],[Nome popular]]</f>
        <v>---</v>
      </c>
      <c r="H1328" s="40" t="str">
        <f>especies_ativa_codibama[[#This Row],[Nome científico]]</f>
        <v>Neomitranthes warmingiana</v>
      </c>
    </row>
    <row r="1329" spans="1:8" x14ac:dyDescent="0.25">
      <c r="A1329">
        <v>35445</v>
      </c>
      <c r="B1329" t="s">
        <v>106</v>
      </c>
      <c r="C1329" t="s">
        <v>1847</v>
      </c>
      <c r="D1329" t="s">
        <v>196</v>
      </c>
      <c r="E1329">
        <v>36006</v>
      </c>
      <c r="F1329" s="24">
        <f>especies_ativa_codibama[[#This Row],[Código]]</f>
        <v>35445</v>
      </c>
      <c r="G1329" s="40" t="str">
        <f>especies_ativa_codibama[[#This Row],[Nome popular]]</f>
        <v>---</v>
      </c>
      <c r="H1329" s="40" t="str">
        <f>especies_ativa_codibama[[#This Row],[Nome científico]]</f>
        <v>Eugenia moonioides</v>
      </c>
    </row>
    <row r="1330" spans="1:8" x14ac:dyDescent="0.25">
      <c r="A1330">
        <v>35484</v>
      </c>
      <c r="B1330" t="s">
        <v>1848</v>
      </c>
      <c r="C1330" t="s">
        <v>1849</v>
      </c>
      <c r="D1330" t="s">
        <v>126</v>
      </c>
      <c r="E1330">
        <v>31638</v>
      </c>
      <c r="F1330" s="24">
        <f>especies_ativa_codibama[[#This Row],[Código]]</f>
        <v>35484</v>
      </c>
      <c r="G1330" s="40" t="str">
        <f>especies_ativa_codibama[[#This Row],[Nome popular]]</f>
        <v>Gabiroba</v>
      </c>
      <c r="H1330" s="40" t="str">
        <f>especies_ativa_codibama[[#This Row],[Nome científico]]</f>
        <v>Campomanesia xanthocarpa</v>
      </c>
    </row>
    <row r="1331" spans="1:8" x14ac:dyDescent="0.25">
      <c r="A1331">
        <v>35485</v>
      </c>
      <c r="B1331" t="s">
        <v>1850</v>
      </c>
      <c r="C1331" t="s">
        <v>1851</v>
      </c>
      <c r="D1331" t="s">
        <v>126</v>
      </c>
      <c r="E1331">
        <v>34365</v>
      </c>
      <c r="F1331" s="24">
        <f>especies_ativa_codibama[[#This Row],[Código]]</f>
        <v>35485</v>
      </c>
      <c r="G1331" s="40" t="str">
        <f>especies_ativa_codibama[[#This Row],[Nome popular]]</f>
        <v>goiabinha</v>
      </c>
      <c r="H1331" s="40" t="str">
        <f>especies_ativa_codibama[[#This Row],[Nome científico]]</f>
        <v>Psidium sartorianum</v>
      </c>
    </row>
    <row r="1332" spans="1:8" x14ac:dyDescent="0.25">
      <c r="A1332">
        <v>35487</v>
      </c>
      <c r="B1332" t="s">
        <v>106</v>
      </c>
      <c r="C1332" t="s">
        <v>1852</v>
      </c>
      <c r="D1332" t="s">
        <v>126</v>
      </c>
      <c r="E1332">
        <v>32203</v>
      </c>
      <c r="F1332" s="24">
        <f>especies_ativa_codibama[[#This Row],[Código]]</f>
        <v>35487</v>
      </c>
      <c r="G1332" s="40" t="str">
        <f>especies_ativa_codibama[[#This Row],[Nome popular]]</f>
        <v>---</v>
      </c>
      <c r="H1332" s="40" t="str">
        <f>especies_ativa_codibama[[#This Row],[Nome científico]]</f>
        <v>Myrciaria floribunda</v>
      </c>
    </row>
    <row r="1333" spans="1:8" x14ac:dyDescent="0.25">
      <c r="A1333">
        <v>35488</v>
      </c>
      <c r="B1333" t="s">
        <v>106</v>
      </c>
      <c r="C1333" t="s">
        <v>1853</v>
      </c>
      <c r="D1333" t="s">
        <v>126</v>
      </c>
      <c r="E1333">
        <v>32913</v>
      </c>
      <c r="F1333" s="24">
        <f>especies_ativa_codibama[[#This Row],[Código]]</f>
        <v>35488</v>
      </c>
      <c r="G1333" s="40" t="str">
        <f>especies_ativa_codibama[[#This Row],[Nome popular]]</f>
        <v>---</v>
      </c>
      <c r="H1333" s="40" t="str">
        <f>especies_ativa_codibama[[#This Row],[Nome científico]]</f>
        <v>Campomanesia aromatica</v>
      </c>
    </row>
    <row r="1334" spans="1:8" x14ac:dyDescent="0.25">
      <c r="A1334">
        <v>35489</v>
      </c>
      <c r="B1334" t="s">
        <v>106</v>
      </c>
      <c r="C1334" t="s">
        <v>1854</v>
      </c>
      <c r="D1334" t="s">
        <v>126</v>
      </c>
      <c r="E1334">
        <v>1948163</v>
      </c>
      <c r="F1334" s="24">
        <f>especies_ativa_codibama[[#This Row],[Código]]</f>
        <v>35489</v>
      </c>
      <c r="G1334" s="40" t="str">
        <f>especies_ativa_codibama[[#This Row],[Nome popular]]</f>
        <v>---</v>
      </c>
      <c r="H1334" s="40" t="str">
        <f>especies_ativa_codibama[[#This Row],[Nome científico]]</f>
        <v>Myrcia oblongata</v>
      </c>
    </row>
    <row r="1335" spans="1:8" x14ac:dyDescent="0.25">
      <c r="A1335">
        <v>35490</v>
      </c>
      <c r="B1335" t="s">
        <v>106</v>
      </c>
      <c r="C1335" t="s">
        <v>1855</v>
      </c>
      <c r="D1335" t="s">
        <v>126</v>
      </c>
      <c r="E1335">
        <v>36003</v>
      </c>
      <c r="F1335" s="24">
        <f>especies_ativa_codibama[[#This Row],[Código]]</f>
        <v>35490</v>
      </c>
      <c r="G1335" s="40" t="str">
        <f>especies_ativa_codibama[[#This Row],[Nome popular]]</f>
        <v>---</v>
      </c>
      <c r="H1335" s="40" t="str">
        <f>especies_ativa_codibama[[#This Row],[Nome científico]]</f>
        <v>Eugenia florida</v>
      </c>
    </row>
    <row r="1336" spans="1:8" x14ac:dyDescent="0.25">
      <c r="A1336">
        <v>35492</v>
      </c>
      <c r="B1336" t="s">
        <v>1856</v>
      </c>
      <c r="C1336" t="s">
        <v>1857</v>
      </c>
      <c r="D1336" t="s">
        <v>126</v>
      </c>
      <c r="E1336">
        <v>1589495</v>
      </c>
      <c r="F1336" s="24">
        <f>especies_ativa_codibama[[#This Row],[Código]]</f>
        <v>35492</v>
      </c>
      <c r="G1336" s="40" t="str">
        <f>especies_ativa_codibama[[#This Row],[Nome popular]]</f>
        <v>guamirim-branco, guamirim, cambuí</v>
      </c>
      <c r="H1336" s="40" t="str">
        <f>especies_ativa_codibama[[#This Row],[Nome científico]]</f>
        <v>Myrcia guianensis</v>
      </c>
    </row>
    <row r="1337" spans="1:8" x14ac:dyDescent="0.25">
      <c r="A1337">
        <v>35496</v>
      </c>
      <c r="B1337" t="s">
        <v>106</v>
      </c>
      <c r="C1337" t="s">
        <v>1858</v>
      </c>
      <c r="D1337" t="s">
        <v>126</v>
      </c>
      <c r="E1337">
        <v>35911</v>
      </c>
      <c r="F1337" s="24">
        <f>especies_ativa_codibama[[#This Row],[Código]]</f>
        <v>35496</v>
      </c>
      <c r="G1337" s="40" t="str">
        <f>especies_ativa_codibama[[#This Row],[Nome popular]]</f>
        <v>---</v>
      </c>
      <c r="H1337" s="40" t="str">
        <f>especies_ativa_codibama[[#This Row],[Nome científico]]</f>
        <v>Campomanesia eugenioides</v>
      </c>
    </row>
    <row r="1338" spans="1:8" x14ac:dyDescent="0.25">
      <c r="A1338">
        <v>35497</v>
      </c>
      <c r="B1338" t="s">
        <v>106</v>
      </c>
      <c r="C1338" t="s">
        <v>1859</v>
      </c>
      <c r="D1338" t="s">
        <v>126</v>
      </c>
      <c r="E1338">
        <v>1426990</v>
      </c>
      <c r="F1338" s="24">
        <f>especies_ativa_codibama[[#This Row],[Código]]</f>
        <v>35497</v>
      </c>
      <c r="G1338" s="40" t="str">
        <f>especies_ativa_codibama[[#This Row],[Nome popular]]</f>
        <v>---</v>
      </c>
      <c r="H1338" s="40" t="str">
        <f>especies_ativa_codibama[[#This Row],[Nome científico]]</f>
        <v>Campomanesia sessiliflora</v>
      </c>
    </row>
    <row r="1339" spans="1:8" x14ac:dyDescent="0.25">
      <c r="A1339">
        <v>35498</v>
      </c>
      <c r="B1339" t="s">
        <v>106</v>
      </c>
      <c r="C1339" t="s">
        <v>1860</v>
      </c>
      <c r="D1339" t="s">
        <v>126</v>
      </c>
      <c r="E1339">
        <v>1860042</v>
      </c>
      <c r="F1339" s="24">
        <f>especies_ativa_codibama[[#This Row],[Código]]</f>
        <v>35498</v>
      </c>
      <c r="G1339" s="40" t="str">
        <f>especies_ativa_codibama[[#This Row],[Nome popular]]</f>
        <v>---</v>
      </c>
      <c r="H1339" s="40" t="str">
        <f>especies_ativa_codibama[[#This Row],[Nome científico]]</f>
        <v>Campomanesia pubescens</v>
      </c>
    </row>
    <row r="1340" spans="1:8" x14ac:dyDescent="0.25">
      <c r="A1340">
        <v>35500</v>
      </c>
      <c r="B1340" t="s">
        <v>106</v>
      </c>
      <c r="C1340" t="s">
        <v>1861</v>
      </c>
      <c r="D1340" t="s">
        <v>126</v>
      </c>
      <c r="E1340">
        <v>33568</v>
      </c>
      <c r="F1340" s="24">
        <f>especies_ativa_codibama[[#This Row],[Código]]</f>
        <v>35500</v>
      </c>
      <c r="G1340" s="40" t="str">
        <f>especies_ativa_codibama[[#This Row],[Nome popular]]</f>
        <v>---</v>
      </c>
      <c r="H1340" s="40" t="str">
        <f>especies_ativa_codibama[[#This Row],[Nome científico]]</f>
        <v>Eugenia cerasiflora</v>
      </c>
    </row>
    <row r="1341" spans="1:8" x14ac:dyDescent="0.25">
      <c r="A1341">
        <v>35501</v>
      </c>
      <c r="B1341" t="s">
        <v>106</v>
      </c>
      <c r="C1341" t="s">
        <v>1862</v>
      </c>
      <c r="D1341" t="s">
        <v>126</v>
      </c>
      <c r="E1341">
        <v>35890</v>
      </c>
      <c r="F1341" s="24">
        <f>especies_ativa_codibama[[#This Row],[Código]]</f>
        <v>35501</v>
      </c>
      <c r="G1341" s="40" t="str">
        <f>especies_ativa_codibama[[#This Row],[Nome popular]]</f>
        <v>---</v>
      </c>
      <c r="H1341" s="40" t="str">
        <f>especies_ativa_codibama[[#This Row],[Nome científico]]</f>
        <v>Blepharocalyx salicifolius</v>
      </c>
    </row>
    <row r="1342" spans="1:8" x14ac:dyDescent="0.25">
      <c r="A1342">
        <v>35506</v>
      </c>
      <c r="B1342" t="s">
        <v>106</v>
      </c>
      <c r="C1342" t="s">
        <v>1863</v>
      </c>
      <c r="D1342" t="s">
        <v>126</v>
      </c>
      <c r="E1342">
        <v>33674</v>
      </c>
      <c r="F1342" s="24">
        <f>especies_ativa_codibama[[#This Row],[Código]]</f>
        <v>35506</v>
      </c>
      <c r="G1342" s="40" t="str">
        <f>especies_ativa_codibama[[#This Row],[Nome popular]]</f>
        <v>---</v>
      </c>
      <c r="H1342" s="40" t="str">
        <f>especies_ativa_codibama[[#This Row],[Nome científico]]</f>
        <v>Myrcia venulosa</v>
      </c>
    </row>
    <row r="1343" spans="1:8" x14ac:dyDescent="0.25">
      <c r="A1343">
        <v>35509</v>
      </c>
      <c r="B1343" t="s">
        <v>106</v>
      </c>
      <c r="C1343" t="s">
        <v>1864</v>
      </c>
      <c r="D1343" t="s">
        <v>126</v>
      </c>
      <c r="E1343">
        <v>1491613</v>
      </c>
      <c r="F1343" s="24">
        <f>especies_ativa_codibama[[#This Row],[Código]]</f>
        <v>35509</v>
      </c>
      <c r="G1343" s="40" t="str">
        <f>especies_ativa_codibama[[#This Row],[Nome popular]]</f>
        <v>---</v>
      </c>
      <c r="H1343" s="40" t="str">
        <f>especies_ativa_codibama[[#This Row],[Nome científico]]</f>
        <v>Myrcia variabilis</v>
      </c>
    </row>
    <row r="1344" spans="1:8" x14ac:dyDescent="0.25">
      <c r="A1344">
        <v>35512</v>
      </c>
      <c r="B1344" t="s">
        <v>106</v>
      </c>
      <c r="C1344" t="s">
        <v>1865</v>
      </c>
      <c r="D1344" t="s">
        <v>126</v>
      </c>
      <c r="E1344">
        <v>32571</v>
      </c>
      <c r="F1344" s="24">
        <f>especies_ativa_codibama[[#This Row],[Código]]</f>
        <v>35512</v>
      </c>
      <c r="G1344" s="40" t="str">
        <f>especies_ativa_codibama[[#This Row],[Nome popular]]</f>
        <v>---</v>
      </c>
      <c r="H1344" s="40" t="str">
        <f>especies_ativa_codibama[[#This Row],[Nome científico]]</f>
        <v>Siphoneugena densiflora</v>
      </c>
    </row>
    <row r="1345" spans="1:8" x14ac:dyDescent="0.25">
      <c r="A1345">
        <v>35514</v>
      </c>
      <c r="B1345" t="s">
        <v>106</v>
      </c>
      <c r="C1345" t="s">
        <v>1866</v>
      </c>
      <c r="D1345" t="s">
        <v>126</v>
      </c>
      <c r="E1345">
        <v>32477</v>
      </c>
      <c r="F1345" s="24">
        <f>especies_ativa_codibama[[#This Row],[Código]]</f>
        <v>35514</v>
      </c>
      <c r="G1345" s="40" t="str">
        <f>especies_ativa_codibama[[#This Row],[Nome popular]]</f>
        <v>---</v>
      </c>
      <c r="H1345" s="40" t="str">
        <f>especies_ativa_codibama[[#This Row],[Nome científico]]</f>
        <v>Myrcianthes pungens</v>
      </c>
    </row>
    <row r="1346" spans="1:8" x14ac:dyDescent="0.25">
      <c r="A1346">
        <v>35515</v>
      </c>
      <c r="B1346" t="s">
        <v>106</v>
      </c>
      <c r="C1346" t="s">
        <v>1867</v>
      </c>
      <c r="D1346" t="s">
        <v>126</v>
      </c>
      <c r="E1346">
        <v>32273</v>
      </c>
      <c r="F1346" s="24">
        <f>especies_ativa_codibama[[#This Row],[Código]]</f>
        <v>35515</v>
      </c>
      <c r="G1346" s="40" t="str">
        <f>especies_ativa_codibama[[#This Row],[Nome popular]]</f>
        <v>---</v>
      </c>
      <c r="H1346" s="40" t="str">
        <f>especies_ativa_codibama[[#This Row],[Nome científico]]</f>
        <v>Campomanesia rufa</v>
      </c>
    </row>
    <row r="1347" spans="1:8" x14ac:dyDescent="0.25">
      <c r="A1347">
        <v>35518</v>
      </c>
      <c r="B1347" t="s">
        <v>2705</v>
      </c>
      <c r="C1347" t="s">
        <v>2706</v>
      </c>
      <c r="D1347" t="s">
        <v>38</v>
      </c>
      <c r="E1347">
        <v>1807571</v>
      </c>
      <c r="F1347" s="24">
        <f>especies_ativa_codibama[[#This Row],[Código]]</f>
        <v>35518</v>
      </c>
      <c r="G1347" s="40" t="str">
        <f>especies_ativa_codibama[[#This Row],[Nome popular]]</f>
        <v>araçá</v>
      </c>
      <c r="H1347" s="40" t="str">
        <f>especies_ativa_codibama[[#This Row],[Nome científico]]</f>
        <v>Myrcia amazonica</v>
      </c>
    </row>
    <row r="1348" spans="1:8" x14ac:dyDescent="0.25">
      <c r="A1348">
        <v>35519</v>
      </c>
      <c r="B1348" t="s">
        <v>1868</v>
      </c>
      <c r="C1348" t="s">
        <v>1869</v>
      </c>
      <c r="D1348" t="s">
        <v>38</v>
      </c>
      <c r="E1348">
        <v>35564</v>
      </c>
      <c r="F1348" s="24">
        <f>especies_ativa_codibama[[#This Row],[Código]]</f>
        <v>35519</v>
      </c>
      <c r="G1348" s="40" t="str">
        <f>especies_ativa_codibama[[#This Row],[Nome popular]]</f>
        <v>araçá, araçá-boi, araçá-goiaba, goiabara</v>
      </c>
      <c r="H1348" s="40" t="str">
        <f>especies_ativa_codibama[[#This Row],[Nome científico]]</f>
        <v>Psidium acutangulum</v>
      </c>
    </row>
    <row r="1349" spans="1:8" x14ac:dyDescent="0.25">
      <c r="A1349">
        <v>35524</v>
      </c>
      <c r="B1349" t="s">
        <v>1870</v>
      </c>
      <c r="C1349" t="s">
        <v>1871</v>
      </c>
      <c r="D1349" t="s">
        <v>38</v>
      </c>
      <c r="E1349">
        <v>1681888</v>
      </c>
      <c r="F1349" s="24">
        <f>especies_ativa_codibama[[#This Row],[Código]]</f>
        <v>35524</v>
      </c>
      <c r="G1349" s="40" t="str">
        <f>especies_ativa_codibama[[#This Row],[Nome popular]]</f>
        <v>araçá-da-praia, araçá-mirim, goiabinha</v>
      </c>
      <c r="H1349" s="40" t="str">
        <f>especies_ativa_codibama[[#This Row],[Nome científico]]</f>
        <v>Psidium guineense</v>
      </c>
    </row>
    <row r="1350" spans="1:8" x14ac:dyDescent="0.25">
      <c r="A1350">
        <v>35525</v>
      </c>
      <c r="B1350" t="s">
        <v>1872</v>
      </c>
      <c r="C1350" t="s">
        <v>1873</v>
      </c>
      <c r="D1350" t="s">
        <v>38</v>
      </c>
      <c r="E1350">
        <v>34984</v>
      </c>
      <c r="F1350" s="24">
        <f>especies_ativa_codibama[[#This Row],[Código]]</f>
        <v>35525</v>
      </c>
      <c r="G1350" s="40" t="str">
        <f>especies_ativa_codibama[[#This Row],[Nome popular]]</f>
        <v>Araçá-de-raposa</v>
      </c>
      <c r="H1350" s="40" t="str">
        <f>especies_ativa_codibama[[#This Row],[Nome científico]]</f>
        <v>Psidium riparium</v>
      </c>
    </row>
    <row r="1351" spans="1:8" x14ac:dyDescent="0.25">
      <c r="A1351">
        <v>35526</v>
      </c>
      <c r="B1351" t="s">
        <v>1874</v>
      </c>
      <c r="C1351" t="s">
        <v>1875</v>
      </c>
      <c r="D1351" t="s">
        <v>38</v>
      </c>
      <c r="E1351">
        <v>1727572</v>
      </c>
      <c r="F1351" s="24">
        <f>especies_ativa_codibama[[#This Row],[Código]]</f>
        <v>35526</v>
      </c>
      <c r="G1351" s="40" t="str">
        <f>especies_ativa_codibama[[#This Row],[Nome popular]]</f>
        <v>araçá-pedra</v>
      </c>
      <c r="H1351" s="40" t="str">
        <f>especies_ativa_codibama[[#This Row],[Nome científico]]</f>
        <v>Psidium brownianum</v>
      </c>
    </row>
    <row r="1352" spans="1:8" x14ac:dyDescent="0.25">
      <c r="A1352">
        <v>35529</v>
      </c>
      <c r="B1352" t="s">
        <v>1876</v>
      </c>
      <c r="C1352" t="s">
        <v>1877</v>
      </c>
      <c r="D1352" t="s">
        <v>38</v>
      </c>
      <c r="E1352">
        <v>33569</v>
      </c>
      <c r="F1352" s="24">
        <f>especies_ativa_codibama[[#This Row],[Código]]</f>
        <v>35529</v>
      </c>
      <c r="G1352" s="40" t="str">
        <f>especies_ativa_codibama[[#This Row],[Nome popular]]</f>
        <v>Cagaita, Cagaiteira</v>
      </c>
      <c r="H1352" s="40" t="str">
        <f>especies_ativa_codibama[[#This Row],[Nome científico]]</f>
        <v>Eugenia dysenterica</v>
      </c>
    </row>
    <row r="1353" spans="1:8" x14ac:dyDescent="0.25">
      <c r="A1353">
        <v>35530</v>
      </c>
      <c r="B1353" t="s">
        <v>1878</v>
      </c>
      <c r="C1353" t="s">
        <v>1879</v>
      </c>
      <c r="D1353" t="s">
        <v>38</v>
      </c>
      <c r="E1353">
        <v>34983</v>
      </c>
      <c r="F1353" s="24">
        <f>especies_ativa_codibama[[#This Row],[Código]]</f>
        <v>35530</v>
      </c>
      <c r="G1353" s="40" t="str">
        <f>especies_ativa_codibama[[#This Row],[Nome popular]]</f>
        <v>goiaba</v>
      </c>
      <c r="H1353" s="40" t="str">
        <f>especies_ativa_codibama[[#This Row],[Nome científico]]</f>
        <v>Psidium guajava</v>
      </c>
    </row>
    <row r="1354" spans="1:8" x14ac:dyDescent="0.25">
      <c r="A1354">
        <v>35531</v>
      </c>
      <c r="B1354" t="s">
        <v>2707</v>
      </c>
      <c r="C1354" t="s">
        <v>1880</v>
      </c>
      <c r="D1354" t="s">
        <v>38</v>
      </c>
      <c r="E1354">
        <v>1584860</v>
      </c>
      <c r="F1354" s="24">
        <f>especies_ativa_codibama[[#This Row],[Código]]</f>
        <v>35531</v>
      </c>
      <c r="G1354" s="40" t="str">
        <f>especies_ativa_codibama[[#This Row],[Nome popular]]</f>
        <v>Guaquica, Ibá-cuÃ­ca</v>
      </c>
      <c r="H1354" s="40" t="str">
        <f>especies_ativa_codibama[[#This Row],[Nome científico]]</f>
        <v>Myrciaria guaquiea</v>
      </c>
    </row>
    <row r="1355" spans="1:8" x14ac:dyDescent="0.25">
      <c r="A1355">
        <v>35536</v>
      </c>
      <c r="B1355" t="s">
        <v>106</v>
      </c>
      <c r="C1355" t="s">
        <v>1881</v>
      </c>
      <c r="D1355" t="s">
        <v>38</v>
      </c>
      <c r="E1355">
        <v>1425252</v>
      </c>
      <c r="F1355" s="24">
        <f>especies_ativa_codibama[[#This Row],[Código]]</f>
        <v>35536</v>
      </c>
      <c r="G1355" s="40" t="str">
        <f>especies_ativa_codibama[[#This Row],[Nome popular]]</f>
        <v>---</v>
      </c>
      <c r="H1355" s="40" t="str">
        <f>especies_ativa_codibama[[#This Row],[Nome científico]]</f>
        <v>Psidium myrsinites</v>
      </c>
    </row>
    <row r="1356" spans="1:8" x14ac:dyDescent="0.25">
      <c r="A1356">
        <v>35539</v>
      </c>
      <c r="B1356" t="s">
        <v>106</v>
      </c>
      <c r="C1356" t="s">
        <v>1882</v>
      </c>
      <c r="D1356" t="s">
        <v>38</v>
      </c>
      <c r="E1356">
        <v>1873688</v>
      </c>
      <c r="F1356" s="24">
        <f>especies_ativa_codibama[[#This Row],[Código]]</f>
        <v>35539</v>
      </c>
      <c r="G1356" s="40" t="str">
        <f>especies_ativa_codibama[[#This Row],[Nome popular]]</f>
        <v>---</v>
      </c>
      <c r="H1356" s="40" t="str">
        <f>especies_ativa_codibama[[#This Row],[Nome científico]]</f>
        <v>Eugenia vetula</v>
      </c>
    </row>
    <row r="1357" spans="1:8" x14ac:dyDescent="0.25">
      <c r="A1357">
        <v>35545</v>
      </c>
      <c r="B1357" t="s">
        <v>106</v>
      </c>
      <c r="C1357" t="s">
        <v>1883</v>
      </c>
      <c r="D1357" t="s">
        <v>38</v>
      </c>
      <c r="E1357">
        <v>1918694</v>
      </c>
      <c r="F1357" s="24">
        <f>especies_ativa_codibama[[#This Row],[Código]]</f>
        <v>35545</v>
      </c>
      <c r="G1357" s="40" t="str">
        <f>especies_ativa_codibama[[#This Row],[Nome popular]]</f>
        <v>---</v>
      </c>
      <c r="H1357" s="40" t="str">
        <f>especies_ativa_codibama[[#This Row],[Nome científico]]</f>
        <v>Eugenia candolleana</v>
      </c>
    </row>
    <row r="1358" spans="1:8" x14ac:dyDescent="0.25">
      <c r="A1358">
        <v>35547</v>
      </c>
      <c r="B1358" t="s">
        <v>106</v>
      </c>
      <c r="C1358" t="s">
        <v>1884</v>
      </c>
      <c r="D1358" t="s">
        <v>38</v>
      </c>
      <c r="E1358">
        <v>32100</v>
      </c>
      <c r="F1358" s="24">
        <f>especies_ativa_codibama[[#This Row],[Código]]</f>
        <v>35547</v>
      </c>
      <c r="G1358" s="40" t="str">
        <f>especies_ativa_codibama[[#This Row],[Nome popular]]</f>
        <v>---</v>
      </c>
      <c r="H1358" s="40" t="str">
        <f>especies_ativa_codibama[[#This Row],[Nome científico]]</f>
        <v>Psidium myrtoides</v>
      </c>
    </row>
    <row r="1359" spans="1:8" x14ac:dyDescent="0.25">
      <c r="A1359">
        <v>35548</v>
      </c>
      <c r="B1359" t="s">
        <v>106</v>
      </c>
      <c r="C1359" t="s">
        <v>1885</v>
      </c>
      <c r="D1359" t="s">
        <v>38</v>
      </c>
      <c r="E1359">
        <v>35735</v>
      </c>
      <c r="F1359" s="24">
        <f>especies_ativa_codibama[[#This Row],[Código]]</f>
        <v>35548</v>
      </c>
      <c r="G1359" s="40" t="str">
        <f>especies_ativa_codibama[[#This Row],[Nome popular]]</f>
        <v>---</v>
      </c>
      <c r="H1359" s="40" t="str">
        <f>especies_ativa_codibama[[#This Row],[Nome científico]]</f>
        <v>Campomanesia velutina</v>
      </c>
    </row>
    <row r="1360" spans="1:8" x14ac:dyDescent="0.25">
      <c r="A1360">
        <v>35549</v>
      </c>
      <c r="B1360" t="s">
        <v>106</v>
      </c>
      <c r="C1360" t="s">
        <v>1886</v>
      </c>
      <c r="D1360" t="s">
        <v>38</v>
      </c>
      <c r="E1360">
        <v>34218</v>
      </c>
      <c r="F1360" s="24">
        <f>especies_ativa_codibama[[#This Row],[Código]]</f>
        <v>35549</v>
      </c>
      <c r="G1360" s="40" t="str">
        <f>especies_ativa_codibama[[#This Row],[Nome popular]]</f>
        <v>---</v>
      </c>
      <c r="H1360" s="40" t="str">
        <f>especies_ativa_codibama[[#This Row],[Nome científico]]</f>
        <v>Eugenia sonderiana</v>
      </c>
    </row>
    <row r="1361" spans="1:8" x14ac:dyDescent="0.25">
      <c r="A1361">
        <v>35550</v>
      </c>
      <c r="B1361" t="s">
        <v>106</v>
      </c>
      <c r="C1361" t="s">
        <v>1887</v>
      </c>
      <c r="D1361" t="s">
        <v>38</v>
      </c>
      <c r="E1361">
        <v>1866304</v>
      </c>
      <c r="F1361" s="24">
        <f>especies_ativa_codibama[[#This Row],[Código]]</f>
        <v>35550</v>
      </c>
      <c r="G1361" s="40" t="str">
        <f>especies_ativa_codibama[[#This Row],[Nome popular]]</f>
        <v>---</v>
      </c>
      <c r="H1361" s="40" t="str">
        <f>especies_ativa_codibama[[#This Row],[Nome científico]]</f>
        <v>Myrcia polyantha</v>
      </c>
    </row>
    <row r="1362" spans="1:8" x14ac:dyDescent="0.25">
      <c r="A1362">
        <v>35551</v>
      </c>
      <c r="B1362" t="s">
        <v>106</v>
      </c>
      <c r="C1362" t="s">
        <v>1888</v>
      </c>
      <c r="D1362" t="s">
        <v>38</v>
      </c>
      <c r="E1362">
        <v>34923</v>
      </c>
      <c r="F1362" s="24">
        <f>especies_ativa_codibama[[#This Row],[Código]]</f>
        <v>35551</v>
      </c>
      <c r="G1362" s="40" t="str">
        <f>especies_ativa_codibama[[#This Row],[Nome popular]]</f>
        <v>---</v>
      </c>
      <c r="H1362" s="40" t="str">
        <f>especies_ativa_codibama[[#This Row],[Nome científico]]</f>
        <v>Myrcia mutabilis</v>
      </c>
    </row>
    <row r="1363" spans="1:8" x14ac:dyDescent="0.25">
      <c r="A1363">
        <v>35562</v>
      </c>
      <c r="B1363" t="s">
        <v>106</v>
      </c>
      <c r="C1363" t="s">
        <v>1889</v>
      </c>
      <c r="D1363" t="s">
        <v>38</v>
      </c>
      <c r="E1363">
        <v>33573</v>
      </c>
      <c r="F1363" s="24">
        <f>especies_ativa_codibama[[#This Row],[Código]]</f>
        <v>35562</v>
      </c>
      <c r="G1363" s="40" t="str">
        <f>especies_ativa_codibama[[#This Row],[Nome popular]]</f>
        <v>---</v>
      </c>
      <c r="H1363" s="40" t="str">
        <f>especies_ativa_codibama[[#This Row],[Nome científico]]</f>
        <v>Eugenia luschnathiana</v>
      </c>
    </row>
    <row r="1364" spans="1:8" x14ac:dyDescent="0.25">
      <c r="A1364">
        <v>35568</v>
      </c>
      <c r="B1364" t="s">
        <v>106</v>
      </c>
      <c r="C1364" t="s">
        <v>2708</v>
      </c>
      <c r="D1364" t="s">
        <v>38</v>
      </c>
      <c r="E1364">
        <v>1588440</v>
      </c>
      <c r="F1364" s="24">
        <f>especies_ativa_codibama[[#This Row],[Código]]</f>
        <v>35568</v>
      </c>
      <c r="G1364" s="40" t="str">
        <f>especies_ativa_codibama[[#This Row],[Nome popular]]</f>
        <v>---</v>
      </c>
      <c r="H1364" s="40" t="str">
        <f>especies_ativa_codibama[[#This Row],[Nome científico]]</f>
        <v>Myrcia racemosa</v>
      </c>
    </row>
    <row r="1365" spans="1:8" x14ac:dyDescent="0.25">
      <c r="A1365">
        <v>35569</v>
      </c>
      <c r="B1365" t="s">
        <v>106</v>
      </c>
      <c r="C1365" t="s">
        <v>1890</v>
      </c>
      <c r="D1365" t="s">
        <v>38</v>
      </c>
      <c r="E1365">
        <v>34364</v>
      </c>
      <c r="F1365" s="24">
        <f>especies_ativa_codibama[[#This Row],[Código]]</f>
        <v>35569</v>
      </c>
      <c r="G1365" s="40" t="str">
        <f>especies_ativa_codibama[[#This Row],[Nome popular]]</f>
        <v>---</v>
      </c>
      <c r="H1365" s="40" t="str">
        <f>especies_ativa_codibama[[#This Row],[Nome científico]]</f>
        <v>Psidium rufum</v>
      </c>
    </row>
    <row r="1366" spans="1:8" x14ac:dyDescent="0.25">
      <c r="A1366">
        <v>35570</v>
      </c>
      <c r="B1366" t="s">
        <v>106</v>
      </c>
      <c r="C1366" t="s">
        <v>1891</v>
      </c>
      <c r="D1366" t="s">
        <v>38</v>
      </c>
      <c r="E1366">
        <v>32511</v>
      </c>
      <c r="F1366" s="24">
        <f>especies_ativa_codibama[[#This Row],[Código]]</f>
        <v>35570</v>
      </c>
      <c r="G1366" s="40" t="str">
        <f>especies_ativa_codibama[[#This Row],[Nome popular]]</f>
        <v>---</v>
      </c>
      <c r="H1366" s="40" t="str">
        <f>especies_ativa_codibama[[#This Row],[Nome científico]]</f>
        <v>Pimenta pseudocaryophyllus</v>
      </c>
    </row>
    <row r="1367" spans="1:8" x14ac:dyDescent="0.25">
      <c r="A1367">
        <v>35572</v>
      </c>
      <c r="B1367" t="s">
        <v>106</v>
      </c>
      <c r="C1367" t="s">
        <v>1892</v>
      </c>
      <c r="D1367" t="s">
        <v>38</v>
      </c>
      <c r="E1367">
        <v>34925</v>
      </c>
      <c r="F1367" s="24">
        <f>especies_ativa_codibama[[#This Row],[Código]]</f>
        <v>35572</v>
      </c>
      <c r="G1367" s="40" t="str">
        <f>especies_ativa_codibama[[#This Row],[Nome popular]]</f>
        <v>---</v>
      </c>
      <c r="H1367" s="40" t="str">
        <f>especies_ativa_codibama[[#This Row],[Nome científico]]</f>
        <v>Myrciaria glanduliflora</v>
      </c>
    </row>
    <row r="1368" spans="1:8" x14ac:dyDescent="0.25">
      <c r="A1368">
        <v>35575</v>
      </c>
      <c r="B1368" t="s">
        <v>130</v>
      </c>
      <c r="C1368" t="s">
        <v>2709</v>
      </c>
      <c r="D1368" t="s">
        <v>38</v>
      </c>
      <c r="E1368">
        <v>1427549</v>
      </c>
      <c r="F1368" s="24">
        <f>especies_ativa_codibama[[#This Row],[Código]]</f>
        <v>35575</v>
      </c>
      <c r="G1368" s="40" t="str">
        <f>especies_ativa_codibama[[#This Row],[Nome popular]]</f>
        <v>Guamirim</v>
      </c>
      <c r="H1368" s="40" t="str">
        <f>especies_ativa_codibama[[#This Row],[Nome científico]]</f>
        <v>Myrcia eximia</v>
      </c>
    </row>
    <row r="1369" spans="1:8" x14ac:dyDescent="0.25">
      <c r="A1369">
        <v>35578</v>
      </c>
      <c r="B1369" t="s">
        <v>106</v>
      </c>
      <c r="C1369" t="s">
        <v>1893</v>
      </c>
      <c r="D1369" t="s">
        <v>38</v>
      </c>
      <c r="E1369">
        <v>1723750</v>
      </c>
      <c r="F1369" s="24">
        <f>especies_ativa_codibama[[#This Row],[Código]]</f>
        <v>35578</v>
      </c>
      <c r="G1369" s="40" t="str">
        <f>especies_ativa_codibama[[#This Row],[Nome popular]]</f>
        <v>---</v>
      </c>
      <c r="H1369" s="40" t="str">
        <f>especies_ativa_codibama[[#This Row],[Nome científico]]</f>
        <v>Eugenia modesta</v>
      </c>
    </row>
    <row r="1370" spans="1:8" x14ac:dyDescent="0.25">
      <c r="A1370">
        <v>35579</v>
      </c>
      <c r="B1370" t="s">
        <v>130</v>
      </c>
      <c r="C1370" t="s">
        <v>2710</v>
      </c>
      <c r="D1370" t="s">
        <v>38</v>
      </c>
      <c r="E1370">
        <v>1860983</v>
      </c>
      <c r="F1370" s="24">
        <f>especies_ativa_codibama[[#This Row],[Código]]</f>
        <v>35579</v>
      </c>
      <c r="G1370" s="40" t="str">
        <f>especies_ativa_codibama[[#This Row],[Nome popular]]</f>
        <v>Guamirim</v>
      </c>
      <c r="H1370" s="40" t="str">
        <f>especies_ativa_codibama[[#This Row],[Nome científico]]</f>
        <v>Eugenia francavilleana</v>
      </c>
    </row>
    <row r="1371" spans="1:8" x14ac:dyDescent="0.25">
      <c r="A1371">
        <v>35594</v>
      </c>
      <c r="B1371" t="s">
        <v>106</v>
      </c>
      <c r="C1371" t="s">
        <v>2711</v>
      </c>
      <c r="D1371" t="s">
        <v>38</v>
      </c>
      <c r="E1371">
        <v>1727275</v>
      </c>
      <c r="F1371" s="24">
        <f>especies_ativa_codibama[[#This Row],[Código]]</f>
        <v>35594</v>
      </c>
      <c r="G1371" s="40" t="str">
        <f>especies_ativa_codibama[[#This Row],[Nome popular]]</f>
        <v>---</v>
      </c>
      <c r="H1371" s="40" t="str">
        <f>especies_ativa_codibama[[#This Row],[Nome científico]]</f>
        <v>Myrcia retorta</v>
      </c>
    </row>
    <row r="1372" spans="1:8" x14ac:dyDescent="0.25">
      <c r="A1372">
        <v>35605</v>
      </c>
      <c r="B1372" t="s">
        <v>106</v>
      </c>
      <c r="C1372" t="s">
        <v>1894</v>
      </c>
      <c r="D1372" t="s">
        <v>38</v>
      </c>
      <c r="E1372">
        <v>33957</v>
      </c>
      <c r="F1372" s="24">
        <f>especies_ativa_codibama[[#This Row],[Código]]</f>
        <v>35605</v>
      </c>
      <c r="G1372" s="40" t="str">
        <f>especies_ativa_codibama[[#This Row],[Nome popular]]</f>
        <v>---</v>
      </c>
      <c r="H1372" s="40" t="str">
        <f>especies_ativa_codibama[[#This Row],[Nome científico]]</f>
        <v>Eugenia patrisii</v>
      </c>
    </row>
    <row r="1373" spans="1:8" x14ac:dyDescent="0.25">
      <c r="A1373">
        <v>35616</v>
      </c>
      <c r="B1373" t="s">
        <v>106</v>
      </c>
      <c r="C1373" t="s">
        <v>1895</v>
      </c>
      <c r="D1373" t="s">
        <v>38</v>
      </c>
      <c r="E1373">
        <v>33088</v>
      </c>
      <c r="F1373" s="24">
        <f>especies_ativa_codibama[[#This Row],[Código]]</f>
        <v>35616</v>
      </c>
      <c r="G1373" s="40" t="str">
        <f>especies_ativa_codibama[[#This Row],[Nome popular]]</f>
        <v>---</v>
      </c>
      <c r="H1373" s="40" t="str">
        <f>especies_ativa_codibama[[#This Row],[Nome científico]]</f>
        <v>Myrcia paivae</v>
      </c>
    </row>
    <row r="1374" spans="1:8" x14ac:dyDescent="0.25">
      <c r="A1374">
        <v>35623</v>
      </c>
      <c r="B1374" t="s">
        <v>106</v>
      </c>
      <c r="C1374" t="s">
        <v>1896</v>
      </c>
      <c r="D1374" t="s">
        <v>38</v>
      </c>
      <c r="E1374">
        <v>32730</v>
      </c>
      <c r="F1374" s="24">
        <f>especies_ativa_codibama[[#This Row],[Código]]</f>
        <v>35623</v>
      </c>
      <c r="G1374" s="40" t="str">
        <f>especies_ativa_codibama[[#This Row],[Nome popular]]</f>
        <v>---</v>
      </c>
      <c r="H1374" s="40" t="str">
        <f>especies_ativa_codibama[[#This Row],[Nome científico]]</f>
        <v>Myrcia multiflora</v>
      </c>
    </row>
    <row r="1375" spans="1:8" x14ac:dyDescent="0.25">
      <c r="A1375">
        <v>35625</v>
      </c>
      <c r="B1375" t="s">
        <v>106</v>
      </c>
      <c r="C1375" t="s">
        <v>1897</v>
      </c>
      <c r="D1375" t="s">
        <v>38</v>
      </c>
      <c r="E1375">
        <v>36004</v>
      </c>
      <c r="F1375" s="24">
        <f>especies_ativa_codibama[[#This Row],[Código]]</f>
        <v>35625</v>
      </c>
      <c r="G1375" s="40" t="str">
        <f>especies_ativa_codibama[[#This Row],[Nome popular]]</f>
        <v>---</v>
      </c>
      <c r="H1375" s="40" t="str">
        <f>especies_ativa_codibama[[#This Row],[Nome científico]]</f>
        <v>Eugenia ligustrina</v>
      </c>
    </row>
    <row r="1376" spans="1:8" x14ac:dyDescent="0.25">
      <c r="A1376">
        <v>35627</v>
      </c>
      <c r="B1376" t="s">
        <v>106</v>
      </c>
      <c r="C1376" t="s">
        <v>1898</v>
      </c>
      <c r="D1376" t="s">
        <v>38</v>
      </c>
      <c r="E1376">
        <v>35503</v>
      </c>
      <c r="F1376" s="24">
        <f>especies_ativa_codibama[[#This Row],[Código]]</f>
        <v>35627</v>
      </c>
      <c r="G1376" s="40" t="str">
        <f>especies_ativa_codibama[[#This Row],[Nome popular]]</f>
        <v>---</v>
      </c>
      <c r="H1376" s="40" t="str">
        <f>especies_ativa_codibama[[#This Row],[Nome científico]]</f>
        <v>Myrcia tomentosa</v>
      </c>
    </row>
    <row r="1377" spans="1:8" x14ac:dyDescent="0.25">
      <c r="A1377">
        <v>35628</v>
      </c>
      <c r="B1377" t="s">
        <v>106</v>
      </c>
      <c r="C1377" t="s">
        <v>1899</v>
      </c>
      <c r="D1377" t="s">
        <v>38</v>
      </c>
      <c r="E1377">
        <v>33356</v>
      </c>
      <c r="F1377" s="24">
        <f>especies_ativa_codibama[[#This Row],[Código]]</f>
        <v>35628</v>
      </c>
      <c r="G1377" s="40" t="str">
        <f>especies_ativa_codibama[[#This Row],[Nome popular]]</f>
        <v>---</v>
      </c>
      <c r="H1377" s="40" t="str">
        <f>especies_ativa_codibama[[#This Row],[Nome científico]]</f>
        <v>Plinia rivularis</v>
      </c>
    </row>
    <row r="1378" spans="1:8" x14ac:dyDescent="0.25">
      <c r="A1378">
        <v>35630</v>
      </c>
      <c r="B1378" t="s">
        <v>106</v>
      </c>
      <c r="C1378" t="s">
        <v>1900</v>
      </c>
      <c r="D1378" t="s">
        <v>38</v>
      </c>
      <c r="E1378">
        <v>32723</v>
      </c>
      <c r="F1378" s="24">
        <f>especies_ativa_codibama[[#This Row],[Código]]</f>
        <v>35630</v>
      </c>
      <c r="G1378" s="40" t="str">
        <f>especies_ativa_codibama[[#This Row],[Nome popular]]</f>
        <v>---</v>
      </c>
      <c r="H1378" s="40" t="str">
        <f>especies_ativa_codibama[[#This Row],[Nome científico]]</f>
        <v>Eugenia lambertiana</v>
      </c>
    </row>
    <row r="1379" spans="1:8" x14ac:dyDescent="0.25">
      <c r="A1379">
        <v>35633</v>
      </c>
      <c r="B1379" t="s">
        <v>106</v>
      </c>
      <c r="C1379" t="s">
        <v>1901</v>
      </c>
      <c r="D1379" t="s">
        <v>38</v>
      </c>
      <c r="E1379">
        <v>34919</v>
      </c>
      <c r="F1379" s="24">
        <f>especies_ativa_codibama[[#This Row],[Código]]</f>
        <v>35633</v>
      </c>
      <c r="G1379" s="40" t="str">
        <f>especies_ativa_codibama[[#This Row],[Nome popular]]</f>
        <v>---</v>
      </c>
      <c r="H1379" s="40" t="str">
        <f>especies_ativa_codibama[[#This Row],[Nome científico]]</f>
        <v>Myrcia bracteata</v>
      </c>
    </row>
    <row r="1380" spans="1:8" x14ac:dyDescent="0.25">
      <c r="A1380">
        <v>35638</v>
      </c>
      <c r="B1380" t="s">
        <v>106</v>
      </c>
      <c r="C1380" t="s">
        <v>1902</v>
      </c>
      <c r="D1380" t="s">
        <v>38</v>
      </c>
      <c r="E1380">
        <v>32698</v>
      </c>
      <c r="F1380" s="24">
        <f>especies_ativa_codibama[[#This Row],[Código]]</f>
        <v>35638</v>
      </c>
      <c r="G1380" s="40" t="str">
        <f>especies_ativa_codibama[[#This Row],[Nome popular]]</f>
        <v>---</v>
      </c>
      <c r="H1380" s="40" t="str">
        <f>especies_ativa_codibama[[#This Row],[Nome científico]]</f>
        <v>Myrcia deflexa</v>
      </c>
    </row>
    <row r="1381" spans="1:8" x14ac:dyDescent="0.25">
      <c r="A1381">
        <v>35641</v>
      </c>
      <c r="B1381" t="s">
        <v>106</v>
      </c>
      <c r="C1381" t="s">
        <v>1903</v>
      </c>
      <c r="D1381" t="s">
        <v>38</v>
      </c>
      <c r="E1381">
        <v>1724521</v>
      </c>
      <c r="F1381" s="24">
        <f>especies_ativa_codibama[[#This Row],[Código]]</f>
        <v>35641</v>
      </c>
      <c r="G1381" s="40" t="str">
        <f>especies_ativa_codibama[[#This Row],[Nome popular]]</f>
        <v>---</v>
      </c>
      <c r="H1381" s="40" t="str">
        <f>especies_ativa_codibama[[#This Row],[Nome científico]]</f>
        <v>Syzygium cumini</v>
      </c>
    </row>
    <row r="1382" spans="1:8" x14ac:dyDescent="0.25">
      <c r="A1382">
        <v>35643</v>
      </c>
      <c r="B1382" t="s">
        <v>106</v>
      </c>
      <c r="C1382" t="s">
        <v>1904</v>
      </c>
      <c r="D1382" t="s">
        <v>38</v>
      </c>
      <c r="E1382">
        <v>32272</v>
      </c>
      <c r="F1382" s="24">
        <f>especies_ativa_codibama[[#This Row],[Código]]</f>
        <v>35643</v>
      </c>
      <c r="G1382" s="40" t="str">
        <f>especies_ativa_codibama[[#This Row],[Nome popular]]</f>
        <v>---</v>
      </c>
      <c r="H1382" s="40" t="str">
        <f>especies_ativa_codibama[[#This Row],[Nome científico]]</f>
        <v>Calyptranthes lucida</v>
      </c>
    </row>
    <row r="1383" spans="1:8" x14ac:dyDescent="0.25">
      <c r="A1383">
        <v>35645</v>
      </c>
      <c r="B1383" t="s">
        <v>106</v>
      </c>
      <c r="C1383" t="s">
        <v>1905</v>
      </c>
      <c r="D1383" t="s">
        <v>38</v>
      </c>
      <c r="E1383">
        <v>1584861</v>
      </c>
      <c r="F1383" s="24">
        <f>especies_ativa_codibama[[#This Row],[Código]]</f>
        <v>35645</v>
      </c>
      <c r="G1383" s="40" t="str">
        <f>especies_ativa_codibama[[#This Row],[Nome popular]]</f>
        <v>---</v>
      </c>
      <c r="H1383" s="40" t="str">
        <f>especies_ativa_codibama[[#This Row],[Nome científico]]</f>
        <v>Eugenia bimarginata</v>
      </c>
    </row>
    <row r="1384" spans="1:8" x14ac:dyDescent="0.25">
      <c r="A1384">
        <v>35648</v>
      </c>
      <c r="B1384" t="s">
        <v>106</v>
      </c>
      <c r="C1384" t="s">
        <v>1906</v>
      </c>
      <c r="D1384" t="s">
        <v>38</v>
      </c>
      <c r="E1384">
        <v>34127</v>
      </c>
      <c r="F1384" s="24">
        <f>especies_ativa_codibama[[#This Row],[Código]]</f>
        <v>35648</v>
      </c>
      <c r="G1384" s="40" t="str">
        <f>especies_ativa_codibama[[#This Row],[Nome popular]]</f>
        <v>---</v>
      </c>
      <c r="H1384" s="40" t="str">
        <f>especies_ativa_codibama[[#This Row],[Nome científico]]</f>
        <v>Campomanesia guazumifolia</v>
      </c>
    </row>
    <row r="1385" spans="1:8" x14ac:dyDescent="0.25">
      <c r="A1385">
        <v>35653</v>
      </c>
      <c r="B1385" t="s">
        <v>106</v>
      </c>
      <c r="C1385" t="s">
        <v>1907</v>
      </c>
      <c r="D1385" t="s">
        <v>38</v>
      </c>
      <c r="E1385">
        <v>1892379</v>
      </c>
      <c r="F1385" s="24">
        <f>especies_ativa_codibama[[#This Row],[Código]]</f>
        <v>35653</v>
      </c>
      <c r="G1385" s="40" t="str">
        <f>especies_ativa_codibama[[#This Row],[Nome popular]]</f>
        <v>---</v>
      </c>
      <c r="H1385" s="40" t="str">
        <f>especies_ativa_codibama[[#This Row],[Nome científico]]</f>
        <v>Myrcia bella</v>
      </c>
    </row>
    <row r="1386" spans="1:8" x14ac:dyDescent="0.25">
      <c r="A1386">
        <v>35659</v>
      </c>
      <c r="B1386" t="s">
        <v>106</v>
      </c>
      <c r="C1386" t="s">
        <v>1908</v>
      </c>
      <c r="D1386" t="s">
        <v>38</v>
      </c>
      <c r="E1386">
        <v>35125</v>
      </c>
      <c r="F1386" s="24">
        <f>especies_ativa_codibama[[#This Row],[Código]]</f>
        <v>35659</v>
      </c>
      <c r="G1386" s="40" t="str">
        <f>especies_ativa_codibama[[#This Row],[Nome popular]]</f>
        <v>---</v>
      </c>
      <c r="H1386" s="40" t="str">
        <f>especies_ativa_codibama[[#This Row],[Nome científico]]</f>
        <v>Eugenia myrcianthes</v>
      </c>
    </row>
    <row r="1387" spans="1:8" x14ac:dyDescent="0.25">
      <c r="A1387">
        <v>35661</v>
      </c>
      <c r="B1387" t="s">
        <v>106</v>
      </c>
      <c r="C1387" t="s">
        <v>1909</v>
      </c>
      <c r="D1387" t="s">
        <v>38</v>
      </c>
      <c r="E1387">
        <v>34215</v>
      </c>
      <c r="F1387" s="24">
        <f>especies_ativa_codibama[[#This Row],[Código]]</f>
        <v>35661</v>
      </c>
      <c r="G1387" s="40" t="str">
        <f>especies_ativa_codibama[[#This Row],[Nome popular]]</f>
        <v>---</v>
      </c>
      <c r="H1387" s="40" t="str">
        <f>especies_ativa_codibama[[#This Row],[Nome científico]]</f>
        <v>Eugenia involucrata</v>
      </c>
    </row>
    <row r="1388" spans="1:8" x14ac:dyDescent="0.25">
      <c r="A1388">
        <v>35662</v>
      </c>
      <c r="B1388" t="s">
        <v>106</v>
      </c>
      <c r="C1388" t="s">
        <v>1910</v>
      </c>
      <c r="D1388" t="s">
        <v>38</v>
      </c>
      <c r="E1388">
        <v>32376</v>
      </c>
      <c r="F1388" s="24">
        <f>especies_ativa_codibama[[#This Row],[Código]]</f>
        <v>35662</v>
      </c>
      <c r="G1388" s="40" t="str">
        <f>especies_ativa_codibama[[#This Row],[Nome popular]]</f>
        <v>---</v>
      </c>
      <c r="H1388" s="40" t="str">
        <f>especies_ativa_codibama[[#This Row],[Nome científico]]</f>
        <v>Eugenia pyriformis</v>
      </c>
    </row>
    <row r="1389" spans="1:8" x14ac:dyDescent="0.25">
      <c r="A1389">
        <v>35666</v>
      </c>
      <c r="B1389" t="s">
        <v>106</v>
      </c>
      <c r="C1389" t="s">
        <v>1911</v>
      </c>
      <c r="D1389" t="s">
        <v>38</v>
      </c>
      <c r="E1389">
        <v>1727263</v>
      </c>
      <c r="F1389" s="24">
        <f>especies_ativa_codibama[[#This Row],[Código]]</f>
        <v>35666</v>
      </c>
      <c r="G1389" s="40" t="str">
        <f>especies_ativa_codibama[[#This Row],[Nome popular]]</f>
        <v>---</v>
      </c>
      <c r="H1389" s="40" t="str">
        <f>especies_ativa_codibama[[#This Row],[Nome científico]]</f>
        <v>Myrcia fenzliana</v>
      </c>
    </row>
    <row r="1390" spans="1:8" x14ac:dyDescent="0.25">
      <c r="A1390">
        <v>35679</v>
      </c>
      <c r="B1390" t="s">
        <v>106</v>
      </c>
      <c r="C1390" t="s">
        <v>132</v>
      </c>
      <c r="D1390" t="s">
        <v>38</v>
      </c>
      <c r="E1390">
        <v>1802859</v>
      </c>
      <c r="F1390" s="24">
        <f>especies_ativa_codibama[[#This Row],[Código]]</f>
        <v>35679</v>
      </c>
      <c r="G1390" s="40" t="str">
        <f>especies_ativa_codibama[[#This Row],[Nome popular]]</f>
        <v>---</v>
      </c>
      <c r="H1390" s="40" t="str">
        <f>especies_ativa_codibama[[#This Row],[Nome científico]]</f>
        <v>Myrcia splendens</v>
      </c>
    </row>
    <row r="1391" spans="1:8" x14ac:dyDescent="0.25">
      <c r="A1391">
        <v>35682</v>
      </c>
      <c r="B1391" t="s">
        <v>106</v>
      </c>
      <c r="C1391" t="s">
        <v>1912</v>
      </c>
      <c r="D1391" t="s">
        <v>38</v>
      </c>
      <c r="E1391">
        <v>33380</v>
      </c>
      <c r="F1391" s="24">
        <f>especies_ativa_codibama[[#This Row],[Código]]</f>
        <v>35682</v>
      </c>
      <c r="G1391" s="40" t="str">
        <f>especies_ativa_codibama[[#This Row],[Nome popular]]</f>
        <v>---</v>
      </c>
      <c r="H1391" s="40" t="str">
        <f>especies_ativa_codibama[[#This Row],[Nome científico]]</f>
        <v>Myrciaria tenella</v>
      </c>
    </row>
    <row r="1392" spans="1:8" x14ac:dyDescent="0.25">
      <c r="A1392">
        <v>35693</v>
      </c>
      <c r="B1392" t="s">
        <v>2712</v>
      </c>
      <c r="C1392" t="s">
        <v>1913</v>
      </c>
      <c r="D1392" t="s">
        <v>79</v>
      </c>
      <c r="E1392">
        <v>33593</v>
      </c>
      <c r="F1392" s="24">
        <f>especies_ativa_codibama[[#This Row],[Código]]</f>
        <v>35693</v>
      </c>
      <c r="G1392" s="40" t="str">
        <f>especies_ativa_codibama[[#This Row],[Nome popular]]</f>
        <v>pau-judeo, João-mole, João-mole-do-campo, capa-rosa, pau-lepra</v>
      </c>
      <c r="H1392" s="40" t="str">
        <f>especies_ativa_codibama[[#This Row],[Nome científico]]</f>
        <v>Guapira noxia</v>
      </c>
    </row>
    <row r="1393" spans="1:8" x14ac:dyDescent="0.25">
      <c r="A1393">
        <v>35694</v>
      </c>
      <c r="B1393" t="s">
        <v>1914</v>
      </c>
      <c r="C1393" t="s">
        <v>1915</v>
      </c>
      <c r="D1393" t="s">
        <v>79</v>
      </c>
      <c r="E1393">
        <v>32223</v>
      </c>
      <c r="F1393" s="24">
        <f>especies_ativa_codibama[[#This Row],[Código]]</f>
        <v>35694</v>
      </c>
      <c r="G1393" s="40" t="str">
        <f>especies_ativa_codibama[[#This Row],[Nome popular]]</f>
        <v>perema, tapacirica, tapaciriba, mulher pobre, cabelo de negro</v>
      </c>
      <c r="H1393" s="40" t="str">
        <f>especies_ativa_codibama[[#This Row],[Nome científico]]</f>
        <v>Andradea floribunda</v>
      </c>
    </row>
    <row r="1394" spans="1:8" x14ac:dyDescent="0.25">
      <c r="A1394">
        <v>35695</v>
      </c>
      <c r="B1394" t="s">
        <v>1916</v>
      </c>
      <c r="C1394" t="s">
        <v>1917</v>
      </c>
      <c r="D1394" t="s">
        <v>79</v>
      </c>
      <c r="E1394">
        <v>31923</v>
      </c>
      <c r="F1394" s="24">
        <f>especies_ativa_codibama[[#This Row],[Código]]</f>
        <v>35695</v>
      </c>
      <c r="G1394" s="40" t="str">
        <f>especies_ativa_codibama[[#This Row],[Nome popular]]</f>
        <v>ticica, paudalho macho, ganha saia, siriba de flores grandes</v>
      </c>
      <c r="H1394" s="40" t="str">
        <f>especies_ativa_codibama[[#This Row],[Nome científico]]</f>
        <v>Ramisia brasiliensis</v>
      </c>
    </row>
    <row r="1395" spans="1:8" x14ac:dyDescent="0.25">
      <c r="A1395">
        <v>35697</v>
      </c>
      <c r="B1395" t="s">
        <v>1918</v>
      </c>
      <c r="C1395" t="s">
        <v>1919</v>
      </c>
      <c r="D1395" t="s">
        <v>126</v>
      </c>
      <c r="E1395">
        <v>2000316</v>
      </c>
      <c r="F1395" s="24">
        <f>especies_ativa_codibama[[#This Row],[Código]]</f>
        <v>35697</v>
      </c>
      <c r="G1395" s="40" t="str">
        <f>especies_ativa_codibama[[#This Row],[Nome popular]]</f>
        <v>caixeta</v>
      </c>
      <c r="H1395" s="40" t="str">
        <f>especies_ativa_codibama[[#This Row],[Nome científico]]</f>
        <v>Guapira hirsuta</v>
      </c>
    </row>
    <row r="1396" spans="1:8" x14ac:dyDescent="0.25">
      <c r="A1396">
        <v>35700</v>
      </c>
      <c r="B1396" t="s">
        <v>1920</v>
      </c>
      <c r="C1396" t="s">
        <v>1921</v>
      </c>
      <c r="D1396" t="s">
        <v>126</v>
      </c>
      <c r="E1396">
        <v>35544</v>
      </c>
      <c r="F1396" s="24">
        <f>especies_ativa_codibama[[#This Row],[Código]]</f>
        <v>35700</v>
      </c>
      <c r="G1396" s="40" t="str">
        <f>especies_ativa_codibama[[#This Row],[Nome popular]]</f>
        <v>maria mole, maria faceira</v>
      </c>
      <c r="H1396" s="40" t="str">
        <f>especies_ativa_codibama[[#This Row],[Nome científico]]</f>
        <v>Pisonia ambigua</v>
      </c>
    </row>
    <row r="1397" spans="1:8" x14ac:dyDescent="0.25">
      <c r="A1397">
        <v>35701</v>
      </c>
      <c r="B1397" t="s">
        <v>1922</v>
      </c>
      <c r="C1397" t="s">
        <v>1923</v>
      </c>
      <c r="D1397" t="s">
        <v>38</v>
      </c>
      <c r="E1397">
        <v>2012013</v>
      </c>
      <c r="F1397" s="24">
        <f>especies_ativa_codibama[[#This Row],[Código]]</f>
        <v>35701</v>
      </c>
      <c r="G1397" s="40" t="str">
        <f>especies_ativa_codibama[[#This Row],[Nome popular]]</f>
        <v>caparrosa, caparrosa-do-campo</v>
      </c>
      <c r="H1397" s="40" t="str">
        <f>especies_ativa_codibama[[#This Row],[Nome científico]]</f>
        <v>Neea theifera</v>
      </c>
    </row>
    <row r="1398" spans="1:8" x14ac:dyDescent="0.25">
      <c r="A1398">
        <v>35706</v>
      </c>
      <c r="B1398" t="s">
        <v>2713</v>
      </c>
      <c r="C1398" t="s">
        <v>1924</v>
      </c>
      <c r="D1398" t="s">
        <v>38</v>
      </c>
      <c r="E1398">
        <v>32822</v>
      </c>
      <c r="F1398" s="24">
        <f>especies_ativa_codibama[[#This Row],[Código]]</f>
        <v>35706</v>
      </c>
      <c r="G1398" s="40" t="str">
        <f>especies_ativa_codibama[[#This Row],[Nome popular]]</f>
        <v>João-mole, castanha-de-arara</v>
      </c>
      <c r="H1398" s="40" t="str">
        <f>especies_ativa_codibama[[#This Row],[Nome científico]]</f>
        <v>Neea oppositifolia</v>
      </c>
    </row>
    <row r="1399" spans="1:8" x14ac:dyDescent="0.25">
      <c r="A1399">
        <v>35707</v>
      </c>
      <c r="B1399" t="s">
        <v>2714</v>
      </c>
      <c r="C1399" t="s">
        <v>1925</v>
      </c>
      <c r="D1399" t="s">
        <v>38</v>
      </c>
      <c r="E1399">
        <v>33093</v>
      </c>
      <c r="F1399" s="24">
        <f>especies_ativa_codibama[[#This Row],[Código]]</f>
        <v>35707</v>
      </c>
      <c r="G1399" s="40" t="str">
        <f>especies_ativa_codibama[[#This Row],[Nome popular]]</f>
        <v>João-mole, João-mole</v>
      </c>
      <c r="H1399" s="40" t="str">
        <f>especies_ativa_codibama[[#This Row],[Nome científico]]</f>
        <v>Neea macrophylla</v>
      </c>
    </row>
    <row r="1400" spans="1:8" x14ac:dyDescent="0.25">
      <c r="A1400">
        <v>35708</v>
      </c>
      <c r="B1400" t="s">
        <v>1926</v>
      </c>
      <c r="C1400" t="s">
        <v>1927</v>
      </c>
      <c r="D1400" t="s">
        <v>38</v>
      </c>
      <c r="E1400">
        <v>1995708</v>
      </c>
      <c r="F1400" s="24">
        <f>especies_ativa_codibama[[#This Row],[Código]]</f>
        <v>35708</v>
      </c>
      <c r="G1400" s="40" t="str">
        <f>especies_ativa_codibama[[#This Row],[Nome popular]]</f>
        <v>João-mole, João-mole-vermelho</v>
      </c>
      <c r="H1400" s="40" t="str">
        <f>especies_ativa_codibama[[#This Row],[Nome científico]]</f>
        <v>Neea madeirana</v>
      </c>
    </row>
    <row r="1401" spans="1:8" x14ac:dyDescent="0.25">
      <c r="A1401">
        <v>35709</v>
      </c>
      <c r="B1401" t="s">
        <v>2715</v>
      </c>
      <c r="C1401" t="s">
        <v>1928</v>
      </c>
      <c r="D1401" t="s">
        <v>38</v>
      </c>
      <c r="E1401">
        <v>33592</v>
      </c>
      <c r="F1401" s="24">
        <f>especies_ativa_codibama[[#This Row],[Código]]</f>
        <v>35709</v>
      </c>
      <c r="G1401" s="40" t="str">
        <f>especies_ativa_codibama[[#This Row],[Nome popular]]</f>
        <v>juÃ¡-mole</v>
      </c>
      <c r="H1401" s="40" t="str">
        <f>especies_ativa_codibama[[#This Row],[Nome científico]]</f>
        <v>Guapira areolata</v>
      </c>
    </row>
    <row r="1402" spans="1:8" x14ac:dyDescent="0.25">
      <c r="A1402">
        <v>35710</v>
      </c>
      <c r="B1402" t="s">
        <v>1929</v>
      </c>
      <c r="C1402" t="s">
        <v>1930</v>
      </c>
      <c r="D1402" t="s">
        <v>38</v>
      </c>
      <c r="E1402">
        <v>34729</v>
      </c>
      <c r="F1402" s="24">
        <f>especies_ativa_codibama[[#This Row],[Código]]</f>
        <v>35710</v>
      </c>
      <c r="G1402" s="40" t="str">
        <f>especies_ativa_codibama[[#This Row],[Nome popular]]</f>
        <v>juvú, três-marias, primavera, buganvilia</v>
      </c>
      <c r="H1402" s="40" t="str">
        <f>especies_ativa_codibama[[#This Row],[Nome científico]]</f>
        <v>Bougainvillea glabra</v>
      </c>
    </row>
    <row r="1403" spans="1:8" x14ac:dyDescent="0.25">
      <c r="A1403">
        <v>35711</v>
      </c>
      <c r="B1403" t="s">
        <v>1931</v>
      </c>
      <c r="C1403" t="s">
        <v>1932</v>
      </c>
      <c r="D1403" t="s">
        <v>38</v>
      </c>
      <c r="E1403">
        <v>33594</v>
      </c>
      <c r="F1403" s="24">
        <f>especies_ativa_codibama[[#This Row],[Código]]</f>
        <v>35711</v>
      </c>
      <c r="G1403" s="40" t="str">
        <f>especies_ativa_codibama[[#This Row],[Nome popular]]</f>
        <v>maria mole, farinha-seca, ciriba, pau-piranha, cebola</v>
      </c>
      <c r="H1403" s="40" t="str">
        <f>especies_ativa_codibama[[#This Row],[Nome científico]]</f>
        <v>Guapira opposita</v>
      </c>
    </row>
    <row r="1404" spans="1:8" x14ac:dyDescent="0.25">
      <c r="A1404">
        <v>35713</v>
      </c>
      <c r="B1404" t="s">
        <v>1933</v>
      </c>
      <c r="C1404" t="s">
        <v>1934</v>
      </c>
      <c r="D1404" t="s">
        <v>38</v>
      </c>
      <c r="E1404">
        <v>31754</v>
      </c>
      <c r="F1404" s="24">
        <f>especies_ativa_codibama[[#This Row],[Código]]</f>
        <v>35713</v>
      </c>
      <c r="G1404" s="40" t="str">
        <f>especies_ativa_codibama[[#This Row],[Nome popular]]</f>
        <v>pau-piranha</v>
      </c>
      <c r="H1404" s="40" t="str">
        <f>especies_ativa_codibama[[#This Row],[Nome científico]]</f>
        <v>Guapira graciliflora</v>
      </c>
    </row>
    <row r="1405" spans="1:8" x14ac:dyDescent="0.25">
      <c r="A1405">
        <v>35724</v>
      </c>
      <c r="B1405" t="s">
        <v>2716</v>
      </c>
      <c r="C1405" t="s">
        <v>1935</v>
      </c>
      <c r="D1405" t="s">
        <v>79</v>
      </c>
      <c r="E1405">
        <v>34945</v>
      </c>
      <c r="F1405" s="24">
        <f>especies_ativa_codibama[[#This Row],[Código]]</f>
        <v>35724</v>
      </c>
      <c r="G1405" s="40" t="str">
        <f>especies_ativa_codibama[[#This Row],[Nome popular]]</f>
        <v>Coração-de-bugre-vermelho, quatinga</v>
      </c>
      <c r="H1405" s="40" t="str">
        <f>especies_ativa_codibama[[#This Row],[Nome científico]]</f>
        <v>Ouratea parviflora</v>
      </c>
    </row>
    <row r="1406" spans="1:8" x14ac:dyDescent="0.25">
      <c r="A1406">
        <v>35744</v>
      </c>
      <c r="B1406" t="s">
        <v>106</v>
      </c>
      <c r="C1406" t="s">
        <v>1936</v>
      </c>
      <c r="D1406" t="s">
        <v>79</v>
      </c>
      <c r="E1406">
        <v>35827</v>
      </c>
      <c r="F1406" s="24">
        <f>especies_ativa_codibama[[#This Row],[Código]]</f>
        <v>35744</v>
      </c>
      <c r="G1406" s="40" t="str">
        <f>especies_ativa_codibama[[#This Row],[Nome popular]]</f>
        <v>---</v>
      </c>
      <c r="H1406" s="40" t="str">
        <f>especies_ativa_codibama[[#This Row],[Nome científico]]</f>
        <v>Ouratea spectabilis</v>
      </c>
    </row>
    <row r="1407" spans="1:8" x14ac:dyDescent="0.25">
      <c r="A1407">
        <v>35745</v>
      </c>
      <c r="B1407" t="s">
        <v>1937</v>
      </c>
      <c r="C1407" t="s">
        <v>1938</v>
      </c>
      <c r="D1407" t="s">
        <v>38</v>
      </c>
      <c r="E1407">
        <v>32751</v>
      </c>
      <c r="F1407" s="24">
        <f>especies_ativa_codibama[[#This Row],[Código]]</f>
        <v>35745</v>
      </c>
      <c r="G1407" s="40" t="str">
        <f>especies_ativa_codibama[[#This Row],[Nome popular]]</f>
        <v>barba-de-bode, vassoura-de-bruxa</v>
      </c>
      <c r="H1407" s="40" t="str">
        <f>especies_ativa_codibama[[#This Row],[Nome científico]]</f>
        <v>Ouratea hexasperma</v>
      </c>
    </row>
    <row r="1408" spans="1:8" x14ac:dyDescent="0.25">
      <c r="A1408">
        <v>35747</v>
      </c>
      <c r="B1408" t="s">
        <v>1939</v>
      </c>
      <c r="C1408" t="s">
        <v>1940</v>
      </c>
      <c r="D1408" t="s">
        <v>38</v>
      </c>
      <c r="E1408">
        <v>1987153</v>
      </c>
      <c r="F1408" s="24">
        <f>especies_ativa_codibama[[#This Row],[Código]]</f>
        <v>35747</v>
      </c>
      <c r="G1408" s="40" t="str">
        <f>especies_ativa_codibama[[#This Row],[Nome popular]]</f>
        <v>farinha seca, mango do mato</v>
      </c>
      <c r="H1408" s="40" t="str">
        <f>especies_ativa_codibama[[#This Row],[Nome científico]]</f>
        <v>Ouratea castaneifolia</v>
      </c>
    </row>
    <row r="1409" spans="1:8" x14ac:dyDescent="0.25">
      <c r="A1409">
        <v>35759</v>
      </c>
      <c r="B1409" t="s">
        <v>106</v>
      </c>
      <c r="C1409" t="s">
        <v>1941</v>
      </c>
      <c r="D1409" t="s">
        <v>38</v>
      </c>
      <c r="E1409">
        <v>31658</v>
      </c>
      <c r="F1409" s="24">
        <f>especies_ativa_codibama[[#This Row],[Código]]</f>
        <v>35759</v>
      </c>
      <c r="G1409" s="40" t="str">
        <f>especies_ativa_codibama[[#This Row],[Nome popular]]</f>
        <v>---</v>
      </c>
      <c r="H1409" s="40" t="str">
        <f>especies_ativa_codibama[[#This Row],[Nome científico]]</f>
        <v>Cespedesia spathulata</v>
      </c>
    </row>
    <row r="1410" spans="1:8" x14ac:dyDescent="0.25">
      <c r="A1410">
        <v>35764</v>
      </c>
      <c r="B1410" t="s">
        <v>106</v>
      </c>
      <c r="C1410" t="s">
        <v>1942</v>
      </c>
      <c r="D1410" t="s">
        <v>38</v>
      </c>
      <c r="E1410">
        <v>36406</v>
      </c>
      <c r="F1410" s="24">
        <f>especies_ativa_codibama[[#This Row],[Código]]</f>
        <v>35764</v>
      </c>
      <c r="G1410" s="40" t="str">
        <f>especies_ativa_codibama[[#This Row],[Nome popular]]</f>
        <v>---</v>
      </c>
      <c r="H1410" s="40" t="str">
        <f>especies_ativa_codibama[[#This Row],[Nome científico]]</f>
        <v>Ouratea fieldingiana</v>
      </c>
    </row>
    <row r="1411" spans="1:8" x14ac:dyDescent="0.25">
      <c r="A1411">
        <v>35766</v>
      </c>
      <c r="B1411" t="s">
        <v>106</v>
      </c>
      <c r="C1411" t="s">
        <v>1943</v>
      </c>
      <c r="D1411" t="s">
        <v>38</v>
      </c>
      <c r="E1411">
        <v>34319</v>
      </c>
      <c r="F1411" s="24">
        <f>especies_ativa_codibama[[#This Row],[Código]]</f>
        <v>35766</v>
      </c>
      <c r="G1411" s="40" t="str">
        <f>especies_ativa_codibama[[#This Row],[Nome popular]]</f>
        <v>---</v>
      </c>
      <c r="H1411" s="40" t="str">
        <f>especies_ativa_codibama[[#This Row],[Nome científico]]</f>
        <v>Ouratea polygyna</v>
      </c>
    </row>
    <row r="1412" spans="1:8" x14ac:dyDescent="0.25">
      <c r="A1412">
        <v>35771</v>
      </c>
      <c r="B1412" t="s">
        <v>1944</v>
      </c>
      <c r="C1412" t="s">
        <v>1945</v>
      </c>
      <c r="D1412" t="s">
        <v>38</v>
      </c>
      <c r="E1412">
        <v>35495</v>
      </c>
      <c r="F1412" s="24">
        <f>especies_ativa_codibama[[#This Row],[Código]]</f>
        <v>35771</v>
      </c>
      <c r="G1412" s="40" t="str">
        <f>especies_ativa_codibama[[#This Row],[Nome popular]]</f>
        <v>acariquara, aquariquara, aquariquara roxa</v>
      </c>
      <c r="H1412" s="40" t="str">
        <f>especies_ativa_codibama[[#This Row],[Nome científico]]</f>
        <v>Minquartia guianensis</v>
      </c>
    </row>
    <row r="1413" spans="1:8" x14ac:dyDescent="0.25">
      <c r="A1413">
        <v>35774</v>
      </c>
      <c r="B1413" t="s">
        <v>1946</v>
      </c>
      <c r="C1413" t="s">
        <v>1947</v>
      </c>
      <c r="D1413" t="s">
        <v>38</v>
      </c>
      <c r="E1413">
        <v>31608</v>
      </c>
      <c r="F1413" s="24">
        <f>especies_ativa_codibama[[#This Row],[Código]]</f>
        <v>35774</v>
      </c>
      <c r="G1413" s="40" t="str">
        <f>especies_ativa_codibama[[#This Row],[Nome popular]]</f>
        <v>castanha de cutia</v>
      </c>
      <c r="H1413" s="40" t="str">
        <f>especies_ativa_codibama[[#This Row],[Nome científico]]</f>
        <v>Aptandra tubicina</v>
      </c>
    </row>
    <row r="1414" spans="1:8" x14ac:dyDescent="0.25">
      <c r="A1414">
        <v>35775</v>
      </c>
      <c r="B1414" t="s">
        <v>1948</v>
      </c>
      <c r="C1414" t="s">
        <v>1949</v>
      </c>
      <c r="D1414" t="s">
        <v>38</v>
      </c>
      <c r="E1414">
        <v>1320880</v>
      </c>
      <c r="F1414" s="24">
        <f>especies_ativa_codibama[[#This Row],[Código]]</f>
        <v>35775</v>
      </c>
      <c r="G1414" s="40" t="str">
        <f>especies_ativa_codibama[[#This Row],[Nome popular]]</f>
        <v>itaubara</v>
      </c>
      <c r="H1414" s="40" t="str">
        <f>especies_ativa_codibama[[#This Row],[Nome científico]]</f>
        <v>Heisteria ovata</v>
      </c>
    </row>
    <row r="1415" spans="1:8" x14ac:dyDescent="0.25">
      <c r="A1415">
        <v>35781</v>
      </c>
      <c r="B1415" t="s">
        <v>106</v>
      </c>
      <c r="C1415" t="s">
        <v>1950</v>
      </c>
      <c r="D1415" t="s">
        <v>38</v>
      </c>
      <c r="E1415">
        <v>32401</v>
      </c>
      <c r="F1415" s="24">
        <f>especies_ativa_codibama[[#This Row],[Código]]</f>
        <v>35781</v>
      </c>
      <c r="G1415" s="40" t="str">
        <f>especies_ativa_codibama[[#This Row],[Nome popular]]</f>
        <v>---</v>
      </c>
      <c r="H1415" s="40" t="str">
        <f>especies_ativa_codibama[[#This Row],[Nome científico]]</f>
        <v>Heisteria silvianii</v>
      </c>
    </row>
    <row r="1416" spans="1:8" x14ac:dyDescent="0.25">
      <c r="A1416">
        <v>35783</v>
      </c>
      <c r="B1416" t="s">
        <v>106</v>
      </c>
      <c r="C1416" t="s">
        <v>1951</v>
      </c>
      <c r="D1416" t="s">
        <v>38</v>
      </c>
      <c r="E1416">
        <v>33830</v>
      </c>
      <c r="F1416" s="24">
        <f>especies_ativa_codibama[[#This Row],[Código]]</f>
        <v>35783</v>
      </c>
      <c r="G1416" s="40" t="str">
        <f>especies_ativa_codibama[[#This Row],[Nome popular]]</f>
        <v>---</v>
      </c>
      <c r="H1416" s="40" t="str">
        <f>especies_ativa_codibama[[#This Row],[Nome científico]]</f>
        <v>Ximenia americana</v>
      </c>
    </row>
    <row r="1417" spans="1:8" x14ac:dyDescent="0.25">
      <c r="A1417">
        <v>35785</v>
      </c>
      <c r="B1417" t="s">
        <v>106</v>
      </c>
      <c r="C1417" t="s">
        <v>1952</v>
      </c>
      <c r="D1417" t="s">
        <v>38</v>
      </c>
      <c r="E1417">
        <v>1987300</v>
      </c>
      <c r="F1417" s="24">
        <f>especies_ativa_codibama[[#This Row],[Código]]</f>
        <v>35785</v>
      </c>
      <c r="G1417" s="40" t="str">
        <f>especies_ativa_codibama[[#This Row],[Nome popular]]</f>
        <v>---</v>
      </c>
      <c r="H1417" s="40" t="str">
        <f>especies_ativa_codibama[[#This Row],[Nome científico]]</f>
        <v>Chaunochiton kappleri</v>
      </c>
    </row>
    <row r="1418" spans="1:8" x14ac:dyDescent="0.25">
      <c r="A1418">
        <v>35792</v>
      </c>
      <c r="B1418" t="s">
        <v>106</v>
      </c>
      <c r="C1418" t="s">
        <v>1953</v>
      </c>
      <c r="D1418" t="s">
        <v>38</v>
      </c>
      <c r="E1418">
        <v>33601</v>
      </c>
      <c r="F1418" s="24">
        <f>especies_ativa_codibama[[#This Row],[Código]]</f>
        <v>35792</v>
      </c>
      <c r="G1418" s="40" t="str">
        <f>especies_ativa_codibama[[#This Row],[Nome popular]]</f>
        <v>---</v>
      </c>
      <c r="H1418" s="40" t="str">
        <f>especies_ativa_codibama[[#This Row],[Nome científico]]</f>
        <v>Heisteria citrifolia</v>
      </c>
    </row>
    <row r="1419" spans="1:8" x14ac:dyDescent="0.25">
      <c r="A1419">
        <v>35804</v>
      </c>
      <c r="B1419" t="s">
        <v>106</v>
      </c>
      <c r="C1419" t="s">
        <v>1954</v>
      </c>
      <c r="D1419" t="s">
        <v>38</v>
      </c>
      <c r="E1419">
        <v>34049</v>
      </c>
      <c r="F1419" s="24">
        <f>especies_ativa_codibama[[#This Row],[Código]]</f>
        <v>35804</v>
      </c>
      <c r="G1419" s="40" t="str">
        <f>especies_ativa_codibama[[#This Row],[Nome popular]]</f>
        <v>---</v>
      </c>
      <c r="H1419" s="40" t="str">
        <f>especies_ativa_codibama[[#This Row],[Nome científico]]</f>
        <v>Chionanthus crassifolius</v>
      </c>
    </row>
    <row r="1420" spans="1:8" x14ac:dyDescent="0.25">
      <c r="A1420">
        <v>35805</v>
      </c>
      <c r="B1420" t="s">
        <v>106</v>
      </c>
      <c r="C1420" t="s">
        <v>1955</v>
      </c>
      <c r="D1420" t="s">
        <v>38</v>
      </c>
      <c r="E1420">
        <v>33734</v>
      </c>
      <c r="F1420" s="24">
        <f>especies_ativa_codibama[[#This Row],[Código]]</f>
        <v>35805</v>
      </c>
      <c r="G1420" s="40" t="str">
        <f>especies_ativa_codibama[[#This Row],[Nome popular]]</f>
        <v>---</v>
      </c>
      <c r="H1420" s="40" t="str">
        <f>especies_ativa_codibama[[#This Row],[Nome científico]]</f>
        <v>Priogymnanthus hasslerianus</v>
      </c>
    </row>
    <row r="1421" spans="1:8" x14ac:dyDescent="0.25">
      <c r="A1421">
        <v>35806</v>
      </c>
      <c r="B1421" t="s">
        <v>106</v>
      </c>
      <c r="C1421" t="s">
        <v>1956</v>
      </c>
      <c r="D1421" t="s">
        <v>38</v>
      </c>
      <c r="E1421">
        <v>34152</v>
      </c>
      <c r="F1421" s="24">
        <f>especies_ativa_codibama[[#This Row],[Código]]</f>
        <v>35806</v>
      </c>
      <c r="G1421" s="40" t="str">
        <f>especies_ativa_codibama[[#This Row],[Nome popular]]</f>
        <v>---</v>
      </c>
      <c r="H1421" s="40" t="str">
        <f>especies_ativa_codibama[[#This Row],[Nome científico]]</f>
        <v>Chionanthus trichotomus</v>
      </c>
    </row>
    <row r="1422" spans="1:8" x14ac:dyDescent="0.25">
      <c r="A1422">
        <v>35817</v>
      </c>
      <c r="B1422" t="s">
        <v>2717</v>
      </c>
      <c r="C1422" t="s">
        <v>1957</v>
      </c>
      <c r="D1422" t="s">
        <v>38</v>
      </c>
      <c r="E1422">
        <v>34079</v>
      </c>
      <c r="F1422" s="24">
        <f>especies_ativa_codibama[[#This Row],[Código]]</f>
        <v>35817</v>
      </c>
      <c r="G1422" s="40" t="str">
        <f>especies_ativa_codibama[[#This Row],[Nome popular]]</f>
        <v>amarelão, cervejinha, imbu d'anta, kangwaruhumyra, Tupi-Guarani, marfim, marfim de veado, páo, pau, pao marfim, páo / pau d'alho do campo, perobinha, qui de veado, qui dôce, pau-marfim-do-Pará, pau-marfim-do-cerrado, pau-d`alho-do-cerrado, cagaita do Sul, marfim-de-espinho, pau-marfim-do-campo, cerveja-de-pobre, pau-marfim-da-mata</v>
      </c>
      <c r="H1422" s="40" t="str">
        <f>especies_ativa_codibama[[#This Row],[Nome científico]]</f>
        <v>Agonandra brasiliensis</v>
      </c>
    </row>
    <row r="1423" spans="1:8" x14ac:dyDescent="0.25">
      <c r="A1423">
        <v>35819</v>
      </c>
      <c r="B1423" t="s">
        <v>106</v>
      </c>
      <c r="C1423" t="s">
        <v>2718</v>
      </c>
      <c r="D1423" t="s">
        <v>38</v>
      </c>
      <c r="E1423">
        <v>2000896</v>
      </c>
      <c r="F1423" s="24">
        <f>especies_ativa_codibama[[#This Row],[Código]]</f>
        <v>35819</v>
      </c>
      <c r="G1423" s="40" t="str">
        <f>especies_ativa_codibama[[#This Row],[Nome popular]]</f>
        <v>---</v>
      </c>
      <c r="H1423" s="40" t="str">
        <f>especies_ativa_codibama[[#This Row],[Nome científico]]</f>
        <v>Agonandra excelsa</v>
      </c>
    </row>
    <row r="1424" spans="1:8" x14ac:dyDescent="0.25">
      <c r="A1424">
        <v>35822</v>
      </c>
      <c r="B1424" t="s">
        <v>1958</v>
      </c>
      <c r="C1424" t="s">
        <v>1959</v>
      </c>
      <c r="D1424" t="s">
        <v>38</v>
      </c>
      <c r="E1424">
        <v>34520</v>
      </c>
      <c r="F1424" s="24">
        <f>especies_ativa_codibama[[#This Row],[Código]]</f>
        <v>35822</v>
      </c>
      <c r="G1424" s="40" t="str">
        <f>especies_ativa_codibama[[#This Row],[Nome popular]]</f>
        <v>carambola</v>
      </c>
      <c r="H1424" s="40" t="str">
        <f>especies_ativa_codibama[[#This Row],[Nome científico]]</f>
        <v>Averrhoa carambola</v>
      </c>
    </row>
    <row r="1425" spans="1:8" x14ac:dyDescent="0.25">
      <c r="A1425">
        <v>35824</v>
      </c>
      <c r="B1425" t="s">
        <v>106</v>
      </c>
      <c r="C1425" t="s">
        <v>1960</v>
      </c>
      <c r="D1425" t="s">
        <v>38</v>
      </c>
      <c r="E1425">
        <v>31618</v>
      </c>
      <c r="F1425" s="24">
        <f>especies_ativa_codibama[[#This Row],[Código]]</f>
        <v>35824</v>
      </c>
      <c r="G1425" s="40" t="str">
        <f>especies_ativa_codibama[[#This Row],[Nome popular]]</f>
        <v>---</v>
      </c>
      <c r="H1425" s="40" t="str">
        <f>especies_ativa_codibama[[#This Row],[Nome científico]]</f>
        <v>Averrhoa bilimbi</v>
      </c>
    </row>
    <row r="1426" spans="1:8" x14ac:dyDescent="0.25">
      <c r="A1426">
        <v>35827</v>
      </c>
      <c r="B1426" t="s">
        <v>106</v>
      </c>
      <c r="C1426" t="s">
        <v>1961</v>
      </c>
      <c r="D1426" t="s">
        <v>126</v>
      </c>
      <c r="E1426">
        <v>35631</v>
      </c>
      <c r="F1426" s="24">
        <f>especies_ativa_codibama[[#This Row],[Código]]</f>
        <v>35827</v>
      </c>
      <c r="G1426" s="40" t="str">
        <f>especies_ativa_codibama[[#This Row],[Nome popular]]</f>
        <v>---</v>
      </c>
      <c r="H1426" s="40" t="str">
        <f>especies_ativa_codibama[[#This Row],[Nome científico]]</f>
        <v>Ternstroemia brasiliensis</v>
      </c>
    </row>
    <row r="1427" spans="1:8" x14ac:dyDescent="0.25">
      <c r="A1427">
        <v>35829</v>
      </c>
      <c r="B1427" t="s">
        <v>106</v>
      </c>
      <c r="C1427" t="s">
        <v>1962</v>
      </c>
      <c r="D1427" t="s">
        <v>38</v>
      </c>
      <c r="E1427">
        <v>33220</v>
      </c>
      <c r="F1427" s="24">
        <f>especies_ativa_codibama[[#This Row],[Código]]</f>
        <v>35829</v>
      </c>
      <c r="G1427" s="40" t="str">
        <f>especies_ativa_codibama[[#This Row],[Nome popular]]</f>
        <v>---</v>
      </c>
      <c r="H1427" s="40" t="str">
        <f>especies_ativa_codibama[[#This Row],[Nome científico]]</f>
        <v>Ternstroemia alnifolia</v>
      </c>
    </row>
    <row r="1428" spans="1:8" x14ac:dyDescent="0.25">
      <c r="A1428">
        <v>35836</v>
      </c>
      <c r="B1428" t="s">
        <v>1963</v>
      </c>
      <c r="C1428" t="s">
        <v>1964</v>
      </c>
      <c r="D1428" t="s">
        <v>38</v>
      </c>
      <c r="E1428">
        <v>33726</v>
      </c>
      <c r="F1428" s="24">
        <f>especies_ativa_codibama[[#This Row],[Código]]</f>
        <v>35836</v>
      </c>
      <c r="G1428" s="40" t="str">
        <f>especies_ativa_codibama[[#This Row],[Nome popular]]</f>
        <v>acapori, amarelinho, aracaporé, miratuarama, pau-amarelo</v>
      </c>
      <c r="H1428" s="40" t="str">
        <f>especies_ativa_codibama[[#This Row],[Nome científico]]</f>
        <v>Pogonophora schomburgkiana</v>
      </c>
    </row>
    <row r="1429" spans="1:8" x14ac:dyDescent="0.25">
      <c r="A1429">
        <v>35843</v>
      </c>
      <c r="B1429" t="s">
        <v>1965</v>
      </c>
      <c r="C1429" t="s">
        <v>1966</v>
      </c>
      <c r="D1429" t="s">
        <v>38</v>
      </c>
      <c r="E1429">
        <v>1122580</v>
      </c>
      <c r="F1429" s="24">
        <f>especies_ativa_codibama[[#This Row],[Código]]</f>
        <v>35843</v>
      </c>
      <c r="G1429" s="40" t="str">
        <f>especies_ativa_codibama[[#This Row],[Nome popular]]</f>
        <v>Sete-capa</v>
      </c>
      <c r="H1429" s="40" t="str">
        <f>especies_ativa_codibama[[#This Row],[Nome científico]]</f>
        <v>Pera anisotricha</v>
      </c>
    </row>
    <row r="1430" spans="1:8" x14ac:dyDescent="0.25">
      <c r="A1430">
        <v>35844</v>
      </c>
      <c r="B1430" t="s">
        <v>106</v>
      </c>
      <c r="C1430" t="s">
        <v>1967</v>
      </c>
      <c r="D1430" t="s">
        <v>38</v>
      </c>
      <c r="E1430">
        <v>32504</v>
      </c>
      <c r="F1430" s="24">
        <f>especies_ativa_codibama[[#This Row],[Código]]</f>
        <v>35844</v>
      </c>
      <c r="G1430" s="40" t="str">
        <f>especies_ativa_codibama[[#This Row],[Nome popular]]</f>
        <v>---</v>
      </c>
      <c r="H1430" s="40" t="str">
        <f>especies_ativa_codibama[[#This Row],[Nome científico]]</f>
        <v>Pera bicolor</v>
      </c>
    </row>
    <row r="1431" spans="1:8" x14ac:dyDescent="0.25">
      <c r="A1431">
        <v>35855</v>
      </c>
      <c r="B1431" t="s">
        <v>2719</v>
      </c>
      <c r="C1431" t="s">
        <v>1968</v>
      </c>
      <c r="D1431" t="s">
        <v>126</v>
      </c>
      <c r="E1431">
        <v>33299</v>
      </c>
      <c r="F1431" s="24">
        <f>especies_ativa_codibama[[#This Row],[Código]]</f>
        <v>35855</v>
      </c>
      <c r="G1431" s="40" t="str">
        <f>especies_ativa_codibama[[#This Row],[Nome popular]]</f>
        <v>botãozinho, cabelo de cotia, Café bravo, fruto de jacamin</v>
      </c>
      <c r="H1431" s="40" t="str">
        <f>especies_ativa_codibama[[#This Row],[Nome científico]]</f>
        <v>Margaritaria nobilis</v>
      </c>
    </row>
    <row r="1432" spans="1:8" x14ac:dyDescent="0.25">
      <c r="A1432">
        <v>35856</v>
      </c>
      <c r="B1432" t="s">
        <v>106</v>
      </c>
      <c r="C1432" t="s">
        <v>1969</v>
      </c>
      <c r="D1432" t="s">
        <v>126</v>
      </c>
      <c r="E1432">
        <v>646367</v>
      </c>
      <c r="F1432" s="24">
        <f>especies_ativa_codibama[[#This Row],[Código]]</f>
        <v>35856</v>
      </c>
      <c r="G1432" s="40" t="str">
        <f>especies_ativa_codibama[[#This Row],[Nome popular]]</f>
        <v>---</v>
      </c>
      <c r="H1432" s="40" t="str">
        <f>especies_ativa_codibama[[#This Row],[Nome científico]]</f>
        <v>Savia dictyocarpa</v>
      </c>
    </row>
    <row r="1433" spans="1:8" x14ac:dyDescent="0.25">
      <c r="A1433">
        <v>35859</v>
      </c>
      <c r="B1433" t="s">
        <v>1970</v>
      </c>
      <c r="C1433" t="s">
        <v>1971</v>
      </c>
      <c r="D1433" t="s">
        <v>38</v>
      </c>
      <c r="E1433">
        <v>36434</v>
      </c>
      <c r="F1433" s="24">
        <f>especies_ativa_codibama[[#This Row],[Código]]</f>
        <v>35859</v>
      </c>
      <c r="G1433" s="40" t="str">
        <f>especies_ativa_codibama[[#This Row],[Nome popular]]</f>
        <v>canudinho, mamoninha</v>
      </c>
      <c r="H1433" s="40" t="str">
        <f>especies_ativa_codibama[[#This Row],[Nome científico]]</f>
        <v>Amanoa glaucophylla</v>
      </c>
    </row>
    <row r="1434" spans="1:8" x14ac:dyDescent="0.25">
      <c r="A1434">
        <v>35860</v>
      </c>
      <c r="B1434" t="s">
        <v>1972</v>
      </c>
      <c r="C1434" t="s">
        <v>1973</v>
      </c>
      <c r="D1434" t="s">
        <v>38</v>
      </c>
      <c r="E1434">
        <v>35860</v>
      </c>
      <c r="F1434" s="24">
        <f>especies_ativa_codibama[[#This Row],[Código]]</f>
        <v>35860</v>
      </c>
      <c r="G1434" s="40" t="str">
        <f>especies_ativa_codibama[[#This Row],[Nome popular]]</f>
        <v>côco-anta, jitaí-amarelo, carrapatinho, sapupeminha</v>
      </c>
      <c r="H1434" s="40" t="str">
        <f>especies_ativa_codibama[[#This Row],[Nome científico]]</f>
        <v>Amanoa guianensis</v>
      </c>
    </row>
    <row r="1435" spans="1:8" x14ac:dyDescent="0.25">
      <c r="A1435">
        <v>35861</v>
      </c>
      <c r="B1435" t="s">
        <v>1974</v>
      </c>
      <c r="C1435" t="s">
        <v>1975</v>
      </c>
      <c r="D1435" t="s">
        <v>38</v>
      </c>
      <c r="E1435">
        <v>36149</v>
      </c>
      <c r="F1435" s="24">
        <f>especies_ativa_codibama[[#This Row],[Código]]</f>
        <v>35861</v>
      </c>
      <c r="G1435" s="40" t="str">
        <f>especies_ativa_codibama[[#This Row],[Nome popular]]</f>
        <v>para tudo</v>
      </c>
      <c r="H1435" s="40" t="str">
        <f>especies_ativa_codibama[[#This Row],[Nome científico]]</f>
        <v>Phyllanthus acuminatus</v>
      </c>
    </row>
    <row r="1436" spans="1:8" x14ac:dyDescent="0.25">
      <c r="A1436">
        <v>35866</v>
      </c>
      <c r="B1436" t="s">
        <v>106</v>
      </c>
      <c r="C1436" t="s">
        <v>1976</v>
      </c>
      <c r="D1436" t="s">
        <v>38</v>
      </c>
      <c r="E1436">
        <v>34996</v>
      </c>
      <c r="F1436" s="24">
        <f>especies_ativa_codibama[[#This Row],[Código]]</f>
        <v>35866</v>
      </c>
      <c r="G1436" s="40" t="str">
        <f>especies_ativa_codibama[[#This Row],[Nome popular]]</f>
        <v>---</v>
      </c>
      <c r="H1436" s="40" t="str">
        <f>especies_ativa_codibama[[#This Row],[Nome científico]]</f>
        <v>Richeria grandis</v>
      </c>
    </row>
    <row r="1437" spans="1:8" x14ac:dyDescent="0.25">
      <c r="A1437">
        <v>35871</v>
      </c>
      <c r="B1437" t="s">
        <v>106</v>
      </c>
      <c r="C1437" t="s">
        <v>1977</v>
      </c>
      <c r="D1437" t="s">
        <v>38</v>
      </c>
      <c r="E1437">
        <v>317283</v>
      </c>
      <c r="F1437" s="24">
        <f>especies_ativa_codibama[[#This Row],[Código]]</f>
        <v>35871</v>
      </c>
      <c r="G1437" s="40" t="str">
        <f>especies_ativa_codibama[[#This Row],[Nome popular]]</f>
        <v>---</v>
      </c>
      <c r="H1437" s="40" t="str">
        <f>especies_ativa_codibama[[#This Row],[Nome científico]]</f>
        <v>Astrocasia jacobinensis</v>
      </c>
    </row>
    <row r="1438" spans="1:8" x14ac:dyDescent="0.25">
      <c r="A1438">
        <v>35877</v>
      </c>
      <c r="B1438" t="s">
        <v>106</v>
      </c>
      <c r="C1438" t="s">
        <v>1978</v>
      </c>
      <c r="D1438" t="s">
        <v>126</v>
      </c>
      <c r="E1438">
        <v>35600</v>
      </c>
      <c r="F1438" s="24">
        <f>especies_ativa_codibama[[#This Row],[Código]]</f>
        <v>35877</v>
      </c>
      <c r="G1438" s="40" t="str">
        <f>especies_ativa_codibama[[#This Row],[Nome popular]]</f>
        <v>---</v>
      </c>
      <c r="H1438" s="40" t="str">
        <f>especies_ativa_codibama[[#This Row],[Nome científico]]</f>
        <v>Seguieria langsdorffii</v>
      </c>
    </row>
    <row r="1439" spans="1:8" x14ac:dyDescent="0.25">
      <c r="A1439">
        <v>35878</v>
      </c>
      <c r="B1439" t="s">
        <v>1979</v>
      </c>
      <c r="C1439" t="s">
        <v>1980</v>
      </c>
      <c r="D1439" t="s">
        <v>38</v>
      </c>
      <c r="E1439">
        <v>32509</v>
      </c>
      <c r="F1439" s="24">
        <f>especies_ativa_codibama[[#This Row],[Código]]</f>
        <v>35878</v>
      </c>
      <c r="G1439" s="40" t="str">
        <f>especies_ativa_codibama[[#This Row],[Nome popular]]</f>
        <v>Maria Mole,  Peúdo, Umbú</v>
      </c>
      <c r="H1439" s="40" t="str">
        <f>especies_ativa_codibama[[#This Row],[Nome científico]]</f>
        <v>Phytolacca dioica</v>
      </c>
    </row>
    <row r="1440" spans="1:8" x14ac:dyDescent="0.25">
      <c r="A1440">
        <v>35881</v>
      </c>
      <c r="B1440" t="s">
        <v>106</v>
      </c>
      <c r="C1440" t="s">
        <v>1981</v>
      </c>
      <c r="D1440" t="s">
        <v>38</v>
      </c>
      <c r="E1440">
        <v>34228</v>
      </c>
      <c r="F1440" s="24">
        <f>especies_ativa_codibama[[#This Row],[Código]]</f>
        <v>35881</v>
      </c>
      <c r="G1440" s="40" t="str">
        <f>especies_ativa_codibama[[#This Row],[Nome popular]]</f>
        <v>---</v>
      </c>
      <c r="H1440" s="40" t="str">
        <f>especies_ativa_codibama[[#This Row],[Nome científico]]</f>
        <v>Gallesia integrifolia</v>
      </c>
    </row>
    <row r="1441" spans="1:8" x14ac:dyDescent="0.25">
      <c r="A1441">
        <v>35886</v>
      </c>
      <c r="B1441" t="s">
        <v>1982</v>
      </c>
      <c r="C1441" t="s">
        <v>1983</v>
      </c>
      <c r="D1441" t="s">
        <v>126</v>
      </c>
      <c r="E1441">
        <v>1984744</v>
      </c>
      <c r="F1441" s="24">
        <f>especies_ativa_codibama[[#This Row],[Código]]</f>
        <v>35886</v>
      </c>
      <c r="G1441" s="40" t="str">
        <f>especies_ativa_codibama[[#This Row],[Nome popular]]</f>
        <v>cedrico, cedrinho, cafezinho-do-mato</v>
      </c>
      <c r="H1441" s="40" t="str">
        <f>especies_ativa_codibama[[#This Row],[Nome científico]]</f>
        <v>Picramnia parvifolia</v>
      </c>
    </row>
    <row r="1442" spans="1:8" x14ac:dyDescent="0.25">
      <c r="A1442">
        <v>35887</v>
      </c>
      <c r="B1442" t="s">
        <v>1984</v>
      </c>
      <c r="C1442" t="s">
        <v>1985</v>
      </c>
      <c r="D1442" t="s">
        <v>126</v>
      </c>
      <c r="E1442">
        <v>32128</v>
      </c>
      <c r="F1442" s="24">
        <f>especies_ativa_codibama[[#This Row],[Código]]</f>
        <v>35887</v>
      </c>
      <c r="G1442" s="40" t="str">
        <f>especies_ativa_codibama[[#This Row],[Nome popular]]</f>
        <v>gogóia</v>
      </c>
      <c r="H1442" s="40" t="str">
        <f>especies_ativa_codibama[[#This Row],[Nome científico]]</f>
        <v>Picramnia sellowii</v>
      </c>
    </row>
    <row r="1443" spans="1:8" x14ac:dyDescent="0.25">
      <c r="A1443">
        <v>35890</v>
      </c>
      <c r="B1443" t="s">
        <v>1986</v>
      </c>
      <c r="C1443" t="s">
        <v>1987</v>
      </c>
      <c r="D1443" t="s">
        <v>38</v>
      </c>
      <c r="E1443">
        <v>2005092</v>
      </c>
      <c r="F1443" s="24">
        <f>especies_ativa_codibama[[#This Row],[Código]]</f>
        <v>35890</v>
      </c>
      <c r="G1443" s="40" t="str">
        <f>especies_ativa_codibama[[#This Row],[Nome popular]]</f>
        <v>camboatã, camboitá</v>
      </c>
      <c r="H1443" s="40" t="str">
        <f>especies_ativa_codibama[[#This Row],[Nome científico]]</f>
        <v>Picramnia ramiflora</v>
      </c>
    </row>
    <row r="1444" spans="1:8" x14ac:dyDescent="0.25">
      <c r="A1444">
        <v>35891</v>
      </c>
      <c r="B1444" t="s">
        <v>1988</v>
      </c>
      <c r="C1444" t="s">
        <v>1989</v>
      </c>
      <c r="D1444" t="s">
        <v>38</v>
      </c>
      <c r="E1444">
        <v>34527</v>
      </c>
      <c r="F1444" s="24">
        <f>especies_ativa_codibama[[#This Row],[Código]]</f>
        <v>35891</v>
      </c>
      <c r="G1444" s="40" t="str">
        <f>especies_ativa_codibama[[#This Row],[Nome popular]]</f>
        <v>pau-pereira-falso, tariri</v>
      </c>
      <c r="H1444" s="40" t="str">
        <f>especies_ativa_codibama[[#This Row],[Nome científico]]</f>
        <v>Picramnia ciliata</v>
      </c>
    </row>
    <row r="1445" spans="1:8" x14ac:dyDescent="0.25">
      <c r="A1445">
        <v>35894</v>
      </c>
      <c r="B1445" t="s">
        <v>1990</v>
      </c>
      <c r="C1445" t="s">
        <v>1991</v>
      </c>
      <c r="D1445" t="s">
        <v>38</v>
      </c>
      <c r="E1445">
        <v>33715</v>
      </c>
      <c r="F1445" s="24">
        <f>especies_ativa_codibama[[#This Row],[Código]]</f>
        <v>35894</v>
      </c>
      <c r="G1445" s="40" t="str">
        <f>especies_ativa_codibama[[#This Row],[Nome popular]]</f>
        <v>piranheira</v>
      </c>
      <c r="H1445" s="40" t="str">
        <f>especies_ativa_codibama[[#This Row],[Nome científico]]</f>
        <v>Piranhea trifoliata</v>
      </c>
    </row>
    <row r="1446" spans="1:8" x14ac:dyDescent="0.25">
      <c r="A1446">
        <v>35904</v>
      </c>
      <c r="B1446" t="s">
        <v>1992</v>
      </c>
      <c r="C1446" t="s">
        <v>1993</v>
      </c>
      <c r="D1446" t="s">
        <v>38</v>
      </c>
      <c r="E1446">
        <v>33355</v>
      </c>
      <c r="F1446" s="24">
        <f>especies_ativa_codibama[[#This Row],[Código]]</f>
        <v>35904</v>
      </c>
      <c r="G1446" s="40" t="str">
        <f>especies_ativa_codibama[[#This Row],[Nome popular]]</f>
        <v>aua hatu nixpu</v>
      </c>
      <c r="H1446" s="40" t="str">
        <f>especies_ativa_codibama[[#This Row],[Nome científico]]</f>
        <v>Piper crassinervium</v>
      </c>
    </row>
    <row r="1447" spans="1:8" x14ac:dyDescent="0.25">
      <c r="A1447">
        <v>35905</v>
      </c>
      <c r="B1447" t="s">
        <v>1994</v>
      </c>
      <c r="C1447" t="s">
        <v>1995</v>
      </c>
      <c r="D1447" t="s">
        <v>38</v>
      </c>
      <c r="E1447">
        <v>36152</v>
      </c>
      <c r="F1447" s="24">
        <f>especies_ativa_codibama[[#This Row],[Código]]</f>
        <v>35905</v>
      </c>
      <c r="G1447" s="40" t="str">
        <f>especies_ativa_codibama[[#This Row],[Nome popular]]</f>
        <v>barin pakex kabia</v>
      </c>
      <c r="H1447" s="40" t="str">
        <f>especies_ativa_codibama[[#This Row],[Nome científico]]</f>
        <v>Piper arboreum</v>
      </c>
    </row>
    <row r="1448" spans="1:8" x14ac:dyDescent="0.25">
      <c r="A1448">
        <v>35910</v>
      </c>
      <c r="B1448" t="s">
        <v>1996</v>
      </c>
      <c r="C1448" t="s">
        <v>1997</v>
      </c>
      <c r="D1448" t="s">
        <v>38</v>
      </c>
      <c r="E1448">
        <v>35538</v>
      </c>
      <c r="F1448" s="24">
        <f>especies_ativa_codibama[[#This Row],[Código]]</f>
        <v>35910</v>
      </c>
      <c r="G1448" s="40" t="str">
        <f>especies_ativa_codibama[[#This Row],[Nome popular]]</f>
        <v>pimenta longa, ti nixpu Kaxiwá</v>
      </c>
      <c r="H1448" s="40" t="str">
        <f>especies_ativa_codibama[[#This Row],[Nome científico]]</f>
        <v>Piper aduncum</v>
      </c>
    </row>
    <row r="1449" spans="1:8" x14ac:dyDescent="0.25">
      <c r="A1449">
        <v>35926</v>
      </c>
      <c r="B1449" t="s">
        <v>106</v>
      </c>
      <c r="C1449" t="s">
        <v>1998</v>
      </c>
      <c r="D1449" t="s">
        <v>38</v>
      </c>
      <c r="E1449">
        <v>2002170</v>
      </c>
      <c r="F1449" s="24">
        <f>especies_ativa_codibama[[#This Row],[Código]]</f>
        <v>35926</v>
      </c>
      <c r="G1449" s="40" t="str">
        <f>especies_ativa_codibama[[#This Row],[Nome popular]]</f>
        <v>---</v>
      </c>
      <c r="H1449" s="40" t="str">
        <f>especies_ativa_codibama[[#This Row],[Nome científico]]</f>
        <v>Piper cernuum</v>
      </c>
    </row>
    <row r="1450" spans="1:8" x14ac:dyDescent="0.25">
      <c r="A1450">
        <v>35934</v>
      </c>
      <c r="B1450" t="s">
        <v>1999</v>
      </c>
      <c r="C1450" t="s">
        <v>2000</v>
      </c>
      <c r="D1450" t="s">
        <v>38</v>
      </c>
      <c r="E1450">
        <v>33721</v>
      </c>
      <c r="F1450" s="24">
        <f>especies_ativa_codibama[[#This Row],[Código]]</f>
        <v>35934</v>
      </c>
      <c r="G1450" s="40" t="str">
        <f>especies_ativa_codibama[[#This Row],[Nome popular]]</f>
        <v>incenso, pau-de-incenso</v>
      </c>
      <c r="H1450" s="40" t="str">
        <f>especies_ativa_codibama[[#This Row],[Nome científico]]</f>
        <v>Pittosporum undulatum</v>
      </c>
    </row>
    <row r="1451" spans="1:8" x14ac:dyDescent="0.25">
      <c r="A1451">
        <v>36041</v>
      </c>
      <c r="B1451" t="s">
        <v>2001</v>
      </c>
      <c r="C1451" t="s">
        <v>2002</v>
      </c>
      <c r="D1451" t="s">
        <v>79</v>
      </c>
      <c r="E1451">
        <v>1989317</v>
      </c>
      <c r="F1451" s="24">
        <f>especies_ativa_codibama[[#This Row],[Código]]</f>
        <v>36041</v>
      </c>
      <c r="G1451" s="40" t="str">
        <f>especies_ativa_codibama[[#This Row],[Nome popular]]</f>
        <v>Chapelão, pajeú</v>
      </c>
      <c r="H1451" s="40" t="str">
        <f>especies_ativa_codibama[[#This Row],[Nome científico]]</f>
        <v>Coccoloba rosea</v>
      </c>
    </row>
    <row r="1452" spans="1:8" x14ac:dyDescent="0.25">
      <c r="A1452">
        <v>36047</v>
      </c>
      <c r="B1452" t="s">
        <v>2003</v>
      </c>
      <c r="C1452" t="s">
        <v>2004</v>
      </c>
      <c r="D1452" t="s">
        <v>38</v>
      </c>
      <c r="E1452">
        <v>34785</v>
      </c>
      <c r="F1452" s="24">
        <f>especies_ativa_codibama[[#This Row],[Código]]</f>
        <v>36047</v>
      </c>
      <c r="G1452" s="40" t="str">
        <f>especies_ativa_codibama[[#This Row],[Nome popular]]</f>
        <v>Cassu preto, Caneleira, Cabeça de macaco</v>
      </c>
      <c r="H1452" s="40" t="str">
        <f>especies_ativa_codibama[[#This Row],[Nome científico]]</f>
        <v>Coccoloba latifolia</v>
      </c>
    </row>
    <row r="1453" spans="1:8" x14ac:dyDescent="0.25">
      <c r="A1453">
        <v>36050</v>
      </c>
      <c r="B1453" t="s">
        <v>2005</v>
      </c>
      <c r="C1453" t="s">
        <v>2006</v>
      </c>
      <c r="D1453" t="s">
        <v>38</v>
      </c>
      <c r="E1453">
        <v>31675</v>
      </c>
      <c r="F1453" s="24">
        <f>especies_ativa_codibama[[#This Row],[Código]]</f>
        <v>36050</v>
      </c>
      <c r="G1453" s="40" t="str">
        <f>especies_ativa_codibama[[#This Row],[Nome popular]]</f>
        <v>coaçu, Folha larga, Novateiro, Pajeú, pau-jaú</v>
      </c>
      <c r="H1453" s="40" t="str">
        <f>especies_ativa_codibama[[#This Row],[Nome científico]]</f>
        <v>Coccoloba mollis</v>
      </c>
    </row>
    <row r="1454" spans="1:8" x14ac:dyDescent="0.25">
      <c r="A1454">
        <v>36053</v>
      </c>
      <c r="B1454" t="s">
        <v>2007</v>
      </c>
      <c r="C1454" t="s">
        <v>2008</v>
      </c>
      <c r="D1454" t="s">
        <v>38</v>
      </c>
      <c r="E1454">
        <v>32611</v>
      </c>
      <c r="F1454" s="24">
        <f>especies_ativa_codibama[[#This Row],[Código]]</f>
        <v>36053</v>
      </c>
      <c r="G1454" s="40" t="str">
        <f>especies_ativa_codibama[[#This Row],[Nome popular]]</f>
        <v>Formigueiro, Pau formiga, Pajaú, Pajeú, Pau jaú</v>
      </c>
      <c r="H1454" s="40" t="str">
        <f>especies_ativa_codibama[[#This Row],[Nome científico]]</f>
        <v>Triplaris gardneriana</v>
      </c>
    </row>
    <row r="1455" spans="1:8" x14ac:dyDescent="0.25">
      <c r="A1455">
        <v>36055</v>
      </c>
      <c r="B1455" t="s">
        <v>2009</v>
      </c>
      <c r="C1455" t="s">
        <v>2010</v>
      </c>
      <c r="D1455" t="s">
        <v>38</v>
      </c>
      <c r="E1455">
        <v>1990074</v>
      </c>
      <c r="F1455" s="24">
        <f>especies_ativa_codibama[[#This Row],[Código]]</f>
        <v>36055</v>
      </c>
      <c r="G1455" s="40" t="str">
        <f>especies_ativa_codibama[[#This Row],[Nome popular]]</f>
        <v>pau-de-estalo, cabuçu</v>
      </c>
      <c r="H1455" s="40" t="str">
        <f>especies_ativa_codibama[[#This Row],[Nome científico]]</f>
        <v>Coccoloba alnifolia</v>
      </c>
    </row>
    <row r="1456" spans="1:8" x14ac:dyDescent="0.25">
      <c r="A1456">
        <v>36064</v>
      </c>
      <c r="B1456" t="s">
        <v>106</v>
      </c>
      <c r="C1456" t="s">
        <v>2011</v>
      </c>
      <c r="D1456" t="s">
        <v>38</v>
      </c>
      <c r="E1456">
        <v>36252</v>
      </c>
      <c r="F1456" s="24">
        <f>especies_ativa_codibama[[#This Row],[Código]]</f>
        <v>36064</v>
      </c>
      <c r="G1456" s="40" t="str">
        <f>especies_ativa_codibama[[#This Row],[Nome popular]]</f>
        <v>---</v>
      </c>
      <c r="H1456" s="40" t="str">
        <f>especies_ativa_codibama[[#This Row],[Nome científico]]</f>
        <v>Triplaris americana</v>
      </c>
    </row>
    <row r="1457" spans="1:8" x14ac:dyDescent="0.25">
      <c r="A1457">
        <v>36065</v>
      </c>
      <c r="B1457" t="s">
        <v>106</v>
      </c>
      <c r="C1457" t="s">
        <v>2012</v>
      </c>
      <c r="D1457" t="s">
        <v>38</v>
      </c>
      <c r="E1457">
        <v>34407</v>
      </c>
      <c r="F1457" s="24">
        <f>especies_ativa_codibama[[#This Row],[Código]]</f>
        <v>36065</v>
      </c>
      <c r="G1457" s="40" t="str">
        <f>especies_ativa_codibama[[#This Row],[Nome popular]]</f>
        <v>---</v>
      </c>
      <c r="H1457" s="40" t="str">
        <f>especies_ativa_codibama[[#This Row],[Nome científico]]</f>
        <v>Symmeria paniculata</v>
      </c>
    </row>
    <row r="1458" spans="1:8" x14ac:dyDescent="0.25">
      <c r="A1458">
        <v>36066</v>
      </c>
      <c r="B1458" t="s">
        <v>106</v>
      </c>
      <c r="C1458" t="s">
        <v>2013</v>
      </c>
      <c r="D1458" t="s">
        <v>38</v>
      </c>
      <c r="E1458">
        <v>31934</v>
      </c>
      <c r="F1458" s="24">
        <f>especies_ativa_codibama[[#This Row],[Código]]</f>
        <v>36066</v>
      </c>
      <c r="G1458" s="40" t="str">
        <f>especies_ativa_codibama[[#This Row],[Nome popular]]</f>
        <v>---</v>
      </c>
      <c r="H1458" s="40" t="str">
        <f>especies_ativa_codibama[[#This Row],[Nome científico]]</f>
        <v>Ruprechtia laxiflora</v>
      </c>
    </row>
    <row r="1459" spans="1:8" x14ac:dyDescent="0.25">
      <c r="A1459">
        <v>36067</v>
      </c>
      <c r="B1459" t="s">
        <v>106</v>
      </c>
      <c r="C1459" t="s">
        <v>2014</v>
      </c>
      <c r="D1459" t="s">
        <v>38</v>
      </c>
      <c r="E1459">
        <v>33768</v>
      </c>
      <c r="F1459" s="24">
        <f>especies_ativa_codibama[[#This Row],[Código]]</f>
        <v>36067</v>
      </c>
      <c r="G1459" s="40" t="str">
        <f>especies_ativa_codibama[[#This Row],[Nome popular]]</f>
        <v>---</v>
      </c>
      <c r="H1459" s="40" t="str">
        <f>especies_ativa_codibama[[#This Row],[Nome científico]]</f>
        <v>Ruprechtia exploratricis</v>
      </c>
    </row>
    <row r="1460" spans="1:8" x14ac:dyDescent="0.25">
      <c r="A1460">
        <v>36080</v>
      </c>
      <c r="B1460" t="s">
        <v>2015</v>
      </c>
      <c r="C1460" t="s">
        <v>2016</v>
      </c>
      <c r="D1460" t="s">
        <v>38</v>
      </c>
      <c r="E1460">
        <v>36113</v>
      </c>
      <c r="F1460" s="24">
        <f>especies_ativa_codibama[[#This Row],[Código]]</f>
        <v>36080</v>
      </c>
      <c r="G1460" s="40" t="str">
        <f>especies_ativa_codibama[[#This Row],[Nome popular]]</f>
        <v>capororoquinha</v>
      </c>
      <c r="H1460" s="40" t="str">
        <f>especies_ativa_codibama[[#This Row],[Nome científico]]</f>
        <v>Myrsine coriacea</v>
      </c>
    </row>
    <row r="1461" spans="1:8" x14ac:dyDescent="0.25">
      <c r="A1461">
        <v>36085</v>
      </c>
      <c r="B1461" t="s">
        <v>106</v>
      </c>
      <c r="C1461" t="s">
        <v>2017</v>
      </c>
      <c r="D1461" t="s">
        <v>38</v>
      </c>
      <c r="E1461">
        <v>32695</v>
      </c>
      <c r="F1461" s="24">
        <f>especies_ativa_codibama[[#This Row],[Código]]</f>
        <v>36085</v>
      </c>
      <c r="G1461" s="40" t="str">
        <f>especies_ativa_codibama[[#This Row],[Nome popular]]</f>
        <v>---</v>
      </c>
      <c r="H1461" s="40" t="str">
        <f>especies_ativa_codibama[[#This Row],[Nome científico]]</f>
        <v>Cybianthus glaber</v>
      </c>
    </row>
    <row r="1462" spans="1:8" x14ac:dyDescent="0.25">
      <c r="A1462">
        <v>36086</v>
      </c>
      <c r="B1462" t="s">
        <v>106</v>
      </c>
      <c r="C1462" t="s">
        <v>2018</v>
      </c>
      <c r="D1462" t="s">
        <v>38</v>
      </c>
      <c r="E1462">
        <v>1991096</v>
      </c>
      <c r="F1462" s="24">
        <f>especies_ativa_codibama[[#This Row],[Código]]</f>
        <v>36086</v>
      </c>
      <c r="G1462" s="40" t="str">
        <f>especies_ativa_codibama[[#This Row],[Nome popular]]</f>
        <v>---</v>
      </c>
      <c r="H1462" s="40" t="str">
        <f>especies_ativa_codibama[[#This Row],[Nome científico]]</f>
        <v>Clavija nutans</v>
      </c>
    </row>
    <row r="1463" spans="1:8" x14ac:dyDescent="0.25">
      <c r="A1463">
        <v>36089</v>
      </c>
      <c r="B1463" t="s">
        <v>106</v>
      </c>
      <c r="C1463" t="s">
        <v>2019</v>
      </c>
      <c r="D1463" t="s">
        <v>38</v>
      </c>
      <c r="E1463">
        <v>34930</v>
      </c>
      <c r="F1463" s="24">
        <f>especies_ativa_codibama[[#This Row],[Código]]</f>
        <v>36089</v>
      </c>
      <c r="G1463" s="40" t="str">
        <f>especies_ativa_codibama[[#This Row],[Nome popular]]</f>
        <v>---</v>
      </c>
      <c r="H1463" s="40" t="str">
        <f>especies_ativa_codibama[[#This Row],[Nome científico]]</f>
        <v>Myrsine guianensis</v>
      </c>
    </row>
    <row r="1464" spans="1:8" x14ac:dyDescent="0.25">
      <c r="A1464">
        <v>36090</v>
      </c>
      <c r="B1464" t="s">
        <v>106</v>
      </c>
      <c r="C1464" t="s">
        <v>2020</v>
      </c>
      <c r="D1464" t="s">
        <v>38</v>
      </c>
      <c r="E1464">
        <v>36405</v>
      </c>
      <c r="F1464" s="24">
        <f>especies_ativa_codibama[[#This Row],[Código]]</f>
        <v>36090</v>
      </c>
      <c r="G1464" s="40" t="str">
        <f>especies_ativa_codibama[[#This Row],[Nome popular]]</f>
        <v>---</v>
      </c>
      <c r="H1464" s="40" t="str">
        <f>especies_ativa_codibama[[#This Row],[Nome científico]]</f>
        <v>Myrsine umbellata</v>
      </c>
    </row>
    <row r="1465" spans="1:8" x14ac:dyDescent="0.25">
      <c r="A1465">
        <v>36093</v>
      </c>
      <c r="B1465" t="s">
        <v>106</v>
      </c>
      <c r="C1465" t="s">
        <v>2021</v>
      </c>
      <c r="D1465" t="s">
        <v>38</v>
      </c>
      <c r="E1465">
        <v>33948</v>
      </c>
      <c r="F1465" s="24">
        <f>especies_ativa_codibama[[#This Row],[Código]]</f>
        <v>36093</v>
      </c>
      <c r="G1465" s="40" t="str">
        <f>especies_ativa_codibama[[#This Row],[Nome popular]]</f>
        <v>---</v>
      </c>
      <c r="H1465" s="40" t="str">
        <f>especies_ativa_codibama[[#This Row],[Nome científico]]</f>
        <v>Cybianthus gardneri</v>
      </c>
    </row>
    <row r="1466" spans="1:8" x14ac:dyDescent="0.25">
      <c r="A1466">
        <v>36101</v>
      </c>
      <c r="B1466" t="s">
        <v>106</v>
      </c>
      <c r="C1466" t="s">
        <v>2720</v>
      </c>
      <c r="D1466" t="s">
        <v>38</v>
      </c>
      <c r="E1466">
        <v>1982519</v>
      </c>
      <c r="F1466" s="24">
        <f>especies_ativa_codibama[[#This Row],[Código]]</f>
        <v>36101</v>
      </c>
      <c r="G1466" s="40" t="str">
        <f>especies_ativa_codibama[[#This Row],[Nome popular]]</f>
        <v>---</v>
      </c>
      <c r="H1466" s="40" t="str">
        <f>especies_ativa_codibama[[#This Row],[Nome científico]]</f>
        <v>Geissanthus ambiguus</v>
      </c>
    </row>
    <row r="1467" spans="1:8" x14ac:dyDescent="0.25">
      <c r="A1467">
        <v>36102</v>
      </c>
      <c r="B1467" t="s">
        <v>106</v>
      </c>
      <c r="C1467" t="s">
        <v>2022</v>
      </c>
      <c r="D1467" t="s">
        <v>38</v>
      </c>
      <c r="E1467">
        <v>32959</v>
      </c>
      <c r="F1467" s="24">
        <f>especies_ativa_codibama[[#This Row],[Código]]</f>
        <v>36102</v>
      </c>
      <c r="G1467" s="40" t="str">
        <f>especies_ativa_codibama[[#This Row],[Nome popular]]</f>
        <v>---</v>
      </c>
      <c r="H1467" s="40" t="str">
        <f>especies_ativa_codibama[[#This Row],[Nome científico]]</f>
        <v>Cybianthus detergens</v>
      </c>
    </row>
    <row r="1468" spans="1:8" x14ac:dyDescent="0.25">
      <c r="A1468">
        <v>36103</v>
      </c>
      <c r="B1468" t="s">
        <v>1397</v>
      </c>
      <c r="C1468" t="s">
        <v>2023</v>
      </c>
      <c r="D1468" t="s">
        <v>196</v>
      </c>
      <c r="E1468">
        <v>33354</v>
      </c>
      <c r="F1468" s="24">
        <f>especies_ativa_codibama[[#This Row],[Código]]</f>
        <v>36103</v>
      </c>
      <c r="G1468" s="40" t="str">
        <f>especies_ativa_codibama[[#This Row],[Nome popular]]</f>
        <v>canela amarela</v>
      </c>
      <c r="H1468" s="40" t="str">
        <f>especies_ativa_codibama[[#This Row],[Nome científico]]</f>
        <v>Panopsis multiflora</v>
      </c>
    </row>
    <row r="1469" spans="1:8" x14ac:dyDescent="0.25">
      <c r="A1469">
        <v>36108</v>
      </c>
      <c r="B1469" t="s">
        <v>2024</v>
      </c>
      <c r="C1469" t="s">
        <v>2025</v>
      </c>
      <c r="D1469" t="s">
        <v>465</v>
      </c>
      <c r="E1469">
        <v>31933</v>
      </c>
      <c r="F1469" s="24">
        <f>especies_ativa_codibama[[#This Row],[Código]]</f>
        <v>36108</v>
      </c>
      <c r="G1469" s="40" t="str">
        <f>especies_ativa_codibama[[#This Row],[Nome popular]]</f>
        <v>carne de vaca</v>
      </c>
      <c r="H1469" s="40" t="str">
        <f>especies_ativa_codibama[[#This Row],[Nome científico]]</f>
        <v>Roupala longepetiolata</v>
      </c>
    </row>
    <row r="1470" spans="1:8" x14ac:dyDescent="0.25">
      <c r="A1470">
        <v>36112</v>
      </c>
      <c r="B1470" t="s">
        <v>2026</v>
      </c>
      <c r="C1470" t="s">
        <v>2027</v>
      </c>
      <c r="D1470" t="s">
        <v>126</v>
      </c>
      <c r="E1470">
        <v>34028</v>
      </c>
      <c r="F1470" s="24">
        <f>especies_ativa_codibama[[#This Row],[Código]]</f>
        <v>36112</v>
      </c>
      <c r="G1470" s="40" t="str">
        <f>especies_ativa_codibama[[#This Row],[Nome popular]]</f>
        <v>gaia vermelha, pau malheira</v>
      </c>
      <c r="H1470" s="40" t="str">
        <f>especies_ativa_codibama[[#This Row],[Nome científico]]</f>
        <v>Panopsis rubescens</v>
      </c>
    </row>
    <row r="1471" spans="1:8" x14ac:dyDescent="0.25">
      <c r="A1471">
        <v>36116</v>
      </c>
      <c r="B1471" t="s">
        <v>2028</v>
      </c>
      <c r="C1471" t="s">
        <v>2029</v>
      </c>
      <c r="D1471" t="s">
        <v>38</v>
      </c>
      <c r="E1471">
        <v>33765</v>
      </c>
      <c r="F1471" s="24">
        <f>especies_ativa_codibama[[#This Row],[Código]]</f>
        <v>36116</v>
      </c>
      <c r="G1471" s="40" t="str">
        <f>especies_ativa_codibama[[#This Row],[Nome popular]]</f>
        <v>carne de vaca, carvalho vermelha</v>
      </c>
      <c r="H1471" s="40" t="str">
        <f>especies_ativa_codibama[[#This Row],[Nome científico]]</f>
        <v>Roupala montana</v>
      </c>
    </row>
    <row r="1472" spans="1:8" x14ac:dyDescent="0.25">
      <c r="A1472">
        <v>36118</v>
      </c>
      <c r="B1472" t="s">
        <v>2030</v>
      </c>
      <c r="C1472" t="s">
        <v>2031</v>
      </c>
      <c r="D1472" t="s">
        <v>38</v>
      </c>
      <c r="E1472">
        <v>33913</v>
      </c>
      <c r="F1472" s="24">
        <f>especies_ativa_codibama[[#This Row],[Código]]</f>
        <v>36118</v>
      </c>
      <c r="G1472" s="40" t="str">
        <f>especies_ativa_codibama[[#This Row],[Nome popular]]</f>
        <v>fruto de morcego, mijo de guara</v>
      </c>
      <c r="H1472" s="40" t="str">
        <f>especies_ativa_codibama[[#This Row],[Nome científico]]</f>
        <v>Euplassa inaequalis</v>
      </c>
    </row>
    <row r="1473" spans="1:8" x14ac:dyDescent="0.25">
      <c r="A1473">
        <v>36119</v>
      </c>
      <c r="B1473" t="s">
        <v>2032</v>
      </c>
      <c r="C1473" t="s">
        <v>2033</v>
      </c>
      <c r="D1473" t="s">
        <v>465</v>
      </c>
      <c r="E1473">
        <v>31738</v>
      </c>
      <c r="F1473" s="24">
        <f>especies_ativa_codibama[[#This Row],[Código]]</f>
        <v>36119</v>
      </c>
      <c r="G1473" s="40" t="str">
        <f>especies_ativa_codibama[[#This Row],[Nome popular]]</f>
        <v>Tambu do cerrado</v>
      </c>
      <c r="H1473" s="40" t="str">
        <f>especies_ativa_codibama[[#This Row],[Nome científico]]</f>
        <v>Euplassa rufa</v>
      </c>
    </row>
    <row r="1474" spans="1:8" x14ac:dyDescent="0.25">
      <c r="A1474">
        <v>36123</v>
      </c>
      <c r="B1474" t="s">
        <v>2034</v>
      </c>
      <c r="C1474" t="s">
        <v>2035</v>
      </c>
      <c r="D1474" t="s">
        <v>465</v>
      </c>
      <c r="E1474">
        <v>32379</v>
      </c>
      <c r="F1474" s="24">
        <f>especies_ativa_codibama[[#This Row],[Código]]</f>
        <v>36123</v>
      </c>
      <c r="G1474" s="40" t="str">
        <f>especies_ativa_codibama[[#This Row],[Nome popular]]</f>
        <v>carvalho do Brasil</v>
      </c>
      <c r="H1474" s="40" t="str">
        <f>especies_ativa_codibama[[#This Row],[Nome científico]]</f>
        <v>Euplassa incana</v>
      </c>
    </row>
    <row r="1475" spans="1:8" x14ac:dyDescent="0.25">
      <c r="A1475">
        <v>36125</v>
      </c>
      <c r="B1475" t="s">
        <v>106</v>
      </c>
      <c r="C1475" t="s">
        <v>2036</v>
      </c>
      <c r="D1475" t="s">
        <v>38</v>
      </c>
      <c r="E1475">
        <v>33952</v>
      </c>
      <c r="F1475" s="24">
        <f>especies_ativa_codibama[[#This Row],[Código]]</f>
        <v>36125</v>
      </c>
      <c r="G1475" s="40" t="str">
        <f>especies_ativa_codibama[[#This Row],[Nome popular]]</f>
        <v>---</v>
      </c>
      <c r="H1475" s="40" t="str">
        <f>especies_ativa_codibama[[#This Row],[Nome científico]]</f>
        <v>Drypetes variabilis</v>
      </c>
    </row>
    <row r="1476" spans="1:8" x14ac:dyDescent="0.25">
      <c r="A1476">
        <v>36132</v>
      </c>
      <c r="B1476" t="s">
        <v>106</v>
      </c>
      <c r="C1476" t="s">
        <v>2037</v>
      </c>
      <c r="D1476" t="s">
        <v>126</v>
      </c>
      <c r="E1476">
        <v>35943</v>
      </c>
      <c r="F1476" s="24">
        <f>especies_ativa_codibama[[#This Row],[Código]]</f>
        <v>36132</v>
      </c>
      <c r="G1476" s="40" t="str">
        <f>especies_ativa_codibama[[#This Row],[Nome popular]]</f>
        <v>---</v>
      </c>
      <c r="H1476" s="40" t="str">
        <f>especies_ativa_codibama[[#This Row],[Nome científico]]</f>
        <v>Colubrina glandulosa</v>
      </c>
    </row>
    <row r="1477" spans="1:8" x14ac:dyDescent="0.25">
      <c r="A1477">
        <v>36134</v>
      </c>
      <c r="B1477" t="s">
        <v>2038</v>
      </c>
      <c r="C1477" t="s">
        <v>2039</v>
      </c>
      <c r="D1477" t="s">
        <v>38</v>
      </c>
      <c r="E1477">
        <v>36187</v>
      </c>
      <c r="F1477" s="24">
        <f>especies_ativa_codibama[[#This Row],[Código]]</f>
        <v>36134</v>
      </c>
      <c r="G1477" s="40" t="str">
        <f>especies_ativa_codibama[[#This Row],[Nome popular]]</f>
        <v>Cafezinho, Saguragi amarelo</v>
      </c>
      <c r="H1477" s="40" t="str">
        <f>especies_ativa_codibama[[#This Row],[Nome científico]]</f>
        <v>Rhamnidium elaeocarpum</v>
      </c>
    </row>
    <row r="1478" spans="1:8" x14ac:dyDescent="0.25">
      <c r="A1478">
        <v>36137</v>
      </c>
      <c r="B1478" t="s">
        <v>2040</v>
      </c>
      <c r="C1478" t="s">
        <v>2041</v>
      </c>
      <c r="D1478" t="s">
        <v>38</v>
      </c>
      <c r="E1478">
        <v>1987758</v>
      </c>
      <c r="F1478" s="24">
        <f>especies_ativa_codibama[[#This Row],[Código]]</f>
        <v>36137</v>
      </c>
      <c r="G1478" s="40" t="str">
        <f>especies_ativa_codibama[[#This Row],[Nome popular]]</f>
        <v>Joazeiro, Juazeiro</v>
      </c>
      <c r="H1478" s="40" t="str">
        <f>especies_ativa_codibama[[#This Row],[Nome científico]]</f>
        <v>Ziziphus joazeiro</v>
      </c>
    </row>
    <row r="1479" spans="1:8" x14ac:dyDescent="0.25">
      <c r="A1479">
        <v>36145</v>
      </c>
      <c r="B1479" t="s">
        <v>106</v>
      </c>
      <c r="C1479" t="s">
        <v>2042</v>
      </c>
      <c r="D1479" t="s">
        <v>465</v>
      </c>
      <c r="E1479">
        <v>31928</v>
      </c>
      <c r="F1479" s="24">
        <f>especies_ativa_codibama[[#This Row],[Código]]</f>
        <v>36145</v>
      </c>
      <c r="G1479" s="40" t="str">
        <f>especies_ativa_codibama[[#This Row],[Nome popular]]</f>
        <v>---</v>
      </c>
      <c r="H1479" s="40" t="str">
        <f>especies_ativa_codibama[[#This Row],[Nome científico]]</f>
        <v>Rhamnidium glabrum</v>
      </c>
    </row>
    <row r="1480" spans="1:8" x14ac:dyDescent="0.25">
      <c r="A1480">
        <v>36146</v>
      </c>
      <c r="B1480" t="s">
        <v>2043</v>
      </c>
      <c r="C1480" t="s">
        <v>2044</v>
      </c>
      <c r="D1480" t="s">
        <v>79</v>
      </c>
      <c r="E1480">
        <v>33695</v>
      </c>
      <c r="F1480" s="24">
        <f>especies_ativa_codibama[[#This Row],[Código]]</f>
        <v>36146</v>
      </c>
      <c r="G1480" s="40" t="str">
        <f>especies_ativa_codibama[[#This Row],[Nome popular]]</f>
        <v>ameixa do Brasil, folha-de-serra do Brasil, serrinha do Brasil</v>
      </c>
      <c r="H1480" s="40" t="str">
        <f>especies_ativa_codibama[[#This Row],[Nome científico]]</f>
        <v>Paradrypetes ilicifolia</v>
      </c>
    </row>
    <row r="1481" spans="1:8" x14ac:dyDescent="0.25">
      <c r="A1481">
        <v>36148</v>
      </c>
      <c r="B1481" t="s">
        <v>106</v>
      </c>
      <c r="C1481" t="s">
        <v>2045</v>
      </c>
      <c r="D1481" t="s">
        <v>38</v>
      </c>
      <c r="E1481">
        <v>32738</v>
      </c>
      <c r="F1481" s="24">
        <f>especies_ativa_codibama[[#This Row],[Código]]</f>
        <v>36148</v>
      </c>
      <c r="G1481" s="40" t="str">
        <f>especies_ativa_codibama[[#This Row],[Nome popular]]</f>
        <v>---</v>
      </c>
      <c r="H1481" s="40" t="str">
        <f>especies_ativa_codibama[[#This Row],[Nome científico]]</f>
        <v>Sterigmapetalum obovatum</v>
      </c>
    </row>
    <row r="1482" spans="1:8" x14ac:dyDescent="0.25">
      <c r="A1482">
        <v>36149</v>
      </c>
      <c r="B1482" t="s">
        <v>106</v>
      </c>
      <c r="C1482" t="s">
        <v>2046</v>
      </c>
      <c r="D1482" t="s">
        <v>38</v>
      </c>
      <c r="E1482">
        <v>33169</v>
      </c>
      <c r="F1482" s="24">
        <f>especies_ativa_codibama[[#This Row],[Código]]</f>
        <v>36149</v>
      </c>
      <c r="G1482" s="40" t="str">
        <f>especies_ativa_codibama[[#This Row],[Nome popular]]</f>
        <v>---</v>
      </c>
      <c r="H1482" s="40" t="str">
        <f>especies_ativa_codibama[[#This Row],[Nome científico]]</f>
        <v>Rhizophora mangle</v>
      </c>
    </row>
    <row r="1483" spans="1:8" x14ac:dyDescent="0.25">
      <c r="A1483">
        <v>36150</v>
      </c>
      <c r="B1483" t="s">
        <v>2721</v>
      </c>
      <c r="C1483" t="s">
        <v>2047</v>
      </c>
      <c r="D1483" t="s">
        <v>79</v>
      </c>
      <c r="E1483">
        <v>33382</v>
      </c>
      <c r="F1483" s="24">
        <f>especies_ativa_codibama[[#This Row],[Código]]</f>
        <v>36150</v>
      </c>
      <c r="G1483" s="40" t="str">
        <f>especies_ativa_codibama[[#This Row],[Nome popular]]</f>
        <v>Coração-de-negro, pessegueiro-bravo</v>
      </c>
      <c r="H1483" s="40" t="str">
        <f>especies_ativa_codibama[[#This Row],[Nome científico]]</f>
        <v>Prunus chamissoana</v>
      </c>
    </row>
    <row r="1484" spans="1:8" x14ac:dyDescent="0.25">
      <c r="A1484">
        <v>36153</v>
      </c>
      <c r="B1484" t="s">
        <v>2721</v>
      </c>
      <c r="C1484" t="s">
        <v>2048</v>
      </c>
      <c r="D1484" t="s">
        <v>38</v>
      </c>
      <c r="E1484">
        <v>1052959</v>
      </c>
      <c r="F1484" s="24">
        <f>especies_ativa_codibama[[#This Row],[Código]]</f>
        <v>36153</v>
      </c>
      <c r="G1484" s="40" t="str">
        <f>especies_ativa_codibama[[#This Row],[Nome popular]]</f>
        <v>Coração-de-negro, pessegueiro-bravo</v>
      </c>
      <c r="H1484" s="40" t="str">
        <f>especies_ativa_codibama[[#This Row],[Nome científico]]</f>
        <v>Prunus myrtifolia</v>
      </c>
    </row>
    <row r="1485" spans="1:8" x14ac:dyDescent="0.25">
      <c r="A1485">
        <v>36154</v>
      </c>
      <c r="B1485" t="s">
        <v>2721</v>
      </c>
      <c r="C1485" t="s">
        <v>2049</v>
      </c>
      <c r="D1485" t="s">
        <v>38</v>
      </c>
      <c r="E1485">
        <v>33741</v>
      </c>
      <c r="F1485" s="24">
        <f>especies_ativa_codibama[[#This Row],[Código]]</f>
        <v>36154</v>
      </c>
      <c r="G1485" s="40" t="str">
        <f>especies_ativa_codibama[[#This Row],[Nome popular]]</f>
        <v>Coração-de-negro, pessegueiro-bravo</v>
      </c>
      <c r="H1485" s="40" t="str">
        <f>especies_ativa_codibama[[#This Row],[Nome científico]]</f>
        <v>Prunus brasiliensis</v>
      </c>
    </row>
    <row r="1486" spans="1:8" x14ac:dyDescent="0.25">
      <c r="A1486">
        <v>36155</v>
      </c>
      <c r="B1486" t="s">
        <v>2050</v>
      </c>
      <c r="C1486" t="s">
        <v>2051</v>
      </c>
      <c r="D1486" t="s">
        <v>38</v>
      </c>
      <c r="E1486">
        <v>34358</v>
      </c>
      <c r="F1486" s="24">
        <f>especies_ativa_codibama[[#This Row],[Código]]</f>
        <v>36155</v>
      </c>
      <c r="G1486" s="40" t="str">
        <f>especies_ativa_codibama[[#This Row],[Nome popular]]</f>
        <v>Damasqueiro, Damasco</v>
      </c>
      <c r="H1486" s="40" t="str">
        <f>especies_ativa_codibama[[#This Row],[Nome científico]]</f>
        <v>Prunus armeniaca</v>
      </c>
    </row>
    <row r="1487" spans="1:8" x14ac:dyDescent="0.25">
      <c r="A1487">
        <v>36157</v>
      </c>
      <c r="B1487" t="s">
        <v>2052</v>
      </c>
      <c r="C1487" t="s">
        <v>2053</v>
      </c>
      <c r="D1487" t="s">
        <v>38</v>
      </c>
      <c r="E1487">
        <v>35966</v>
      </c>
      <c r="F1487" s="24">
        <f>especies_ativa_codibama[[#This Row],[Código]]</f>
        <v>36157</v>
      </c>
      <c r="G1487" s="40" t="str">
        <f>especies_ativa_codibama[[#This Row],[Nome popular]]</f>
        <v>marmeleiro, marmeleiro-da-europa, pereira-do-japão</v>
      </c>
      <c r="H1487" s="40" t="str">
        <f>especies_ativa_codibama[[#This Row],[Nome científico]]</f>
        <v>Cydonia oblonga</v>
      </c>
    </row>
    <row r="1488" spans="1:8" x14ac:dyDescent="0.25">
      <c r="A1488">
        <v>36158</v>
      </c>
      <c r="B1488" t="s">
        <v>2054</v>
      </c>
      <c r="C1488" t="s">
        <v>2055</v>
      </c>
      <c r="D1488" t="s">
        <v>38</v>
      </c>
      <c r="E1488">
        <v>35990</v>
      </c>
      <c r="F1488" s="24">
        <f>especies_ativa_codibama[[#This Row],[Código]]</f>
        <v>36158</v>
      </c>
      <c r="G1488" s="40" t="str">
        <f>especies_ativa_codibama[[#This Row],[Nome popular]]</f>
        <v>Nêspera, Ameixa-japonesa</v>
      </c>
      <c r="H1488" s="40" t="str">
        <f>especies_ativa_codibama[[#This Row],[Nome científico]]</f>
        <v>Eriobotrya japonica</v>
      </c>
    </row>
    <row r="1489" spans="1:8" x14ac:dyDescent="0.25">
      <c r="A1489">
        <v>36159</v>
      </c>
      <c r="B1489" t="s">
        <v>2056</v>
      </c>
      <c r="C1489" t="s">
        <v>2057</v>
      </c>
      <c r="D1489" t="s">
        <v>38</v>
      </c>
      <c r="E1489">
        <v>31919</v>
      </c>
      <c r="F1489" s="24">
        <f>especies_ativa_codibama[[#This Row],[Código]]</f>
        <v>36159</v>
      </c>
      <c r="G1489" s="40" t="str">
        <f>especies_ativa_codibama[[#This Row],[Nome popular]]</f>
        <v>Pereira</v>
      </c>
      <c r="H1489" s="40" t="str">
        <f>especies_ativa_codibama[[#This Row],[Nome científico]]</f>
        <v>Pyrus communis</v>
      </c>
    </row>
    <row r="1490" spans="1:8" x14ac:dyDescent="0.25">
      <c r="A1490">
        <v>36160</v>
      </c>
      <c r="B1490" t="s">
        <v>2058</v>
      </c>
      <c r="C1490" t="s">
        <v>2059</v>
      </c>
      <c r="D1490" t="s">
        <v>38</v>
      </c>
      <c r="E1490">
        <v>32539</v>
      </c>
      <c r="F1490" s="24">
        <f>especies_ativa_codibama[[#This Row],[Código]]</f>
        <v>36160</v>
      </c>
      <c r="G1490" s="40" t="str">
        <f>especies_ativa_codibama[[#This Row],[Nome popular]]</f>
        <v>pessegueiro</v>
      </c>
      <c r="H1490" s="40" t="str">
        <f>especies_ativa_codibama[[#This Row],[Nome científico]]</f>
        <v>Prunus persica</v>
      </c>
    </row>
    <row r="1491" spans="1:8" x14ac:dyDescent="0.25">
      <c r="A1491">
        <v>36161</v>
      </c>
      <c r="B1491" t="s">
        <v>106</v>
      </c>
      <c r="C1491" t="s">
        <v>2060</v>
      </c>
      <c r="D1491" t="s">
        <v>38</v>
      </c>
      <c r="E1491">
        <v>32797</v>
      </c>
      <c r="F1491" s="24">
        <f>especies_ativa_codibama[[#This Row],[Código]]</f>
        <v>36161</v>
      </c>
      <c r="G1491" s="40" t="str">
        <f>especies_ativa_codibama[[#This Row],[Nome popular]]</f>
        <v>---</v>
      </c>
      <c r="H1491" s="40" t="str">
        <f>especies_ativa_codibama[[#This Row],[Nome científico]]</f>
        <v>Prunus avium</v>
      </c>
    </row>
    <row r="1492" spans="1:8" x14ac:dyDescent="0.25">
      <c r="A1492">
        <v>36166</v>
      </c>
      <c r="B1492" t="s">
        <v>2061</v>
      </c>
      <c r="C1492" t="s">
        <v>2062</v>
      </c>
      <c r="D1492" t="s">
        <v>598</v>
      </c>
      <c r="E1492">
        <v>35166</v>
      </c>
      <c r="F1492" s="24">
        <f>especies_ativa_codibama[[#This Row],[Código]]</f>
        <v>36166</v>
      </c>
      <c r="G1492" s="40" t="str">
        <f>especies_ativa_codibama[[#This Row],[Nome popular]]</f>
        <v>Arariba</v>
      </c>
      <c r="H1492" s="40" t="str">
        <f>especies_ativa_codibama[[#This Row],[Nome científico]]</f>
        <v>Simira grazielae</v>
      </c>
    </row>
    <row r="1493" spans="1:8" x14ac:dyDescent="0.25">
      <c r="A1493">
        <v>36168</v>
      </c>
      <c r="B1493" t="s">
        <v>2063</v>
      </c>
      <c r="C1493" t="s">
        <v>2064</v>
      </c>
      <c r="D1493" t="s">
        <v>79</v>
      </c>
      <c r="E1493">
        <v>33172</v>
      </c>
      <c r="F1493" s="24">
        <f>especies_ativa_codibama[[#This Row],[Código]]</f>
        <v>36168</v>
      </c>
      <c r="G1493" s="40" t="str">
        <f>especies_ativa_codibama[[#This Row],[Nome popular]]</f>
        <v>arapoca, pau-de-dóia, peroba d`agua, corticeira-da-mata</v>
      </c>
      <c r="H1493" s="40" t="str">
        <f>especies_ativa_codibama[[#This Row],[Nome científico]]</f>
        <v>Rudgea gardenioides</v>
      </c>
    </row>
    <row r="1494" spans="1:8" x14ac:dyDescent="0.25">
      <c r="A1494">
        <v>36172</v>
      </c>
      <c r="B1494" t="s">
        <v>2065</v>
      </c>
      <c r="C1494" t="s">
        <v>2066</v>
      </c>
      <c r="D1494" t="s">
        <v>79</v>
      </c>
      <c r="E1494">
        <v>36106</v>
      </c>
      <c r="F1494" s="24">
        <f>especies_ativa_codibama[[#This Row],[Código]]</f>
        <v>36172</v>
      </c>
      <c r="G1494" s="40" t="str">
        <f>especies_ativa_codibama[[#This Row],[Nome popular]]</f>
        <v>pesquim, saco de mono</v>
      </c>
      <c r="H1494" s="40" t="str">
        <f>especies_ativa_codibama[[#This Row],[Nome científico]]</f>
        <v>Molopanthera paniculata</v>
      </c>
    </row>
    <row r="1495" spans="1:8" x14ac:dyDescent="0.25">
      <c r="A1495">
        <v>36174</v>
      </c>
      <c r="B1495" t="s">
        <v>2067</v>
      </c>
      <c r="C1495" t="s">
        <v>2068</v>
      </c>
      <c r="D1495" t="s">
        <v>79</v>
      </c>
      <c r="E1495">
        <v>34720</v>
      </c>
      <c r="F1495" s="24">
        <f>especies_ativa_codibama[[#This Row],[Código]]</f>
        <v>36174</v>
      </c>
      <c r="G1495" s="40" t="str">
        <f>especies_ativa_codibama[[#This Row],[Nome popular]]</f>
        <v>quina-da-serra, pau-de-colher, quina-da-serra, autupara, folha-larga</v>
      </c>
      <c r="H1495" s="40" t="str">
        <f>especies_ativa_codibama[[#This Row],[Nome científico]]</f>
        <v>Bathysa stipulata</v>
      </c>
    </row>
    <row r="1496" spans="1:8" x14ac:dyDescent="0.25">
      <c r="A1496">
        <v>36175</v>
      </c>
      <c r="B1496" t="s">
        <v>106</v>
      </c>
      <c r="C1496" t="s">
        <v>2069</v>
      </c>
      <c r="D1496" t="s">
        <v>79</v>
      </c>
      <c r="E1496">
        <v>33449</v>
      </c>
      <c r="F1496" s="24">
        <f>especies_ativa_codibama[[#This Row],[Código]]</f>
        <v>36175</v>
      </c>
      <c r="G1496" s="40" t="str">
        <f>especies_ativa_codibama[[#This Row],[Nome popular]]</f>
        <v>---</v>
      </c>
      <c r="H1496" s="40" t="str">
        <f>especies_ativa_codibama[[#This Row],[Nome científico]]</f>
        <v>Chomelia pohliana</v>
      </c>
    </row>
    <row r="1497" spans="1:8" x14ac:dyDescent="0.25">
      <c r="A1497">
        <v>36180</v>
      </c>
      <c r="B1497" t="s">
        <v>106</v>
      </c>
      <c r="C1497" t="s">
        <v>2070</v>
      </c>
      <c r="D1497" t="s">
        <v>79</v>
      </c>
      <c r="E1497">
        <v>1589072</v>
      </c>
      <c r="F1497" s="24">
        <f>especies_ativa_codibama[[#This Row],[Código]]</f>
        <v>36180</v>
      </c>
      <c r="G1497" s="40" t="str">
        <f>especies_ativa_codibama[[#This Row],[Nome popular]]</f>
        <v>---</v>
      </c>
      <c r="H1497" s="40" t="str">
        <f>especies_ativa_codibama[[#This Row],[Nome científico]]</f>
        <v>Rudgea burchelliana</v>
      </c>
    </row>
    <row r="1498" spans="1:8" x14ac:dyDescent="0.25">
      <c r="A1498">
        <v>36185</v>
      </c>
      <c r="B1498" t="s">
        <v>106</v>
      </c>
      <c r="C1498" t="s">
        <v>2071</v>
      </c>
      <c r="D1498" t="s">
        <v>79</v>
      </c>
      <c r="E1498">
        <v>35456</v>
      </c>
      <c r="F1498" s="24">
        <f>especies_ativa_codibama[[#This Row],[Código]]</f>
        <v>36185</v>
      </c>
      <c r="G1498" s="40" t="str">
        <f>especies_ativa_codibama[[#This Row],[Nome popular]]</f>
        <v>---</v>
      </c>
      <c r="H1498" s="40" t="str">
        <f>especies_ativa_codibama[[#This Row],[Nome científico]]</f>
        <v>Ladenbergia chapadensis</v>
      </c>
    </row>
    <row r="1499" spans="1:8" x14ac:dyDescent="0.25">
      <c r="A1499">
        <v>36213</v>
      </c>
      <c r="B1499" t="s">
        <v>106</v>
      </c>
      <c r="C1499" t="s">
        <v>2072</v>
      </c>
      <c r="D1499" t="s">
        <v>79</v>
      </c>
      <c r="E1499">
        <v>36211</v>
      </c>
      <c r="F1499" s="24">
        <f>especies_ativa_codibama[[#This Row],[Código]]</f>
        <v>36213</v>
      </c>
      <c r="G1499" s="40" t="str">
        <f>especies_ativa_codibama[[#This Row],[Nome popular]]</f>
        <v>---</v>
      </c>
      <c r="H1499" s="40" t="str">
        <f>especies_ativa_codibama[[#This Row],[Nome científico]]</f>
        <v>Simira glaziovii</v>
      </c>
    </row>
    <row r="1500" spans="1:8" x14ac:dyDescent="0.25">
      <c r="A1500">
        <v>36234</v>
      </c>
      <c r="B1500" t="s">
        <v>106</v>
      </c>
      <c r="C1500" t="s">
        <v>2073</v>
      </c>
      <c r="D1500" t="s">
        <v>79</v>
      </c>
      <c r="E1500">
        <v>36170</v>
      </c>
      <c r="F1500" s="24">
        <f>especies_ativa_codibama[[#This Row],[Código]]</f>
        <v>36234</v>
      </c>
      <c r="G1500" s="40" t="str">
        <f>especies_ativa_codibama[[#This Row],[Nome popular]]</f>
        <v>---</v>
      </c>
      <c r="H1500" s="40" t="str">
        <f>especies_ativa_codibama[[#This Row],[Nome científico]]</f>
        <v>Posoqueria acutifolia</v>
      </c>
    </row>
    <row r="1501" spans="1:8" x14ac:dyDescent="0.25">
      <c r="A1501">
        <v>36235</v>
      </c>
      <c r="B1501" t="s">
        <v>106</v>
      </c>
      <c r="C1501" t="s">
        <v>2074</v>
      </c>
      <c r="D1501" t="s">
        <v>79</v>
      </c>
      <c r="E1501">
        <v>32201</v>
      </c>
      <c r="F1501" s="24">
        <f>especies_ativa_codibama[[#This Row],[Código]]</f>
        <v>36235</v>
      </c>
      <c r="G1501" s="40" t="str">
        <f>especies_ativa_codibama[[#This Row],[Nome popular]]</f>
        <v>---</v>
      </c>
      <c r="H1501" s="40" t="str">
        <f>especies_ativa_codibama[[#This Row],[Nome científico]]</f>
        <v>Simira viridiflora</v>
      </c>
    </row>
    <row r="1502" spans="1:8" x14ac:dyDescent="0.25">
      <c r="A1502">
        <v>36238</v>
      </c>
      <c r="B1502" t="s">
        <v>2075</v>
      </c>
      <c r="C1502" t="s">
        <v>2076</v>
      </c>
      <c r="D1502" t="s">
        <v>126</v>
      </c>
      <c r="E1502">
        <v>33004</v>
      </c>
      <c r="F1502" s="24">
        <f>especies_ativa_codibama[[#This Row],[Código]]</f>
        <v>36238</v>
      </c>
      <c r="G1502" s="40" t="str">
        <f>especies_ativa_codibama[[#This Row],[Nome popular]]</f>
        <v>genipapo, Jenipapo, Jenipapeiro</v>
      </c>
      <c r="H1502" s="40" t="str">
        <f>especies_ativa_codibama[[#This Row],[Nome científico]]</f>
        <v>Genipa americana</v>
      </c>
    </row>
    <row r="1503" spans="1:8" x14ac:dyDescent="0.25">
      <c r="A1503">
        <v>36240</v>
      </c>
      <c r="B1503" t="s">
        <v>2077</v>
      </c>
      <c r="C1503" t="s">
        <v>2078</v>
      </c>
      <c r="D1503" t="s">
        <v>126</v>
      </c>
      <c r="E1503">
        <v>35820</v>
      </c>
      <c r="F1503" s="24">
        <f>especies_ativa_codibama[[#This Row],[Código]]</f>
        <v>36240</v>
      </c>
      <c r="G1503" s="40" t="str">
        <f>especies_ativa_codibama[[#This Row],[Nome popular]]</f>
        <v>pau-de-colher, quina-do-mato, fumão, araribão, cauassu, quina-do-Paraná, macuqueiro</v>
      </c>
      <c r="H1503" s="40" t="str">
        <f>especies_ativa_codibama[[#This Row],[Nome científico]]</f>
        <v>Bathysa australis</v>
      </c>
    </row>
    <row r="1504" spans="1:8" x14ac:dyDescent="0.25">
      <c r="A1504">
        <v>36241</v>
      </c>
      <c r="B1504" t="s">
        <v>2079</v>
      </c>
      <c r="C1504" t="s">
        <v>2080</v>
      </c>
      <c r="D1504" t="s">
        <v>126</v>
      </c>
      <c r="E1504">
        <v>35457</v>
      </c>
      <c r="F1504" s="24">
        <f>especies_ativa_codibama[[#This Row],[Código]]</f>
        <v>36241</v>
      </c>
      <c r="G1504" s="40" t="str">
        <f>especies_ativa_codibama[[#This Row],[Nome popular]]</f>
        <v>quina-do-rio</v>
      </c>
      <c r="H1504" s="40" t="str">
        <f>especies_ativa_codibama[[#This Row],[Nome científico]]</f>
        <v>Ladenbergia hexandra</v>
      </c>
    </row>
    <row r="1505" spans="1:8" x14ac:dyDescent="0.25">
      <c r="A1505">
        <v>36243</v>
      </c>
      <c r="B1505" t="s">
        <v>106</v>
      </c>
      <c r="C1505" t="s">
        <v>2081</v>
      </c>
      <c r="D1505" t="s">
        <v>126</v>
      </c>
      <c r="E1505">
        <v>31901</v>
      </c>
      <c r="F1505" s="24">
        <f>especies_ativa_codibama[[#This Row],[Código]]</f>
        <v>36243</v>
      </c>
      <c r="G1505" s="40" t="str">
        <f>especies_ativa_codibama[[#This Row],[Nome popular]]</f>
        <v>---</v>
      </c>
      <c r="H1505" s="40" t="str">
        <f>especies_ativa_codibama[[#This Row],[Nome científico]]</f>
        <v>Posoqueria latifolia</v>
      </c>
    </row>
    <row r="1506" spans="1:8" x14ac:dyDescent="0.25">
      <c r="A1506">
        <v>36245</v>
      </c>
      <c r="B1506" t="s">
        <v>106</v>
      </c>
      <c r="C1506" t="s">
        <v>2722</v>
      </c>
      <c r="D1506" t="s">
        <v>126</v>
      </c>
      <c r="E1506">
        <v>32952</v>
      </c>
      <c r="F1506" s="24">
        <f>especies_ativa_codibama[[#This Row],[Código]]</f>
        <v>36245</v>
      </c>
      <c r="G1506" s="40" t="str">
        <f>especies_ativa_codibama[[#This Row],[Nome popular]]</f>
        <v>---</v>
      </c>
      <c r="H1506" s="40" t="str">
        <f>especies_ativa_codibama[[#This Row],[Nome científico]]</f>
        <v>Coussarea hydrangeaefolia</v>
      </c>
    </row>
    <row r="1507" spans="1:8" x14ac:dyDescent="0.25">
      <c r="A1507">
        <v>36251</v>
      </c>
      <c r="B1507" t="s">
        <v>2723</v>
      </c>
      <c r="C1507" t="s">
        <v>2082</v>
      </c>
      <c r="D1507" t="s">
        <v>38</v>
      </c>
      <c r="E1507">
        <v>31598</v>
      </c>
      <c r="F1507" s="24">
        <f>especies_ativa_codibama[[#This Row],[Código]]</f>
        <v>36251</v>
      </c>
      <c r="G1507" s="40" t="str">
        <f>especies_ativa_codibama[[#This Row],[Nome popular]]</f>
        <v>alma-da-serra, qui-de-São-paulo, tarumã</v>
      </c>
      <c r="H1507" s="40" t="str">
        <f>especies_ativa_codibama[[#This Row],[Nome científico]]</f>
        <v>Alseis floribunda</v>
      </c>
    </row>
    <row r="1508" spans="1:8" x14ac:dyDescent="0.25">
      <c r="A1508">
        <v>36252</v>
      </c>
      <c r="B1508" t="s">
        <v>2083</v>
      </c>
      <c r="C1508" t="s">
        <v>2084</v>
      </c>
      <c r="D1508" t="s">
        <v>38</v>
      </c>
      <c r="E1508">
        <v>36270</v>
      </c>
      <c r="F1508" s="24">
        <f>especies_ativa_codibama[[#This Row],[Código]]</f>
        <v>36252</v>
      </c>
      <c r="G1508" s="40" t="str">
        <f>especies_ativa_codibama[[#This Row],[Nome popular]]</f>
        <v>amor-dobrado, arapaçu-caa, coraci, coracy, curaci, curacy, genipora, marapua, pica-pau, rabo-de-arara</v>
      </c>
      <c r="H1508" s="40" t="str">
        <f>especies_ativa_codibama[[#This Row],[Nome científico]]</f>
        <v>Warszewiczia coccinea</v>
      </c>
    </row>
    <row r="1509" spans="1:8" x14ac:dyDescent="0.25">
      <c r="A1509">
        <v>36255</v>
      </c>
      <c r="B1509" t="s">
        <v>2085</v>
      </c>
      <c r="C1509" t="s">
        <v>2086</v>
      </c>
      <c r="D1509" t="s">
        <v>38</v>
      </c>
      <c r="E1509">
        <v>32543</v>
      </c>
      <c r="F1509" s="24">
        <f>especies_ativa_codibama[[#This Row],[Código]]</f>
        <v>36255</v>
      </c>
      <c r="G1509" s="40" t="str">
        <f>especies_ativa_codibama[[#This Row],[Nome popular]]</f>
        <v>apuruí</v>
      </c>
      <c r="H1509" s="40" t="str">
        <f>especies_ativa_codibama[[#This Row],[Nome científico]]</f>
        <v>Psychotria mapourioides</v>
      </c>
    </row>
    <row r="1510" spans="1:8" x14ac:dyDescent="0.25">
      <c r="A1510">
        <v>36256</v>
      </c>
      <c r="B1510" t="s">
        <v>2087</v>
      </c>
      <c r="C1510" t="s">
        <v>2088</v>
      </c>
      <c r="D1510" t="s">
        <v>38</v>
      </c>
      <c r="E1510">
        <v>34698</v>
      </c>
      <c r="F1510" s="24">
        <f>especies_ativa_codibama[[#This Row],[Código]]</f>
        <v>36256</v>
      </c>
      <c r="G1510" s="40" t="str">
        <f>especies_ativa_codibama[[#This Row],[Nome popular]]</f>
        <v>apuruizinho do mato, canela de veado, cedro bravo</v>
      </c>
      <c r="H1510" s="40" t="str">
        <f>especies_ativa_codibama[[#This Row],[Nome científico]]</f>
        <v>Amaioua guianensis</v>
      </c>
    </row>
    <row r="1511" spans="1:8" x14ac:dyDescent="0.25">
      <c r="A1511">
        <v>36258</v>
      </c>
      <c r="B1511" t="s">
        <v>2089</v>
      </c>
      <c r="C1511" t="s">
        <v>2090</v>
      </c>
      <c r="D1511" t="s">
        <v>38</v>
      </c>
      <c r="E1511">
        <v>34044</v>
      </c>
      <c r="F1511" s="24">
        <f>especies_ativa_codibama[[#This Row],[Código]]</f>
        <v>36258</v>
      </c>
      <c r="G1511" s="40" t="str">
        <f>especies_ativa_codibama[[#This Row],[Nome popular]]</f>
        <v>caapeba, sobrasil</v>
      </c>
      <c r="H1511" s="40" t="str">
        <f>especies_ativa_codibama[[#This Row],[Nome científico]]</f>
        <v>Rustia formosa</v>
      </c>
    </row>
    <row r="1512" spans="1:8" x14ac:dyDescent="0.25">
      <c r="A1512">
        <v>36260</v>
      </c>
      <c r="B1512" t="s">
        <v>2091</v>
      </c>
      <c r="C1512" t="s">
        <v>2092</v>
      </c>
      <c r="D1512" t="s">
        <v>38</v>
      </c>
      <c r="E1512">
        <v>33539</v>
      </c>
      <c r="F1512" s="24">
        <f>especies_ativa_codibama[[#This Row],[Código]]</f>
        <v>36260</v>
      </c>
      <c r="G1512" s="40" t="str">
        <f>especies_ativa_codibama[[#This Row],[Nome popular]]</f>
        <v>capança vermelha, capiro</v>
      </c>
      <c r="H1512" s="40" t="str">
        <f>especies_ativa_codibama[[#This Row],[Nome científico]]</f>
        <v>Coutarea hexandra</v>
      </c>
    </row>
    <row r="1513" spans="1:8" x14ac:dyDescent="0.25">
      <c r="A1513">
        <v>36262</v>
      </c>
      <c r="B1513" t="s">
        <v>2093</v>
      </c>
      <c r="C1513" t="s">
        <v>2094</v>
      </c>
      <c r="D1513" t="s">
        <v>38</v>
      </c>
      <c r="E1513">
        <v>33148</v>
      </c>
      <c r="F1513" s="24">
        <f>especies_ativa_codibama[[#This Row],[Código]]</f>
        <v>36262</v>
      </c>
      <c r="G1513" s="40" t="str">
        <f>especies_ativa_codibama[[#This Row],[Nome popular]]</f>
        <v>chacro, rainha</v>
      </c>
      <c r="H1513" s="40" t="str">
        <f>especies_ativa_codibama[[#This Row],[Nome científico]]</f>
        <v>Psychotria carthagenensis</v>
      </c>
    </row>
    <row r="1514" spans="1:8" x14ac:dyDescent="0.25">
      <c r="A1514">
        <v>36263</v>
      </c>
      <c r="B1514" t="s">
        <v>2095</v>
      </c>
      <c r="C1514" t="s">
        <v>2096</v>
      </c>
      <c r="D1514" t="s">
        <v>38</v>
      </c>
      <c r="E1514">
        <v>34379</v>
      </c>
      <c r="F1514" s="24">
        <f>especies_ativa_codibama[[#This Row],[Código]]</f>
        <v>36263</v>
      </c>
      <c r="G1514" s="40" t="str">
        <f>especies_ativa_codibama[[#This Row],[Nome popular]]</f>
        <v>congonha-de-bugre, douradão</v>
      </c>
      <c r="H1514" s="40" t="str">
        <f>especies_ativa_codibama[[#This Row],[Nome científico]]</f>
        <v>Rudgea viburnoides</v>
      </c>
    </row>
    <row r="1515" spans="1:8" x14ac:dyDescent="0.25">
      <c r="A1515">
        <v>36264</v>
      </c>
      <c r="B1515" t="s">
        <v>2097</v>
      </c>
      <c r="C1515" t="s">
        <v>2098</v>
      </c>
      <c r="D1515" t="s">
        <v>38</v>
      </c>
      <c r="E1515">
        <v>1320886</v>
      </c>
      <c r="F1515" s="24">
        <f>especies_ativa_codibama[[#This Row],[Código]]</f>
        <v>36264</v>
      </c>
      <c r="G1515" s="40" t="str">
        <f>especies_ativa_codibama[[#This Row],[Nome popular]]</f>
        <v>escorrega macaco, mamalu, mamaluco, mamaluco escorrega macaco, mulateiro scorrega-macaco, pau mulato da terra firme, per de moça</v>
      </c>
      <c r="H1515" s="40" t="str">
        <f>especies_ativa_codibama[[#This Row],[Nome científico]]</f>
        <v>Capirona decorticans</v>
      </c>
    </row>
    <row r="1516" spans="1:8" x14ac:dyDescent="0.25">
      <c r="A1516">
        <v>36265</v>
      </c>
      <c r="B1516" t="s">
        <v>2099</v>
      </c>
      <c r="C1516" t="s">
        <v>2100</v>
      </c>
      <c r="D1516" t="s">
        <v>38</v>
      </c>
      <c r="E1516">
        <v>34992</v>
      </c>
      <c r="F1516" s="24">
        <f>especies_ativa_codibama[[#This Row],[Código]]</f>
        <v>36265</v>
      </c>
      <c r="G1516" s="40" t="str">
        <f>especies_ativa_codibama[[#This Row],[Nome popular]]</f>
        <v>espinho de judeu, esporão de galo</v>
      </c>
      <c r="H1516" s="40" t="str">
        <f>especies_ativa_codibama[[#This Row],[Nome científico]]</f>
        <v>Randia armata</v>
      </c>
    </row>
    <row r="1517" spans="1:8" x14ac:dyDescent="0.25">
      <c r="A1517">
        <v>36270</v>
      </c>
      <c r="B1517" t="s">
        <v>2101</v>
      </c>
      <c r="C1517" t="s">
        <v>2102</v>
      </c>
      <c r="D1517" t="s">
        <v>38</v>
      </c>
      <c r="E1517">
        <v>36056</v>
      </c>
      <c r="F1517" s="24">
        <f>especies_ativa_codibama[[#This Row],[Código]]</f>
        <v>36270</v>
      </c>
      <c r="G1517" s="40" t="str">
        <f>especies_ativa_codibama[[#This Row],[Nome popular]]</f>
        <v>jambo de mata</v>
      </c>
      <c r="H1517" s="40" t="str">
        <f>especies_ativa_codibama[[#This Row],[Nome científico]]</f>
        <v>Isertia hypoleuca</v>
      </c>
    </row>
    <row r="1518" spans="1:8" x14ac:dyDescent="0.25">
      <c r="A1518">
        <v>36274</v>
      </c>
      <c r="B1518" t="s">
        <v>2103</v>
      </c>
      <c r="C1518" t="s">
        <v>2104</v>
      </c>
      <c r="D1518" t="s">
        <v>38</v>
      </c>
      <c r="E1518">
        <v>33532</v>
      </c>
      <c r="F1518" s="24">
        <f>especies_ativa_codibama[[#This Row],[Código]]</f>
        <v>36274</v>
      </c>
      <c r="G1518" s="40" t="str">
        <f>especies_ativa_codibama[[#This Row],[Nome popular]]</f>
        <v>marmelada-de-cachorro</v>
      </c>
      <c r="H1518" s="40" t="str">
        <f>especies_ativa_codibama[[#This Row],[Nome científico]]</f>
        <v>Cordiera macrophylla</v>
      </c>
    </row>
    <row r="1519" spans="1:8" x14ac:dyDescent="0.25">
      <c r="A1519">
        <v>36275</v>
      </c>
      <c r="B1519" t="s">
        <v>2103</v>
      </c>
      <c r="C1519" t="s">
        <v>2105</v>
      </c>
      <c r="D1519" t="s">
        <v>38</v>
      </c>
      <c r="E1519">
        <v>1875508</v>
      </c>
      <c r="F1519" s="24">
        <f>especies_ativa_codibama[[#This Row],[Código]]</f>
        <v>36275</v>
      </c>
      <c r="G1519" s="40" t="str">
        <f>especies_ativa_codibama[[#This Row],[Nome popular]]</f>
        <v>marmelada-de-cachorro</v>
      </c>
      <c r="H1519" s="40" t="str">
        <f>especies_ativa_codibama[[#This Row],[Nome científico]]</f>
        <v>Cordiera sessilis</v>
      </c>
    </row>
    <row r="1520" spans="1:8" x14ac:dyDescent="0.25">
      <c r="A1520">
        <v>36276</v>
      </c>
      <c r="B1520" t="s">
        <v>2724</v>
      </c>
      <c r="C1520" t="s">
        <v>2106</v>
      </c>
      <c r="D1520" t="s">
        <v>38</v>
      </c>
      <c r="E1520">
        <v>654539</v>
      </c>
      <c r="F1520" s="24">
        <f>especies_ativa_codibama[[#This Row],[Código]]</f>
        <v>36276</v>
      </c>
      <c r="G1520" s="40" t="str">
        <f>especies_ativa_codibama[[#This Row],[Nome popular]]</f>
        <v>mato-de-oreçuão, valmoura</v>
      </c>
      <c r="H1520" s="40" t="str">
        <f>especies_ativa_codibama[[#This Row],[Nome científico]]</f>
        <v>Hamelia patens</v>
      </c>
    </row>
    <row r="1521" spans="1:8" x14ac:dyDescent="0.25">
      <c r="A1521">
        <v>36277</v>
      </c>
      <c r="B1521" t="s">
        <v>2107</v>
      </c>
      <c r="C1521" t="s">
        <v>2108</v>
      </c>
      <c r="D1521" t="s">
        <v>38</v>
      </c>
      <c r="E1521">
        <v>790233</v>
      </c>
      <c r="F1521" s="24">
        <f>especies_ativa_codibama[[#This Row],[Código]]</f>
        <v>36277</v>
      </c>
      <c r="G1521" s="40" t="str">
        <f>especies_ativa_codibama[[#This Row],[Nome popular]]</f>
        <v>Noni</v>
      </c>
      <c r="H1521" s="40" t="str">
        <f>especies_ativa_codibama[[#This Row],[Nome científico]]</f>
        <v>Morinda citrifolia</v>
      </c>
    </row>
    <row r="1522" spans="1:8" x14ac:dyDescent="0.25">
      <c r="A1522">
        <v>36279</v>
      </c>
      <c r="B1522" t="s">
        <v>2109</v>
      </c>
      <c r="C1522" t="s">
        <v>2110</v>
      </c>
      <c r="D1522" t="s">
        <v>38</v>
      </c>
      <c r="E1522">
        <v>36207</v>
      </c>
      <c r="F1522" s="24">
        <f>especies_ativa_codibama[[#This Row],[Código]]</f>
        <v>36279</v>
      </c>
      <c r="G1522" s="40" t="str">
        <f>especies_ativa_codibama[[#This Row],[Nome popular]]</f>
        <v>pau brasil, pau brasil do Acre</v>
      </c>
      <c r="H1522" s="40" t="str">
        <f>especies_ativa_codibama[[#This Row],[Nome científico]]</f>
        <v>Simira rubescens</v>
      </c>
    </row>
    <row r="1523" spans="1:8" x14ac:dyDescent="0.25">
      <c r="A1523">
        <v>36281</v>
      </c>
      <c r="B1523" t="s">
        <v>2111</v>
      </c>
      <c r="C1523" t="s">
        <v>2112</v>
      </c>
      <c r="D1523" t="s">
        <v>38</v>
      </c>
      <c r="E1523">
        <v>32349</v>
      </c>
      <c r="F1523" s="24">
        <f>especies_ativa_codibama[[#This Row],[Código]]</f>
        <v>36281</v>
      </c>
      <c r="G1523" s="40" t="str">
        <f>especies_ativa_codibama[[#This Row],[Nome popular]]</f>
        <v>puruy-grande</v>
      </c>
      <c r="H1523" s="40" t="str">
        <f>especies_ativa_codibama[[#This Row],[Nome científico]]</f>
        <v>Duroia macrophylla</v>
      </c>
    </row>
    <row r="1524" spans="1:8" x14ac:dyDescent="0.25">
      <c r="A1524">
        <v>36285</v>
      </c>
      <c r="B1524" t="s">
        <v>2113</v>
      </c>
      <c r="C1524" t="s">
        <v>2114</v>
      </c>
      <c r="D1524" t="s">
        <v>38</v>
      </c>
      <c r="E1524">
        <v>33915</v>
      </c>
      <c r="F1524" s="24">
        <f>especies_ativa_codibama[[#This Row],[Código]]</f>
        <v>36285</v>
      </c>
      <c r="G1524" s="40" t="str">
        <f>especies_ativa_codibama[[#This Row],[Nome popular]]</f>
        <v>veludo, veludo-vermelho</v>
      </c>
      <c r="H1524" s="40" t="str">
        <f>especies_ativa_codibama[[#This Row],[Nome científico]]</f>
        <v>Guettarda pohliana</v>
      </c>
    </row>
    <row r="1525" spans="1:8" x14ac:dyDescent="0.25">
      <c r="A1525">
        <v>36286</v>
      </c>
      <c r="B1525" t="s">
        <v>2115</v>
      </c>
      <c r="C1525" t="s">
        <v>2116</v>
      </c>
      <c r="D1525" t="s">
        <v>38</v>
      </c>
      <c r="E1525">
        <v>1494796</v>
      </c>
      <c r="F1525" s="24">
        <f>especies_ativa_codibama[[#This Row],[Código]]</f>
        <v>36286</v>
      </c>
      <c r="G1525" s="40" t="str">
        <f>especies_ativa_codibama[[#This Row],[Nome popular]]</f>
        <v>vick</v>
      </c>
      <c r="H1525" s="40" t="str">
        <f>especies_ativa_codibama[[#This Row],[Nome científico]]</f>
        <v>Faramea corymbosa</v>
      </c>
    </row>
    <row r="1526" spans="1:8" x14ac:dyDescent="0.25">
      <c r="A1526">
        <v>36297</v>
      </c>
      <c r="B1526" t="s">
        <v>106</v>
      </c>
      <c r="C1526" t="s">
        <v>2117</v>
      </c>
      <c r="D1526" t="s">
        <v>38</v>
      </c>
      <c r="E1526">
        <v>35782</v>
      </c>
      <c r="F1526" s="24">
        <f>especies_ativa_codibama[[#This Row],[Código]]</f>
        <v>36297</v>
      </c>
      <c r="G1526" s="40" t="str">
        <f>especies_ativa_codibama[[#This Row],[Nome popular]]</f>
        <v>---</v>
      </c>
      <c r="H1526" s="40" t="str">
        <f>especies_ativa_codibama[[#This Row],[Nome científico]]</f>
        <v>Palicourea blanchetiana</v>
      </c>
    </row>
    <row r="1527" spans="1:8" x14ac:dyDescent="0.25">
      <c r="A1527">
        <v>36304</v>
      </c>
      <c r="B1527" t="s">
        <v>106</v>
      </c>
      <c r="C1527" t="s">
        <v>2118</v>
      </c>
      <c r="D1527" t="s">
        <v>38</v>
      </c>
      <c r="E1527">
        <v>33781</v>
      </c>
      <c r="F1527" s="24">
        <f>especies_ativa_codibama[[#This Row],[Código]]</f>
        <v>36304</v>
      </c>
      <c r="G1527" s="40" t="str">
        <f>especies_ativa_codibama[[#This Row],[Nome popular]]</f>
        <v>---</v>
      </c>
      <c r="H1527" s="40" t="str">
        <f>especies_ativa_codibama[[#This Row],[Nome científico]]</f>
        <v>Simira sampaioana</v>
      </c>
    </row>
    <row r="1528" spans="1:8" x14ac:dyDescent="0.25">
      <c r="A1528">
        <v>36312</v>
      </c>
      <c r="B1528" t="s">
        <v>106</v>
      </c>
      <c r="C1528" t="s">
        <v>2119</v>
      </c>
      <c r="D1528" t="s">
        <v>196</v>
      </c>
      <c r="E1528">
        <v>1724045</v>
      </c>
      <c r="F1528" s="24">
        <f>especies_ativa_codibama[[#This Row],[Código]]</f>
        <v>36312</v>
      </c>
      <c r="G1528" s="40" t="str">
        <f>especies_ativa_codibama[[#This Row],[Nome popular]]</f>
        <v>---</v>
      </c>
      <c r="H1528" s="40" t="str">
        <f>especies_ativa_codibama[[#This Row],[Nome científico]]</f>
        <v>Simira hexandra</v>
      </c>
    </row>
    <row r="1529" spans="1:8" x14ac:dyDescent="0.25">
      <c r="A1529">
        <v>36325</v>
      </c>
      <c r="B1529" t="s">
        <v>106</v>
      </c>
      <c r="C1529" t="s">
        <v>2120</v>
      </c>
      <c r="D1529" t="s">
        <v>38</v>
      </c>
      <c r="E1529">
        <v>32967</v>
      </c>
      <c r="F1529" s="24">
        <f>especies_ativa_codibama[[#This Row],[Código]]</f>
        <v>36325</v>
      </c>
      <c r="G1529" s="40" t="str">
        <f>especies_ativa_codibama[[#This Row],[Nome popular]]</f>
        <v>---</v>
      </c>
      <c r="H1529" s="40" t="str">
        <f>especies_ativa_codibama[[#This Row],[Nome científico]]</f>
        <v>Dialypetalanthus fuscescens</v>
      </c>
    </row>
    <row r="1530" spans="1:8" x14ac:dyDescent="0.25">
      <c r="A1530">
        <v>36337</v>
      </c>
      <c r="B1530" t="s">
        <v>106</v>
      </c>
      <c r="C1530" t="s">
        <v>2121</v>
      </c>
      <c r="D1530" t="s">
        <v>38</v>
      </c>
      <c r="E1530">
        <v>33999</v>
      </c>
      <c r="F1530" s="24">
        <f>especies_ativa_codibama[[#This Row],[Código]]</f>
        <v>36337</v>
      </c>
      <c r="G1530" s="40" t="str">
        <f>especies_ativa_codibama[[#This Row],[Nome popular]]</f>
        <v>---</v>
      </c>
      <c r="H1530" s="40" t="str">
        <f>especies_ativa_codibama[[#This Row],[Nome científico]]</f>
        <v>Tocoyena foetida</v>
      </c>
    </row>
    <row r="1531" spans="1:8" x14ac:dyDescent="0.25">
      <c r="A1531">
        <v>36343</v>
      </c>
      <c r="B1531" t="s">
        <v>106</v>
      </c>
      <c r="C1531" t="s">
        <v>2122</v>
      </c>
      <c r="D1531" t="s">
        <v>38</v>
      </c>
      <c r="E1531">
        <v>32953</v>
      </c>
      <c r="F1531" s="24">
        <f>especies_ativa_codibama[[#This Row],[Código]]</f>
        <v>36343</v>
      </c>
      <c r="G1531" s="40" t="str">
        <f>especies_ativa_codibama[[#This Row],[Nome popular]]</f>
        <v>---</v>
      </c>
      <c r="H1531" s="40" t="str">
        <f>especies_ativa_codibama[[#This Row],[Nome científico]]</f>
        <v>Coussarea paniculata</v>
      </c>
    </row>
    <row r="1532" spans="1:8" x14ac:dyDescent="0.25">
      <c r="A1532">
        <v>36358</v>
      </c>
      <c r="B1532" t="s">
        <v>106</v>
      </c>
      <c r="C1532" t="s">
        <v>2123</v>
      </c>
      <c r="D1532" t="s">
        <v>38</v>
      </c>
      <c r="E1532">
        <v>33369</v>
      </c>
      <c r="F1532" s="24">
        <f>especies_ativa_codibama[[#This Row],[Código]]</f>
        <v>36358</v>
      </c>
      <c r="G1532" s="40" t="str">
        <f>especies_ativa_codibama[[#This Row],[Nome popular]]</f>
        <v>---</v>
      </c>
      <c r="H1532" s="40" t="str">
        <f>especies_ativa_codibama[[#This Row],[Nome científico]]</f>
        <v>Ferdinandusa elliptica</v>
      </c>
    </row>
    <row r="1533" spans="1:8" x14ac:dyDescent="0.25">
      <c r="A1533">
        <v>36363</v>
      </c>
      <c r="B1533" t="s">
        <v>106</v>
      </c>
      <c r="C1533" t="s">
        <v>2124</v>
      </c>
      <c r="D1533" t="s">
        <v>38</v>
      </c>
      <c r="E1533">
        <v>36357</v>
      </c>
      <c r="F1533" s="24">
        <f>especies_ativa_codibama[[#This Row],[Código]]</f>
        <v>36363</v>
      </c>
      <c r="G1533" s="40" t="str">
        <f>especies_ativa_codibama[[#This Row],[Nome popular]]</f>
        <v>---</v>
      </c>
      <c r="H1533" s="40" t="str">
        <f>especies_ativa_codibama[[#This Row],[Nome científico]]</f>
        <v>Psychotria colorata</v>
      </c>
    </row>
    <row r="1534" spans="1:8" x14ac:dyDescent="0.25">
      <c r="A1534">
        <v>36364</v>
      </c>
      <c r="B1534" t="s">
        <v>106</v>
      </c>
      <c r="C1534" t="s">
        <v>2125</v>
      </c>
      <c r="D1534" t="s">
        <v>38</v>
      </c>
      <c r="E1534">
        <v>34767</v>
      </c>
      <c r="F1534" s="24">
        <f>especies_ativa_codibama[[#This Row],[Código]]</f>
        <v>36364</v>
      </c>
      <c r="G1534" s="40" t="str">
        <f>especies_ativa_codibama[[#This Row],[Nome popular]]</f>
        <v>---</v>
      </c>
      <c r="H1534" s="40" t="str">
        <f>especies_ativa_codibama[[#This Row],[Nome científico]]</f>
        <v>Chomelia obtusa</v>
      </c>
    </row>
    <row r="1535" spans="1:8" x14ac:dyDescent="0.25">
      <c r="A1535">
        <v>36366</v>
      </c>
      <c r="B1535" t="s">
        <v>106</v>
      </c>
      <c r="C1535" t="s">
        <v>2126</v>
      </c>
      <c r="D1535" t="s">
        <v>38</v>
      </c>
      <c r="E1535">
        <v>36027</v>
      </c>
      <c r="F1535" s="24">
        <f>especies_ativa_codibama[[#This Row],[Código]]</f>
        <v>36366</v>
      </c>
      <c r="G1535" s="40" t="str">
        <f>especies_ativa_codibama[[#This Row],[Nome popular]]</f>
        <v>---</v>
      </c>
      <c r="H1535" s="40" t="str">
        <f>especies_ativa_codibama[[#This Row],[Nome científico]]</f>
        <v>Guettarda viburnoides</v>
      </c>
    </row>
    <row r="1536" spans="1:8" x14ac:dyDescent="0.25">
      <c r="A1536">
        <v>36367</v>
      </c>
      <c r="B1536" t="s">
        <v>106</v>
      </c>
      <c r="C1536" t="s">
        <v>2127</v>
      </c>
      <c r="D1536" t="s">
        <v>38</v>
      </c>
      <c r="E1536">
        <v>1876173</v>
      </c>
      <c r="F1536" s="24">
        <f>especies_ativa_codibama[[#This Row],[Código]]</f>
        <v>36367</v>
      </c>
      <c r="G1536" s="40" t="str">
        <f>especies_ativa_codibama[[#This Row],[Nome popular]]</f>
        <v>---</v>
      </c>
      <c r="H1536" s="40" t="str">
        <f>especies_ativa_codibama[[#This Row],[Nome científico]]</f>
        <v>Pagamea guianensis</v>
      </c>
    </row>
    <row r="1537" spans="1:8" x14ac:dyDescent="0.25">
      <c r="A1537">
        <v>36372</v>
      </c>
      <c r="B1537" t="s">
        <v>106</v>
      </c>
      <c r="C1537" t="s">
        <v>2725</v>
      </c>
      <c r="D1537" t="s">
        <v>38</v>
      </c>
      <c r="E1537">
        <v>34693</v>
      </c>
      <c r="F1537" s="24">
        <f>especies_ativa_codibama[[#This Row],[Código]]</f>
        <v>36372</v>
      </c>
      <c r="G1537" s="40" t="str">
        <f>especies_ativa_codibama[[#This Row],[Nome popular]]</f>
        <v>---</v>
      </c>
      <c r="H1537" s="40" t="str">
        <f>especies_ativa_codibama[[#This Row],[Nome científico]]</f>
        <v>Alibertia edulis var. edulis</v>
      </c>
    </row>
    <row r="1538" spans="1:8" x14ac:dyDescent="0.25">
      <c r="A1538">
        <v>36376</v>
      </c>
      <c r="B1538" t="s">
        <v>106</v>
      </c>
      <c r="C1538" t="s">
        <v>2128</v>
      </c>
      <c r="D1538" t="s">
        <v>38</v>
      </c>
      <c r="E1538">
        <v>34221</v>
      </c>
      <c r="F1538" s="24">
        <f>especies_ativa_codibama[[#This Row],[Código]]</f>
        <v>36376</v>
      </c>
      <c r="G1538" s="40" t="str">
        <f>especies_ativa_codibama[[#This Row],[Nome popular]]</f>
        <v>---</v>
      </c>
      <c r="H1538" s="40" t="str">
        <f>especies_ativa_codibama[[#This Row],[Nome científico]]</f>
        <v>Ferdinandusa speciosa</v>
      </c>
    </row>
    <row r="1539" spans="1:8" x14ac:dyDescent="0.25">
      <c r="A1539">
        <v>36390</v>
      </c>
      <c r="B1539" t="s">
        <v>106</v>
      </c>
      <c r="C1539" t="s">
        <v>2129</v>
      </c>
      <c r="D1539" t="s">
        <v>38</v>
      </c>
      <c r="E1539">
        <v>36416</v>
      </c>
      <c r="F1539" s="24">
        <f>especies_ativa_codibama[[#This Row],[Código]]</f>
        <v>36390</v>
      </c>
      <c r="G1539" s="40" t="str">
        <f>especies_ativa_codibama[[#This Row],[Nome popular]]</f>
        <v>---</v>
      </c>
      <c r="H1539" s="40" t="str">
        <f>especies_ativa_codibama[[#This Row],[Nome científico]]</f>
        <v>Psychotria deflexa</v>
      </c>
    </row>
    <row r="1540" spans="1:8" x14ac:dyDescent="0.25">
      <c r="A1540">
        <v>36398</v>
      </c>
      <c r="B1540" t="s">
        <v>106</v>
      </c>
      <c r="C1540" t="s">
        <v>2130</v>
      </c>
      <c r="D1540" t="s">
        <v>38</v>
      </c>
      <c r="E1540">
        <v>35549</v>
      </c>
      <c r="F1540" s="24">
        <f>especies_ativa_codibama[[#This Row],[Código]]</f>
        <v>36398</v>
      </c>
      <c r="G1540" s="40" t="str">
        <f>especies_ativa_codibama[[#This Row],[Nome popular]]</f>
        <v>---</v>
      </c>
      <c r="H1540" s="40" t="str">
        <f>especies_ativa_codibama[[#This Row],[Nome científico]]</f>
        <v>Posoqueria longiflora</v>
      </c>
    </row>
    <row r="1541" spans="1:8" x14ac:dyDescent="0.25">
      <c r="A1541">
        <v>36411</v>
      </c>
      <c r="B1541" t="s">
        <v>106</v>
      </c>
      <c r="C1541" t="s">
        <v>2131</v>
      </c>
      <c r="D1541" t="s">
        <v>38</v>
      </c>
      <c r="E1541">
        <v>32202</v>
      </c>
      <c r="F1541" s="24">
        <f>especies_ativa_codibama[[#This Row],[Código]]</f>
        <v>36411</v>
      </c>
      <c r="G1541" s="40" t="str">
        <f>especies_ativa_codibama[[#This Row],[Nome popular]]</f>
        <v>---</v>
      </c>
      <c r="H1541" s="40" t="str">
        <f>especies_ativa_codibama[[#This Row],[Nome científico]]</f>
        <v>Calycophyllum multiflorum</v>
      </c>
    </row>
    <row r="1542" spans="1:8" x14ac:dyDescent="0.25">
      <c r="A1542">
        <v>36419</v>
      </c>
      <c r="B1542" t="s">
        <v>106</v>
      </c>
      <c r="C1542" t="s">
        <v>2132</v>
      </c>
      <c r="D1542" t="s">
        <v>38</v>
      </c>
      <c r="E1542">
        <v>1425111</v>
      </c>
      <c r="F1542" s="24">
        <f>especies_ativa_codibama[[#This Row],[Código]]</f>
        <v>36419</v>
      </c>
      <c r="G1542" s="40" t="str">
        <f>especies_ativa_codibama[[#This Row],[Nome popular]]</f>
        <v>---</v>
      </c>
      <c r="H1542" s="40" t="str">
        <f>especies_ativa_codibama[[#This Row],[Nome científico]]</f>
        <v>Cordiera elliptica</v>
      </c>
    </row>
    <row r="1543" spans="1:8" x14ac:dyDescent="0.25">
      <c r="A1543">
        <v>36420</v>
      </c>
      <c r="B1543" t="s">
        <v>106</v>
      </c>
      <c r="C1543" t="s">
        <v>2133</v>
      </c>
      <c r="D1543" t="s">
        <v>38</v>
      </c>
      <c r="E1543">
        <v>1920395</v>
      </c>
      <c r="F1543" s="24">
        <f>especies_ativa_codibama[[#This Row],[Código]]</f>
        <v>36420</v>
      </c>
      <c r="G1543" s="40" t="str">
        <f>especies_ativa_codibama[[#This Row],[Nome popular]]</f>
        <v>---</v>
      </c>
      <c r="H1543" s="40" t="str">
        <f>especies_ativa_codibama[[#This Row],[Nome científico]]</f>
        <v>Tocoyena brasiliensis</v>
      </c>
    </row>
    <row r="1544" spans="1:8" x14ac:dyDescent="0.25">
      <c r="A1544">
        <v>36430</v>
      </c>
      <c r="B1544" t="s">
        <v>106</v>
      </c>
      <c r="C1544" t="s">
        <v>2134</v>
      </c>
      <c r="D1544" t="s">
        <v>38</v>
      </c>
      <c r="E1544">
        <v>35216</v>
      </c>
      <c r="F1544" s="24">
        <f>especies_ativa_codibama[[#This Row],[Código]]</f>
        <v>36430</v>
      </c>
      <c r="G1544" s="40" t="str">
        <f>especies_ativa_codibama[[#This Row],[Nome popular]]</f>
        <v>---</v>
      </c>
      <c r="H1544" s="40" t="str">
        <f>especies_ativa_codibama[[#This Row],[Nome científico]]</f>
        <v>Guettarda angelica</v>
      </c>
    </row>
    <row r="1545" spans="1:8" x14ac:dyDescent="0.25">
      <c r="A1545">
        <v>36435</v>
      </c>
      <c r="B1545" t="s">
        <v>2135</v>
      </c>
      <c r="C1545" t="s">
        <v>2136</v>
      </c>
      <c r="D1545" t="s">
        <v>196</v>
      </c>
      <c r="E1545">
        <v>32993</v>
      </c>
      <c r="F1545" s="24">
        <f>especies_ativa_codibama[[#This Row],[Código]]</f>
        <v>36435</v>
      </c>
      <c r="G1545" s="40" t="str">
        <f>especies_ativa_codibama[[#This Row],[Nome popular]]</f>
        <v>amarelão, pau amarelo</v>
      </c>
      <c r="H1545" s="40" t="str">
        <f>especies_ativa_codibama[[#This Row],[Nome científico]]</f>
        <v>Euxylophora paraensis</v>
      </c>
    </row>
    <row r="1546" spans="1:8" x14ac:dyDescent="0.25">
      <c r="A1546">
        <v>36439</v>
      </c>
      <c r="B1546" t="s">
        <v>2137</v>
      </c>
      <c r="C1546" t="s">
        <v>2138</v>
      </c>
      <c r="D1546" t="s">
        <v>79</v>
      </c>
      <c r="E1546">
        <v>33932</v>
      </c>
      <c r="F1546" s="24">
        <f>especies_ativa_codibama[[#This Row],[Código]]</f>
        <v>36439</v>
      </c>
      <c r="G1546" s="40" t="str">
        <f>especies_ativa_codibama[[#This Row],[Nome popular]]</f>
        <v>arapoca, arapoca branca, arapoca verdadeira, banha-de-galinha, mucanga, sucanga</v>
      </c>
      <c r="H1546" s="40" t="str">
        <f>especies_ativa_codibama[[#This Row],[Nome científico]]</f>
        <v>Neoraputia alba</v>
      </c>
    </row>
    <row r="1547" spans="1:8" x14ac:dyDescent="0.25">
      <c r="A1547">
        <v>36461</v>
      </c>
      <c r="B1547" t="s">
        <v>2139</v>
      </c>
      <c r="C1547" t="s">
        <v>2140</v>
      </c>
      <c r="D1547" t="s">
        <v>126</v>
      </c>
      <c r="E1547">
        <v>34209</v>
      </c>
      <c r="F1547" s="24">
        <f>especies_ativa_codibama[[#This Row],[Código]]</f>
        <v>36461</v>
      </c>
      <c r="G1547" s="40" t="str">
        <f>especies_ativa_codibama[[#This Row],[Nome popular]]</f>
        <v>guarantã, guarataiá-vermelha</v>
      </c>
      <c r="H1547" s="40" t="str">
        <f>especies_ativa_codibama[[#This Row],[Nome científico]]</f>
        <v>Esenbeckia leiocarpa</v>
      </c>
    </row>
    <row r="1548" spans="1:8" x14ac:dyDescent="0.25">
      <c r="A1548">
        <v>36462</v>
      </c>
      <c r="B1548" t="s">
        <v>2141</v>
      </c>
      <c r="C1548" t="s">
        <v>2142</v>
      </c>
      <c r="D1548" t="s">
        <v>126</v>
      </c>
      <c r="E1548">
        <v>33192</v>
      </c>
      <c r="F1548" s="24">
        <f>especies_ativa_codibama[[#This Row],[Código]]</f>
        <v>36462</v>
      </c>
      <c r="G1548" s="40" t="str">
        <f>especies_ativa_codibama[[#This Row],[Nome popular]]</f>
        <v>macá, macá-do-cerrado</v>
      </c>
      <c r="H1548" s="40" t="str">
        <f>especies_ativa_codibama[[#This Row],[Nome científico]]</f>
        <v>Spiranthera odoratissima</v>
      </c>
    </row>
    <row r="1549" spans="1:8" x14ac:dyDescent="0.25">
      <c r="A1549">
        <v>36464</v>
      </c>
      <c r="B1549" t="s">
        <v>2143</v>
      </c>
      <c r="C1549" t="s">
        <v>2144</v>
      </c>
      <c r="D1549" t="s">
        <v>38</v>
      </c>
      <c r="E1549">
        <v>36028</v>
      </c>
      <c r="F1549" s="24">
        <f>especies_ativa_codibama[[#This Row],[Código]]</f>
        <v>36464</v>
      </c>
      <c r="G1549" s="40" t="str">
        <f>especies_ativa_codibama[[#This Row],[Nome popular]]</f>
        <v>amarelinho, canela-de-veado cun-cun, osso-de-burro</v>
      </c>
      <c r="H1549" s="40" t="str">
        <f>especies_ativa_codibama[[#This Row],[Nome científico]]</f>
        <v>Helietta apiculata</v>
      </c>
    </row>
    <row r="1550" spans="1:8" x14ac:dyDescent="0.25">
      <c r="A1550">
        <v>36465</v>
      </c>
      <c r="B1550" t="s">
        <v>2145</v>
      </c>
      <c r="C1550" t="s">
        <v>2146</v>
      </c>
      <c r="D1550" t="s">
        <v>38</v>
      </c>
      <c r="E1550">
        <v>35791</v>
      </c>
      <c r="F1550" s="24">
        <f>especies_ativa_codibama[[#This Row],[Código]]</f>
        <v>36465</v>
      </c>
      <c r="G1550" s="40" t="str">
        <f>especies_ativa_codibama[[#This Row],[Nome popular]]</f>
        <v>arco-de-pipa, caputu, cataguá, laranjeira-do-mato, limoeira-do-mato</v>
      </c>
      <c r="H1550" s="40" t="str">
        <f>especies_ativa_codibama[[#This Row],[Nome científico]]</f>
        <v>Metrodorea stipularis</v>
      </c>
    </row>
    <row r="1551" spans="1:8" x14ac:dyDescent="0.25">
      <c r="A1551">
        <v>36466</v>
      </c>
      <c r="B1551" t="s">
        <v>2147</v>
      </c>
      <c r="C1551" t="s">
        <v>2148</v>
      </c>
      <c r="D1551" t="s">
        <v>38</v>
      </c>
      <c r="E1551">
        <v>32342</v>
      </c>
      <c r="F1551" s="24">
        <f>especies_ativa_codibama[[#This Row],[Código]]</f>
        <v>36466</v>
      </c>
      <c r="G1551" s="40" t="str">
        <f>especies_ativa_codibama[[#This Row],[Nome popular]]</f>
        <v>ardente, brauninha, cetim-amargoso, pau-de-urubu, pau-vidro, piolho-de-urubu, sabugueiro-da-mata</v>
      </c>
      <c r="H1551" s="40" t="str">
        <f>especies_ativa_codibama[[#This Row],[Nome científico]]</f>
        <v>Dictyoloma vandellianum</v>
      </c>
    </row>
    <row r="1552" spans="1:8" x14ac:dyDescent="0.25">
      <c r="A1552">
        <v>36469</v>
      </c>
      <c r="B1552" t="s">
        <v>2726</v>
      </c>
      <c r="C1552" t="s">
        <v>2727</v>
      </c>
      <c r="D1552" t="s">
        <v>38</v>
      </c>
      <c r="E1552">
        <v>857004</v>
      </c>
      <c r="F1552" s="24">
        <f>especies_ativa_codibama[[#This Row],[Código]]</f>
        <v>36469</v>
      </c>
      <c r="G1552" s="40" t="str">
        <f>especies_ativa_codibama[[#This Row],[Nome popular]]</f>
        <v>arrudaná, cera cozida do Sul, espinheiro-preto, limãozinho preto, maminha preta do Sul, mamiqueira-fedorenta, pau-de-barrão, tabatinga, tamanqueira</v>
      </c>
      <c r="H1552" s="40" t="str">
        <f>especies_ativa_codibama[[#This Row],[Nome científico]]</f>
        <v>Zanthoxylum caribaeum</v>
      </c>
    </row>
    <row r="1553" spans="1:8" x14ac:dyDescent="0.25">
      <c r="A1553">
        <v>36471</v>
      </c>
      <c r="B1553" t="s">
        <v>2728</v>
      </c>
      <c r="C1553" t="s">
        <v>2149</v>
      </c>
      <c r="D1553" t="s">
        <v>38</v>
      </c>
      <c r="E1553">
        <v>35799</v>
      </c>
      <c r="F1553" s="24">
        <f>especies_ativa_codibama[[#This Row],[Código]]</f>
        <v>36471</v>
      </c>
      <c r="G1553" s="40" t="str">
        <f>especies_ativa_codibama[[#This Row],[Nome popular]]</f>
        <v>Café-bravo, casca grossa, pau d'arquinho, pirarara, pirarara branca</v>
      </c>
      <c r="H1553" s="40" t="str">
        <f>especies_ativa_codibama[[#This Row],[Nome científico]]</f>
        <v>Metrodorea flavida</v>
      </c>
    </row>
    <row r="1554" spans="1:8" x14ac:dyDescent="0.25">
      <c r="A1554">
        <v>36473</v>
      </c>
      <c r="B1554" t="s">
        <v>2150</v>
      </c>
      <c r="C1554" t="s">
        <v>2151</v>
      </c>
      <c r="D1554" t="s">
        <v>38</v>
      </c>
      <c r="E1554">
        <v>35661</v>
      </c>
      <c r="F1554" s="24">
        <f>especies_ativa_codibama[[#This Row],[Código]]</f>
        <v>36473</v>
      </c>
      <c r="G1554" s="40" t="str">
        <f>especies_ativa_codibama[[#This Row],[Nome popular]]</f>
        <v>carne-de-anta, espinho-de-vintém, juva, juvevê, laranjeira-brava, laranjinha, limãozinho, mamica-de-cadela, mamica-de-porca, pau-de-cachorro, tamanqueira-de-espinho, tamanqueira-limão, tamanqueiro(a), tambatarão, tembetaru, teta-de-cadela, tinguaciba</v>
      </c>
      <c r="H1554" s="40" t="str">
        <f>especies_ativa_codibama[[#This Row],[Nome científico]]</f>
        <v>Zanthoxylum rhoifolium</v>
      </c>
    </row>
    <row r="1555" spans="1:8" x14ac:dyDescent="0.25">
      <c r="A1555">
        <v>36474</v>
      </c>
      <c r="B1555" t="s">
        <v>2152</v>
      </c>
      <c r="C1555" t="s">
        <v>2153</v>
      </c>
      <c r="D1555" t="s">
        <v>38</v>
      </c>
      <c r="E1555">
        <v>35404</v>
      </c>
      <c r="F1555" s="24">
        <f>especies_ativa_codibama[[#This Row],[Código]]</f>
        <v>36474</v>
      </c>
      <c r="G1555" s="40" t="str">
        <f>especies_ativa_codibama[[#This Row],[Nome popular]]</f>
        <v>carrapateiro, chupa-ferro, guamixinga, jasmim-do-mato, mamoninha, qui-de-três-folhas, qui-falsa, qui-qui, ticoró, três folhas, três-folhas-do-mato</v>
      </c>
      <c r="H1555" s="40" t="str">
        <f>especies_ativa_codibama[[#This Row],[Nome científico]]</f>
        <v>Galipea jasminiflora</v>
      </c>
    </row>
    <row r="1556" spans="1:8" x14ac:dyDescent="0.25">
      <c r="A1556">
        <v>36475</v>
      </c>
      <c r="B1556" t="s">
        <v>2154</v>
      </c>
      <c r="C1556" t="s">
        <v>2155</v>
      </c>
      <c r="D1556" t="s">
        <v>38</v>
      </c>
      <c r="E1556">
        <v>33662</v>
      </c>
      <c r="F1556" s="24">
        <f>especies_ativa_codibama[[#This Row],[Código]]</f>
        <v>36475</v>
      </c>
      <c r="G1556" s="40" t="str">
        <f>especies_ativa_codibama[[#This Row],[Nome popular]]</f>
        <v>carrapateiro, chupa-ferro, pitaguará, vira-sarerê</v>
      </c>
      <c r="H1556" s="40" t="str">
        <f>especies_ativa_codibama[[#This Row],[Nome científico]]</f>
        <v>Metrodorea nigra</v>
      </c>
    </row>
    <row r="1557" spans="1:8" x14ac:dyDescent="0.25">
      <c r="A1557">
        <v>36478</v>
      </c>
      <c r="B1557" t="s">
        <v>2156</v>
      </c>
      <c r="C1557" t="s">
        <v>2157</v>
      </c>
      <c r="D1557" t="s">
        <v>38</v>
      </c>
      <c r="E1557">
        <v>35996</v>
      </c>
      <c r="F1557" s="24">
        <f>especies_ativa_codibama[[#This Row],[Código]]</f>
        <v>36478</v>
      </c>
      <c r="G1557" s="40" t="str">
        <f>especies_ativa_codibama[[#This Row],[Nome popular]]</f>
        <v>chupa-ferro, guaxipita, guaxupita, mamora, pitaguará-amarelo</v>
      </c>
      <c r="H1557" s="40" t="str">
        <f>especies_ativa_codibama[[#This Row],[Nome científico]]</f>
        <v>Esenbeckia grandiflora</v>
      </c>
    </row>
    <row r="1558" spans="1:8" x14ac:dyDescent="0.25">
      <c r="A1558">
        <v>36480</v>
      </c>
      <c r="B1558" t="s">
        <v>2158</v>
      </c>
      <c r="C1558" t="s">
        <v>2159</v>
      </c>
      <c r="D1558" t="s">
        <v>38</v>
      </c>
      <c r="E1558">
        <v>32510</v>
      </c>
      <c r="F1558" s="24">
        <f>especies_ativa_codibama[[#This Row],[Código]]</f>
        <v>36480</v>
      </c>
      <c r="G1558" s="40" t="str">
        <f>especies_ativa_codibama[[#This Row],[Nome popular]]</f>
        <v>crista-de-peru, cutianá, cutia-branca, guatambuná, guaximbiriçuná, jaborandiná, pau-de-cutianá</v>
      </c>
      <c r="H1558" s="40" t="str">
        <f>especies_ativa_codibama[[#This Row],[Nome científico]]</f>
        <v>Pilocarpus pennatifolius</v>
      </c>
    </row>
    <row r="1559" spans="1:8" x14ac:dyDescent="0.25">
      <c r="A1559">
        <v>36482</v>
      </c>
      <c r="B1559" t="s">
        <v>2160</v>
      </c>
      <c r="C1559" t="s">
        <v>2161</v>
      </c>
      <c r="D1559" t="s">
        <v>38</v>
      </c>
      <c r="E1559">
        <v>2002843</v>
      </c>
      <c r="F1559" s="24">
        <f>especies_ativa_codibama[[#This Row],[Código]]</f>
        <v>36482</v>
      </c>
      <c r="G1559" s="40" t="str">
        <f>especies_ativa_codibama[[#This Row],[Nome popular]]</f>
        <v>folha-miúda, mucambo, pau-marfim, pereiro-preto</v>
      </c>
      <c r="H1559" s="40" t="str">
        <f>especies_ativa_codibama[[#This Row],[Nome científico]]</f>
        <v>Balfourodendron molle</v>
      </c>
    </row>
    <row r="1560" spans="1:8" x14ac:dyDescent="0.25">
      <c r="A1560">
        <v>36487</v>
      </c>
      <c r="B1560" t="s">
        <v>2162</v>
      </c>
      <c r="C1560" t="s">
        <v>2163</v>
      </c>
      <c r="D1560" t="s">
        <v>38</v>
      </c>
      <c r="E1560">
        <v>34454</v>
      </c>
      <c r="F1560" s="24">
        <f>especies_ativa_codibama[[#This Row],[Código]]</f>
        <v>36487</v>
      </c>
      <c r="G1560" s="40" t="str">
        <f>especies_ativa_codibama[[#This Row],[Nome popular]]</f>
        <v>laranjeira</v>
      </c>
      <c r="H1560" s="40" t="str">
        <f>especies_ativa_codibama[[#This Row],[Nome científico]]</f>
        <v>Zanthoxylum tingoassuiba</v>
      </c>
    </row>
    <row r="1561" spans="1:8" x14ac:dyDescent="0.25">
      <c r="A1561">
        <v>36491</v>
      </c>
      <c r="B1561" t="s">
        <v>2164</v>
      </c>
      <c r="C1561" t="s">
        <v>2165</v>
      </c>
      <c r="D1561" t="s">
        <v>38</v>
      </c>
      <c r="E1561">
        <v>35662</v>
      </c>
      <c r="F1561" s="24">
        <f>especies_ativa_codibama[[#This Row],[Código]]</f>
        <v>36491</v>
      </c>
      <c r="G1561" s="40" t="str">
        <f>especies_ativa_codibama[[#This Row],[Nome popular]]</f>
        <v>laranjeira-brava, limãozinho, limãozinho branco, mama-de-porca, mamicão, mamonilha-de-porca, tamanquaré</v>
      </c>
      <c r="H1561" s="40" t="str">
        <f>especies_ativa_codibama[[#This Row],[Nome científico]]</f>
        <v>Zanthoxylum riedelianum</v>
      </c>
    </row>
    <row r="1562" spans="1:8" x14ac:dyDescent="0.25">
      <c r="A1562">
        <v>36493</v>
      </c>
      <c r="B1562" t="s">
        <v>2166</v>
      </c>
      <c r="C1562" t="s">
        <v>2167</v>
      </c>
      <c r="D1562" t="s">
        <v>38</v>
      </c>
      <c r="E1562">
        <v>34831</v>
      </c>
      <c r="F1562" s="24">
        <f>especies_ativa_codibama[[#This Row],[Código]]</f>
        <v>36493</v>
      </c>
      <c r="G1562" s="40" t="str">
        <f>especies_ativa_codibama[[#This Row],[Nome popular]]</f>
        <v>laranjeira-do-mato, mamoninha, três-folhas, três-folhas-do-mato</v>
      </c>
      <c r="H1562" s="40" t="str">
        <f>especies_ativa_codibama[[#This Row],[Nome científico]]</f>
        <v>Esenbeckia febrifuga</v>
      </c>
    </row>
    <row r="1563" spans="1:8" x14ac:dyDescent="0.25">
      <c r="A1563">
        <v>36500</v>
      </c>
      <c r="B1563" t="s">
        <v>2168</v>
      </c>
      <c r="C1563" t="s">
        <v>2169</v>
      </c>
      <c r="D1563" t="s">
        <v>38</v>
      </c>
      <c r="E1563">
        <v>33433</v>
      </c>
      <c r="F1563" s="24">
        <f>especies_ativa_codibama[[#This Row],[Código]]</f>
        <v>36500</v>
      </c>
      <c r="G1563" s="40" t="str">
        <f>especies_ativa_codibama[[#This Row],[Nome popular]]</f>
        <v>mamica-de-porca do Sul, maminha-de-porca do Sul</v>
      </c>
      <c r="H1563" s="40" t="str">
        <f>especies_ativa_codibama[[#This Row],[Nome científico]]</f>
        <v>Zanthoxylum rigidum</v>
      </c>
    </row>
    <row r="1564" spans="1:8" x14ac:dyDescent="0.25">
      <c r="A1564">
        <v>36528</v>
      </c>
      <c r="B1564" t="s">
        <v>2170</v>
      </c>
      <c r="C1564" t="s">
        <v>2171</v>
      </c>
      <c r="D1564" t="s">
        <v>324</v>
      </c>
      <c r="E1564">
        <v>36035</v>
      </c>
      <c r="F1564" s="24">
        <f>especies_ativa_codibama[[#This Row],[Código]]</f>
        <v>36528</v>
      </c>
      <c r="G1564" s="40" t="str">
        <f>especies_ativa_codibama[[#This Row],[Nome popular]]</f>
        <v>coronel, laranjinha, lima d`anta, paratudo-vermelho, pratudo</v>
      </c>
      <c r="H1564" s="40" t="str">
        <f>especies_ativa_codibama[[#This Row],[Nome científico]]</f>
        <v>Hortia brasiliana</v>
      </c>
    </row>
    <row r="1565" spans="1:8" x14ac:dyDescent="0.25">
      <c r="A1565">
        <v>36529</v>
      </c>
      <c r="B1565" t="s">
        <v>2172</v>
      </c>
      <c r="C1565" t="s">
        <v>2173</v>
      </c>
      <c r="D1565" t="s">
        <v>324</v>
      </c>
      <c r="E1565">
        <v>32890</v>
      </c>
      <c r="F1565" s="24">
        <f>especies_ativa_codibama[[#This Row],[Código]]</f>
        <v>36529</v>
      </c>
      <c r="G1565" s="40" t="str">
        <f>especies_ativa_codibama[[#This Row],[Nome popular]]</f>
        <v>embira, farinha-seca, gramixinga, guamixinga, guamuxinga, guarataia, guataia, guatambu, marfim, pau-cetim, pau-liso, pau-marfim, pequiá-mamo</v>
      </c>
      <c r="H1565" s="40" t="str">
        <f>especies_ativa_codibama[[#This Row],[Nome científico]]</f>
        <v>Balfourodendron riedelianum</v>
      </c>
    </row>
    <row r="1566" spans="1:8" x14ac:dyDescent="0.25">
      <c r="A1566">
        <v>36534</v>
      </c>
      <c r="B1566" t="s">
        <v>2174</v>
      </c>
      <c r="C1566" t="s">
        <v>2175</v>
      </c>
      <c r="D1566" t="s">
        <v>38</v>
      </c>
      <c r="E1566">
        <v>32095</v>
      </c>
      <c r="F1566" s="24">
        <f>especies_ativa_codibama[[#This Row],[Código]]</f>
        <v>36534</v>
      </c>
      <c r="G1566" s="40" t="str">
        <f>especies_ativa_codibama[[#This Row],[Nome popular]]</f>
        <v>Canela-balão, canela-caju, pau-ferndes</v>
      </c>
      <c r="H1566" s="40" t="str">
        <f>especies_ativa_codibama[[#This Row],[Nome científico]]</f>
        <v>Meliosma sellowii</v>
      </c>
    </row>
    <row r="1567" spans="1:8" x14ac:dyDescent="0.25">
      <c r="A1567">
        <v>36539</v>
      </c>
      <c r="B1567" t="s">
        <v>106</v>
      </c>
      <c r="C1567" t="s">
        <v>2176</v>
      </c>
      <c r="D1567" t="s">
        <v>79</v>
      </c>
      <c r="E1567">
        <v>34539</v>
      </c>
      <c r="F1567" s="24">
        <f>especies_ativa_codibama[[#This Row],[Código]]</f>
        <v>36539</v>
      </c>
      <c r="G1567" s="40" t="str">
        <f>especies_ativa_codibama[[#This Row],[Nome popular]]</f>
        <v>---</v>
      </c>
      <c r="H1567" s="40" t="str">
        <f>especies_ativa_codibama[[#This Row],[Nome científico]]</f>
        <v>Banara brasiliensis</v>
      </c>
    </row>
    <row r="1568" spans="1:8" x14ac:dyDescent="0.25">
      <c r="A1568">
        <v>36543</v>
      </c>
      <c r="B1568" t="s">
        <v>2177</v>
      </c>
      <c r="C1568" t="s">
        <v>2178</v>
      </c>
      <c r="D1568" t="s">
        <v>126</v>
      </c>
      <c r="E1568">
        <v>34136</v>
      </c>
      <c r="F1568" s="24">
        <f>especies_ativa_codibama[[#This Row],[Código]]</f>
        <v>36543</v>
      </c>
      <c r="G1568" s="40" t="str">
        <f>especies_ativa_codibama[[#This Row],[Nome popular]]</f>
        <v>laranjinha, pau-de-espeto, vidro</v>
      </c>
      <c r="H1568" s="40" t="str">
        <f>especies_ativa_codibama[[#This Row],[Nome científico]]</f>
        <v>Casearia gossypiosperma</v>
      </c>
    </row>
    <row r="1569" spans="1:8" x14ac:dyDescent="0.25">
      <c r="A1569">
        <v>36544</v>
      </c>
      <c r="B1569" t="s">
        <v>2179</v>
      </c>
      <c r="C1569" t="s">
        <v>2180</v>
      </c>
      <c r="D1569" t="s">
        <v>126</v>
      </c>
      <c r="E1569">
        <v>33770</v>
      </c>
      <c r="F1569" s="24">
        <f>especies_ativa_codibama[[#This Row],[Código]]</f>
        <v>36544</v>
      </c>
      <c r="G1569" s="40" t="str">
        <f>especies_ativa_codibama[[#This Row],[Nome popular]]</f>
        <v>louro-da-várzea, oura, salseiro</v>
      </c>
      <c r="H1569" s="40" t="str">
        <f>especies_ativa_codibama[[#This Row],[Nome científico]]</f>
        <v>Salix humboldtiana</v>
      </c>
    </row>
    <row r="1570" spans="1:8" x14ac:dyDescent="0.25">
      <c r="A1570">
        <v>36545</v>
      </c>
      <c r="B1570" t="s">
        <v>106</v>
      </c>
      <c r="C1570" t="s">
        <v>2181</v>
      </c>
      <c r="D1570" t="s">
        <v>126</v>
      </c>
      <c r="E1570">
        <v>34758</v>
      </c>
      <c r="F1570" s="24">
        <f>especies_ativa_codibama[[#This Row],[Código]]</f>
        <v>36545</v>
      </c>
      <c r="G1570" s="40" t="str">
        <f>especies_ativa_codibama[[#This Row],[Nome popular]]</f>
        <v>---</v>
      </c>
      <c r="H1570" s="40" t="str">
        <f>especies_ativa_codibama[[#This Row],[Nome científico]]</f>
        <v>Casearia lasiophylla</v>
      </c>
    </row>
    <row r="1571" spans="1:8" x14ac:dyDescent="0.25">
      <c r="A1571">
        <v>36546</v>
      </c>
      <c r="B1571" t="s">
        <v>2182</v>
      </c>
      <c r="C1571" t="s">
        <v>2183</v>
      </c>
      <c r="D1571" t="s">
        <v>38</v>
      </c>
      <c r="E1571">
        <v>32090</v>
      </c>
      <c r="F1571" s="24">
        <f>especies_ativa_codibama[[#This Row],[Código]]</f>
        <v>36546</v>
      </c>
      <c r="G1571" s="40" t="str">
        <f>especies_ativa_codibama[[#This Row],[Nome popular]]</f>
        <v>aroara, catuabinha, jitozinho, shua bata</v>
      </c>
      <c r="H1571" s="40" t="str">
        <f>especies_ativa_codibama[[#This Row],[Nome científico]]</f>
        <v>Hasseltia floribunda</v>
      </c>
    </row>
    <row r="1572" spans="1:8" x14ac:dyDescent="0.25">
      <c r="A1572">
        <v>36547</v>
      </c>
      <c r="B1572" t="s">
        <v>2184</v>
      </c>
      <c r="C1572" t="s">
        <v>2185</v>
      </c>
      <c r="D1572" t="s">
        <v>38</v>
      </c>
      <c r="E1572">
        <v>1993381</v>
      </c>
      <c r="F1572" s="24">
        <f>especies_ativa_codibama[[#This Row],[Código]]</f>
        <v>36547</v>
      </c>
      <c r="G1572" s="40" t="str">
        <f>especies_ativa_codibama[[#This Row],[Nome popular]]</f>
        <v>assucará, espinho-de-agulha, coroa de cristo</v>
      </c>
      <c r="H1572" s="40" t="str">
        <f>especies_ativa_codibama[[#This Row],[Nome científico]]</f>
        <v>Xylosma ciliatifolia</v>
      </c>
    </row>
    <row r="1573" spans="1:8" x14ac:dyDescent="0.25">
      <c r="A1573">
        <v>36548</v>
      </c>
      <c r="B1573" t="s">
        <v>2186</v>
      </c>
      <c r="C1573" t="s">
        <v>2187</v>
      </c>
      <c r="D1573" t="s">
        <v>38</v>
      </c>
      <c r="E1573">
        <v>33939</v>
      </c>
      <c r="F1573" s="24">
        <f>especies_ativa_codibama[[#This Row],[Código]]</f>
        <v>36548</v>
      </c>
      <c r="G1573" s="40" t="str">
        <f>especies_ativa_codibama[[#This Row],[Nome popular]]</f>
        <v>azulão cafera</v>
      </c>
      <c r="H1573" s="40" t="str">
        <f>especies_ativa_codibama[[#This Row],[Nome científico]]</f>
        <v>Casearia ulmifolia</v>
      </c>
    </row>
    <row r="1574" spans="1:8" x14ac:dyDescent="0.25">
      <c r="A1574">
        <v>36550</v>
      </c>
      <c r="B1574" t="s">
        <v>2729</v>
      </c>
      <c r="C1574" t="s">
        <v>2188</v>
      </c>
      <c r="D1574" t="s">
        <v>38</v>
      </c>
      <c r="E1574">
        <v>32921</v>
      </c>
      <c r="F1574" s="24">
        <f>especies_ativa_codibama[[#This Row],[Código]]</f>
        <v>36550</v>
      </c>
      <c r="G1574" s="40" t="str">
        <f>especies_ativa_codibama[[#This Row],[Nome popular]]</f>
        <v>cabelo de cotia, brogotó, pau-vidro, cocão-branco, pau-vidro-branco, espeto, espeto-vermelho, guaçatonga, cafera, limão, andorinha, Cambroé, guassatunga, guaçatonga-branca, pau-de-laná, carrapatinhorassa-leitão, assa-peixe, chá-de-bugre, guassatonga, Café-do-mato,guaçatonga, cafezeiro-do-mato, cambroé, guaçatunga, pau-de-espeto, vidro, avinga</v>
      </c>
      <c r="H1574" s="40" t="str">
        <f>especies_ativa_codibama[[#This Row],[Nome científico]]</f>
        <v>Casearia decandra</v>
      </c>
    </row>
    <row r="1575" spans="1:8" x14ac:dyDescent="0.25">
      <c r="A1575">
        <v>36552</v>
      </c>
      <c r="B1575" t="s">
        <v>2189</v>
      </c>
      <c r="C1575" t="s">
        <v>2190</v>
      </c>
      <c r="D1575" t="s">
        <v>38</v>
      </c>
      <c r="E1575">
        <v>718534</v>
      </c>
      <c r="F1575" s="24">
        <f>especies_ativa_codibama[[#This Row],[Código]]</f>
        <v>36552</v>
      </c>
      <c r="G1575" s="40" t="str">
        <f>especies_ativa_codibama[[#This Row],[Nome popular]]</f>
        <v>camarão-branco, rama-branca, capança-braba, boieira, língua-de-velho, pindaíba, língua-de-cão, folha-de-carne, chá-de-frade, erva-de-lagarto, espeteiro, pau-prego, pau-de-olaria, muirapuama, carniceiroíba, erva-de-lagarto, imbuí-amarelo, folha-de-carne, puleiro-de-pombo, língua -de-tiú</v>
      </c>
      <c r="H1575" s="40" t="str">
        <f>especies_ativa_codibama[[#This Row],[Nome científico]]</f>
        <v>Casearia arborea</v>
      </c>
    </row>
    <row r="1576" spans="1:8" x14ac:dyDescent="0.25">
      <c r="A1576">
        <v>36555</v>
      </c>
      <c r="B1576" t="s">
        <v>2191</v>
      </c>
      <c r="C1576" t="s">
        <v>2192</v>
      </c>
      <c r="D1576" t="s">
        <v>38</v>
      </c>
      <c r="E1576">
        <v>33938</v>
      </c>
      <c r="F1576" s="24">
        <f>especies_ativa_codibama[[#This Row],[Código]]</f>
        <v>36555</v>
      </c>
      <c r="G1576" s="40" t="str">
        <f>especies_ativa_codibama[[#This Row],[Nome popular]]</f>
        <v>capança, mata calado, mutamba brava</v>
      </c>
      <c r="H1576" s="40" t="str">
        <f>especies_ativa_codibama[[#This Row],[Nome científico]]</f>
        <v>Casearia javitensis</v>
      </c>
    </row>
    <row r="1577" spans="1:8" x14ac:dyDescent="0.25">
      <c r="A1577">
        <v>36556</v>
      </c>
      <c r="B1577" t="s">
        <v>2730</v>
      </c>
      <c r="C1577" t="s">
        <v>2193</v>
      </c>
      <c r="D1577" t="s">
        <v>38</v>
      </c>
      <c r="E1577">
        <v>35143</v>
      </c>
      <c r="F1577" s="24">
        <f>especies_ativa_codibama[[#This Row],[Código]]</f>
        <v>36556</v>
      </c>
      <c r="G1577" s="40" t="str">
        <f>especies_ativa_codibama[[#This Row],[Nome popular]]</f>
        <v xml:space="preserve">carapauba-Ã­, aderninho-de-capoeira, pau-de-espeto, quebra-facão, cabatão, canela-de-viado, flor-da-noiva, mourão, pa-de-carne, assa-leitão, erva-de-tiú, pau-de-espeto, Café-bravo, farinha-seca, pimentinha, cafezinho-do-mato, sapucainha, Tomimrinke </v>
      </c>
      <c r="H1577" s="40" t="str">
        <f>especies_ativa_codibama[[#This Row],[Nome científico]]</f>
        <v>Casearia commersoniana</v>
      </c>
    </row>
    <row r="1578" spans="1:8" x14ac:dyDescent="0.25">
      <c r="A1578">
        <v>36559</v>
      </c>
      <c r="B1578" t="s">
        <v>2194</v>
      </c>
      <c r="C1578" t="s">
        <v>2195</v>
      </c>
      <c r="D1578" t="s">
        <v>38</v>
      </c>
      <c r="E1578">
        <v>35322</v>
      </c>
      <c r="F1578" s="24">
        <f>especies_ativa_codibama[[#This Row],[Código]]</f>
        <v>36559</v>
      </c>
      <c r="G1578" s="40" t="str">
        <f>especies_ativa_codibama[[#This Row],[Nome popular]]</f>
        <v>guaçatonga, pau-de-lagarto</v>
      </c>
      <c r="H1578" s="40" t="str">
        <f>especies_ativa_codibama[[#This Row],[Nome científico]]</f>
        <v>Casearia sylvestris</v>
      </c>
    </row>
    <row r="1579" spans="1:8" x14ac:dyDescent="0.25">
      <c r="A1579">
        <v>36561</v>
      </c>
      <c r="B1579" t="s">
        <v>106</v>
      </c>
      <c r="C1579" t="s">
        <v>2196</v>
      </c>
      <c r="D1579" t="s">
        <v>38</v>
      </c>
      <c r="E1579">
        <v>2007855</v>
      </c>
      <c r="F1579" s="24">
        <f>especies_ativa_codibama[[#This Row],[Código]]</f>
        <v>36561</v>
      </c>
      <c r="G1579" s="40" t="str">
        <f>especies_ativa_codibama[[#This Row],[Nome popular]]</f>
        <v>---</v>
      </c>
      <c r="H1579" s="40" t="str">
        <f>especies_ativa_codibama[[#This Row],[Nome científico]]</f>
        <v>Casearia eichleriana</v>
      </c>
    </row>
    <row r="1580" spans="1:8" x14ac:dyDescent="0.25">
      <c r="A1580">
        <v>36565</v>
      </c>
      <c r="B1580" t="s">
        <v>106</v>
      </c>
      <c r="C1580" t="s">
        <v>2197</v>
      </c>
      <c r="D1580" t="s">
        <v>38</v>
      </c>
      <c r="E1580">
        <v>34348</v>
      </c>
      <c r="F1580" s="24">
        <f>especies_ativa_codibama[[#This Row],[Código]]</f>
        <v>36565</v>
      </c>
      <c r="G1580" s="40" t="str">
        <f>especies_ativa_codibama[[#This Row],[Nome popular]]</f>
        <v>---</v>
      </c>
      <c r="H1580" s="40" t="str">
        <f>especies_ativa_codibama[[#This Row],[Nome científico]]</f>
        <v>Populus alba</v>
      </c>
    </row>
    <row r="1581" spans="1:8" x14ac:dyDescent="0.25">
      <c r="A1581">
        <v>36566</v>
      </c>
      <c r="B1581" t="s">
        <v>106</v>
      </c>
      <c r="C1581" t="s">
        <v>2198</v>
      </c>
      <c r="D1581" t="s">
        <v>38</v>
      </c>
      <c r="E1581">
        <v>33137</v>
      </c>
      <c r="F1581" s="24">
        <f>especies_ativa_codibama[[#This Row],[Código]]</f>
        <v>36566</v>
      </c>
      <c r="G1581" s="40" t="str">
        <f>especies_ativa_codibama[[#This Row],[Nome popular]]</f>
        <v>---</v>
      </c>
      <c r="H1581" s="40" t="str">
        <f>especies_ativa_codibama[[#This Row],[Nome científico]]</f>
        <v>Populus nigra</v>
      </c>
    </row>
    <row r="1582" spans="1:8" x14ac:dyDescent="0.25">
      <c r="A1582">
        <v>36571</v>
      </c>
      <c r="B1582" t="s">
        <v>106</v>
      </c>
      <c r="C1582" t="s">
        <v>2199</v>
      </c>
      <c r="D1582" t="s">
        <v>38</v>
      </c>
      <c r="E1582">
        <v>34016</v>
      </c>
      <c r="F1582" s="24">
        <f>especies_ativa_codibama[[#This Row],[Código]]</f>
        <v>36571</v>
      </c>
      <c r="G1582" s="40" t="str">
        <f>especies_ativa_codibama[[#This Row],[Nome popular]]</f>
        <v>---</v>
      </c>
      <c r="H1582" s="40" t="str">
        <f>especies_ativa_codibama[[#This Row],[Nome científico]]</f>
        <v>Ryania speciosa</v>
      </c>
    </row>
    <row r="1583" spans="1:8" x14ac:dyDescent="0.25">
      <c r="A1583">
        <v>36574</v>
      </c>
      <c r="B1583" t="s">
        <v>106</v>
      </c>
      <c r="C1583" t="s">
        <v>2200</v>
      </c>
      <c r="D1583" t="s">
        <v>38</v>
      </c>
      <c r="E1583">
        <v>32279</v>
      </c>
      <c r="F1583" s="24">
        <f>especies_ativa_codibama[[#This Row],[Código]]</f>
        <v>36574</v>
      </c>
      <c r="G1583" s="40" t="str">
        <f>especies_ativa_codibama[[#This Row],[Nome popular]]</f>
        <v>---</v>
      </c>
      <c r="H1583" s="40" t="str">
        <f>especies_ativa_codibama[[#This Row],[Nome científico]]</f>
        <v>Casearia grandiflora</v>
      </c>
    </row>
    <row r="1584" spans="1:8" x14ac:dyDescent="0.25">
      <c r="A1584">
        <v>36576</v>
      </c>
      <c r="B1584" t="s">
        <v>106</v>
      </c>
      <c r="C1584" t="s">
        <v>2201</v>
      </c>
      <c r="D1584" t="s">
        <v>38</v>
      </c>
      <c r="E1584">
        <v>282465</v>
      </c>
      <c r="F1584" s="24">
        <f>especies_ativa_codibama[[#This Row],[Código]]</f>
        <v>36576</v>
      </c>
      <c r="G1584" s="40" t="str">
        <f>especies_ativa_codibama[[#This Row],[Nome popular]]</f>
        <v>---</v>
      </c>
      <c r="H1584" s="40" t="str">
        <f>especies_ativa_codibama[[#This Row],[Nome científico]]</f>
        <v>Prockia crucis</v>
      </c>
    </row>
    <row r="1585" spans="1:8" x14ac:dyDescent="0.25">
      <c r="A1585">
        <v>36577</v>
      </c>
      <c r="B1585" t="s">
        <v>106</v>
      </c>
      <c r="C1585" t="s">
        <v>2202</v>
      </c>
      <c r="D1585" t="s">
        <v>38</v>
      </c>
      <c r="E1585">
        <v>33419</v>
      </c>
      <c r="F1585" s="24">
        <f>especies_ativa_codibama[[#This Row],[Código]]</f>
        <v>36577</v>
      </c>
      <c r="G1585" s="40" t="str">
        <f>especies_ativa_codibama[[#This Row],[Nome popular]]</f>
        <v>---</v>
      </c>
      <c r="H1585" s="40" t="str">
        <f>especies_ativa_codibama[[#This Row],[Nome científico]]</f>
        <v>Homalium guianense</v>
      </c>
    </row>
    <row r="1586" spans="1:8" x14ac:dyDescent="0.25">
      <c r="A1586">
        <v>36580</v>
      </c>
      <c r="B1586" t="s">
        <v>106</v>
      </c>
      <c r="C1586" t="s">
        <v>2203</v>
      </c>
      <c r="D1586" t="s">
        <v>38</v>
      </c>
      <c r="E1586">
        <v>33829</v>
      </c>
      <c r="F1586" s="24">
        <f>especies_ativa_codibama[[#This Row],[Código]]</f>
        <v>36580</v>
      </c>
      <c r="G1586" s="40" t="str">
        <f>especies_ativa_codibama[[#This Row],[Nome popular]]</f>
        <v>---</v>
      </c>
      <c r="H1586" s="40" t="str">
        <f>especies_ativa_codibama[[#This Row],[Nome científico]]</f>
        <v>Xylosma benthamii</v>
      </c>
    </row>
    <row r="1587" spans="1:8" x14ac:dyDescent="0.25">
      <c r="A1587">
        <v>36581</v>
      </c>
      <c r="B1587" t="s">
        <v>106</v>
      </c>
      <c r="C1587" t="s">
        <v>2204</v>
      </c>
      <c r="D1587" t="s">
        <v>38</v>
      </c>
      <c r="E1587">
        <v>33632</v>
      </c>
      <c r="F1587" s="24">
        <f>especies_ativa_codibama[[#This Row],[Código]]</f>
        <v>36581</v>
      </c>
      <c r="G1587" s="40" t="str">
        <f>especies_ativa_codibama[[#This Row],[Nome popular]]</f>
        <v>---</v>
      </c>
      <c r="H1587" s="40" t="str">
        <f>especies_ativa_codibama[[#This Row],[Nome científico]]</f>
        <v>Laetia procera</v>
      </c>
    </row>
    <row r="1588" spans="1:8" x14ac:dyDescent="0.25">
      <c r="A1588">
        <v>36583</v>
      </c>
      <c r="B1588" t="s">
        <v>106</v>
      </c>
      <c r="C1588" t="s">
        <v>2205</v>
      </c>
      <c r="D1588" t="s">
        <v>38</v>
      </c>
      <c r="E1588">
        <v>34047</v>
      </c>
      <c r="F1588" s="24">
        <f>especies_ativa_codibama[[#This Row],[Código]]</f>
        <v>36583</v>
      </c>
      <c r="G1588" s="40" t="str">
        <f>especies_ativa_codibama[[#This Row],[Nome popular]]</f>
        <v>---</v>
      </c>
      <c r="H1588" s="40" t="str">
        <f>especies_ativa_codibama[[#This Row],[Nome científico]]</f>
        <v>Casearia guianensis</v>
      </c>
    </row>
    <row r="1589" spans="1:8" x14ac:dyDescent="0.25">
      <c r="A1589">
        <v>36585</v>
      </c>
      <c r="B1589" t="s">
        <v>106</v>
      </c>
      <c r="C1589" t="s">
        <v>2206</v>
      </c>
      <c r="D1589" t="s">
        <v>38</v>
      </c>
      <c r="E1589">
        <v>32243</v>
      </c>
      <c r="F1589" s="24">
        <f>especies_ativa_codibama[[#This Row],[Código]]</f>
        <v>36585</v>
      </c>
      <c r="G1589" s="40" t="str">
        <f>especies_ativa_codibama[[#This Row],[Nome popular]]</f>
        <v>---</v>
      </c>
      <c r="H1589" s="40" t="str">
        <f>especies_ativa_codibama[[#This Row],[Nome científico]]</f>
        <v>Banara arguta</v>
      </c>
    </row>
    <row r="1590" spans="1:8" x14ac:dyDescent="0.25">
      <c r="A1590">
        <v>36586</v>
      </c>
      <c r="B1590" t="s">
        <v>106</v>
      </c>
      <c r="C1590" t="s">
        <v>2207</v>
      </c>
      <c r="D1590" t="s">
        <v>38</v>
      </c>
      <c r="E1590">
        <v>33834</v>
      </c>
      <c r="F1590" s="24">
        <f>especies_ativa_codibama[[#This Row],[Código]]</f>
        <v>36586</v>
      </c>
      <c r="G1590" s="40" t="str">
        <f>especies_ativa_codibama[[#This Row],[Nome popular]]</f>
        <v>---</v>
      </c>
      <c r="H1590" s="40" t="str">
        <f>especies_ativa_codibama[[#This Row],[Nome científico]]</f>
        <v>Xylosma prockia</v>
      </c>
    </row>
    <row r="1591" spans="1:8" x14ac:dyDescent="0.25">
      <c r="A1591">
        <v>36587</v>
      </c>
      <c r="B1591" t="s">
        <v>106</v>
      </c>
      <c r="C1591" t="s">
        <v>2208</v>
      </c>
      <c r="D1591" t="s">
        <v>38</v>
      </c>
      <c r="E1591">
        <v>33508</v>
      </c>
      <c r="F1591" s="24">
        <f>especies_ativa_codibama[[#This Row],[Código]]</f>
        <v>36587</v>
      </c>
      <c r="G1591" s="40" t="str">
        <f>especies_ativa_codibama[[#This Row],[Nome popular]]</f>
        <v>---</v>
      </c>
      <c r="H1591" s="40" t="str">
        <f>especies_ativa_codibama[[#This Row],[Nome científico]]</f>
        <v>Casearia rupestris</v>
      </c>
    </row>
    <row r="1592" spans="1:8" x14ac:dyDescent="0.25">
      <c r="A1592">
        <v>36592</v>
      </c>
      <c r="B1592" t="s">
        <v>106</v>
      </c>
      <c r="C1592" t="s">
        <v>2209</v>
      </c>
      <c r="D1592" t="s">
        <v>38</v>
      </c>
      <c r="E1592">
        <v>34137</v>
      </c>
      <c r="F1592" s="24">
        <f>especies_ativa_codibama[[#This Row],[Código]]</f>
        <v>36592</v>
      </c>
      <c r="G1592" s="40" t="str">
        <f>especies_ativa_codibama[[#This Row],[Nome popular]]</f>
        <v>---</v>
      </c>
      <c r="H1592" s="40" t="str">
        <f>especies_ativa_codibama[[#This Row],[Nome científico]]</f>
        <v>Casearia obliqua</v>
      </c>
    </row>
    <row r="1593" spans="1:8" x14ac:dyDescent="0.25">
      <c r="A1593">
        <v>36595</v>
      </c>
      <c r="B1593" t="s">
        <v>2210</v>
      </c>
      <c r="C1593" t="s">
        <v>2211</v>
      </c>
      <c r="D1593" t="s">
        <v>38</v>
      </c>
      <c r="E1593">
        <v>34682</v>
      </c>
      <c r="F1593" s="24">
        <f>especies_ativa_codibama[[#This Row],[Código]]</f>
        <v>36595</v>
      </c>
      <c r="G1593" s="40" t="str">
        <f>especies_ativa_codibama[[#This Row],[Nome popular]]</f>
        <v>sombra-de-touro</v>
      </c>
      <c r="H1593" s="40" t="str">
        <f>especies_ativa_codibama[[#This Row],[Nome científico]]</f>
        <v>Acanthosyris spinescens</v>
      </c>
    </row>
    <row r="1594" spans="1:8" x14ac:dyDescent="0.25">
      <c r="A1594">
        <v>36596</v>
      </c>
      <c r="B1594" t="s">
        <v>106</v>
      </c>
      <c r="C1594" t="s">
        <v>2212</v>
      </c>
      <c r="D1594" t="s">
        <v>598</v>
      </c>
      <c r="E1594">
        <v>32852</v>
      </c>
      <c r="F1594" s="24">
        <f>especies_ativa_codibama[[#This Row],[Código]]</f>
        <v>36596</v>
      </c>
      <c r="G1594" s="40" t="str">
        <f>especies_ativa_codibama[[#This Row],[Nome popular]]</f>
        <v>---</v>
      </c>
      <c r="H1594" s="40" t="str">
        <f>especies_ativa_codibama[[#This Row],[Nome científico]]</f>
        <v>Acanthosyris paulo-alvinii</v>
      </c>
    </row>
    <row r="1595" spans="1:8" x14ac:dyDescent="0.25">
      <c r="A1595">
        <v>36597</v>
      </c>
      <c r="B1595" t="s">
        <v>106</v>
      </c>
      <c r="C1595" t="s">
        <v>2213</v>
      </c>
      <c r="D1595" t="s">
        <v>196</v>
      </c>
      <c r="E1595">
        <v>2008202</v>
      </c>
      <c r="F1595" s="24">
        <f>especies_ativa_codibama[[#This Row],[Código]]</f>
        <v>36597</v>
      </c>
      <c r="G1595" s="40" t="str">
        <f>especies_ativa_codibama[[#This Row],[Nome popular]]</f>
        <v>---</v>
      </c>
      <c r="H1595" s="40" t="str">
        <f>especies_ativa_codibama[[#This Row],[Nome científico]]</f>
        <v>Melicoccus espiritosantensis</v>
      </c>
    </row>
    <row r="1596" spans="1:8" x14ac:dyDescent="0.25">
      <c r="A1596">
        <v>36598</v>
      </c>
      <c r="B1596" t="s">
        <v>2214</v>
      </c>
      <c r="C1596" t="s">
        <v>2215</v>
      </c>
      <c r="D1596" t="s">
        <v>79</v>
      </c>
      <c r="E1596">
        <v>34803</v>
      </c>
      <c r="F1596" s="24">
        <f>especies_ativa_codibama[[#This Row],[Código]]</f>
        <v>36598</v>
      </c>
      <c r="G1596" s="40" t="str">
        <f>especies_ativa_codibama[[#This Row],[Nome popular]]</f>
        <v>camboatá</v>
      </c>
      <c r="H1596" s="40" t="str">
        <f>especies_ativa_codibama[[#This Row],[Nome científico]]</f>
        <v>Cupania emarginata</v>
      </c>
    </row>
    <row r="1597" spans="1:8" x14ac:dyDescent="0.25">
      <c r="A1597">
        <v>36613</v>
      </c>
      <c r="B1597" t="s">
        <v>106</v>
      </c>
      <c r="C1597" t="s">
        <v>2216</v>
      </c>
      <c r="D1597" t="s">
        <v>79</v>
      </c>
      <c r="E1597">
        <v>33814</v>
      </c>
      <c r="F1597" s="24">
        <f>especies_ativa_codibama[[#This Row],[Código]]</f>
        <v>36613</v>
      </c>
      <c r="G1597" s="40" t="str">
        <f>especies_ativa_codibama[[#This Row],[Nome popular]]</f>
        <v>---</v>
      </c>
      <c r="H1597" s="40" t="str">
        <f>especies_ativa_codibama[[#This Row],[Nome científico]]</f>
        <v>Tripterodendron filicifolium</v>
      </c>
    </row>
    <row r="1598" spans="1:8" x14ac:dyDescent="0.25">
      <c r="A1598">
        <v>36615</v>
      </c>
      <c r="B1598" t="s">
        <v>2217</v>
      </c>
      <c r="C1598" t="s">
        <v>2218</v>
      </c>
      <c r="D1598" t="s">
        <v>126</v>
      </c>
      <c r="E1598">
        <v>31815</v>
      </c>
      <c r="F1598" s="24">
        <f>especies_ativa_codibama[[#This Row],[Código]]</f>
        <v>36615</v>
      </c>
      <c r="G1598" s="40" t="str">
        <f>especies_ativa_codibama[[#This Row],[Nome popular]]</f>
        <v>timbó-do-cerrado, tingui</v>
      </c>
      <c r="H1598" s="40" t="str">
        <f>especies_ativa_codibama[[#This Row],[Nome científico]]</f>
        <v>Magonia pubescens</v>
      </c>
    </row>
    <row r="1599" spans="1:8" x14ac:dyDescent="0.25">
      <c r="A1599">
        <v>36618</v>
      </c>
      <c r="B1599" t="s">
        <v>2219</v>
      </c>
      <c r="C1599" t="s">
        <v>2220</v>
      </c>
      <c r="D1599" t="s">
        <v>126</v>
      </c>
      <c r="E1599">
        <v>34191</v>
      </c>
      <c r="F1599" s="24">
        <f>especies_ativa_codibama[[#This Row],[Código]]</f>
        <v>36618</v>
      </c>
      <c r="G1599" s="40" t="str">
        <f>especies_ativa_codibama[[#This Row],[Nome popular]]</f>
        <v>Maria-pobre, Farinha-seca, Mamona-pobre, Maria-mole, Puta-pobre, Pau-pobre</v>
      </c>
      <c r="H1599" s="40" t="str">
        <f>especies_ativa_codibama[[#This Row],[Nome científico]]</f>
        <v>Dilodendron bipinnatum</v>
      </c>
    </row>
    <row r="1600" spans="1:8" x14ac:dyDescent="0.25">
      <c r="A1600">
        <v>36619</v>
      </c>
      <c r="B1600" t="s">
        <v>2221</v>
      </c>
      <c r="C1600" t="s">
        <v>2222</v>
      </c>
      <c r="D1600" t="s">
        <v>38</v>
      </c>
      <c r="E1600">
        <v>34183</v>
      </c>
      <c r="F1600" s="24">
        <f>especies_ativa_codibama[[#This Row],[Código]]</f>
        <v>36619</v>
      </c>
      <c r="G1600" s="40" t="str">
        <f>especies_ativa_codibama[[#This Row],[Nome popular]]</f>
        <v>arco-de-barril, rabo-de-bugio</v>
      </c>
      <c r="H1600" s="40" t="str">
        <f>especies_ativa_codibama[[#This Row],[Nome científico]]</f>
        <v>Cupania vernalis</v>
      </c>
    </row>
    <row r="1601" spans="1:8" x14ac:dyDescent="0.25">
      <c r="A1601">
        <v>36621</v>
      </c>
      <c r="B1601" t="s">
        <v>2731</v>
      </c>
      <c r="C1601" t="s">
        <v>2223</v>
      </c>
      <c r="D1601" t="s">
        <v>38</v>
      </c>
      <c r="E1601">
        <v>34904</v>
      </c>
      <c r="F1601" s="24">
        <f>especies_ativa_codibama[[#This Row],[Código]]</f>
        <v>36621</v>
      </c>
      <c r="G1601" s="40" t="str">
        <f>especies_ativa_codibama[[#This Row],[Nome popular]]</f>
        <v>brazeiro, camboatã, canela-de-negro, camboatá-branco, olho-de-cotia, mataiba, batabaiba, jatuÃ¡-uba, jatuÃ¡-iba, atou-aou, pau-da-digestão</v>
      </c>
      <c r="H1601" s="40" t="str">
        <f>especies_ativa_codibama[[#This Row],[Nome científico]]</f>
        <v>Matayba guianensis</v>
      </c>
    </row>
    <row r="1602" spans="1:8" x14ac:dyDescent="0.25">
      <c r="A1602">
        <v>36626</v>
      </c>
      <c r="B1602" t="s">
        <v>2224</v>
      </c>
      <c r="C1602" t="s">
        <v>2225</v>
      </c>
      <c r="D1602" t="s">
        <v>38</v>
      </c>
      <c r="E1602">
        <v>32329</v>
      </c>
      <c r="F1602" s="24">
        <f>especies_ativa_codibama[[#This Row],[Código]]</f>
        <v>36626</v>
      </c>
      <c r="G1602" s="40" t="str">
        <f>especies_ativa_codibama[[#This Row],[Nome popular]]</f>
        <v>camboatá, camboatá-de-folha-larga</v>
      </c>
      <c r="H1602" s="40" t="str">
        <f>especies_ativa_codibama[[#This Row],[Nome científico]]</f>
        <v>Cupania oblongifolia</v>
      </c>
    </row>
    <row r="1603" spans="1:8" x14ac:dyDescent="0.25">
      <c r="A1603">
        <v>36629</v>
      </c>
      <c r="B1603" t="s">
        <v>2226</v>
      </c>
      <c r="C1603" t="s">
        <v>2227</v>
      </c>
      <c r="D1603" t="s">
        <v>38</v>
      </c>
      <c r="E1603">
        <v>35705</v>
      </c>
      <c r="F1603" s="24">
        <f>especies_ativa_codibama[[#This Row],[Código]]</f>
        <v>36629</v>
      </c>
      <c r="G1603" s="40" t="str">
        <f>especies_ativa_codibama[[#This Row],[Nome popular]]</f>
        <v>cambotá da folha grande, pitomba, pitomba brava, pitombinha, breu-pitomba</v>
      </c>
      <c r="H1603" s="40" t="str">
        <f>especies_ativa_codibama[[#This Row],[Nome científico]]</f>
        <v>Talisia cerasina</v>
      </c>
    </row>
    <row r="1604" spans="1:8" x14ac:dyDescent="0.25">
      <c r="A1604">
        <v>36633</v>
      </c>
      <c r="B1604" t="s">
        <v>2228</v>
      </c>
      <c r="C1604" t="s">
        <v>2229</v>
      </c>
      <c r="D1604" t="s">
        <v>38</v>
      </c>
      <c r="E1604">
        <v>34903</v>
      </c>
      <c r="F1604" s="24">
        <f>especies_ativa_codibama[[#This Row],[Código]]</f>
        <v>36633</v>
      </c>
      <c r="G1604" s="40" t="str">
        <f>especies_ativa_codibama[[#This Row],[Nome popular]]</f>
        <v>cuvantã, mataiba, miguel-pintado, pau-de-pombo, aroeira-branca, camboatá, camboatá-branco, craguatã, crangoatã, crangoatá-branco</v>
      </c>
      <c r="H1604" s="40" t="str">
        <f>especies_ativa_codibama[[#This Row],[Nome científico]]</f>
        <v>Matayba elaeagnoides</v>
      </c>
    </row>
    <row r="1605" spans="1:8" x14ac:dyDescent="0.25">
      <c r="A1605">
        <v>36634</v>
      </c>
      <c r="B1605" t="s">
        <v>2230</v>
      </c>
      <c r="C1605" t="s">
        <v>2231</v>
      </c>
      <c r="D1605" t="s">
        <v>38</v>
      </c>
      <c r="E1605">
        <v>36091</v>
      </c>
      <c r="F1605" s="24">
        <f>especies_ativa_codibama[[#This Row],[Código]]</f>
        <v>36634</v>
      </c>
      <c r="G1605" s="40" t="str">
        <f>especies_ativa_codibama[[#This Row],[Nome popular]]</f>
        <v>espetura-liso</v>
      </c>
      <c r="H1605" s="40" t="str">
        <f>especies_ativa_codibama[[#This Row],[Nome científico]]</f>
        <v>Matayba arborescens</v>
      </c>
    </row>
    <row r="1606" spans="1:8" x14ac:dyDescent="0.25">
      <c r="A1606">
        <v>36636</v>
      </c>
      <c r="B1606" t="s">
        <v>2232</v>
      </c>
      <c r="C1606" t="s">
        <v>2233</v>
      </c>
      <c r="D1606" t="s">
        <v>38</v>
      </c>
      <c r="E1606">
        <v>32969</v>
      </c>
      <c r="F1606" s="24">
        <f>especies_ativa_codibama[[#This Row],[Código]]</f>
        <v>36636</v>
      </c>
      <c r="G1606" s="40" t="str">
        <f>especies_ativa_codibama[[#This Row],[Nome popular]]</f>
        <v>farinha-seca</v>
      </c>
      <c r="H1606" s="40" t="str">
        <f>especies_ativa_codibama[[#This Row],[Nome científico]]</f>
        <v>Diplokeleba floribunda</v>
      </c>
    </row>
    <row r="1607" spans="1:8" x14ac:dyDescent="0.25">
      <c r="A1607">
        <v>36637</v>
      </c>
      <c r="B1607" t="s">
        <v>2234</v>
      </c>
      <c r="C1607" t="s">
        <v>2235</v>
      </c>
      <c r="D1607" t="s">
        <v>38</v>
      </c>
      <c r="E1607">
        <v>34695</v>
      </c>
      <c r="F1607" s="24">
        <f>especies_ativa_codibama[[#This Row],[Código]]</f>
        <v>36637</v>
      </c>
      <c r="G1607" s="40" t="str">
        <f>especies_ativa_codibama[[#This Row],[Nome popular]]</f>
        <v>fruta de paraó, vacum, baga-de-morcego, três-folhas-do-mato, murta-vermelha, murici-brava, chal-chal, perta-cu, fruto-do-rei, vacunzinho, fruto-de-pombo, canhou</v>
      </c>
      <c r="H1607" s="40" t="str">
        <f>especies_ativa_codibama[[#This Row],[Nome científico]]</f>
        <v>Allophylus edulis</v>
      </c>
    </row>
    <row r="1608" spans="1:8" x14ac:dyDescent="0.25">
      <c r="A1608">
        <v>36642</v>
      </c>
      <c r="B1608" t="s">
        <v>2236</v>
      </c>
      <c r="C1608" t="s">
        <v>2237</v>
      </c>
      <c r="D1608" t="s">
        <v>38</v>
      </c>
      <c r="E1608">
        <v>35626</v>
      </c>
      <c r="F1608" s="24">
        <f>especies_ativa_codibama[[#This Row],[Código]]</f>
        <v>36642</v>
      </c>
      <c r="G1608" s="40" t="str">
        <f>especies_ativa_codibama[[#This Row],[Nome popular]]</f>
        <v>pitomba, pitombeira, feijao-cru, pitomba-da-mata, pitomba-de-macaco, olhio-de-boi</v>
      </c>
      <c r="H1608" s="40" t="str">
        <f>especies_ativa_codibama[[#This Row],[Nome científico]]</f>
        <v>Talisia esculenta</v>
      </c>
    </row>
    <row r="1609" spans="1:8" x14ac:dyDescent="0.25">
      <c r="A1609">
        <v>36646</v>
      </c>
      <c r="B1609" t="s">
        <v>2238</v>
      </c>
      <c r="C1609" t="s">
        <v>2239</v>
      </c>
      <c r="D1609" t="s">
        <v>38</v>
      </c>
      <c r="E1609">
        <v>33175</v>
      </c>
      <c r="F1609" s="24">
        <f>especies_ativa_codibama[[#This Row],[Código]]</f>
        <v>36646</v>
      </c>
      <c r="G1609" s="40" t="str">
        <f>especies_ativa_codibama[[#This Row],[Nome popular]]</f>
        <v>sabão-de-mico, saboeiro, saboneteira, sabonetinho</v>
      </c>
      <c r="H1609" s="40" t="str">
        <f>especies_ativa_codibama[[#This Row],[Nome científico]]</f>
        <v>Sapindus saponaria</v>
      </c>
    </row>
    <row r="1610" spans="1:8" x14ac:dyDescent="0.25">
      <c r="A1610">
        <v>36648</v>
      </c>
      <c r="B1610" t="s">
        <v>106</v>
      </c>
      <c r="C1610" t="s">
        <v>2240</v>
      </c>
      <c r="D1610" t="s">
        <v>38</v>
      </c>
      <c r="E1610">
        <v>35963</v>
      </c>
      <c r="F1610" s="24">
        <f>especies_ativa_codibama[[#This Row],[Código]]</f>
        <v>36648</v>
      </c>
      <c r="G1610" s="40" t="str">
        <f>especies_ativa_codibama[[#This Row],[Nome popular]]</f>
        <v>---</v>
      </c>
      <c r="H1610" s="40" t="str">
        <f>especies_ativa_codibama[[#This Row],[Nome científico]]</f>
        <v>Cupania racemosa</v>
      </c>
    </row>
    <row r="1611" spans="1:8" x14ac:dyDescent="0.25">
      <c r="A1611">
        <v>36653</v>
      </c>
      <c r="B1611" t="s">
        <v>106</v>
      </c>
      <c r="C1611" t="s">
        <v>2241</v>
      </c>
      <c r="D1611" t="s">
        <v>38</v>
      </c>
      <c r="E1611">
        <v>34000</v>
      </c>
      <c r="F1611" s="24">
        <f>especies_ativa_codibama[[#This Row],[Código]]</f>
        <v>36653</v>
      </c>
      <c r="G1611" s="40" t="str">
        <f>especies_ativa_codibama[[#This Row],[Nome popular]]</f>
        <v>---</v>
      </c>
      <c r="H1611" s="40" t="str">
        <f>especies_ativa_codibama[[#This Row],[Nome científico]]</f>
        <v>Cupania rugosa</v>
      </c>
    </row>
    <row r="1612" spans="1:8" x14ac:dyDescent="0.25">
      <c r="A1612">
        <v>36654</v>
      </c>
      <c r="B1612" t="s">
        <v>106</v>
      </c>
      <c r="C1612" t="s">
        <v>2242</v>
      </c>
      <c r="D1612" t="s">
        <v>38</v>
      </c>
      <c r="E1612">
        <v>35236</v>
      </c>
      <c r="F1612" s="24">
        <f>especies_ativa_codibama[[#This Row],[Código]]</f>
        <v>36654</v>
      </c>
      <c r="G1612" s="40" t="str">
        <f>especies_ativa_codibama[[#This Row],[Nome popular]]</f>
        <v>---</v>
      </c>
      <c r="H1612" s="40" t="str">
        <f>especies_ativa_codibama[[#This Row],[Nome científico]]</f>
        <v>Toulicia laevigata</v>
      </c>
    </row>
    <row r="1613" spans="1:8" x14ac:dyDescent="0.25">
      <c r="A1613">
        <v>36659</v>
      </c>
      <c r="B1613" t="s">
        <v>106</v>
      </c>
      <c r="C1613" t="s">
        <v>2243</v>
      </c>
      <c r="D1613" t="s">
        <v>38</v>
      </c>
      <c r="E1613">
        <v>35635</v>
      </c>
      <c r="F1613" s="24">
        <f>especies_ativa_codibama[[#This Row],[Código]]</f>
        <v>36659</v>
      </c>
      <c r="G1613" s="40" t="str">
        <f>especies_ativa_codibama[[#This Row],[Nome popular]]</f>
        <v>---</v>
      </c>
      <c r="H1613" s="40" t="str">
        <f>especies_ativa_codibama[[#This Row],[Nome científico]]</f>
        <v>Toulicia guianensis</v>
      </c>
    </row>
    <row r="1614" spans="1:8" x14ac:dyDescent="0.25">
      <c r="A1614">
        <v>36660</v>
      </c>
      <c r="B1614" t="s">
        <v>106</v>
      </c>
      <c r="C1614" t="s">
        <v>2244</v>
      </c>
      <c r="D1614" t="s">
        <v>38</v>
      </c>
      <c r="E1614">
        <v>31709</v>
      </c>
      <c r="F1614" s="24">
        <f>especies_ativa_codibama[[#This Row],[Código]]</f>
        <v>36660</v>
      </c>
      <c r="G1614" s="40" t="str">
        <f>especies_ativa_codibama[[#This Row],[Nome popular]]</f>
        <v>---</v>
      </c>
      <c r="H1614" s="40" t="str">
        <f>especies_ativa_codibama[[#This Row],[Nome científico]]</f>
        <v>Dodonaea viscosa</v>
      </c>
    </row>
    <row r="1615" spans="1:8" x14ac:dyDescent="0.25">
      <c r="A1615">
        <v>36664</v>
      </c>
      <c r="B1615" t="s">
        <v>106</v>
      </c>
      <c r="C1615" t="s">
        <v>2245</v>
      </c>
      <c r="D1615" t="s">
        <v>38</v>
      </c>
      <c r="E1615">
        <v>35137</v>
      </c>
      <c r="F1615" s="24">
        <f>especies_ativa_codibama[[#This Row],[Código]]</f>
        <v>36664</v>
      </c>
      <c r="G1615" s="40" t="str">
        <f>especies_ativa_codibama[[#This Row],[Nome popular]]</f>
        <v>---</v>
      </c>
      <c r="H1615" s="40" t="str">
        <f>especies_ativa_codibama[[#This Row],[Nome científico]]</f>
        <v>Cupania rubiginosa</v>
      </c>
    </row>
    <row r="1616" spans="1:8" x14ac:dyDescent="0.25">
      <c r="A1616">
        <v>36666</v>
      </c>
      <c r="B1616" t="s">
        <v>106</v>
      </c>
      <c r="C1616" t="s">
        <v>2246</v>
      </c>
      <c r="D1616" t="s">
        <v>38</v>
      </c>
      <c r="E1616">
        <v>35195</v>
      </c>
      <c r="F1616" s="24">
        <f>especies_ativa_codibama[[#This Row],[Código]]</f>
        <v>36666</v>
      </c>
      <c r="G1616" s="40" t="str">
        <f>especies_ativa_codibama[[#This Row],[Nome popular]]</f>
        <v>---</v>
      </c>
      <c r="H1616" s="40" t="str">
        <f>especies_ativa_codibama[[#This Row],[Nome científico]]</f>
        <v>Matayba purgans</v>
      </c>
    </row>
    <row r="1617" spans="1:8" x14ac:dyDescent="0.25">
      <c r="A1617">
        <v>36669</v>
      </c>
      <c r="B1617" t="s">
        <v>2732</v>
      </c>
      <c r="C1617" t="s">
        <v>2733</v>
      </c>
      <c r="D1617" t="s">
        <v>38</v>
      </c>
      <c r="E1617">
        <v>583795</v>
      </c>
      <c r="F1617" s="24">
        <f>especies_ativa_codibama[[#This Row],[Código]]</f>
        <v>36669</v>
      </c>
      <c r="G1617" s="40" t="str">
        <f>especies_ativa_codibama[[#This Row],[Nome popular]]</f>
        <v>rambutã, rambutan, rambutão</v>
      </c>
      <c r="H1617" s="40" t="str">
        <f>especies_ativa_codibama[[#This Row],[Nome científico]]</f>
        <v>Nephelium lappaceum</v>
      </c>
    </row>
    <row r="1618" spans="1:8" x14ac:dyDescent="0.25">
      <c r="A1618">
        <v>36672</v>
      </c>
      <c r="B1618" t="s">
        <v>106</v>
      </c>
      <c r="C1618" t="s">
        <v>2247</v>
      </c>
      <c r="D1618" t="s">
        <v>38</v>
      </c>
      <c r="E1618">
        <v>34418</v>
      </c>
      <c r="F1618" s="24">
        <f>especies_ativa_codibama[[#This Row],[Código]]</f>
        <v>36672</v>
      </c>
      <c r="G1618" s="40" t="str">
        <f>especies_ativa_codibama[[#This Row],[Nome popular]]</f>
        <v>---</v>
      </c>
      <c r="H1618" s="40" t="str">
        <f>especies_ativa_codibama[[#This Row],[Nome científico]]</f>
        <v>Talisia coriacea</v>
      </c>
    </row>
    <row r="1619" spans="1:8" x14ac:dyDescent="0.25">
      <c r="A1619">
        <v>36673</v>
      </c>
      <c r="B1619" t="s">
        <v>106</v>
      </c>
      <c r="C1619" t="s">
        <v>2248</v>
      </c>
      <c r="D1619" t="s">
        <v>38</v>
      </c>
      <c r="E1619">
        <v>33802</v>
      </c>
      <c r="F1619" s="24">
        <f>especies_ativa_codibama[[#This Row],[Código]]</f>
        <v>36673</v>
      </c>
      <c r="G1619" s="40" t="str">
        <f>especies_ativa_codibama[[#This Row],[Nome popular]]</f>
        <v>---</v>
      </c>
      <c r="H1619" s="40" t="str">
        <f>especies_ativa_codibama[[#This Row],[Nome científico]]</f>
        <v>Talisia cupularis</v>
      </c>
    </row>
    <row r="1620" spans="1:8" x14ac:dyDescent="0.25">
      <c r="A1620">
        <v>36675</v>
      </c>
      <c r="B1620" t="s">
        <v>106</v>
      </c>
      <c r="C1620" t="s">
        <v>2249</v>
      </c>
      <c r="D1620" t="s">
        <v>38</v>
      </c>
      <c r="E1620">
        <v>34188</v>
      </c>
      <c r="F1620" s="24">
        <f>especies_ativa_codibama[[#This Row],[Código]]</f>
        <v>36675</v>
      </c>
      <c r="G1620" s="40" t="str">
        <f>especies_ativa_codibama[[#This Row],[Nome popular]]</f>
        <v>---</v>
      </c>
      <c r="H1620" s="40" t="str">
        <f>especies_ativa_codibama[[#This Row],[Nome científico]]</f>
        <v>Diatenopteryx sorbifolia</v>
      </c>
    </row>
    <row r="1621" spans="1:8" x14ac:dyDescent="0.25">
      <c r="A1621">
        <v>36677</v>
      </c>
      <c r="B1621" t="s">
        <v>106</v>
      </c>
      <c r="C1621" t="s">
        <v>2250</v>
      </c>
      <c r="D1621" t="s">
        <v>38</v>
      </c>
      <c r="E1621">
        <v>33072</v>
      </c>
      <c r="F1621" s="24">
        <f>especies_ativa_codibama[[#This Row],[Código]]</f>
        <v>36677</v>
      </c>
      <c r="G1621" s="40" t="str">
        <f>especies_ativa_codibama[[#This Row],[Nome popular]]</f>
        <v>---</v>
      </c>
      <c r="H1621" s="40" t="str">
        <f>especies_ativa_codibama[[#This Row],[Nome científico]]</f>
        <v>Melicoccus lepidopetalus</v>
      </c>
    </row>
    <row r="1622" spans="1:8" x14ac:dyDescent="0.25">
      <c r="A1622">
        <v>36685</v>
      </c>
      <c r="B1622" t="s">
        <v>2251</v>
      </c>
      <c r="C1622" t="s">
        <v>2252</v>
      </c>
      <c r="D1622" t="s">
        <v>465</v>
      </c>
      <c r="E1622">
        <v>33803</v>
      </c>
      <c r="F1622" s="24">
        <f>especies_ativa_codibama[[#This Row],[Código]]</f>
        <v>36685</v>
      </c>
      <c r="G1622" s="40" t="str">
        <f>especies_ativa_codibama[[#This Row],[Nome popular]]</f>
        <v>cancudo</v>
      </c>
      <c r="H1622" s="40" t="str">
        <f>especies_ativa_codibama[[#This Row],[Nome científico]]</f>
        <v>Talisia subalbens</v>
      </c>
    </row>
    <row r="1623" spans="1:8" x14ac:dyDescent="0.25">
      <c r="A1623">
        <v>36689</v>
      </c>
      <c r="B1623" t="s">
        <v>2253</v>
      </c>
      <c r="C1623" t="s">
        <v>2254</v>
      </c>
      <c r="D1623" t="s">
        <v>598</v>
      </c>
      <c r="E1623">
        <v>35723</v>
      </c>
      <c r="F1623" s="24">
        <f>especies_ativa_codibama[[#This Row],[Código]]</f>
        <v>36689</v>
      </c>
      <c r="G1623" s="40" t="str">
        <f>especies_ativa_codibama[[#This Row],[Nome popular]]</f>
        <v>cupão, fruta-de-manteiga, pão-do-mato</v>
      </c>
      <c r="H1623" s="40" t="str">
        <f>especies_ativa_codibama[[#This Row],[Nome científico]]</f>
        <v>Pouteria butyrocarpa</v>
      </c>
    </row>
    <row r="1624" spans="1:8" x14ac:dyDescent="0.25">
      <c r="A1624">
        <v>36690</v>
      </c>
      <c r="B1624" t="s">
        <v>2255</v>
      </c>
      <c r="C1624" t="s">
        <v>2256</v>
      </c>
      <c r="D1624" t="s">
        <v>196</v>
      </c>
      <c r="E1624">
        <v>33733</v>
      </c>
      <c r="F1624" s="24">
        <f>especies_ativa_codibama[[#This Row],[Código]]</f>
        <v>36690</v>
      </c>
      <c r="G1624" s="40" t="str">
        <f>especies_ativa_codibama[[#This Row],[Nome popular]]</f>
        <v>buranhém, casca-doce,</v>
      </c>
      <c r="H1624" s="40" t="str">
        <f>especies_ativa_codibama[[#This Row],[Nome científico]]</f>
        <v>Pradosia kuhlmannii</v>
      </c>
    </row>
    <row r="1625" spans="1:8" x14ac:dyDescent="0.25">
      <c r="A1625">
        <v>36698</v>
      </c>
      <c r="B1625" t="s">
        <v>2257</v>
      </c>
      <c r="C1625" t="s">
        <v>2258</v>
      </c>
      <c r="D1625" t="s">
        <v>79</v>
      </c>
      <c r="E1625">
        <v>35749</v>
      </c>
      <c r="F1625" s="24">
        <f>especies_ativa_codibama[[#This Row],[Código]]</f>
        <v>36698</v>
      </c>
      <c r="G1625" s="40" t="str">
        <f>especies_ativa_codibama[[#This Row],[Nome popular]]</f>
        <v>bacubicha, bacumacha, bacumixa, bacumixa-branca, curubixa grumixava</v>
      </c>
      <c r="H1625" s="40" t="str">
        <f>especies_ativa_codibama[[#This Row],[Nome científico]]</f>
        <v>Micropholis crassipedicellata</v>
      </c>
    </row>
    <row r="1626" spans="1:8" x14ac:dyDescent="0.25">
      <c r="A1626">
        <v>36700</v>
      </c>
      <c r="B1626" t="s">
        <v>2259</v>
      </c>
      <c r="C1626" t="s">
        <v>2260</v>
      </c>
      <c r="D1626" t="s">
        <v>79</v>
      </c>
      <c r="E1626">
        <v>35338</v>
      </c>
      <c r="F1626" s="24">
        <f>especies_ativa_codibama[[#This Row],[Código]]</f>
        <v>36700</v>
      </c>
      <c r="G1626" s="40" t="str">
        <f>especies_ativa_codibama[[#This Row],[Nome popular]]</f>
        <v>bapeba, bapeba-pedrim, língua-de-vaca</v>
      </c>
      <c r="H1626" s="40" t="str">
        <f>especies_ativa_codibama[[#This Row],[Nome científico]]</f>
        <v>Chrysophyllum splendens</v>
      </c>
    </row>
    <row r="1627" spans="1:8" x14ac:dyDescent="0.25">
      <c r="A1627">
        <v>36702</v>
      </c>
      <c r="B1627" t="s">
        <v>2261</v>
      </c>
      <c r="C1627" t="s">
        <v>2262</v>
      </c>
      <c r="D1627" t="s">
        <v>79</v>
      </c>
      <c r="E1627">
        <v>36174</v>
      </c>
      <c r="F1627" s="24">
        <f>especies_ativa_codibama[[#This Row],[Código]]</f>
        <v>36702</v>
      </c>
      <c r="G1627" s="40" t="str">
        <f>especies_ativa_codibama[[#This Row],[Nome popular]]</f>
        <v>bunhanhém, pau-de-remo, pau-doce, guaranhém, buranhém, cacau-de-caboclo, marmixa, abiu-do-mato, abiu-de-macaco, buranhém</v>
      </c>
      <c r="H1627" s="40" t="str">
        <f>especies_ativa_codibama[[#This Row],[Nome científico]]</f>
        <v>Pradosia lactescens</v>
      </c>
    </row>
    <row r="1628" spans="1:8" x14ac:dyDescent="0.25">
      <c r="A1628">
        <v>36703</v>
      </c>
      <c r="B1628" t="s">
        <v>2263</v>
      </c>
      <c r="C1628" t="s">
        <v>2264</v>
      </c>
      <c r="D1628" t="s">
        <v>79</v>
      </c>
      <c r="E1628">
        <v>34772</v>
      </c>
      <c r="F1628" s="24">
        <f>especies_ativa_codibama[[#This Row],[Código]]</f>
        <v>36703</v>
      </c>
      <c r="G1628" s="40" t="str">
        <f>especies_ativa_codibama[[#This Row],[Nome popular]]</f>
        <v>cacheta, caixeta, caxeta, caixeta-amarela, caxeta-amarela, massaranduba, aguaí</v>
      </c>
      <c r="H1628" s="40" t="str">
        <f>especies_ativa_codibama[[#This Row],[Nome científico]]</f>
        <v>Chrysophyllum viride</v>
      </c>
    </row>
    <row r="1629" spans="1:8" x14ac:dyDescent="0.25">
      <c r="A1629">
        <v>36705</v>
      </c>
      <c r="B1629" t="s">
        <v>2265</v>
      </c>
      <c r="C1629" t="s">
        <v>2266</v>
      </c>
      <c r="D1629" t="s">
        <v>79</v>
      </c>
      <c r="E1629">
        <v>34769</v>
      </c>
      <c r="F1629" s="24">
        <f>especies_ativa_codibama[[#This Row],[Código]]</f>
        <v>36705</v>
      </c>
      <c r="G1629" s="40" t="str">
        <f>especies_ativa_codibama[[#This Row],[Nome popular]]</f>
        <v>murta</v>
      </c>
      <c r="H1629" s="40" t="str">
        <f>especies_ativa_codibama[[#This Row],[Nome científico]]</f>
        <v>Chrysophyllum inornatum</v>
      </c>
    </row>
    <row r="1630" spans="1:8" x14ac:dyDescent="0.25">
      <c r="A1630">
        <v>36707</v>
      </c>
      <c r="B1630" t="s">
        <v>106</v>
      </c>
      <c r="C1630" t="s">
        <v>2267</v>
      </c>
      <c r="D1630" t="s">
        <v>79</v>
      </c>
      <c r="E1630">
        <v>33141</v>
      </c>
      <c r="F1630" s="24">
        <f>especies_ativa_codibama[[#This Row],[Código]]</f>
        <v>36707</v>
      </c>
      <c r="G1630" s="40" t="str">
        <f>especies_ativa_codibama[[#This Row],[Nome popular]]</f>
        <v>---</v>
      </c>
      <c r="H1630" s="40" t="str">
        <f>especies_ativa_codibama[[#This Row],[Nome científico]]</f>
        <v>Pradosia glaziovii</v>
      </c>
    </row>
    <row r="1631" spans="1:8" x14ac:dyDescent="0.25">
      <c r="A1631">
        <v>36708</v>
      </c>
      <c r="B1631" t="s">
        <v>106</v>
      </c>
      <c r="C1631" t="s">
        <v>2268</v>
      </c>
      <c r="D1631" t="s">
        <v>79</v>
      </c>
      <c r="E1631">
        <v>35556</v>
      </c>
      <c r="F1631" s="24">
        <f>especies_ativa_codibama[[#This Row],[Código]]</f>
        <v>36708</v>
      </c>
      <c r="G1631" s="40" t="str">
        <f>especies_ativa_codibama[[#This Row],[Nome popular]]</f>
        <v>---</v>
      </c>
      <c r="H1631" s="40" t="str">
        <f>especies_ativa_codibama[[#This Row],[Nome científico]]</f>
        <v>Pouteria grandiflora</v>
      </c>
    </row>
    <row r="1632" spans="1:8" x14ac:dyDescent="0.25">
      <c r="A1632">
        <v>36709</v>
      </c>
      <c r="B1632" t="s">
        <v>106</v>
      </c>
      <c r="C1632" t="s">
        <v>2269</v>
      </c>
      <c r="D1632" t="s">
        <v>79</v>
      </c>
      <c r="E1632">
        <v>32819</v>
      </c>
      <c r="F1632" s="24">
        <f>especies_ativa_codibama[[#This Row],[Código]]</f>
        <v>36709</v>
      </c>
      <c r="G1632" s="40" t="str">
        <f>especies_ativa_codibama[[#This Row],[Nome popular]]</f>
        <v>---</v>
      </c>
      <c r="H1632" s="40" t="str">
        <f>especies_ativa_codibama[[#This Row],[Nome científico]]</f>
        <v>Chrysophyllum flexuosum</v>
      </c>
    </row>
    <row r="1633" spans="1:8" x14ac:dyDescent="0.25">
      <c r="A1633">
        <v>36719</v>
      </c>
      <c r="B1633" t="s">
        <v>106</v>
      </c>
      <c r="C1633" t="s">
        <v>2270</v>
      </c>
      <c r="D1633" t="s">
        <v>79</v>
      </c>
      <c r="E1633">
        <v>34287</v>
      </c>
      <c r="F1633" s="24">
        <f>especies_ativa_codibama[[#This Row],[Código]]</f>
        <v>36719</v>
      </c>
      <c r="G1633" s="40" t="str">
        <f>especies_ativa_codibama[[#This Row],[Nome popular]]</f>
        <v>---</v>
      </c>
      <c r="H1633" s="40" t="str">
        <f>especies_ativa_codibama[[#This Row],[Nome científico]]</f>
        <v>Manilkara longifolia</v>
      </c>
    </row>
    <row r="1634" spans="1:8" x14ac:dyDescent="0.25">
      <c r="A1634">
        <v>36721</v>
      </c>
      <c r="B1634" t="s">
        <v>2271</v>
      </c>
      <c r="C1634" t="s">
        <v>2272</v>
      </c>
      <c r="D1634" t="s">
        <v>126</v>
      </c>
      <c r="E1634">
        <v>33728</v>
      </c>
      <c r="F1634" s="24">
        <f>especies_ativa_codibama[[#This Row],[Código]]</f>
        <v>36721</v>
      </c>
      <c r="G1634" s="40" t="str">
        <f>especies_ativa_codibama[[#This Row],[Nome popular]]</f>
        <v>abiora, abiora-do-igapó, abiura</v>
      </c>
      <c r="H1634" s="40" t="str">
        <f>especies_ativa_codibama[[#This Row],[Nome científico]]</f>
        <v>Pouteria glomerata</v>
      </c>
    </row>
    <row r="1635" spans="1:8" x14ac:dyDescent="0.25">
      <c r="A1635">
        <v>36722</v>
      </c>
      <c r="B1635" t="s">
        <v>2273</v>
      </c>
      <c r="C1635" t="s">
        <v>2274</v>
      </c>
      <c r="D1635" t="s">
        <v>126</v>
      </c>
      <c r="E1635">
        <v>827941</v>
      </c>
      <c r="F1635" s="24">
        <f>especies_ativa_codibama[[#This Row],[Código]]</f>
        <v>36722</v>
      </c>
      <c r="G1635" s="40" t="str">
        <f>especies_ativa_codibama[[#This Row],[Nome popular]]</f>
        <v>abiora, abiora-preta, abiu, abiu-da-várzea, guapeba, pau-pereira</v>
      </c>
      <c r="H1635" s="40" t="str">
        <f>especies_ativa_codibama[[#This Row],[Nome científico]]</f>
        <v>Pouteria reticulata</v>
      </c>
    </row>
    <row r="1636" spans="1:8" x14ac:dyDescent="0.25">
      <c r="A1636">
        <v>36724</v>
      </c>
      <c r="B1636" t="s">
        <v>2734</v>
      </c>
      <c r="C1636" t="s">
        <v>2275</v>
      </c>
      <c r="D1636" t="s">
        <v>126</v>
      </c>
      <c r="E1636">
        <v>32532</v>
      </c>
      <c r="F1636" s="24">
        <f>especies_ativa_codibama[[#This Row],[Código]]</f>
        <v>36724</v>
      </c>
      <c r="G1636" s="40" t="str">
        <f>especies_ativa_codibama[[#This Row],[Nome popular]]</f>
        <v>Grão-de-galo, guapeva</v>
      </c>
      <c r="H1636" s="40" t="str">
        <f>especies_ativa_codibama[[#This Row],[Nome científico]]</f>
        <v>Pouteria torta</v>
      </c>
    </row>
    <row r="1637" spans="1:8" x14ac:dyDescent="0.25">
      <c r="A1637">
        <v>36725</v>
      </c>
      <c r="B1637" t="s">
        <v>2276</v>
      </c>
      <c r="C1637" t="s">
        <v>2277</v>
      </c>
      <c r="D1637" t="s">
        <v>126</v>
      </c>
      <c r="E1637">
        <v>31819</v>
      </c>
      <c r="F1637" s="24">
        <f>especies_ativa_codibama[[#This Row],[Código]]</f>
        <v>36725</v>
      </c>
      <c r="G1637" s="40" t="str">
        <f>especies_ativa_codibama[[#This Row],[Nome popular]]</f>
        <v>Maçaranduba</v>
      </c>
      <c r="H1637" s="40" t="str">
        <f>especies_ativa_codibama[[#This Row],[Nome científico]]</f>
        <v>Manilkara rufula</v>
      </c>
    </row>
    <row r="1638" spans="1:8" x14ac:dyDescent="0.25">
      <c r="A1638">
        <v>36726</v>
      </c>
      <c r="B1638" t="s">
        <v>106</v>
      </c>
      <c r="C1638" t="s">
        <v>2278</v>
      </c>
      <c r="D1638" t="s">
        <v>126</v>
      </c>
      <c r="E1638">
        <v>33779</v>
      </c>
      <c r="F1638" s="24">
        <f>especies_ativa_codibama[[#This Row],[Código]]</f>
        <v>36726</v>
      </c>
      <c r="G1638" s="40" t="str">
        <f>especies_ativa_codibama[[#This Row],[Nome popular]]</f>
        <v>---</v>
      </c>
      <c r="H1638" s="40" t="str">
        <f>especies_ativa_codibama[[#This Row],[Nome científico]]</f>
        <v>Sideroxylon obtusifolium</v>
      </c>
    </row>
    <row r="1639" spans="1:8" x14ac:dyDescent="0.25">
      <c r="A1639">
        <v>36727</v>
      </c>
      <c r="B1639" t="s">
        <v>2279</v>
      </c>
      <c r="C1639" t="s">
        <v>2280</v>
      </c>
      <c r="D1639" t="s">
        <v>38</v>
      </c>
      <c r="E1639">
        <v>32527</v>
      </c>
      <c r="F1639" s="24">
        <f>especies_ativa_codibama[[#This Row],[Código]]</f>
        <v>36727</v>
      </c>
      <c r="G1639" s="40" t="str">
        <f>especies_ativa_codibama[[#This Row],[Nome popular]]</f>
        <v>abio, abiora-peluda, abiu, abiura, abiu-da-restinga, abiura-do-carazal, abiura-vermelha, gema-de-ovo, guapeva, guapeva-carvão, guapeva-mirim,</v>
      </c>
      <c r="H1639" s="40" t="str">
        <f>especies_ativa_codibama[[#This Row],[Nome científico]]</f>
        <v>Pouteria caimito</v>
      </c>
    </row>
    <row r="1640" spans="1:8" x14ac:dyDescent="0.25">
      <c r="A1640">
        <v>36728</v>
      </c>
      <c r="B1640" t="s">
        <v>2735</v>
      </c>
      <c r="C1640" t="s">
        <v>2281</v>
      </c>
      <c r="D1640" t="s">
        <v>38</v>
      </c>
      <c r="E1640">
        <v>781169</v>
      </c>
      <c r="F1640" s="24">
        <f>especies_ativa_codibama[[#This Row],[Código]]</f>
        <v>36728</v>
      </c>
      <c r="G1640" s="40" t="str">
        <f>especies_ativa_codibama[[#This Row],[Nome popular]]</f>
        <v>abiora, abiura, acÃ¡, avio,</v>
      </c>
      <c r="H1640" s="40" t="str">
        <f>especies_ativa_codibama[[#This Row],[Nome científico]]</f>
        <v>Pouteria filipes</v>
      </c>
    </row>
    <row r="1641" spans="1:8" x14ac:dyDescent="0.25">
      <c r="A1641">
        <v>36729</v>
      </c>
      <c r="B1641" t="s">
        <v>2282</v>
      </c>
      <c r="C1641" t="s">
        <v>2283</v>
      </c>
      <c r="D1641" t="s">
        <v>38</v>
      </c>
      <c r="E1641">
        <v>781303</v>
      </c>
      <c r="F1641" s="24">
        <f>especies_ativa_codibama[[#This Row],[Código]]</f>
        <v>36729</v>
      </c>
      <c r="G1641" s="40" t="str">
        <f>especies_ativa_codibama[[#This Row],[Nome popular]]</f>
        <v>abiora, abiu-rosadinha, aspeba, bapeba bapeba-de-casca-preta, guaracica, maparajuba-branca, Leiteiro</v>
      </c>
      <c r="H1641" s="40" t="str">
        <f>especies_ativa_codibama[[#This Row],[Nome científico]]</f>
        <v>Pouteria bangii</v>
      </c>
    </row>
    <row r="1642" spans="1:8" x14ac:dyDescent="0.25">
      <c r="A1642">
        <v>36730</v>
      </c>
      <c r="B1642" t="s">
        <v>2284</v>
      </c>
      <c r="C1642" t="s">
        <v>2285</v>
      </c>
      <c r="D1642" t="s">
        <v>38</v>
      </c>
      <c r="E1642">
        <v>34819</v>
      </c>
      <c r="F1642" s="24">
        <f>especies_ativa_codibama[[#This Row],[Código]]</f>
        <v>36730</v>
      </c>
      <c r="G1642" s="40" t="str">
        <f>especies_ativa_codibama[[#This Row],[Nome popular]]</f>
        <v>abiora-abiu, abiu-fofo, acá, acá-preto, bapeba-preta, coquira-braba-grande, coquira-brava, fruta-ba, uacá,</v>
      </c>
      <c r="H1642" s="40" t="str">
        <f>especies_ativa_codibama[[#This Row],[Nome científico]]</f>
        <v>Ecclinusa ramiflora</v>
      </c>
    </row>
    <row r="1643" spans="1:8" x14ac:dyDescent="0.25">
      <c r="A1643">
        <v>36734</v>
      </c>
      <c r="B1643" t="s">
        <v>2286</v>
      </c>
      <c r="C1643" t="s">
        <v>2287</v>
      </c>
      <c r="D1643" t="s">
        <v>38</v>
      </c>
      <c r="E1643">
        <v>35161</v>
      </c>
      <c r="F1643" s="24">
        <f>especies_ativa_codibama[[#This Row],[Código]]</f>
        <v>36734</v>
      </c>
      <c r="G1643" s="40" t="str">
        <f>especies_ativa_codibama[[#This Row],[Nome popular]]</f>
        <v>abiu, abiura,</v>
      </c>
      <c r="H1643" s="40" t="str">
        <f>especies_ativa_codibama[[#This Row],[Nome científico]]</f>
        <v>Pouteria oblanceolata</v>
      </c>
    </row>
    <row r="1644" spans="1:8" x14ac:dyDescent="0.25">
      <c r="A1644">
        <v>36740</v>
      </c>
      <c r="B1644" t="s">
        <v>2288</v>
      </c>
      <c r="C1644" t="s">
        <v>2289</v>
      </c>
      <c r="D1644" t="s">
        <v>38</v>
      </c>
      <c r="E1644">
        <v>33727</v>
      </c>
      <c r="F1644" s="24">
        <f>especies_ativa_codibama[[#This Row],[Código]]</f>
        <v>36740</v>
      </c>
      <c r="G1644" s="40" t="str">
        <f>especies_ativa_codibama[[#This Row],[Nome popular]]</f>
        <v>abiura</v>
      </c>
      <c r="H1644" s="40" t="str">
        <f>especies_ativa_codibama[[#This Row],[Nome científico]]</f>
        <v>Pouteria bilocularis</v>
      </c>
    </row>
    <row r="1645" spans="1:8" x14ac:dyDescent="0.25">
      <c r="A1645">
        <v>36742</v>
      </c>
      <c r="B1645" t="s">
        <v>2290</v>
      </c>
      <c r="C1645" t="s">
        <v>2291</v>
      </c>
      <c r="D1645" t="s">
        <v>38</v>
      </c>
      <c r="E1645">
        <v>35557</v>
      </c>
      <c r="F1645" s="24">
        <f>especies_ativa_codibama[[#This Row],[Código]]</f>
        <v>36742</v>
      </c>
      <c r="G1645" s="40" t="str">
        <f>especies_ativa_codibama[[#This Row],[Nome popular]]</f>
        <v>abiura, abiura-gigante, guajara, guapeba,</v>
      </c>
      <c r="H1645" s="40" t="str">
        <f>especies_ativa_codibama[[#This Row],[Nome científico]]</f>
        <v>Pouteria guianensis</v>
      </c>
    </row>
    <row r="1646" spans="1:8" x14ac:dyDescent="0.25">
      <c r="A1646">
        <v>36746</v>
      </c>
      <c r="B1646" t="s">
        <v>2292</v>
      </c>
      <c r="C1646" t="s">
        <v>2293</v>
      </c>
      <c r="D1646" t="s">
        <v>38</v>
      </c>
      <c r="E1646">
        <v>32084</v>
      </c>
      <c r="F1646" s="24">
        <f>especies_ativa_codibama[[#This Row],[Código]]</f>
        <v>36746</v>
      </c>
      <c r="G1646" s="40" t="str">
        <f>especies_ativa_codibama[[#This Row],[Nome popular]]</f>
        <v>abiura, llombrigueira, pau-de-rato</v>
      </c>
      <c r="H1646" s="40" t="str">
        <f>especies_ativa_codibama[[#This Row],[Nome científico]]</f>
        <v>Elaeoluma glabrescens</v>
      </c>
    </row>
    <row r="1647" spans="1:8" x14ac:dyDescent="0.25">
      <c r="A1647">
        <v>36748</v>
      </c>
      <c r="B1647" t="s">
        <v>2294</v>
      </c>
      <c r="C1647" t="s">
        <v>2295</v>
      </c>
      <c r="D1647" t="s">
        <v>38</v>
      </c>
      <c r="E1647">
        <v>32937</v>
      </c>
      <c r="F1647" s="24">
        <f>especies_ativa_codibama[[#This Row],[Código]]</f>
        <v>36748</v>
      </c>
      <c r="G1647" s="40" t="str">
        <f>especies_ativa_codibama[[#This Row],[Nome popular]]</f>
        <v>aguaí, aguaí-da-serra, bapeba, cutite-branco, guatambu-de-leitená</v>
      </c>
      <c r="H1647" s="40" t="str">
        <f>especies_ativa_codibama[[#This Row],[Nome científico]]</f>
        <v>Chrysophyllum gonocarpum</v>
      </c>
    </row>
    <row r="1648" spans="1:8" x14ac:dyDescent="0.25">
      <c r="A1648">
        <v>36750</v>
      </c>
      <c r="B1648" t="s">
        <v>2296</v>
      </c>
      <c r="C1648" t="s">
        <v>2297</v>
      </c>
      <c r="D1648" t="s">
        <v>38</v>
      </c>
      <c r="E1648">
        <v>34349</v>
      </c>
      <c r="F1648" s="24">
        <f>especies_ativa_codibama[[#This Row],[Código]]</f>
        <v>36750</v>
      </c>
      <c r="G1648" s="40" t="str">
        <f>especies_ativa_codibama[[#This Row],[Nome popular]]</f>
        <v>aguai, cuti-guaçu</v>
      </c>
      <c r="H1648" s="40" t="str">
        <f>especies_ativa_codibama[[#This Row],[Nome científico]]</f>
        <v>Pouteria gardneriana</v>
      </c>
    </row>
    <row r="1649" spans="1:8" x14ac:dyDescent="0.25">
      <c r="A1649">
        <v>36752</v>
      </c>
      <c r="B1649" t="s">
        <v>2298</v>
      </c>
      <c r="C1649" t="s">
        <v>2299</v>
      </c>
      <c r="D1649" t="s">
        <v>38</v>
      </c>
      <c r="E1649">
        <v>35012</v>
      </c>
      <c r="F1649" s="24">
        <f>especies_ativa_codibama[[#This Row],[Código]]</f>
        <v>36752</v>
      </c>
      <c r="G1649" s="40" t="str">
        <f>especies_ativa_codibama[[#This Row],[Nome popular]]</f>
        <v>cambuca, guajara-do-igapó</v>
      </c>
      <c r="H1649" s="40" t="str">
        <f>especies_ativa_codibama[[#This Row],[Nome científico]]</f>
        <v>Sarcaulus brasiliensis</v>
      </c>
    </row>
    <row r="1650" spans="1:8" x14ac:dyDescent="0.25">
      <c r="A1650">
        <v>36754</v>
      </c>
      <c r="B1650" t="s">
        <v>2300</v>
      </c>
      <c r="C1650" t="s">
        <v>2301</v>
      </c>
      <c r="D1650" t="s">
        <v>38</v>
      </c>
      <c r="E1650">
        <v>31830</v>
      </c>
      <c r="F1650" s="24">
        <f>especies_ativa_codibama[[#This Row],[Código]]</f>
        <v>36754</v>
      </c>
      <c r="G1650" s="40" t="str">
        <f>especies_ativa_codibama[[#This Row],[Nome popular]]</f>
        <v>catuaba</v>
      </c>
      <c r="H1650" s="40" t="str">
        <f>especies_ativa_codibama[[#This Row],[Nome científico]]</f>
        <v>Micropholis gardneriana</v>
      </c>
    </row>
    <row r="1651" spans="1:8" x14ac:dyDescent="0.25">
      <c r="A1651">
        <v>36757</v>
      </c>
      <c r="B1651" t="s">
        <v>2302</v>
      </c>
      <c r="C1651" t="s">
        <v>2303</v>
      </c>
      <c r="D1651" t="s">
        <v>38</v>
      </c>
      <c r="E1651">
        <v>32529</v>
      </c>
      <c r="F1651" s="24">
        <f>especies_ativa_codibama[[#This Row],[Código]]</f>
        <v>36757</v>
      </c>
      <c r="G1651" s="40" t="str">
        <f>especies_ativa_codibama[[#This Row],[Nome popular]]</f>
        <v>cururu</v>
      </c>
      <c r="H1651" s="40" t="str">
        <f>especies_ativa_codibama[[#This Row],[Nome científico]]</f>
        <v>Pouteria egregia</v>
      </c>
    </row>
    <row r="1652" spans="1:8" x14ac:dyDescent="0.25">
      <c r="A1652">
        <v>36758</v>
      </c>
      <c r="B1652" t="s">
        <v>2304</v>
      </c>
      <c r="C1652" t="s">
        <v>2305</v>
      </c>
      <c r="D1652" t="s">
        <v>38</v>
      </c>
      <c r="E1652">
        <v>34352</v>
      </c>
      <c r="F1652" s="24">
        <f>especies_ativa_codibama[[#This Row],[Código]]</f>
        <v>36758</v>
      </c>
      <c r="G1652" s="40" t="str">
        <f>especies_ativa_codibama[[#This Row],[Nome popular]]</f>
        <v>fruta-do-veado, louco, massaranduba, maçaranduba, pessegueiro-do-cerrado, pitomba-de-leite, abiu-cutite</v>
      </c>
      <c r="H1652" s="40" t="str">
        <f>especies_ativa_codibama[[#This Row],[Nome científico]]</f>
        <v>Pouteria ramiflora</v>
      </c>
    </row>
    <row r="1653" spans="1:8" x14ac:dyDescent="0.25">
      <c r="A1653">
        <v>36759</v>
      </c>
      <c r="B1653" t="s">
        <v>2306</v>
      </c>
      <c r="C1653" t="s">
        <v>2307</v>
      </c>
      <c r="D1653" t="s">
        <v>38</v>
      </c>
      <c r="E1653">
        <v>33731</v>
      </c>
      <c r="F1653" s="24">
        <f>especies_ativa_codibama[[#This Row],[Código]]</f>
        <v>36759</v>
      </c>
      <c r="G1653" s="40" t="str">
        <f>especies_ativa_codibama[[#This Row],[Nome popular]]</f>
        <v>guacá-de-leite</v>
      </c>
      <c r="H1653" s="40" t="str">
        <f>especies_ativa_codibama[[#This Row],[Nome científico]]</f>
        <v>Pouteria venosa</v>
      </c>
    </row>
    <row r="1654" spans="1:8" x14ac:dyDescent="0.25">
      <c r="A1654">
        <v>36763</v>
      </c>
      <c r="B1654" t="s">
        <v>2308</v>
      </c>
      <c r="C1654" t="s">
        <v>2309</v>
      </c>
      <c r="D1654" t="s">
        <v>38</v>
      </c>
      <c r="E1654">
        <v>32458</v>
      </c>
      <c r="F1654" s="24">
        <f>especies_ativa_codibama[[#This Row],[Código]]</f>
        <v>36763</v>
      </c>
      <c r="G1654" s="40" t="str">
        <f>especies_ativa_codibama[[#This Row],[Nome popular]]</f>
        <v>maçaranduba, maparajuba, massaranduba</v>
      </c>
      <c r="H1654" s="40" t="str">
        <f>especies_ativa_codibama[[#This Row],[Nome científico]]</f>
        <v>Manilkara inundata</v>
      </c>
    </row>
    <row r="1655" spans="1:8" x14ac:dyDescent="0.25">
      <c r="A1655">
        <v>36764</v>
      </c>
      <c r="B1655" t="s">
        <v>2310</v>
      </c>
      <c r="C1655" t="s">
        <v>2311</v>
      </c>
      <c r="D1655" t="s">
        <v>38</v>
      </c>
      <c r="E1655">
        <v>31820</v>
      </c>
      <c r="F1655" s="24">
        <f>especies_ativa_codibama[[#This Row],[Código]]</f>
        <v>36764</v>
      </c>
      <c r="G1655" s="40" t="str">
        <f>especies_ativa_codibama[[#This Row],[Nome popular]]</f>
        <v>maçarandubara</v>
      </c>
      <c r="H1655" s="40" t="str">
        <f>especies_ativa_codibama[[#This Row],[Nome científico]]</f>
        <v>Manilkara triflora</v>
      </c>
    </row>
    <row r="1656" spans="1:8" x14ac:dyDescent="0.25">
      <c r="A1656">
        <v>36765</v>
      </c>
      <c r="B1656" t="s">
        <v>2312</v>
      </c>
      <c r="C1656" t="s">
        <v>2313</v>
      </c>
      <c r="D1656" t="s">
        <v>38</v>
      </c>
      <c r="E1656">
        <v>34972</v>
      </c>
      <c r="F1656" s="24">
        <f>especies_ativa_codibama[[#This Row],[Código]]</f>
        <v>36765</v>
      </c>
      <c r="G1656" s="40" t="str">
        <f>especies_ativa_codibama[[#This Row],[Nome popular]]</f>
        <v>maparajuba, maparajuba-vermelha, massaranduba,</v>
      </c>
      <c r="H1656" s="40" t="str">
        <f>especies_ativa_codibama[[#This Row],[Nome científico]]</f>
        <v>Pouteria procera</v>
      </c>
    </row>
    <row r="1657" spans="1:8" x14ac:dyDescent="0.25">
      <c r="A1657">
        <v>36767</v>
      </c>
      <c r="B1657" t="s">
        <v>2314</v>
      </c>
      <c r="C1657" t="s">
        <v>2315</v>
      </c>
      <c r="D1657" t="s">
        <v>38</v>
      </c>
      <c r="E1657">
        <v>34899</v>
      </c>
      <c r="F1657" s="24">
        <f>especies_ativa_codibama[[#This Row],[Código]]</f>
        <v>36767</v>
      </c>
      <c r="G1657" s="40" t="str">
        <f>especies_ativa_codibama[[#This Row],[Nome popular]]</f>
        <v>Sapoti</v>
      </c>
      <c r="H1657" s="40" t="str">
        <f>especies_ativa_codibama[[#This Row],[Nome científico]]</f>
        <v>Manilkara zapota</v>
      </c>
    </row>
    <row r="1658" spans="1:8" x14ac:dyDescent="0.25">
      <c r="A1658">
        <v>36772</v>
      </c>
      <c r="B1658" t="s">
        <v>106</v>
      </c>
      <c r="C1658" t="s">
        <v>2316</v>
      </c>
      <c r="D1658" t="s">
        <v>38</v>
      </c>
      <c r="E1658">
        <v>34154</v>
      </c>
      <c r="F1658" s="24">
        <f>especies_ativa_codibama[[#This Row],[Código]]</f>
        <v>36772</v>
      </c>
      <c r="G1658" s="40" t="str">
        <f>especies_ativa_codibama[[#This Row],[Nome popular]]</f>
        <v>---</v>
      </c>
      <c r="H1658" s="40" t="str">
        <f>especies_ativa_codibama[[#This Row],[Nome científico]]</f>
        <v>Chrysophyllum sanguinolentum</v>
      </c>
    </row>
    <row r="1659" spans="1:8" x14ac:dyDescent="0.25">
      <c r="A1659">
        <v>36774</v>
      </c>
      <c r="B1659" t="s">
        <v>106</v>
      </c>
      <c r="C1659" t="s">
        <v>2317</v>
      </c>
      <c r="D1659" t="s">
        <v>38</v>
      </c>
      <c r="E1659">
        <v>36098</v>
      </c>
      <c r="F1659" s="24">
        <f>especies_ativa_codibama[[#This Row],[Código]]</f>
        <v>36774</v>
      </c>
      <c r="G1659" s="40" t="str">
        <f>especies_ativa_codibama[[#This Row],[Nome popular]]</f>
        <v>---</v>
      </c>
      <c r="H1659" s="40" t="str">
        <f>especies_ativa_codibama[[#This Row],[Nome científico]]</f>
        <v>Micropholis guyanensis</v>
      </c>
    </row>
    <row r="1660" spans="1:8" x14ac:dyDescent="0.25">
      <c r="A1660">
        <v>36775</v>
      </c>
      <c r="B1660" t="s">
        <v>106</v>
      </c>
      <c r="C1660" t="s">
        <v>2318</v>
      </c>
      <c r="D1660" t="s">
        <v>38</v>
      </c>
      <c r="E1660">
        <v>32528</v>
      </c>
      <c r="F1660" s="24">
        <f>especies_ativa_codibama[[#This Row],[Código]]</f>
        <v>36775</v>
      </c>
      <c r="G1660" s="40" t="str">
        <f>especies_ativa_codibama[[#This Row],[Nome popular]]</f>
        <v>---</v>
      </c>
      <c r="H1660" s="40" t="str">
        <f>especies_ativa_codibama[[#This Row],[Nome científico]]</f>
        <v>Pouteria cuspidata</v>
      </c>
    </row>
    <row r="1661" spans="1:8" x14ac:dyDescent="0.25">
      <c r="A1661">
        <v>36776</v>
      </c>
      <c r="B1661" t="s">
        <v>2319</v>
      </c>
      <c r="C1661" t="s">
        <v>2320</v>
      </c>
      <c r="D1661" t="s">
        <v>38</v>
      </c>
      <c r="E1661">
        <v>32530</v>
      </c>
      <c r="F1661" s="24">
        <f>especies_ativa_codibama[[#This Row],[Código]]</f>
        <v>36776</v>
      </c>
      <c r="G1661" s="40" t="str">
        <f>especies_ativa_codibama[[#This Row],[Nome popular]]</f>
        <v>Cutite</v>
      </c>
      <c r="H1661" s="40" t="str">
        <f>especies_ativa_codibama[[#This Row],[Nome científico]]</f>
        <v>Pouteria macrophylla</v>
      </c>
    </row>
    <row r="1662" spans="1:8" x14ac:dyDescent="0.25">
      <c r="A1662">
        <v>36777</v>
      </c>
      <c r="B1662" t="s">
        <v>106</v>
      </c>
      <c r="C1662" t="s">
        <v>2321</v>
      </c>
      <c r="D1662" t="s">
        <v>38</v>
      </c>
      <c r="E1662">
        <v>32830</v>
      </c>
      <c r="F1662" s="24">
        <f>especies_ativa_codibama[[#This Row],[Código]]</f>
        <v>36777</v>
      </c>
      <c r="G1662" s="40" t="str">
        <f>especies_ativa_codibama[[#This Row],[Nome popular]]</f>
        <v>---</v>
      </c>
      <c r="H1662" s="40" t="str">
        <f>especies_ativa_codibama[[#This Row],[Nome científico]]</f>
        <v>Chrysophyllum lucentifolium</v>
      </c>
    </row>
    <row r="1663" spans="1:8" x14ac:dyDescent="0.25">
      <c r="A1663">
        <v>36778</v>
      </c>
      <c r="B1663" t="s">
        <v>106</v>
      </c>
      <c r="C1663" t="s">
        <v>2322</v>
      </c>
      <c r="D1663" t="s">
        <v>38</v>
      </c>
      <c r="E1663">
        <v>780281</v>
      </c>
      <c r="F1663" s="24">
        <f>especies_ativa_codibama[[#This Row],[Código]]</f>
        <v>36778</v>
      </c>
      <c r="G1663" s="40" t="str">
        <f>especies_ativa_codibama[[#This Row],[Nome popular]]</f>
        <v>---</v>
      </c>
      <c r="H1663" s="40" t="str">
        <f>especies_ativa_codibama[[#This Row],[Nome científico]]</f>
        <v>Diploon cuspidatum</v>
      </c>
    </row>
    <row r="1664" spans="1:8" x14ac:dyDescent="0.25">
      <c r="A1664">
        <v>36779</v>
      </c>
      <c r="B1664" t="s">
        <v>106</v>
      </c>
      <c r="C1664" t="s">
        <v>2323</v>
      </c>
      <c r="D1664" t="s">
        <v>38</v>
      </c>
      <c r="E1664">
        <v>781193</v>
      </c>
      <c r="F1664" s="24">
        <f>especies_ativa_codibama[[#This Row],[Código]]</f>
        <v>36779</v>
      </c>
      <c r="G1664" s="40" t="str">
        <f>especies_ativa_codibama[[#This Row],[Nome popular]]</f>
        <v>---</v>
      </c>
      <c r="H1664" s="40" t="str">
        <f>especies_ativa_codibama[[#This Row],[Nome científico]]</f>
        <v>Pouteria durlandii</v>
      </c>
    </row>
    <row r="1665" spans="1:8" x14ac:dyDescent="0.25">
      <c r="A1665">
        <v>36781</v>
      </c>
      <c r="B1665" t="s">
        <v>106</v>
      </c>
      <c r="C1665" t="s">
        <v>2324</v>
      </c>
      <c r="D1665" t="s">
        <v>38</v>
      </c>
      <c r="E1665">
        <v>33519</v>
      </c>
      <c r="F1665" s="24">
        <f>especies_ativa_codibama[[#This Row],[Código]]</f>
        <v>36781</v>
      </c>
      <c r="G1665" s="40" t="str">
        <f>especies_ativa_codibama[[#This Row],[Nome popular]]</f>
        <v>---</v>
      </c>
      <c r="H1665" s="40" t="str">
        <f>especies_ativa_codibama[[#This Row],[Nome científico]]</f>
        <v>Chrysophyllum marginatum</v>
      </c>
    </row>
    <row r="1666" spans="1:8" x14ac:dyDescent="0.25">
      <c r="A1666">
        <v>36782</v>
      </c>
      <c r="B1666" t="s">
        <v>106</v>
      </c>
      <c r="C1666" t="s">
        <v>2325</v>
      </c>
      <c r="D1666" t="s">
        <v>38</v>
      </c>
      <c r="E1666">
        <v>1121644</v>
      </c>
      <c r="F1666" s="24">
        <f>especies_ativa_codibama[[#This Row],[Código]]</f>
        <v>36782</v>
      </c>
      <c r="G1666" s="40" t="str">
        <f>especies_ativa_codibama[[#This Row],[Nome popular]]</f>
        <v>---</v>
      </c>
      <c r="H1666" s="40" t="str">
        <f>especies_ativa_codibama[[#This Row],[Nome científico]]</f>
        <v>Mimusops coriacea</v>
      </c>
    </row>
    <row r="1667" spans="1:8" x14ac:dyDescent="0.25">
      <c r="A1667">
        <v>36786</v>
      </c>
      <c r="B1667" t="s">
        <v>106</v>
      </c>
      <c r="C1667" t="s">
        <v>2326</v>
      </c>
      <c r="D1667" t="s">
        <v>38</v>
      </c>
      <c r="E1667">
        <v>36089</v>
      </c>
      <c r="F1667" s="24">
        <f>especies_ativa_codibama[[#This Row],[Código]]</f>
        <v>36786</v>
      </c>
      <c r="G1667" s="40" t="str">
        <f>especies_ativa_codibama[[#This Row],[Nome popular]]</f>
        <v>---</v>
      </c>
      <c r="H1667" s="40" t="str">
        <f>especies_ativa_codibama[[#This Row],[Nome científico]]</f>
        <v>Manilkara excelsa</v>
      </c>
    </row>
    <row r="1668" spans="1:8" x14ac:dyDescent="0.25">
      <c r="A1668">
        <v>36787</v>
      </c>
      <c r="B1668" t="s">
        <v>106</v>
      </c>
      <c r="C1668" t="s">
        <v>2327</v>
      </c>
      <c r="D1668" t="s">
        <v>38</v>
      </c>
      <c r="E1668">
        <v>31818</v>
      </c>
      <c r="F1668" s="24">
        <f>especies_ativa_codibama[[#This Row],[Código]]</f>
        <v>36787</v>
      </c>
      <c r="G1668" s="40" t="str">
        <f>especies_ativa_codibama[[#This Row],[Nome popular]]</f>
        <v>---</v>
      </c>
      <c r="H1668" s="40" t="str">
        <f>especies_ativa_codibama[[#This Row],[Nome científico]]</f>
        <v>Manilkara elata</v>
      </c>
    </row>
    <row r="1669" spans="1:8" x14ac:dyDescent="0.25">
      <c r="A1669">
        <v>36788</v>
      </c>
      <c r="B1669" t="s">
        <v>2328</v>
      </c>
      <c r="C1669" t="s">
        <v>2329</v>
      </c>
      <c r="D1669" t="s">
        <v>324</v>
      </c>
      <c r="E1669">
        <v>781159</v>
      </c>
      <c r="F1669" s="24">
        <f>especies_ativa_codibama[[#This Row],[Código]]</f>
        <v>36788</v>
      </c>
      <c r="G1669" s="40" t="str">
        <f>especies_ativa_codibama[[#This Row],[Nome popular]]</f>
        <v>abiora-branca, abiura,</v>
      </c>
      <c r="H1669" s="40" t="str">
        <f>especies_ativa_codibama[[#This Row],[Nome científico]]</f>
        <v>Pouteria franciscana</v>
      </c>
    </row>
    <row r="1670" spans="1:8" x14ac:dyDescent="0.25">
      <c r="A1670">
        <v>36789</v>
      </c>
      <c r="B1670" t="s">
        <v>2330</v>
      </c>
      <c r="C1670" t="s">
        <v>2331</v>
      </c>
      <c r="D1670" t="s">
        <v>324</v>
      </c>
      <c r="E1670">
        <v>780959</v>
      </c>
      <c r="F1670" s="24">
        <f>especies_ativa_codibama[[#This Row],[Código]]</f>
        <v>36789</v>
      </c>
      <c r="G1670" s="40" t="str">
        <f>especies_ativa_codibama[[#This Row],[Nome popular]]</f>
        <v>abiura-vermelha</v>
      </c>
      <c r="H1670" s="40" t="str">
        <f>especies_ativa_codibama[[#This Row],[Nome científico]]</f>
        <v>Pouteria platyphylla</v>
      </c>
    </row>
    <row r="1671" spans="1:8" x14ac:dyDescent="0.25">
      <c r="A1671">
        <v>36791</v>
      </c>
      <c r="B1671" t="s">
        <v>2332</v>
      </c>
      <c r="C1671" t="s">
        <v>2333</v>
      </c>
      <c r="D1671" t="s">
        <v>324</v>
      </c>
      <c r="E1671">
        <v>781331</v>
      </c>
      <c r="F1671" s="24">
        <f>especies_ativa_codibama[[#This Row],[Código]]</f>
        <v>36791</v>
      </c>
      <c r="G1671" s="40" t="str">
        <f>especies_ativa_codibama[[#This Row],[Nome popular]]</f>
        <v>massaranduba</v>
      </c>
      <c r="H1671" s="40" t="str">
        <f>especies_ativa_codibama[[#This Row],[Nome científico]]</f>
        <v>Pouteria andarahiensis</v>
      </c>
    </row>
    <row r="1672" spans="1:8" x14ac:dyDescent="0.25">
      <c r="A1672">
        <v>36792</v>
      </c>
      <c r="B1672" t="s">
        <v>2334</v>
      </c>
      <c r="C1672" t="s">
        <v>2335</v>
      </c>
      <c r="D1672" t="s">
        <v>324</v>
      </c>
      <c r="E1672">
        <v>441690</v>
      </c>
      <c r="F1672" s="24">
        <f>especies_ativa_codibama[[#This Row],[Código]]</f>
        <v>36792</v>
      </c>
      <c r="G1672" s="40" t="str">
        <f>especies_ativa_codibama[[#This Row],[Nome popular]]</f>
        <v>prejuí</v>
      </c>
      <c r="H1672" s="40" t="str">
        <f>especies_ativa_codibama[[#This Row],[Nome científico]]</f>
        <v>Micropholis gnaphaloclados</v>
      </c>
    </row>
    <row r="1673" spans="1:8" x14ac:dyDescent="0.25">
      <c r="A1673">
        <v>36793</v>
      </c>
      <c r="B1673" t="s">
        <v>2336</v>
      </c>
      <c r="C1673" t="s">
        <v>2337</v>
      </c>
      <c r="D1673" t="s">
        <v>465</v>
      </c>
      <c r="E1673">
        <v>32099</v>
      </c>
      <c r="F1673" s="24">
        <f>especies_ativa_codibama[[#This Row],[Código]]</f>
        <v>36793</v>
      </c>
      <c r="G1673" s="40" t="str">
        <f>especies_ativa_codibama[[#This Row],[Nome popular]]</f>
        <v>abiu-grande, abiura</v>
      </c>
      <c r="H1673" s="40" t="str">
        <f>especies_ativa_codibama[[#This Row],[Nome científico]]</f>
        <v>Pouteria macrocarpa</v>
      </c>
    </row>
    <row r="1674" spans="1:8" x14ac:dyDescent="0.25">
      <c r="A1674">
        <v>36795</v>
      </c>
      <c r="B1674" t="s">
        <v>2338</v>
      </c>
      <c r="C1674" t="s">
        <v>2339</v>
      </c>
      <c r="D1674" t="s">
        <v>465</v>
      </c>
      <c r="E1674">
        <v>36172</v>
      </c>
      <c r="F1674" s="24">
        <f>especies_ativa_codibama[[#This Row],[Código]]</f>
        <v>36795</v>
      </c>
      <c r="G1674" s="40" t="str">
        <f>especies_ativa_codibama[[#This Row],[Nome popular]]</f>
        <v>imbiridiba-preta, leitero-folha-miuda, massaranduba-vermelha, sapotinha</v>
      </c>
      <c r="H1674" s="40" t="str">
        <f>especies_ativa_codibama[[#This Row],[Nome científico]]</f>
        <v>Pouteria gardneri</v>
      </c>
    </row>
    <row r="1675" spans="1:8" x14ac:dyDescent="0.25">
      <c r="A1675">
        <v>36797</v>
      </c>
      <c r="B1675" t="s">
        <v>106</v>
      </c>
      <c r="C1675" t="s">
        <v>2340</v>
      </c>
      <c r="D1675" t="s">
        <v>465</v>
      </c>
      <c r="E1675">
        <v>35241</v>
      </c>
      <c r="F1675" s="24">
        <f>especies_ativa_codibama[[#This Row],[Código]]</f>
        <v>36797</v>
      </c>
      <c r="G1675" s="40" t="str">
        <f>especies_ativa_codibama[[#This Row],[Nome popular]]</f>
        <v>---</v>
      </c>
      <c r="H1675" s="40" t="str">
        <f>especies_ativa_codibama[[#This Row],[Nome científico]]</f>
        <v>Pouteria pachycalyx</v>
      </c>
    </row>
    <row r="1676" spans="1:8" x14ac:dyDescent="0.25">
      <c r="A1676">
        <v>36799</v>
      </c>
      <c r="B1676" t="s">
        <v>106</v>
      </c>
      <c r="C1676" t="s">
        <v>2341</v>
      </c>
      <c r="D1676" t="s">
        <v>38</v>
      </c>
      <c r="E1676">
        <v>36200</v>
      </c>
      <c r="F1676" s="24">
        <f>especies_ativa_codibama[[#This Row],[Código]]</f>
        <v>36799</v>
      </c>
      <c r="G1676" s="40" t="str">
        <f>especies_ativa_codibama[[#This Row],[Nome popular]]</f>
        <v>---</v>
      </c>
      <c r="H1676" s="40" t="str">
        <f>especies_ativa_codibama[[#This Row],[Nome científico]]</f>
        <v>Schoepfia brasiliensis</v>
      </c>
    </row>
    <row r="1677" spans="1:8" x14ac:dyDescent="0.25">
      <c r="A1677">
        <v>36807</v>
      </c>
      <c r="B1677" t="s">
        <v>2342</v>
      </c>
      <c r="C1677" t="s">
        <v>2343</v>
      </c>
      <c r="D1677" t="s">
        <v>126</v>
      </c>
      <c r="E1677">
        <v>31885</v>
      </c>
      <c r="F1677" s="24">
        <f>especies_ativa_codibama[[#This Row],[Código]]</f>
        <v>36807</v>
      </c>
      <c r="G1677" s="40" t="str">
        <f>especies_ativa_codibama[[#This Row],[Nome popular]]</f>
        <v>pau-amargo, pau-tenente, tenente-josé</v>
      </c>
      <c r="H1677" s="40" t="str">
        <f>especies_ativa_codibama[[#This Row],[Nome científico]]</f>
        <v>Picrasma crenata</v>
      </c>
    </row>
    <row r="1678" spans="1:8" x14ac:dyDescent="0.25">
      <c r="A1678">
        <v>36808</v>
      </c>
      <c r="B1678" t="s">
        <v>2344</v>
      </c>
      <c r="C1678" t="s">
        <v>2345</v>
      </c>
      <c r="D1678" t="s">
        <v>38</v>
      </c>
      <c r="E1678">
        <v>32569</v>
      </c>
      <c r="F1678" s="24">
        <f>especies_ativa_codibama[[#This Row],[Código]]</f>
        <v>36808</v>
      </c>
      <c r="G1678" s="40" t="str">
        <f>especies_ativa_codibama[[#This Row],[Nome popular]]</f>
        <v>amarelinho, marupá, marupá preto</v>
      </c>
      <c r="H1678" s="40" t="str">
        <f>especies_ativa_codibama[[#This Row],[Nome científico]]</f>
        <v>Simarouba amara</v>
      </c>
    </row>
    <row r="1679" spans="1:8" x14ac:dyDescent="0.25">
      <c r="A1679">
        <v>36809</v>
      </c>
      <c r="B1679" t="s">
        <v>2346</v>
      </c>
      <c r="C1679" t="s">
        <v>2347</v>
      </c>
      <c r="D1679" t="s">
        <v>38</v>
      </c>
      <c r="E1679">
        <v>35602</v>
      </c>
      <c r="F1679" s="24">
        <f>especies_ativa_codibama[[#This Row],[Código]]</f>
        <v>36809</v>
      </c>
      <c r="G1679" s="40" t="str">
        <f>especies_ativa_codibama[[#This Row],[Nome popular]]</f>
        <v>cajura</v>
      </c>
      <c r="H1679" s="40" t="str">
        <f>especies_ativa_codibama[[#This Row],[Nome científico]]</f>
        <v>Simaba guianensis</v>
      </c>
    </row>
    <row r="1680" spans="1:8" x14ac:dyDescent="0.25">
      <c r="A1680">
        <v>36811</v>
      </c>
      <c r="B1680" t="s">
        <v>2348</v>
      </c>
      <c r="C1680" t="s">
        <v>2349</v>
      </c>
      <c r="D1680" t="s">
        <v>38</v>
      </c>
      <c r="E1680">
        <v>35603</v>
      </c>
      <c r="F1680" s="24">
        <f>especies_ativa_codibama[[#This Row],[Código]]</f>
        <v>36811</v>
      </c>
      <c r="G1680" s="40" t="str">
        <f>especies_ativa_codibama[[#This Row],[Nome popular]]</f>
        <v>mata-cachorro, paraíba</v>
      </c>
      <c r="H1680" s="40" t="str">
        <f>especies_ativa_codibama[[#This Row],[Nome científico]]</f>
        <v>Simarouba versicolor</v>
      </c>
    </row>
    <row r="1681" spans="1:8" x14ac:dyDescent="0.25">
      <c r="A1681">
        <v>36818</v>
      </c>
      <c r="B1681" t="s">
        <v>2350</v>
      </c>
      <c r="C1681" t="s">
        <v>2351</v>
      </c>
      <c r="D1681" t="s">
        <v>38</v>
      </c>
      <c r="E1681">
        <v>31954</v>
      </c>
      <c r="F1681" s="24">
        <f>especies_ativa_codibama[[#This Row],[Código]]</f>
        <v>36818</v>
      </c>
      <c r="G1681" s="40" t="str">
        <f>especies_ativa_codibama[[#This Row],[Nome popular]]</f>
        <v>amarelinho, quariquara branca, quariquara de igapó</v>
      </c>
      <c r="H1681" s="40" t="str">
        <f>especies_ativa_codibama[[#This Row],[Nome científico]]</f>
        <v>Siparuna decipiens</v>
      </c>
    </row>
    <row r="1682" spans="1:8" x14ac:dyDescent="0.25">
      <c r="A1682">
        <v>36821</v>
      </c>
      <c r="B1682" t="s">
        <v>2352</v>
      </c>
      <c r="C1682" t="s">
        <v>2353</v>
      </c>
      <c r="D1682" t="s">
        <v>38</v>
      </c>
      <c r="E1682">
        <v>35604</v>
      </c>
      <c r="F1682" s="24">
        <f>especies_ativa_codibama[[#This Row],[Código]]</f>
        <v>36821</v>
      </c>
      <c r="G1682" s="40" t="str">
        <f>especies_ativa_codibama[[#This Row],[Nome popular]]</f>
        <v>Capitiú, Negrami, Caápitiú, Limão-bravo</v>
      </c>
      <c r="H1682" s="40" t="str">
        <f>especies_ativa_codibama[[#This Row],[Nome científico]]</f>
        <v>Siparuna guianensis</v>
      </c>
    </row>
    <row r="1683" spans="1:8" x14ac:dyDescent="0.25">
      <c r="A1683">
        <v>36825</v>
      </c>
      <c r="B1683" t="s">
        <v>106</v>
      </c>
      <c r="C1683" t="s">
        <v>2354</v>
      </c>
      <c r="D1683" t="s">
        <v>38</v>
      </c>
      <c r="E1683">
        <v>2013166</v>
      </c>
      <c r="F1683" s="24">
        <f>especies_ativa_codibama[[#This Row],[Código]]</f>
        <v>36825</v>
      </c>
      <c r="G1683" s="40" t="str">
        <f>especies_ativa_codibama[[#This Row],[Nome popular]]</f>
        <v>---</v>
      </c>
      <c r="H1683" s="40" t="str">
        <f>especies_ativa_codibama[[#This Row],[Nome científico]]</f>
        <v>Siparuna sarmentosa</v>
      </c>
    </row>
    <row r="1684" spans="1:8" x14ac:dyDescent="0.25">
      <c r="A1684">
        <v>36853</v>
      </c>
      <c r="B1684" t="s">
        <v>106</v>
      </c>
      <c r="C1684" t="s">
        <v>2355</v>
      </c>
      <c r="D1684" t="s">
        <v>79</v>
      </c>
      <c r="E1684">
        <v>33183</v>
      </c>
      <c r="F1684" s="24">
        <f>especies_ativa_codibama[[#This Row],[Código]]</f>
        <v>36853</v>
      </c>
      <c r="G1684" s="40" t="str">
        <f>especies_ativa_codibama[[#This Row],[Nome popular]]</f>
        <v>---</v>
      </c>
      <c r="H1684" s="40" t="str">
        <f>especies_ativa_codibama[[#This Row],[Nome científico]]</f>
        <v>Sessea brasiliensis</v>
      </c>
    </row>
    <row r="1685" spans="1:8" x14ac:dyDescent="0.25">
      <c r="A1685">
        <v>36861</v>
      </c>
      <c r="B1685" t="s">
        <v>2356</v>
      </c>
      <c r="C1685" t="s">
        <v>2357</v>
      </c>
      <c r="D1685" t="s">
        <v>38</v>
      </c>
      <c r="E1685">
        <v>35606</v>
      </c>
      <c r="F1685" s="24">
        <f>especies_ativa_codibama[[#This Row],[Código]]</f>
        <v>36861</v>
      </c>
      <c r="G1685" s="40" t="str">
        <f>especies_ativa_codibama[[#This Row],[Nome popular]]</f>
        <v>Fruta-do-lobo</v>
      </c>
      <c r="H1685" s="40" t="str">
        <f>especies_ativa_codibama[[#This Row],[Nome científico]]</f>
        <v>Solanum lycocarpum</v>
      </c>
    </row>
    <row r="1686" spans="1:8" x14ac:dyDescent="0.25">
      <c r="A1686">
        <v>36877</v>
      </c>
      <c r="B1686" t="s">
        <v>106</v>
      </c>
      <c r="C1686" t="s">
        <v>2358</v>
      </c>
      <c r="D1686" t="s">
        <v>38</v>
      </c>
      <c r="E1686">
        <v>32687</v>
      </c>
      <c r="F1686" s="24">
        <f>especies_ativa_codibama[[#This Row],[Código]]</f>
        <v>36877</v>
      </c>
      <c r="G1686" s="40" t="str">
        <f>especies_ativa_codibama[[#This Row],[Nome popular]]</f>
        <v>---</v>
      </c>
      <c r="H1686" s="40" t="str">
        <f>especies_ativa_codibama[[#This Row],[Nome científico]]</f>
        <v>Solanum cernuum</v>
      </c>
    </row>
    <row r="1687" spans="1:8" x14ac:dyDescent="0.25">
      <c r="A1687">
        <v>36901</v>
      </c>
      <c r="B1687" t="s">
        <v>106</v>
      </c>
      <c r="C1687" t="s">
        <v>2359</v>
      </c>
      <c r="D1687" t="s">
        <v>38</v>
      </c>
      <c r="E1687">
        <v>32258</v>
      </c>
      <c r="F1687" s="24">
        <f>especies_ativa_codibama[[#This Row],[Código]]</f>
        <v>36901</v>
      </c>
      <c r="G1687" s="40" t="str">
        <f>especies_ativa_codibama[[#This Row],[Nome popular]]</f>
        <v>---</v>
      </c>
      <c r="H1687" s="40" t="str">
        <f>especies_ativa_codibama[[#This Row],[Nome científico]]</f>
        <v>Brunfelsia uniflora</v>
      </c>
    </row>
    <row r="1688" spans="1:8" x14ac:dyDescent="0.25">
      <c r="A1688">
        <v>36903</v>
      </c>
      <c r="B1688" t="s">
        <v>106</v>
      </c>
      <c r="C1688" t="s">
        <v>2360</v>
      </c>
      <c r="D1688" t="s">
        <v>38</v>
      </c>
      <c r="E1688">
        <v>1320313</v>
      </c>
      <c r="F1688" s="24">
        <f>especies_ativa_codibama[[#This Row],[Código]]</f>
        <v>36903</v>
      </c>
      <c r="G1688" s="40" t="str">
        <f>especies_ativa_codibama[[#This Row],[Nome popular]]</f>
        <v>---</v>
      </c>
      <c r="H1688" s="40" t="str">
        <f>especies_ativa_codibama[[#This Row],[Nome científico]]</f>
        <v>Solanum paniculatum</v>
      </c>
    </row>
    <row r="1689" spans="1:8" x14ac:dyDescent="0.25">
      <c r="A1689">
        <v>36905</v>
      </c>
      <c r="B1689" t="s">
        <v>106</v>
      </c>
      <c r="C1689" t="s">
        <v>2361</v>
      </c>
      <c r="D1689" t="s">
        <v>38</v>
      </c>
      <c r="E1689">
        <v>1691428</v>
      </c>
      <c r="F1689" s="24">
        <f>especies_ativa_codibama[[#This Row],[Código]]</f>
        <v>36905</v>
      </c>
      <c r="G1689" s="40" t="str">
        <f>especies_ativa_codibama[[#This Row],[Nome popular]]</f>
        <v>---</v>
      </c>
      <c r="H1689" s="40" t="str">
        <f>especies_ativa_codibama[[#This Row],[Nome científico]]</f>
        <v>Solanum crinitum</v>
      </c>
    </row>
    <row r="1690" spans="1:8" x14ac:dyDescent="0.25">
      <c r="A1690">
        <v>36906</v>
      </c>
      <c r="B1690" t="s">
        <v>106</v>
      </c>
      <c r="C1690" t="s">
        <v>2362</v>
      </c>
      <c r="D1690" t="s">
        <v>38</v>
      </c>
      <c r="E1690">
        <v>1992289</v>
      </c>
      <c r="F1690" s="24">
        <f>especies_ativa_codibama[[#This Row],[Código]]</f>
        <v>36906</v>
      </c>
      <c r="G1690" s="40" t="str">
        <f>especies_ativa_codibama[[#This Row],[Nome popular]]</f>
        <v>---</v>
      </c>
      <c r="H1690" s="40" t="str">
        <f>especies_ativa_codibama[[#This Row],[Nome científico]]</f>
        <v>Cestrum axillare</v>
      </c>
    </row>
    <row r="1691" spans="1:8" x14ac:dyDescent="0.25">
      <c r="A1691">
        <v>36912</v>
      </c>
      <c r="B1691" t="s">
        <v>106</v>
      </c>
      <c r="C1691" t="s">
        <v>2363</v>
      </c>
      <c r="D1691" t="s">
        <v>38</v>
      </c>
      <c r="E1691">
        <v>1076465</v>
      </c>
      <c r="F1691" s="24">
        <f>especies_ativa_codibama[[#This Row],[Código]]</f>
        <v>36912</v>
      </c>
      <c r="G1691" s="40" t="str">
        <f>especies_ativa_codibama[[#This Row],[Nome popular]]</f>
        <v>---</v>
      </c>
      <c r="H1691" s="40" t="str">
        <f>especies_ativa_codibama[[#This Row],[Nome científico]]</f>
        <v>Brugmansia suaveolens</v>
      </c>
    </row>
    <row r="1692" spans="1:8" x14ac:dyDescent="0.25">
      <c r="A1692">
        <v>36918</v>
      </c>
      <c r="B1692" t="s">
        <v>106</v>
      </c>
      <c r="C1692" t="s">
        <v>2364</v>
      </c>
      <c r="D1692" t="s">
        <v>38</v>
      </c>
      <c r="E1692">
        <v>34394</v>
      </c>
      <c r="F1692" s="24">
        <f>especies_ativa_codibama[[#This Row],[Código]]</f>
        <v>36918</v>
      </c>
      <c r="G1692" s="40" t="str">
        <f>especies_ativa_codibama[[#This Row],[Nome popular]]</f>
        <v>---</v>
      </c>
      <c r="H1692" s="40" t="str">
        <f>especies_ativa_codibama[[#This Row],[Nome científico]]</f>
        <v>Solanum rugosum</v>
      </c>
    </row>
    <row r="1693" spans="1:8" x14ac:dyDescent="0.25">
      <c r="A1693">
        <v>36927</v>
      </c>
      <c r="B1693" t="s">
        <v>106</v>
      </c>
      <c r="C1693" t="s">
        <v>2365</v>
      </c>
      <c r="D1693" t="s">
        <v>38</v>
      </c>
      <c r="E1693">
        <v>35719</v>
      </c>
      <c r="F1693" s="24">
        <f>especies_ativa_codibama[[#This Row],[Código]]</f>
        <v>36927</v>
      </c>
      <c r="G1693" s="40" t="str">
        <f>especies_ativa_codibama[[#This Row],[Nome popular]]</f>
        <v>---</v>
      </c>
      <c r="H1693" s="40" t="str">
        <f>especies_ativa_codibama[[#This Row],[Nome científico]]</f>
        <v>Solanum swartzianum</v>
      </c>
    </row>
    <row r="1694" spans="1:8" x14ac:dyDescent="0.25">
      <c r="A1694">
        <v>36929</v>
      </c>
      <c r="B1694" t="s">
        <v>106</v>
      </c>
      <c r="C1694" t="s">
        <v>2366</v>
      </c>
      <c r="D1694" t="s">
        <v>38</v>
      </c>
      <c r="E1694">
        <v>1071760</v>
      </c>
      <c r="F1694" s="24">
        <f>especies_ativa_codibama[[#This Row],[Código]]</f>
        <v>36929</v>
      </c>
      <c r="G1694" s="40" t="str">
        <f>especies_ativa_codibama[[#This Row],[Nome popular]]</f>
        <v>---</v>
      </c>
      <c r="H1694" s="40" t="str">
        <f>especies_ativa_codibama[[#This Row],[Nome científico]]</f>
        <v>Solanum mauritianum</v>
      </c>
    </row>
    <row r="1695" spans="1:8" x14ac:dyDescent="0.25">
      <c r="A1695">
        <v>36931</v>
      </c>
      <c r="B1695" t="s">
        <v>106</v>
      </c>
      <c r="C1695" t="s">
        <v>2367</v>
      </c>
      <c r="D1695" t="s">
        <v>38</v>
      </c>
      <c r="E1695">
        <v>35756</v>
      </c>
      <c r="F1695" s="24">
        <f>especies_ativa_codibama[[#This Row],[Código]]</f>
        <v>36931</v>
      </c>
      <c r="G1695" s="40" t="str">
        <f>especies_ativa_codibama[[#This Row],[Nome popular]]</f>
        <v>---</v>
      </c>
      <c r="H1695" s="40" t="str">
        <f>especies_ativa_codibama[[#This Row],[Nome científico]]</f>
        <v>Solanum variabile</v>
      </c>
    </row>
    <row r="1696" spans="1:8" x14ac:dyDescent="0.25">
      <c r="A1696">
        <v>36936</v>
      </c>
      <c r="B1696" t="s">
        <v>2368</v>
      </c>
      <c r="C1696" t="s">
        <v>2369</v>
      </c>
      <c r="D1696" t="s">
        <v>38</v>
      </c>
      <c r="E1696">
        <v>35367</v>
      </c>
      <c r="F1696" s="24">
        <f>especies_ativa_codibama[[#This Row],[Código]]</f>
        <v>36936</v>
      </c>
      <c r="G1696" s="40" t="str">
        <f>especies_ativa_codibama[[#This Row],[Nome popular]]</f>
        <v>ivaí, pombinho</v>
      </c>
      <c r="H1696" s="40" t="str">
        <f>especies_ativa_codibama[[#This Row],[Nome científico]]</f>
        <v>Discophora guianensis</v>
      </c>
    </row>
    <row r="1697" spans="1:8" x14ac:dyDescent="0.25">
      <c r="A1697">
        <v>36941</v>
      </c>
      <c r="B1697" t="s">
        <v>106</v>
      </c>
      <c r="C1697" t="s">
        <v>2370</v>
      </c>
      <c r="D1697" t="s">
        <v>38</v>
      </c>
      <c r="E1697">
        <v>1994749</v>
      </c>
      <c r="F1697" s="24">
        <f>especies_ativa_codibama[[#This Row],[Código]]</f>
        <v>36941</v>
      </c>
      <c r="G1697" s="40" t="str">
        <f>especies_ativa_codibama[[#This Row],[Nome popular]]</f>
        <v>---</v>
      </c>
      <c r="H1697" s="40" t="str">
        <f>especies_ativa_codibama[[#This Row],[Nome científico]]</f>
        <v>Styrax latifolius</v>
      </c>
    </row>
    <row r="1698" spans="1:8" x14ac:dyDescent="0.25">
      <c r="A1698">
        <v>36942</v>
      </c>
      <c r="B1698" t="s">
        <v>106</v>
      </c>
      <c r="C1698" t="s">
        <v>2371</v>
      </c>
      <c r="D1698" t="s">
        <v>38</v>
      </c>
      <c r="E1698">
        <v>36224</v>
      </c>
      <c r="F1698" s="24">
        <f>especies_ativa_codibama[[#This Row],[Código]]</f>
        <v>36942</v>
      </c>
      <c r="G1698" s="40" t="str">
        <f>especies_ativa_codibama[[#This Row],[Nome popular]]</f>
        <v>---</v>
      </c>
      <c r="H1698" s="40" t="str">
        <f>especies_ativa_codibama[[#This Row],[Nome científico]]</f>
        <v>Styrax martii</v>
      </c>
    </row>
    <row r="1699" spans="1:8" x14ac:dyDescent="0.25">
      <c r="A1699">
        <v>36944</v>
      </c>
      <c r="B1699" t="s">
        <v>106</v>
      </c>
      <c r="C1699" t="s">
        <v>2372</v>
      </c>
      <c r="D1699" t="s">
        <v>38</v>
      </c>
      <c r="E1699">
        <v>32583</v>
      </c>
      <c r="F1699" s="24">
        <f>especies_ativa_codibama[[#This Row],[Código]]</f>
        <v>36944</v>
      </c>
      <c r="G1699" s="40" t="str">
        <f>especies_ativa_codibama[[#This Row],[Nome popular]]</f>
        <v>---</v>
      </c>
      <c r="H1699" s="40" t="str">
        <f>especies_ativa_codibama[[#This Row],[Nome científico]]</f>
        <v>Styrax pohlii</v>
      </c>
    </row>
    <row r="1700" spans="1:8" x14ac:dyDescent="0.25">
      <c r="A1700">
        <v>36948</v>
      </c>
      <c r="B1700" t="s">
        <v>106</v>
      </c>
      <c r="C1700" t="s">
        <v>2373</v>
      </c>
      <c r="D1700" t="s">
        <v>38</v>
      </c>
      <c r="E1700">
        <v>33198</v>
      </c>
      <c r="F1700" s="24">
        <f>especies_ativa_codibama[[#This Row],[Código]]</f>
        <v>36948</v>
      </c>
      <c r="G1700" s="40" t="str">
        <f>especies_ativa_codibama[[#This Row],[Nome popular]]</f>
        <v>---</v>
      </c>
      <c r="H1700" s="40" t="str">
        <f>especies_ativa_codibama[[#This Row],[Nome científico]]</f>
        <v>Styrax camporum</v>
      </c>
    </row>
    <row r="1701" spans="1:8" x14ac:dyDescent="0.25">
      <c r="A1701">
        <v>36949</v>
      </c>
      <c r="B1701" t="s">
        <v>106</v>
      </c>
      <c r="C1701" t="s">
        <v>2374</v>
      </c>
      <c r="D1701" t="s">
        <v>38</v>
      </c>
      <c r="E1701">
        <v>33790</v>
      </c>
      <c r="F1701" s="24">
        <f>especies_ativa_codibama[[#This Row],[Código]]</f>
        <v>36949</v>
      </c>
      <c r="G1701" s="40" t="str">
        <f>especies_ativa_codibama[[#This Row],[Nome popular]]</f>
        <v>---</v>
      </c>
      <c r="H1701" s="40" t="str">
        <f>especies_ativa_codibama[[#This Row],[Nome científico]]</f>
        <v>Styrax ferrugineus</v>
      </c>
    </row>
    <row r="1702" spans="1:8" x14ac:dyDescent="0.25">
      <c r="A1702">
        <v>36956</v>
      </c>
      <c r="B1702" t="s">
        <v>106</v>
      </c>
      <c r="C1702" t="s">
        <v>2375</v>
      </c>
      <c r="D1702" t="s">
        <v>598</v>
      </c>
      <c r="E1702">
        <v>35034</v>
      </c>
      <c r="F1702" s="24">
        <f>especies_ativa_codibama[[#This Row],[Código]]</f>
        <v>36956</v>
      </c>
      <c r="G1702" s="40" t="str">
        <f>especies_ativa_codibama[[#This Row],[Nome popular]]</f>
        <v>---</v>
      </c>
      <c r="H1702" s="40" t="str">
        <f>especies_ativa_codibama[[#This Row],[Nome científico]]</f>
        <v>Symplocos rhamnifolia</v>
      </c>
    </row>
    <row r="1703" spans="1:8" x14ac:dyDescent="0.25">
      <c r="A1703">
        <v>36965</v>
      </c>
      <c r="B1703" t="s">
        <v>2376</v>
      </c>
      <c r="C1703" t="s">
        <v>2377</v>
      </c>
      <c r="D1703" t="s">
        <v>38</v>
      </c>
      <c r="E1703">
        <v>34410</v>
      </c>
      <c r="F1703" s="24">
        <f>especies_ativa_codibama[[#This Row],[Código]]</f>
        <v>36965</v>
      </c>
      <c r="G1703" s="40" t="str">
        <f>especies_ativa_codibama[[#This Row],[Nome popular]]</f>
        <v>beira-mato-da-flor-branca, cangalha, cao, caujuja, caú, caú-do-mato, caverú, cinzeira, coa, congonhaná, congonha-falsa, congonha-miúda, jasmim-do-mato, kaa-vera, laranjeira-do-mato, laranjinha-do-mato, maria-molená, maria-mole-branca, maria-mole-de-flor-branca, maria-mole-de-flor-rosa, maria-mole-do-banhadoná, pau, pau-cangalha, pau-de-cangalha, sete-sangriasná, sete-sangrias-do-banhado</v>
      </c>
      <c r="H1703" s="40" t="str">
        <f>especies_ativa_codibama[[#This Row],[Nome científico]]</f>
        <v>Symplocos uniflora</v>
      </c>
    </row>
    <row r="1704" spans="1:8" x14ac:dyDescent="0.25">
      <c r="A1704">
        <v>36967</v>
      </c>
      <c r="B1704" t="s">
        <v>2736</v>
      </c>
      <c r="C1704" t="s">
        <v>2378</v>
      </c>
      <c r="D1704" t="s">
        <v>38</v>
      </c>
      <c r="E1704">
        <v>35725</v>
      </c>
      <c r="F1704" s="24">
        <f>especies_ativa_codibama[[#This Row],[Código]]</f>
        <v>36967</v>
      </c>
      <c r="G1704" s="40" t="str">
        <f>especies_ativa_codibama[[#This Row],[Nome popular]]</f>
        <v>caa-vera, chá-de-bugre, congonha, caapoã, congonha-de-bugre, jabãozinho, k`á verá, mate-falso, peroba d'águaná</v>
      </c>
      <c r="H1704" s="40" t="str">
        <f>especies_ativa_codibama[[#This Row],[Nome científico]]</f>
        <v>Symplocos celastrinea</v>
      </c>
    </row>
    <row r="1705" spans="1:8" x14ac:dyDescent="0.25">
      <c r="A1705">
        <v>36969</v>
      </c>
      <c r="B1705" t="s">
        <v>2379</v>
      </c>
      <c r="C1705" t="s">
        <v>2380</v>
      </c>
      <c r="D1705" t="s">
        <v>38</v>
      </c>
      <c r="E1705">
        <v>33202</v>
      </c>
      <c r="F1705" s="24">
        <f>especies_ativa_codibama[[#This Row],[Código]]</f>
        <v>36969</v>
      </c>
      <c r="G1705" s="40" t="str">
        <f>especies_ativa_codibama[[#This Row],[Nome popular]]</f>
        <v>cinzeira-do-mato, congonha-do-campo, fruta-de-jacu, laranjinha, laranjinha-arroz-doce, pau-de-cinza,</v>
      </c>
      <c r="H1705" s="40" t="str">
        <f>especies_ativa_codibama[[#This Row],[Nome científico]]</f>
        <v>Symplocos pubescens</v>
      </c>
    </row>
    <row r="1706" spans="1:8" x14ac:dyDescent="0.25">
      <c r="A1706">
        <v>36975</v>
      </c>
      <c r="B1706" t="s">
        <v>106</v>
      </c>
      <c r="C1706" t="s">
        <v>2381</v>
      </c>
      <c r="D1706" t="s">
        <v>38</v>
      </c>
      <c r="E1706">
        <v>35033</v>
      </c>
      <c r="F1706" s="24">
        <f>especies_ativa_codibama[[#This Row],[Código]]</f>
        <v>36975</v>
      </c>
      <c r="G1706" s="40" t="str">
        <f>especies_ativa_codibama[[#This Row],[Nome popular]]</f>
        <v>---</v>
      </c>
      <c r="H1706" s="40" t="str">
        <f>especies_ativa_codibama[[#This Row],[Nome científico]]</f>
        <v>Symplocos platyphylla</v>
      </c>
    </row>
    <row r="1707" spans="1:8" x14ac:dyDescent="0.25">
      <c r="A1707">
        <v>36976</v>
      </c>
      <c r="B1707" t="s">
        <v>106</v>
      </c>
      <c r="C1707" t="s">
        <v>2382</v>
      </c>
      <c r="D1707" t="s">
        <v>38</v>
      </c>
      <c r="E1707">
        <v>35168</v>
      </c>
      <c r="F1707" s="24">
        <f>especies_ativa_codibama[[#This Row],[Código]]</f>
        <v>36976</v>
      </c>
      <c r="G1707" s="40" t="str">
        <f>especies_ativa_codibama[[#This Row],[Nome popular]]</f>
        <v>---</v>
      </c>
      <c r="H1707" s="40" t="str">
        <f>especies_ativa_codibama[[#This Row],[Nome científico]]</f>
        <v>Symplocos nitens</v>
      </c>
    </row>
    <row r="1708" spans="1:8" x14ac:dyDescent="0.25">
      <c r="A1708">
        <v>36977</v>
      </c>
      <c r="B1708" t="s">
        <v>106</v>
      </c>
      <c r="C1708" t="s">
        <v>2383</v>
      </c>
      <c r="D1708" t="s">
        <v>126</v>
      </c>
      <c r="E1708">
        <v>35458</v>
      </c>
      <c r="F1708" s="24">
        <f>especies_ativa_codibama[[#This Row],[Código]]</f>
        <v>36977</v>
      </c>
      <c r="G1708" s="40" t="str">
        <f>especies_ativa_codibama[[#This Row],[Nome popular]]</f>
        <v>---</v>
      </c>
      <c r="H1708" s="40" t="str">
        <f>especies_ativa_codibama[[#This Row],[Nome científico]]</f>
        <v>Laplacea fruticosa</v>
      </c>
    </row>
    <row r="1709" spans="1:8" x14ac:dyDescent="0.25">
      <c r="A1709">
        <v>36981</v>
      </c>
      <c r="B1709" t="s">
        <v>2384</v>
      </c>
      <c r="C1709" t="s">
        <v>2385</v>
      </c>
      <c r="D1709" t="s">
        <v>38</v>
      </c>
      <c r="E1709">
        <v>34186</v>
      </c>
      <c r="F1709" s="24">
        <f>especies_ativa_codibama[[#This Row],[Código]]</f>
        <v>36981</v>
      </c>
      <c r="G1709" s="40" t="str">
        <f>especies_ativa_codibama[[#This Row],[Nome popular]]</f>
        <v>Embira-amarela, Embira-toicinheira</v>
      </c>
      <c r="H1709" s="40" t="str">
        <f>especies_ativa_codibama[[#This Row],[Nome científico]]</f>
        <v>Daphnopsis brasiliensis</v>
      </c>
    </row>
    <row r="1710" spans="1:8" x14ac:dyDescent="0.25">
      <c r="A1710">
        <v>36982</v>
      </c>
      <c r="B1710" t="s">
        <v>2386</v>
      </c>
      <c r="C1710" t="s">
        <v>2387</v>
      </c>
      <c r="D1710" t="s">
        <v>38</v>
      </c>
      <c r="E1710">
        <v>32965</v>
      </c>
      <c r="F1710" s="24">
        <f>especies_ativa_codibama[[#This Row],[Código]]</f>
        <v>36982</v>
      </c>
      <c r="G1710" s="40" t="str">
        <f>especies_ativa_codibama[[#This Row],[Nome popular]]</f>
        <v>Embira-branca, Embira-de-sapo</v>
      </c>
      <c r="H1710" s="40" t="str">
        <f>especies_ativa_codibama[[#This Row],[Nome científico]]</f>
        <v>Daphnopsis fasciculata</v>
      </c>
    </row>
    <row r="1711" spans="1:8" x14ac:dyDescent="0.25">
      <c r="A1711">
        <v>36984</v>
      </c>
      <c r="B1711" t="s">
        <v>2388</v>
      </c>
      <c r="C1711" t="s">
        <v>2389</v>
      </c>
      <c r="D1711" t="s">
        <v>38</v>
      </c>
      <c r="E1711">
        <v>31698</v>
      </c>
      <c r="F1711" s="24">
        <f>especies_ativa_codibama[[#This Row],[Código]]</f>
        <v>36984</v>
      </c>
      <c r="G1711" s="40" t="str">
        <f>especies_ativa_codibama[[#This Row],[Nome popular]]</f>
        <v>Embira-de-sapo, Embira-pimenta</v>
      </c>
      <c r="H1711" s="40" t="str">
        <f>especies_ativa_codibama[[#This Row],[Nome científico]]</f>
        <v>Daphnopsis racemosa</v>
      </c>
    </row>
    <row r="1712" spans="1:8" x14ac:dyDescent="0.25">
      <c r="A1712">
        <v>36997</v>
      </c>
      <c r="B1712" t="s">
        <v>2390</v>
      </c>
      <c r="C1712" t="s">
        <v>2391</v>
      </c>
      <c r="D1712" t="s">
        <v>38</v>
      </c>
      <c r="E1712">
        <v>1320876</v>
      </c>
      <c r="F1712" s="24">
        <f>especies_ativa_codibama[[#This Row],[Código]]</f>
        <v>36997</v>
      </c>
      <c r="G1712" s="40" t="str">
        <f>especies_ativa_codibama[[#This Row],[Nome popular]]</f>
        <v>envira iodo, sardinheira</v>
      </c>
      <c r="H1712" s="40" t="str">
        <f>especies_ativa_codibama[[#This Row],[Nome científico]]</f>
        <v>Ampelocera ruizii</v>
      </c>
    </row>
    <row r="1713" spans="1:8" x14ac:dyDescent="0.25">
      <c r="A1713">
        <v>37000</v>
      </c>
      <c r="B1713" t="s">
        <v>2392</v>
      </c>
      <c r="C1713" t="s">
        <v>2393</v>
      </c>
      <c r="D1713" t="s">
        <v>79</v>
      </c>
      <c r="E1713">
        <v>32927</v>
      </c>
      <c r="F1713" s="24">
        <f>especies_ativa_codibama[[#This Row],[Código]]</f>
        <v>37000</v>
      </c>
      <c r="G1713" s="40" t="str">
        <f>especies_ativa_codibama[[#This Row],[Nome popular]]</f>
        <v>embaúba-vermelha</v>
      </c>
      <c r="H1713" s="40" t="str">
        <f>especies_ativa_codibama[[#This Row],[Nome científico]]</f>
        <v>Cecropia glaziovii Snethl</v>
      </c>
    </row>
    <row r="1714" spans="1:8" x14ac:dyDescent="0.25">
      <c r="A1714">
        <v>37005</v>
      </c>
      <c r="B1714" t="s">
        <v>2394</v>
      </c>
      <c r="C1714" t="s">
        <v>2395</v>
      </c>
      <c r="D1714" t="s">
        <v>38</v>
      </c>
      <c r="E1714">
        <v>32285</v>
      </c>
      <c r="F1714" s="24">
        <f>especies_ativa_codibama[[#This Row],[Código]]</f>
        <v>37005</v>
      </c>
      <c r="G1714" s="40" t="str">
        <f>especies_ativa_codibama[[#This Row],[Nome popular]]</f>
        <v>embaúba, embaúba-branca</v>
      </c>
      <c r="H1714" s="40" t="str">
        <f>especies_ativa_codibama[[#This Row],[Nome científico]]</f>
        <v>Cecropia ficifolia</v>
      </c>
    </row>
    <row r="1715" spans="1:8" x14ac:dyDescent="0.25">
      <c r="A1715">
        <v>37006</v>
      </c>
      <c r="B1715" t="s">
        <v>2394</v>
      </c>
      <c r="C1715" t="s">
        <v>2396</v>
      </c>
      <c r="D1715" t="s">
        <v>38</v>
      </c>
      <c r="E1715">
        <v>35927</v>
      </c>
      <c r="F1715" s="24">
        <f>especies_ativa_codibama[[#This Row],[Código]]</f>
        <v>37006</v>
      </c>
      <c r="G1715" s="40" t="str">
        <f>especies_ativa_codibama[[#This Row],[Nome popular]]</f>
        <v>embaúba, embaúba-branca</v>
      </c>
      <c r="H1715" s="40" t="str">
        <f>especies_ativa_codibama[[#This Row],[Nome científico]]</f>
        <v>Cecropia pachystachya</v>
      </c>
    </row>
    <row r="1716" spans="1:8" x14ac:dyDescent="0.25">
      <c r="A1716">
        <v>37007</v>
      </c>
      <c r="B1716" t="s">
        <v>2397</v>
      </c>
      <c r="C1716" t="s">
        <v>2398</v>
      </c>
      <c r="D1716" t="s">
        <v>38</v>
      </c>
      <c r="E1716">
        <v>32928</v>
      </c>
      <c r="F1716" s="24">
        <f>especies_ativa_codibama[[#This Row],[Código]]</f>
        <v>37007</v>
      </c>
      <c r="G1716" s="40" t="str">
        <f>especies_ativa_codibama[[#This Row],[Nome popular]]</f>
        <v>embaúba-branca, embaubaçu</v>
      </c>
      <c r="H1716" s="40" t="str">
        <f>especies_ativa_codibama[[#This Row],[Nome científico]]</f>
        <v>Cecropia hololeuca</v>
      </c>
    </row>
    <row r="1717" spans="1:8" x14ac:dyDescent="0.25">
      <c r="A1717">
        <v>37009</v>
      </c>
      <c r="B1717" t="s">
        <v>2399</v>
      </c>
      <c r="C1717" t="s">
        <v>2400</v>
      </c>
      <c r="D1717" t="s">
        <v>38</v>
      </c>
      <c r="E1717">
        <v>35552</v>
      </c>
      <c r="F1717" s="24">
        <f>especies_ativa_codibama[[#This Row],[Código]]</f>
        <v>37009</v>
      </c>
      <c r="G1717" s="40" t="str">
        <f>especies_ativa_codibama[[#This Row],[Nome popular]]</f>
        <v>embaúba-da-mata</v>
      </c>
      <c r="H1717" s="40" t="str">
        <f>especies_ativa_codibama[[#This Row],[Nome científico]]</f>
        <v>Pourouma tomentosa</v>
      </c>
    </row>
    <row r="1718" spans="1:8" x14ac:dyDescent="0.25">
      <c r="A1718">
        <v>37010</v>
      </c>
      <c r="B1718" t="s">
        <v>2401</v>
      </c>
      <c r="C1718" t="s">
        <v>2402</v>
      </c>
      <c r="D1718" t="s">
        <v>38</v>
      </c>
      <c r="E1718">
        <v>32926</v>
      </c>
      <c r="F1718" s="24">
        <f>especies_ativa_codibama[[#This Row],[Código]]</f>
        <v>37010</v>
      </c>
      <c r="G1718" s="40" t="str">
        <f>especies_ativa_codibama[[#This Row],[Nome popular]]</f>
        <v>imbaúba-branca</v>
      </c>
      <c r="H1718" s="40" t="str">
        <f>especies_ativa_codibama[[#This Row],[Nome científico]]</f>
        <v>Cecropia concolor</v>
      </c>
    </row>
    <row r="1719" spans="1:8" x14ac:dyDescent="0.25">
      <c r="A1719">
        <v>37011</v>
      </c>
      <c r="B1719" t="s">
        <v>2401</v>
      </c>
      <c r="C1719" t="s">
        <v>2403</v>
      </c>
      <c r="D1719" t="s">
        <v>38</v>
      </c>
      <c r="E1719">
        <v>32929</v>
      </c>
      <c r="G1719" s="40" t="str">
        <f>especies_ativa_codibama[[#This Row],[Nome popular]]</f>
        <v>imbaúba-branca</v>
      </c>
      <c r="H1719" s="40" t="str">
        <f>especies_ativa_codibama[[#This Row],[Nome científico]]</f>
        <v>Cecropia obtusa</v>
      </c>
    </row>
    <row r="1720" spans="1:8" x14ac:dyDescent="0.25">
      <c r="A1720">
        <v>37012</v>
      </c>
      <c r="B1720" t="s">
        <v>2404</v>
      </c>
      <c r="C1720" t="s">
        <v>2405</v>
      </c>
      <c r="D1720" t="s">
        <v>38</v>
      </c>
      <c r="E1720">
        <v>32289</v>
      </c>
      <c r="G1720" s="40" t="str">
        <f>especies_ativa_codibama[[#This Row],[Nome popular]]</f>
        <v>imbaúba-branca, embaúba-da-pedra</v>
      </c>
      <c r="H1720" s="40" t="str">
        <f>especies_ativa_codibama[[#This Row],[Nome científico]]</f>
        <v>Cecropia saxatilis</v>
      </c>
    </row>
    <row r="1721" spans="1:8" x14ac:dyDescent="0.25">
      <c r="A1721">
        <v>37014</v>
      </c>
      <c r="B1721" t="s">
        <v>2406</v>
      </c>
      <c r="C1721" t="s">
        <v>2407</v>
      </c>
      <c r="D1721" t="s">
        <v>38</v>
      </c>
      <c r="E1721">
        <v>34145</v>
      </c>
      <c r="G1721" s="40" t="str">
        <f>especies_ativa_codibama[[#This Row],[Nome popular]]</f>
        <v>imbaúba-gigante, imbaubão</v>
      </c>
      <c r="H1721" s="40" t="str">
        <f>especies_ativa_codibama[[#This Row],[Nome científico]]</f>
        <v>Cecropia sciadophylla</v>
      </c>
    </row>
    <row r="1722" spans="1:8" x14ac:dyDescent="0.25">
      <c r="A1722">
        <v>37015</v>
      </c>
      <c r="B1722" t="s">
        <v>2408</v>
      </c>
      <c r="C1722" t="s">
        <v>2409</v>
      </c>
      <c r="D1722" t="s">
        <v>38</v>
      </c>
      <c r="E1722">
        <v>35550</v>
      </c>
      <c r="G1722" s="40" t="str">
        <f>especies_ativa_codibama[[#This Row],[Nome popular]]</f>
        <v>imbaúbara, imbaúba, tamaoquare, mapatira</v>
      </c>
      <c r="H1722" s="40" t="str">
        <f>especies_ativa_codibama[[#This Row],[Nome científico]]</f>
        <v>Pourouma bicolor</v>
      </c>
    </row>
    <row r="1723" spans="1:8" x14ac:dyDescent="0.25">
      <c r="A1723">
        <v>37017</v>
      </c>
      <c r="B1723" t="s">
        <v>2410</v>
      </c>
      <c r="C1723" t="s">
        <v>2411</v>
      </c>
      <c r="D1723" t="s">
        <v>38</v>
      </c>
      <c r="E1723">
        <v>1993826</v>
      </c>
      <c r="G1723" s="40" t="str">
        <f>especies_ativa_codibama[[#This Row],[Nome popular]]</f>
        <v>imbaúbara, mapatira</v>
      </c>
      <c r="H1723" s="40" t="str">
        <f>especies_ativa_codibama[[#This Row],[Nome científico]]</f>
        <v>Pourouma velutina</v>
      </c>
    </row>
    <row r="1724" spans="1:8" x14ac:dyDescent="0.25">
      <c r="A1724">
        <v>37018</v>
      </c>
      <c r="B1724" t="s">
        <v>2412</v>
      </c>
      <c r="C1724" t="s">
        <v>2413</v>
      </c>
      <c r="D1724" t="s">
        <v>38</v>
      </c>
      <c r="E1724">
        <v>32284</v>
      </c>
      <c r="G1724" s="40" t="str">
        <f>especies_ativa_codibama[[#This Row],[Nome popular]]</f>
        <v>imbaúba-vermelha, imbaúba-da-mata</v>
      </c>
      <c r="H1724" s="40" t="str">
        <f>especies_ativa_codibama[[#This Row],[Nome científico]]</f>
        <v>Cecropia distachya</v>
      </c>
    </row>
    <row r="1725" spans="1:8" x14ac:dyDescent="0.25">
      <c r="A1725">
        <v>37020</v>
      </c>
      <c r="B1725" t="s">
        <v>2414</v>
      </c>
      <c r="C1725" t="s">
        <v>2415</v>
      </c>
      <c r="D1725" t="s">
        <v>38</v>
      </c>
      <c r="E1725">
        <v>33538</v>
      </c>
      <c r="G1725" s="40" t="str">
        <f>especies_ativa_codibama[[#This Row],[Nome popular]]</f>
        <v>mata-pau</v>
      </c>
      <c r="H1725" s="40" t="str">
        <f>especies_ativa_codibama[[#This Row],[Nome científico]]</f>
        <v>Coussapoa microcarpa</v>
      </c>
    </row>
    <row r="1726" spans="1:8" x14ac:dyDescent="0.25">
      <c r="A1726">
        <v>37021</v>
      </c>
      <c r="B1726" t="s">
        <v>2416</v>
      </c>
      <c r="C1726" t="s">
        <v>2417</v>
      </c>
      <c r="D1726" t="s">
        <v>38</v>
      </c>
      <c r="E1726">
        <v>32287</v>
      </c>
      <c r="G1726" s="40" t="str">
        <f>especies_ativa_codibama[[#This Row],[Nome popular]]</f>
        <v>torém, imbaúba-branca, imbaúba-vermelha, galamarte, capeira</v>
      </c>
      <c r="H1726" s="40" t="str">
        <f>especies_ativa_codibama[[#This Row],[Nome científico]]</f>
        <v>Cecropia palmata</v>
      </c>
    </row>
    <row r="1727" spans="1:8" x14ac:dyDescent="0.25">
      <c r="A1727">
        <v>37022</v>
      </c>
      <c r="B1727" t="s">
        <v>2418</v>
      </c>
      <c r="C1727" t="s">
        <v>2419</v>
      </c>
      <c r="D1727" t="s">
        <v>38</v>
      </c>
      <c r="E1727">
        <v>35551</v>
      </c>
      <c r="G1727" s="40" t="str">
        <f>especies_ativa_codibama[[#This Row],[Nome popular]]</f>
        <v>torém, torém abacate, mapatira, embaubarama, puruma, tourém, imbaubara, caramuri</v>
      </c>
      <c r="H1727" s="40" t="str">
        <f>especies_ativa_codibama[[#This Row],[Nome científico]]</f>
        <v>Pourouma minor</v>
      </c>
    </row>
    <row r="1728" spans="1:8" x14ac:dyDescent="0.25">
      <c r="A1728">
        <v>37023</v>
      </c>
      <c r="B1728" t="s">
        <v>2420</v>
      </c>
      <c r="C1728" t="s">
        <v>2421</v>
      </c>
      <c r="D1728" t="s">
        <v>38</v>
      </c>
      <c r="E1728">
        <v>31902</v>
      </c>
      <c r="G1728" s="40" t="str">
        <f>especies_ativa_codibama[[#This Row],[Nome popular]]</f>
        <v>torém-folha-de-lixa, embaúba, imbaubara, tararanga-branca, uva-de-macaco, imbaubara, uva-da-mata, mapatira, mapati, embaubaraná, pau-de-jacuná, embauba-da-mata, amapati, pitinga</v>
      </c>
      <c r="H1728" s="40" t="str">
        <f>especies_ativa_codibama[[#This Row],[Nome científico]]</f>
        <v>Pourouma guianensis</v>
      </c>
    </row>
    <row r="1729" spans="1:8" x14ac:dyDescent="0.25">
      <c r="A1729">
        <v>37026</v>
      </c>
      <c r="B1729" t="s">
        <v>2422</v>
      </c>
      <c r="C1729" t="s">
        <v>2423</v>
      </c>
      <c r="D1729" t="s">
        <v>38</v>
      </c>
      <c r="E1729">
        <v>32117</v>
      </c>
      <c r="G1729" s="40" t="str">
        <f>especies_ativa_codibama[[#This Row],[Nome popular]]</f>
        <v>uva-de-macaco, imbaubara-vermelha, imbaúba, tararanga, tararanga-vermelha, itararanga, uva-de-macaco, amapara, imbaúbara-vermelha, mapatira</v>
      </c>
      <c r="H1729" s="40" t="str">
        <f>especies_ativa_codibama[[#This Row],[Nome científico]]</f>
        <v>Pourouma mollis</v>
      </c>
    </row>
    <row r="1730" spans="1:8" x14ac:dyDescent="0.25">
      <c r="A1730">
        <v>37047</v>
      </c>
      <c r="B1730" t="s">
        <v>2424</v>
      </c>
      <c r="C1730" t="s">
        <v>2425</v>
      </c>
      <c r="D1730" t="s">
        <v>38</v>
      </c>
      <c r="E1730">
        <v>34519</v>
      </c>
      <c r="G1730" s="40" t="str">
        <f>especies_ativa_codibama[[#This Row],[Nome popular]]</f>
        <v>camara</v>
      </c>
      <c r="H1730" s="40" t="str">
        <f>especies_ativa_codibama[[#This Row],[Nome científico]]</f>
        <v>Lantana camara</v>
      </c>
    </row>
    <row r="1731" spans="1:8" x14ac:dyDescent="0.25">
      <c r="A1731">
        <v>37059</v>
      </c>
      <c r="B1731" t="s">
        <v>106</v>
      </c>
      <c r="C1731" t="s">
        <v>2426</v>
      </c>
      <c r="D1731" t="s">
        <v>38</v>
      </c>
      <c r="E1731">
        <v>34595</v>
      </c>
      <c r="G1731" s="40" t="str">
        <f>especies_ativa_codibama[[#This Row],[Nome popular]]</f>
        <v>---</v>
      </c>
      <c r="H1731" s="40" t="str">
        <f>especies_ativa_codibama[[#This Row],[Nome científico]]</f>
        <v>Lantana fucata</v>
      </c>
    </row>
    <row r="1732" spans="1:8" x14ac:dyDescent="0.25">
      <c r="A1732">
        <v>37061</v>
      </c>
      <c r="B1732" t="s">
        <v>106</v>
      </c>
      <c r="C1732" t="s">
        <v>2427</v>
      </c>
      <c r="D1732" t="s">
        <v>38</v>
      </c>
      <c r="E1732">
        <v>31668</v>
      </c>
      <c r="G1732" s="40" t="str">
        <f>especies_ativa_codibama[[#This Row],[Nome popular]]</f>
        <v>---</v>
      </c>
      <c r="H1732" s="40" t="str">
        <f>especies_ativa_codibama[[#This Row],[Nome científico]]</f>
        <v>Citharexylum myrianthum</v>
      </c>
    </row>
    <row r="1733" spans="1:8" x14ac:dyDescent="0.25">
      <c r="A1733">
        <v>37066</v>
      </c>
      <c r="B1733" t="s">
        <v>106</v>
      </c>
      <c r="C1733" t="s">
        <v>2428</v>
      </c>
      <c r="D1733" t="s">
        <v>38</v>
      </c>
      <c r="E1733">
        <v>35859</v>
      </c>
      <c r="G1733" s="40" t="str">
        <f>especies_ativa_codibama[[#This Row],[Nome popular]]</f>
        <v>---</v>
      </c>
      <c r="H1733" s="40" t="str">
        <f>especies_ativa_codibama[[#This Row],[Nome científico]]</f>
        <v>Aloysia virgata</v>
      </c>
    </row>
    <row r="1734" spans="1:8" x14ac:dyDescent="0.25">
      <c r="A1734">
        <v>37070</v>
      </c>
      <c r="B1734" t="s">
        <v>106</v>
      </c>
      <c r="C1734" t="s">
        <v>2429</v>
      </c>
      <c r="D1734" t="s">
        <v>79</v>
      </c>
      <c r="E1734">
        <v>36141</v>
      </c>
      <c r="G1734" s="40" t="str">
        <f>especies_ativa_codibama[[#This Row],[Nome popular]]</f>
        <v>---</v>
      </c>
      <c r="H1734" s="40" t="str">
        <f>especies_ativa_codibama[[#This Row],[Nome científico]]</f>
        <v>Paypayrola blanchetiana</v>
      </c>
    </row>
    <row r="1735" spans="1:8" x14ac:dyDescent="0.25">
      <c r="A1735">
        <v>37071</v>
      </c>
      <c r="B1735" t="s">
        <v>106</v>
      </c>
      <c r="C1735" t="s">
        <v>2430</v>
      </c>
      <c r="D1735" t="s">
        <v>79</v>
      </c>
      <c r="E1735">
        <v>32129</v>
      </c>
      <c r="G1735" s="40" t="str">
        <f>especies_ativa_codibama[[#This Row],[Nome popular]]</f>
        <v>---</v>
      </c>
      <c r="H1735" s="40" t="str">
        <f>especies_ativa_codibama[[#This Row],[Nome científico]]</f>
        <v>Rinorea bahiensis</v>
      </c>
    </row>
    <row r="1736" spans="1:8" x14ac:dyDescent="0.25">
      <c r="A1736">
        <v>37075</v>
      </c>
      <c r="B1736" t="s">
        <v>2431</v>
      </c>
      <c r="C1736" t="s">
        <v>2432</v>
      </c>
      <c r="D1736" t="s">
        <v>38</v>
      </c>
      <c r="E1736">
        <v>35830</v>
      </c>
      <c r="G1736" s="40" t="str">
        <f>especies_ativa_codibama[[#This Row],[Nome popular]]</f>
        <v>canela de garça</v>
      </c>
      <c r="H1736" s="40" t="str">
        <f>especies_ativa_codibama[[#This Row],[Nome científico]]</f>
        <v>Rinorea flavescens</v>
      </c>
    </row>
    <row r="1737" spans="1:8" x14ac:dyDescent="0.25">
      <c r="A1737">
        <v>37077</v>
      </c>
      <c r="B1737" t="s">
        <v>2737</v>
      </c>
      <c r="C1737" t="s">
        <v>2433</v>
      </c>
      <c r="D1737" t="s">
        <v>38</v>
      </c>
      <c r="E1737">
        <v>35459</v>
      </c>
      <c r="G1737" s="40" t="str">
        <f>especies_ativa_codibama[[#This Row],[Nome popular]]</f>
        <v>Coração de negro, gogó de guariba, trapiá</v>
      </c>
      <c r="H1737" s="40" t="str">
        <f>especies_ativa_codibama[[#This Row],[Nome científico]]</f>
        <v>Leonia glycycarpa</v>
      </c>
    </row>
    <row r="1738" spans="1:8" x14ac:dyDescent="0.25">
      <c r="A1738">
        <v>37086</v>
      </c>
      <c r="B1738" t="s">
        <v>106</v>
      </c>
      <c r="C1738" t="s">
        <v>2434</v>
      </c>
      <c r="D1738" t="s">
        <v>38</v>
      </c>
      <c r="E1738">
        <v>32734</v>
      </c>
      <c r="G1738" s="40" t="str">
        <f>especies_ativa_codibama[[#This Row],[Nome popular]]</f>
        <v>---</v>
      </c>
      <c r="H1738" s="40" t="str">
        <f>especies_ativa_codibama[[#This Row],[Nome científico]]</f>
        <v>Paypayrola grandiflora</v>
      </c>
    </row>
    <row r="1739" spans="1:8" x14ac:dyDescent="0.25">
      <c r="A1739">
        <v>37087</v>
      </c>
      <c r="B1739" t="s">
        <v>106</v>
      </c>
      <c r="C1739" t="s">
        <v>2435</v>
      </c>
      <c r="D1739" t="s">
        <v>38</v>
      </c>
      <c r="E1739">
        <v>33358</v>
      </c>
      <c r="G1739" s="40" t="str">
        <f>especies_ativa_codibama[[#This Row],[Nome popular]]</f>
        <v>---</v>
      </c>
      <c r="H1739" s="40" t="str">
        <f>especies_ativa_codibama[[#This Row],[Nome científico]]</f>
        <v>Rinorea guianensis</v>
      </c>
    </row>
    <row r="1740" spans="1:8" x14ac:dyDescent="0.25">
      <c r="A1740">
        <v>37092</v>
      </c>
      <c r="B1740" t="s">
        <v>2738</v>
      </c>
      <c r="C1740" t="s">
        <v>2436</v>
      </c>
      <c r="D1740" t="s">
        <v>196</v>
      </c>
      <c r="E1740">
        <v>31999</v>
      </c>
      <c r="G1740" s="40" t="str">
        <f>especies_ativa_codibama[[#This Row],[Nome popular]]</f>
        <v>árvore-da-goma-arábica, árvore-do-vinho, cabeluda-roxa, gomeira, gomeira-de-mis, pau-d`Ã¡gua, pau-de-vinho, pelado, vinheiro-do-campo</v>
      </c>
      <c r="H1740" s="40" t="str">
        <f>especies_ativa_codibama[[#This Row],[Nome científico]]</f>
        <v>Vochysia gummifera</v>
      </c>
    </row>
    <row r="1741" spans="1:8" x14ac:dyDescent="0.25">
      <c r="A1741">
        <v>37093</v>
      </c>
      <c r="B1741" t="s">
        <v>2739</v>
      </c>
      <c r="C1741" t="s">
        <v>2740</v>
      </c>
      <c r="D1741" t="s">
        <v>79</v>
      </c>
      <c r="E1741">
        <v>2012729</v>
      </c>
      <c r="G1741" s="40" t="str">
        <f>especies_ativa_codibama[[#This Row],[Nome popular]]</f>
        <v>Bico-de-papagaio</v>
      </c>
      <c r="H1741" s="40" t="str">
        <f>especies_ativa_codibama[[#This Row],[Nome científico]]</f>
        <v>Callisthene mollissima</v>
      </c>
    </row>
    <row r="1742" spans="1:8" x14ac:dyDescent="0.25">
      <c r="A1742">
        <v>37095</v>
      </c>
      <c r="B1742" t="s">
        <v>2437</v>
      </c>
      <c r="C1742" t="s">
        <v>2438</v>
      </c>
      <c r="D1742" t="s">
        <v>79</v>
      </c>
      <c r="E1742">
        <v>35062</v>
      </c>
      <c r="G1742" s="40" t="str">
        <f>especies_ativa_codibama[[#This Row],[Nome popular]]</f>
        <v>canela santa, Muricy, muruci-da-serra, murici-rosa</v>
      </c>
      <c r="H1742" s="40" t="str">
        <f>especies_ativa_codibama[[#This Row],[Nome científico]]</f>
        <v>Vochysia saldanhana</v>
      </c>
    </row>
    <row r="1743" spans="1:8" x14ac:dyDescent="0.25">
      <c r="A1743">
        <v>37096</v>
      </c>
      <c r="B1743" t="s">
        <v>2741</v>
      </c>
      <c r="C1743" t="s">
        <v>2439</v>
      </c>
      <c r="D1743" t="s">
        <v>79</v>
      </c>
      <c r="E1743">
        <v>33825</v>
      </c>
      <c r="G1743" s="40" t="str">
        <f>especies_ativa_codibama[[#This Row],[Nome popular]]</f>
        <v>canela-santa, cinzeiro, congonha-do-campo, congonheiro, guaruba, jacatirão-branco, louro-d'Água, murici, murici-barrigad'Água, murici-branco, muricica, pau-de-brincos, pau-de-cinza, pau-de-lágrima, rabo-de-arara, rabo-de-tucano</v>
      </c>
      <c r="H1743" s="40" t="str">
        <f>especies_ativa_codibama[[#This Row],[Nome científico]]</f>
        <v>Vochysia oppugnata</v>
      </c>
    </row>
    <row r="1744" spans="1:8" x14ac:dyDescent="0.25">
      <c r="A1744">
        <v>37099</v>
      </c>
      <c r="B1744" t="s">
        <v>2440</v>
      </c>
      <c r="C1744" t="s">
        <v>2441</v>
      </c>
      <c r="D1744" t="s">
        <v>79</v>
      </c>
      <c r="E1744">
        <v>33826</v>
      </c>
      <c r="G1744" s="40" t="str">
        <f>especies_ativa_codibama[[#This Row],[Nome popular]]</f>
        <v>Gomeira, Goma arábica, Cachoeiro do campo, Araripe, Pau de vinho, Cangira, Caixeta, Caixeto, Vinheiro do Mato, Pau Doce, Congonha, Resineira, Pau de Tucano, Cinzeiro, Cambara</v>
      </c>
      <c r="H1744" s="40" t="str">
        <f>especies_ativa_codibama[[#This Row],[Nome científico]]</f>
        <v>Vochysia thyrsoidea</v>
      </c>
    </row>
    <row r="1745" spans="1:8" x14ac:dyDescent="0.25">
      <c r="A1745">
        <v>37101</v>
      </c>
      <c r="B1745" t="s">
        <v>2442</v>
      </c>
      <c r="C1745" t="s">
        <v>2443</v>
      </c>
      <c r="D1745" t="s">
        <v>79</v>
      </c>
      <c r="E1745">
        <v>2013407</v>
      </c>
      <c r="G1745" s="40" t="str">
        <f>especies_ativa_codibama[[#This Row],[Nome popular]]</f>
        <v>Mucerengue, Musserengue, Pau-de-rato, Tapiroroca, Tapororoca</v>
      </c>
      <c r="H1745" s="40" t="str">
        <f>especies_ativa_codibama[[#This Row],[Nome científico]]</f>
        <v>Vochysia lucida</v>
      </c>
    </row>
    <row r="1746" spans="1:8" x14ac:dyDescent="0.25">
      <c r="A1746">
        <v>37102</v>
      </c>
      <c r="B1746" t="s">
        <v>2444</v>
      </c>
      <c r="C1746" t="s">
        <v>2445</v>
      </c>
      <c r="D1746" t="s">
        <v>79</v>
      </c>
      <c r="E1746">
        <v>34597</v>
      </c>
      <c r="G1746" s="40" t="str">
        <f>especies_ativa_codibama[[#This Row],[Nome popular]]</f>
        <v>murici doce</v>
      </c>
      <c r="H1746" s="40" t="str">
        <f>especies_ativa_codibama[[#This Row],[Nome científico]]</f>
        <v>Vochysia pruinosa</v>
      </c>
    </row>
    <row r="1747" spans="1:8" x14ac:dyDescent="0.25">
      <c r="A1747">
        <v>37104</v>
      </c>
      <c r="B1747" t="s">
        <v>2446</v>
      </c>
      <c r="C1747" t="s">
        <v>2447</v>
      </c>
      <c r="D1747" t="s">
        <v>79</v>
      </c>
      <c r="E1747">
        <v>34448</v>
      </c>
      <c r="G1747" s="40" t="str">
        <f>especies_ativa_codibama[[#This Row],[Nome popular]]</f>
        <v>Pau Novo, Pau-Joséná, Pau-de-vinhoná</v>
      </c>
      <c r="H1747" s="40" t="str">
        <f>especies_ativa_codibama[[#This Row],[Nome científico]]</f>
        <v>Vochysia magnifica</v>
      </c>
    </row>
    <row r="1748" spans="1:8" x14ac:dyDescent="0.25">
      <c r="A1748">
        <v>37105</v>
      </c>
      <c r="B1748" t="s">
        <v>2448</v>
      </c>
      <c r="C1748" t="s">
        <v>2449</v>
      </c>
      <c r="D1748" t="s">
        <v>79</v>
      </c>
      <c r="E1748">
        <v>34445</v>
      </c>
      <c r="G1748" s="40" t="str">
        <f>especies_ativa_codibama[[#This Row],[Nome popular]]</f>
        <v>Pau-Doce,</v>
      </c>
      <c r="H1748" s="40" t="str">
        <f>especies_ativa_codibama[[#This Row],[Nome científico]]</f>
        <v>Vochysia elliptica</v>
      </c>
    </row>
    <row r="1749" spans="1:8" x14ac:dyDescent="0.25">
      <c r="A1749">
        <v>37107</v>
      </c>
      <c r="B1749" t="s">
        <v>106</v>
      </c>
      <c r="C1749" t="s">
        <v>2450</v>
      </c>
      <c r="D1749" t="s">
        <v>79</v>
      </c>
      <c r="E1749">
        <v>35060</v>
      </c>
      <c r="G1749" s="40" t="str">
        <f>especies_ativa_codibama[[#This Row],[Nome popular]]</f>
        <v>---</v>
      </c>
      <c r="H1749" s="40" t="str">
        <f>especies_ativa_codibama[[#This Row],[Nome científico]]</f>
        <v>Vochysia gardneri</v>
      </c>
    </row>
    <row r="1750" spans="1:8" x14ac:dyDescent="0.25">
      <c r="A1750">
        <v>37124</v>
      </c>
      <c r="B1750" t="s">
        <v>106</v>
      </c>
      <c r="C1750" t="s">
        <v>2451</v>
      </c>
      <c r="D1750" t="s">
        <v>79</v>
      </c>
      <c r="E1750">
        <v>36183</v>
      </c>
      <c r="G1750" s="40" t="str">
        <f>especies_ativa_codibama[[#This Row],[Nome popular]]</f>
        <v>---</v>
      </c>
      <c r="H1750" s="40" t="str">
        <f>especies_ativa_codibama[[#This Row],[Nome científico]]</f>
        <v>Qualea megalocarpa</v>
      </c>
    </row>
    <row r="1751" spans="1:8" x14ac:dyDescent="0.25">
      <c r="A1751">
        <v>37126</v>
      </c>
      <c r="B1751" t="s">
        <v>2452</v>
      </c>
      <c r="C1751" t="s">
        <v>2453</v>
      </c>
      <c r="D1751" t="s">
        <v>38</v>
      </c>
      <c r="E1751">
        <v>1991958</v>
      </c>
      <c r="G1751" s="40" t="str">
        <f>especies_ativa_codibama[[#This Row],[Nome popular]]</f>
        <v>folha-larga, bananeira-do-campo</v>
      </c>
      <c r="H1751" s="40" t="str">
        <f>especies_ativa_codibama[[#This Row],[Nome científico]]</f>
        <v>Salvertia convallariodora</v>
      </c>
    </row>
    <row r="1752" spans="1:8" x14ac:dyDescent="0.25">
      <c r="A1752">
        <v>37127</v>
      </c>
      <c r="B1752" t="s">
        <v>2454</v>
      </c>
      <c r="C1752" t="s">
        <v>2455</v>
      </c>
      <c r="D1752" t="s">
        <v>38</v>
      </c>
      <c r="E1752">
        <v>33559</v>
      </c>
      <c r="G1752" s="40" t="str">
        <f>especies_ativa_codibama[[#This Row],[Nome popular]]</f>
        <v>bruto, quarubara</v>
      </c>
      <c r="H1752" s="40" t="str">
        <f>especies_ativa_codibama[[#This Row],[Nome científico]]</f>
        <v>Erisma uncinatum</v>
      </c>
    </row>
    <row r="1753" spans="1:8" x14ac:dyDescent="0.25">
      <c r="A1753">
        <v>37128</v>
      </c>
      <c r="B1753" t="s">
        <v>2456</v>
      </c>
      <c r="C1753" t="s">
        <v>2457</v>
      </c>
      <c r="D1753" t="s">
        <v>38</v>
      </c>
      <c r="E1753">
        <v>33823</v>
      </c>
      <c r="G1753" s="40" t="str">
        <f>especies_ativa_codibama[[#This Row],[Nome popular]]</f>
        <v>Cambará</v>
      </c>
      <c r="H1753" s="40" t="str">
        <f>especies_ativa_codibama[[#This Row],[Nome científico]]</f>
        <v>Vochysia divergens</v>
      </c>
    </row>
    <row r="1754" spans="1:8" x14ac:dyDescent="0.25">
      <c r="A1754">
        <v>37130</v>
      </c>
      <c r="B1754" t="s">
        <v>2458</v>
      </c>
      <c r="C1754" t="s">
        <v>2459</v>
      </c>
      <c r="D1754" t="s">
        <v>38</v>
      </c>
      <c r="E1754">
        <v>32907</v>
      </c>
      <c r="G1754" s="40" t="str">
        <f>especies_ativa_codibama[[#This Row],[Nome popular]]</f>
        <v>Carvão Branco, Cravo, Jacaré, Tinto Chico</v>
      </c>
      <c r="H1754" s="40" t="str">
        <f>especies_ativa_codibama[[#This Row],[Nome científico]]</f>
        <v>Callisthene fasciculata</v>
      </c>
    </row>
    <row r="1755" spans="1:8" x14ac:dyDescent="0.25">
      <c r="A1755">
        <v>37131</v>
      </c>
      <c r="B1755" t="s">
        <v>2742</v>
      </c>
      <c r="C1755" t="s">
        <v>2460</v>
      </c>
      <c r="D1755" t="s">
        <v>38</v>
      </c>
      <c r="E1755">
        <v>32621</v>
      </c>
      <c r="G1755" s="40" t="str">
        <f>especies_ativa_codibama[[#This Row],[Nome popular]]</f>
        <v>Cedro Rana, IutaÃ­ mirim</v>
      </c>
      <c r="H1755" s="40" t="str">
        <f>especies_ativa_codibama[[#This Row],[Nome científico]]</f>
        <v>Vochysia ferruginea</v>
      </c>
    </row>
    <row r="1756" spans="1:8" x14ac:dyDescent="0.25">
      <c r="A1756">
        <v>37133</v>
      </c>
      <c r="B1756" t="s">
        <v>2461</v>
      </c>
      <c r="C1756" t="s">
        <v>2462</v>
      </c>
      <c r="D1756" t="s">
        <v>38</v>
      </c>
      <c r="E1756">
        <v>35905</v>
      </c>
      <c r="G1756" s="40" t="str">
        <f>especies_ativa_codibama[[#This Row],[Nome popular]]</f>
        <v>Jacaré, Pau Terra do Mato,</v>
      </c>
      <c r="H1756" s="40" t="str">
        <f>especies_ativa_codibama[[#This Row],[Nome científico]]</f>
        <v>Callisthene major</v>
      </c>
    </row>
    <row r="1757" spans="1:8" x14ac:dyDescent="0.25">
      <c r="A1757">
        <v>37134</v>
      </c>
      <c r="B1757" t="s">
        <v>2463</v>
      </c>
      <c r="C1757" t="s">
        <v>2464</v>
      </c>
      <c r="D1757" t="s">
        <v>38</v>
      </c>
      <c r="E1757">
        <v>1992680</v>
      </c>
      <c r="G1757" s="40" t="str">
        <f>especies_ativa_codibama[[#This Row],[Nome popular]]</f>
        <v>Marapauba, Pau mulato, Cambara, Killu-sisa</v>
      </c>
      <c r="H1757" s="40" t="str">
        <f>especies_ativa_codibama[[#This Row],[Nome científico]]</f>
        <v>Vochysia haenkeana</v>
      </c>
    </row>
    <row r="1758" spans="1:8" x14ac:dyDescent="0.25">
      <c r="A1758">
        <v>37135</v>
      </c>
      <c r="B1758" t="s">
        <v>2465</v>
      </c>
      <c r="C1758" t="s">
        <v>2466</v>
      </c>
      <c r="D1758" t="s">
        <v>38</v>
      </c>
      <c r="E1758">
        <v>34020</v>
      </c>
      <c r="G1758" s="40" t="str">
        <f>especies_ativa_codibama[[#This Row],[Nome popular]]</f>
        <v>Maueira, Maueira roxa</v>
      </c>
      <c r="H1758" s="40" t="str">
        <f>especies_ativa_codibama[[#This Row],[Nome científico]]</f>
        <v>Erisma bicolor</v>
      </c>
    </row>
    <row r="1759" spans="1:8" x14ac:dyDescent="0.25">
      <c r="A1759">
        <v>37137</v>
      </c>
      <c r="B1759" t="s">
        <v>2467</v>
      </c>
      <c r="C1759" t="s">
        <v>2468</v>
      </c>
      <c r="D1759" t="s">
        <v>38</v>
      </c>
      <c r="E1759">
        <v>35906</v>
      </c>
      <c r="G1759" s="40" t="str">
        <f>especies_ativa_codibama[[#This Row],[Nome popular]]</f>
        <v>Pau de Pilão</v>
      </c>
      <c r="H1759" s="40" t="str">
        <f>especies_ativa_codibama[[#This Row],[Nome científico]]</f>
        <v>Callisthene minor</v>
      </c>
    </row>
    <row r="1760" spans="1:8" x14ac:dyDescent="0.25">
      <c r="A1760">
        <v>37138</v>
      </c>
      <c r="B1760" t="s">
        <v>2469</v>
      </c>
      <c r="C1760" t="s">
        <v>2470</v>
      </c>
      <c r="D1760" t="s">
        <v>38</v>
      </c>
      <c r="E1760">
        <v>35063</v>
      </c>
      <c r="G1760" s="40" t="str">
        <f>especies_ativa_codibama[[#This Row],[Nome popular]]</f>
        <v>Pau de Tucano</v>
      </c>
      <c r="H1760" s="40" t="str">
        <f>especies_ativa_codibama[[#This Row],[Nome científico]]</f>
        <v>Vochysia tucanorum</v>
      </c>
    </row>
    <row r="1761" spans="1:8" x14ac:dyDescent="0.25">
      <c r="A1761">
        <v>37139</v>
      </c>
      <c r="B1761" t="s">
        <v>2471</v>
      </c>
      <c r="C1761" t="s">
        <v>2472</v>
      </c>
      <c r="D1761" t="s">
        <v>38</v>
      </c>
      <c r="E1761">
        <v>34986</v>
      </c>
      <c r="G1761" s="40" t="str">
        <f>especies_ativa_codibama[[#This Row],[Nome popular]]</f>
        <v>pau terra de folha larga</v>
      </c>
      <c r="H1761" s="40" t="str">
        <f>especies_ativa_codibama[[#This Row],[Nome científico]]</f>
        <v>Qualea grandiflora</v>
      </c>
    </row>
    <row r="1762" spans="1:8" x14ac:dyDescent="0.25">
      <c r="A1762">
        <v>37140</v>
      </c>
      <c r="B1762" t="s">
        <v>2473</v>
      </c>
      <c r="C1762" t="s">
        <v>2474</v>
      </c>
      <c r="D1762" t="s">
        <v>38</v>
      </c>
      <c r="E1762">
        <v>36267</v>
      </c>
      <c r="G1762" s="40" t="str">
        <f>especies_ativa_codibama[[#This Row],[Nome popular]]</f>
        <v>Quaruba</v>
      </c>
      <c r="H1762" s="40" t="str">
        <f>especies_ativa_codibama[[#This Row],[Nome científico]]</f>
        <v>Vochysia floribunda</v>
      </c>
    </row>
    <row r="1763" spans="1:8" x14ac:dyDescent="0.25">
      <c r="A1763">
        <v>37141</v>
      </c>
      <c r="B1763" t="s">
        <v>2475</v>
      </c>
      <c r="C1763" t="s">
        <v>2476</v>
      </c>
      <c r="D1763" t="s">
        <v>38</v>
      </c>
      <c r="E1763">
        <v>32131</v>
      </c>
      <c r="G1763" s="40" t="str">
        <f>especies_ativa_codibama[[#This Row],[Nome popular]]</f>
        <v>Quaruba, Salado</v>
      </c>
      <c r="H1763" s="40" t="str">
        <f>especies_ativa_codibama[[#This Row],[Nome científico]]</f>
        <v>Vochysia obscura</v>
      </c>
    </row>
    <row r="1764" spans="1:8" x14ac:dyDescent="0.25">
      <c r="A1764">
        <v>37143</v>
      </c>
      <c r="B1764" t="s">
        <v>106</v>
      </c>
      <c r="C1764" t="s">
        <v>2477</v>
      </c>
      <c r="D1764" t="s">
        <v>38</v>
      </c>
      <c r="E1764">
        <v>33248</v>
      </c>
      <c r="G1764" s="40" t="str">
        <f>especies_ativa_codibama[[#This Row],[Nome popular]]</f>
        <v>---</v>
      </c>
      <c r="H1764" s="40" t="str">
        <f>especies_ativa_codibama[[#This Row],[Nome científico]]</f>
        <v>Vochysia pyramidalis</v>
      </c>
    </row>
    <row r="1765" spans="1:8" x14ac:dyDescent="0.25">
      <c r="A1765">
        <v>37144</v>
      </c>
      <c r="B1765" t="s">
        <v>106</v>
      </c>
      <c r="C1765" t="s">
        <v>2478</v>
      </c>
      <c r="D1765" t="s">
        <v>38</v>
      </c>
      <c r="E1765">
        <v>35569</v>
      </c>
      <c r="G1765" s="40" t="str">
        <f>especies_ativa_codibama[[#This Row],[Nome popular]]</f>
        <v>---</v>
      </c>
      <c r="H1765" s="40" t="str">
        <f>especies_ativa_codibama[[#This Row],[Nome científico]]</f>
        <v>Qualea dichotoma</v>
      </c>
    </row>
    <row r="1766" spans="1:8" x14ac:dyDescent="0.25">
      <c r="A1766">
        <v>37145</v>
      </c>
      <c r="B1766" t="s">
        <v>106</v>
      </c>
      <c r="C1766" t="s">
        <v>2479</v>
      </c>
      <c r="D1766" t="s">
        <v>38</v>
      </c>
      <c r="E1766">
        <v>35132</v>
      </c>
      <c r="G1766" s="40" t="str">
        <f>especies_ativa_codibama[[#This Row],[Nome popular]]</f>
        <v>---</v>
      </c>
      <c r="H1766" s="40" t="str">
        <f>especies_ativa_codibama[[#This Row],[Nome científico]]</f>
        <v>Qualea cryptantha</v>
      </c>
    </row>
    <row r="1767" spans="1:8" x14ac:dyDescent="0.25">
      <c r="A1767">
        <v>37146</v>
      </c>
      <c r="B1767" t="s">
        <v>106</v>
      </c>
      <c r="C1767" t="s">
        <v>2480</v>
      </c>
      <c r="D1767" t="s">
        <v>38</v>
      </c>
      <c r="E1767">
        <v>35654</v>
      </c>
      <c r="G1767" s="40" t="str">
        <f>especies_ativa_codibama[[#This Row],[Nome popular]]</f>
        <v>---</v>
      </c>
      <c r="H1767" s="40" t="str">
        <f>especies_ativa_codibama[[#This Row],[Nome científico]]</f>
        <v>Vochysia laurifolia</v>
      </c>
    </row>
    <row r="1768" spans="1:8" x14ac:dyDescent="0.25">
      <c r="A1768">
        <v>37148</v>
      </c>
      <c r="B1768" t="s">
        <v>106</v>
      </c>
      <c r="C1768" t="s">
        <v>2481</v>
      </c>
      <c r="D1768" t="s">
        <v>38</v>
      </c>
      <c r="E1768">
        <v>33245</v>
      </c>
      <c r="G1768" s="40" t="str">
        <f>especies_ativa_codibama[[#This Row],[Nome popular]]</f>
        <v>---</v>
      </c>
      <c r="H1768" s="40" t="str">
        <f>especies_ativa_codibama[[#This Row],[Nome científico]]</f>
        <v>Vochysia emarginata</v>
      </c>
    </row>
    <row r="1769" spans="1:8" x14ac:dyDescent="0.25">
      <c r="A1769">
        <v>37149</v>
      </c>
      <c r="B1769" t="s">
        <v>106</v>
      </c>
      <c r="C1769" t="s">
        <v>2482</v>
      </c>
      <c r="D1769" t="s">
        <v>38</v>
      </c>
      <c r="E1769">
        <v>32620</v>
      </c>
      <c r="G1769" s="40" t="str">
        <f>especies_ativa_codibama[[#This Row],[Nome popular]]</f>
        <v>---</v>
      </c>
      <c r="H1769" s="40" t="str">
        <f>especies_ativa_codibama[[#This Row],[Nome científico]]</f>
        <v>Vochysia cinnamomea</v>
      </c>
    </row>
    <row r="1770" spans="1:8" x14ac:dyDescent="0.25">
      <c r="A1770">
        <v>37153</v>
      </c>
      <c r="B1770" t="s">
        <v>106</v>
      </c>
      <c r="C1770" t="s">
        <v>2483</v>
      </c>
      <c r="D1770" t="s">
        <v>38</v>
      </c>
      <c r="E1770">
        <v>32548</v>
      </c>
      <c r="G1770" s="40" t="str">
        <f>especies_ativa_codibama[[#This Row],[Nome popular]]</f>
        <v>---</v>
      </c>
      <c r="H1770" s="40" t="str">
        <f>especies_ativa_codibama[[#This Row],[Nome científico]]</f>
        <v>Qualea multiflora</v>
      </c>
    </row>
    <row r="1771" spans="1:8" x14ac:dyDescent="0.25">
      <c r="A1771">
        <v>37154</v>
      </c>
      <c r="B1771" t="s">
        <v>106</v>
      </c>
      <c r="C1771" t="s">
        <v>2484</v>
      </c>
      <c r="D1771" t="s">
        <v>38</v>
      </c>
      <c r="E1771">
        <v>33824</v>
      </c>
      <c r="G1771" s="40" t="str">
        <f>especies_ativa_codibama[[#This Row],[Nome popular]]</f>
        <v>---</v>
      </c>
      <c r="H1771" s="40" t="str">
        <f>especies_ativa_codibama[[#This Row],[Nome científico]]</f>
        <v>Vochysia grandis</v>
      </c>
    </row>
    <row r="1772" spans="1:8" x14ac:dyDescent="0.25">
      <c r="A1772">
        <v>37156</v>
      </c>
      <c r="B1772" t="s">
        <v>2485</v>
      </c>
      <c r="C1772" t="s">
        <v>2486</v>
      </c>
      <c r="D1772" t="s">
        <v>38</v>
      </c>
      <c r="E1772">
        <v>33361</v>
      </c>
      <c r="G1772" s="40" t="str">
        <f>especies_ativa_codibama[[#This Row],[Nome popular]]</f>
        <v>Pau-doce</v>
      </c>
      <c r="H1772" s="40" t="str">
        <f>especies_ativa_codibama[[#This Row],[Nome científico]]</f>
        <v>Vochysia rufa</v>
      </c>
    </row>
    <row r="1773" spans="1:8" x14ac:dyDescent="0.25">
      <c r="A1773">
        <v>37159</v>
      </c>
      <c r="B1773" t="s">
        <v>106</v>
      </c>
      <c r="C1773" t="s">
        <v>2487</v>
      </c>
      <c r="D1773" t="s">
        <v>38</v>
      </c>
      <c r="E1773">
        <v>34368</v>
      </c>
      <c r="G1773" s="40" t="str">
        <f>especies_ativa_codibama[[#This Row],[Nome popular]]</f>
        <v>---</v>
      </c>
      <c r="H1773" s="40" t="str">
        <f>especies_ativa_codibama[[#This Row],[Nome científico]]</f>
        <v>Qualea acuminata</v>
      </c>
    </row>
    <row r="1774" spans="1:8" x14ac:dyDescent="0.25">
      <c r="A1774">
        <v>37160</v>
      </c>
      <c r="B1774" t="s">
        <v>106</v>
      </c>
      <c r="C1774" t="s">
        <v>2488</v>
      </c>
      <c r="D1774" t="s">
        <v>38</v>
      </c>
      <c r="E1774">
        <v>35571</v>
      </c>
      <c r="G1774" s="40" t="str">
        <f>especies_ativa_codibama[[#This Row],[Nome popular]]</f>
        <v>---</v>
      </c>
      <c r="H1774" s="40" t="str">
        <f>especies_ativa_codibama[[#This Row],[Nome científico]]</f>
        <v>Qualea paraensis</v>
      </c>
    </row>
    <row r="1775" spans="1:8" x14ac:dyDescent="0.25">
      <c r="A1775">
        <v>37161</v>
      </c>
      <c r="B1775" t="s">
        <v>106</v>
      </c>
      <c r="C1775" t="s">
        <v>2489</v>
      </c>
      <c r="D1775" t="s">
        <v>38</v>
      </c>
      <c r="E1775">
        <v>2013399</v>
      </c>
      <c r="G1775" s="40" t="str">
        <f>especies_ativa_codibama[[#This Row],[Nome popular]]</f>
        <v>---</v>
      </c>
      <c r="H1775" s="40" t="str">
        <f>especies_ativa_codibama[[#This Row],[Nome científico]]</f>
        <v>Vochysia citrifolia</v>
      </c>
    </row>
    <row r="1776" spans="1:8" x14ac:dyDescent="0.25">
      <c r="A1776">
        <v>37162</v>
      </c>
      <c r="B1776" t="s">
        <v>106</v>
      </c>
      <c r="C1776" t="s">
        <v>2490</v>
      </c>
      <c r="D1776" t="s">
        <v>38</v>
      </c>
      <c r="E1776">
        <v>34987</v>
      </c>
      <c r="G1776" s="40" t="str">
        <f>especies_ativa_codibama[[#This Row],[Nome popular]]</f>
        <v>---</v>
      </c>
      <c r="H1776" s="40" t="str">
        <f>especies_ativa_codibama[[#This Row],[Nome científico]]</f>
        <v>Qualea parviflora</v>
      </c>
    </row>
    <row r="1777" spans="1:8" x14ac:dyDescent="0.25">
      <c r="A1777">
        <v>37164</v>
      </c>
      <c r="B1777" t="s">
        <v>106</v>
      </c>
      <c r="C1777" t="s">
        <v>2491</v>
      </c>
      <c r="D1777" t="s">
        <v>38</v>
      </c>
      <c r="E1777">
        <v>33157</v>
      </c>
      <c r="G1777" s="40" t="str">
        <f>especies_ativa_codibama[[#This Row],[Nome popular]]</f>
        <v>---</v>
      </c>
      <c r="H1777" s="40" t="str">
        <f>especies_ativa_codibama[[#This Row],[Nome científico]]</f>
        <v>Qualea cordata</v>
      </c>
    </row>
    <row r="1778" spans="1:8" x14ac:dyDescent="0.25">
      <c r="A1778">
        <v>37168</v>
      </c>
      <c r="B1778" t="s">
        <v>106</v>
      </c>
      <c r="C1778" t="s">
        <v>2492</v>
      </c>
      <c r="D1778" t="s">
        <v>38</v>
      </c>
      <c r="E1778">
        <v>32622</v>
      </c>
      <c r="G1778" s="40" t="str">
        <f>especies_ativa_codibama[[#This Row],[Nome popular]]</f>
        <v>---</v>
      </c>
      <c r="H1778" s="40" t="str">
        <f>especies_ativa_codibama[[#This Row],[Nome científico]]</f>
        <v>Vochysia obidensis</v>
      </c>
    </row>
    <row r="1779" spans="1:8" x14ac:dyDescent="0.25">
      <c r="A1779">
        <v>37174</v>
      </c>
      <c r="B1779" t="s">
        <v>106</v>
      </c>
      <c r="C1779" t="s">
        <v>2493</v>
      </c>
      <c r="D1779" t="s">
        <v>126</v>
      </c>
      <c r="E1779">
        <v>34816</v>
      </c>
      <c r="G1779" s="40" t="str">
        <f>especies_ativa_codibama[[#This Row],[Nome popular]]</f>
        <v>---</v>
      </c>
      <c r="H1779" s="40" t="str">
        <f>especies_ativa_codibama[[#This Row],[Nome científico]]</f>
        <v>Drimys brasiliensis</v>
      </c>
    </row>
    <row r="1780" spans="1:8" x14ac:dyDescent="0.25">
      <c r="A1780">
        <v>37177</v>
      </c>
      <c r="B1780" t="s">
        <v>2494</v>
      </c>
      <c r="C1780" t="s">
        <v>2495</v>
      </c>
      <c r="D1780" t="s">
        <v>650</v>
      </c>
      <c r="E1780">
        <v>34757</v>
      </c>
      <c r="G1780" s="40" t="str">
        <f>especies_ativa_codibama[[#This Row],[Nome popular]]</f>
        <v>Pequi, Piquia</v>
      </c>
      <c r="H1780" s="40" t="str">
        <f>especies_ativa_codibama[[#This Row],[Nome científico]]</f>
        <v>Caryocar villosum</v>
      </c>
    </row>
    <row r="1781" spans="1:8" x14ac:dyDescent="0.25">
      <c r="A1781">
        <v>37178</v>
      </c>
      <c r="B1781" t="s">
        <v>2496</v>
      </c>
      <c r="C1781" t="s">
        <v>2497</v>
      </c>
      <c r="D1781" t="s">
        <v>650</v>
      </c>
      <c r="E1781">
        <v>31645</v>
      </c>
      <c r="G1781" s="40" t="str">
        <f>especies_ativa_codibama[[#This Row],[Nome popular]]</f>
        <v>Rabo-de-camaleão</v>
      </c>
      <c r="H1781" s="40" t="str">
        <f>especies_ativa_codibama[[#This Row],[Nome científico]]</f>
        <v>Caryocar glabrum</v>
      </c>
    </row>
    <row r="1782" spans="1:8" x14ac:dyDescent="0.25">
      <c r="A1782">
        <v>37180</v>
      </c>
      <c r="B1782" t="s">
        <v>2681</v>
      </c>
      <c r="C1782" t="s">
        <v>2743</v>
      </c>
      <c r="D1782" t="s">
        <v>205</v>
      </c>
      <c r="E1782">
        <v>452626</v>
      </c>
      <c r="G1782" s="40" t="str">
        <f>especies_ativa_codibama[[#This Row],[Nome popular]]</f>
        <v>Calumbi</v>
      </c>
      <c r="H1782" s="40" t="str">
        <f>especies_ativa_codibama[[#This Row],[Nome científico]]</f>
        <v xml:space="preserve">Piptadenia killipii </v>
      </c>
    </row>
    <row r="1783" spans="1:8" x14ac:dyDescent="0.25">
      <c r="A1783">
        <v>37181</v>
      </c>
      <c r="B1783" t="s">
        <v>2744</v>
      </c>
      <c r="C1783" t="s">
        <v>2745</v>
      </c>
      <c r="D1783" t="s">
        <v>205</v>
      </c>
      <c r="E1783">
        <v>453262</v>
      </c>
      <c r="G1783" s="40" t="str">
        <f>especies_ativa_codibama[[#This Row],[Nome popular]]</f>
        <v>Espinheiro</v>
      </c>
      <c r="H1783" s="40" t="str">
        <f>especies_ativa_codibama[[#This Row],[Nome científico]]</f>
        <v xml:space="preserve">Piptadenia santosii </v>
      </c>
    </row>
    <row r="1784" spans="1:8" x14ac:dyDescent="0.25">
      <c r="A1784">
        <v>37182</v>
      </c>
      <c r="B1784" t="s">
        <v>2746</v>
      </c>
      <c r="C1784" t="s">
        <v>2747</v>
      </c>
      <c r="D1784" t="s">
        <v>205</v>
      </c>
      <c r="E1784">
        <v>2024856</v>
      </c>
      <c r="G1784" s="40" t="str">
        <f>especies_ativa_codibama[[#This Row],[Nome popular]]</f>
        <v xml:space="preserve">Calumbi, Unha-de-gato, Espinheiro-branco </v>
      </c>
      <c r="H1784" s="40" t="str">
        <f>especies_ativa_codibama[[#This Row],[Nome científico]]</f>
        <v>Piptadenia retusa</v>
      </c>
    </row>
    <row r="1785" spans="1:8" x14ac:dyDescent="0.25">
      <c r="A1785">
        <v>37184</v>
      </c>
      <c r="B1785" t="s">
        <v>2498</v>
      </c>
      <c r="C1785" t="s">
        <v>2499</v>
      </c>
      <c r="D1785" t="s">
        <v>205</v>
      </c>
      <c r="E1785">
        <v>35539</v>
      </c>
      <c r="G1785" s="40" t="str">
        <f>especies_ativa_codibama[[#This Row],[Nome popular]]</f>
        <v xml:space="preserve">Rapa-canela, Jucuri, Espinheiro-bravo, Cega-olho, Calumbi-preto </v>
      </c>
      <c r="H1785" s="40" t="str">
        <f>especies_ativa_codibama[[#This Row],[Nome científico]]</f>
        <v>Piptadenia adiantoides</v>
      </c>
    </row>
    <row r="1786" spans="1:8" x14ac:dyDescent="0.25">
      <c r="A1786">
        <v>37185</v>
      </c>
      <c r="B1786" t="s">
        <v>544</v>
      </c>
      <c r="C1786" t="s">
        <v>2748</v>
      </c>
      <c r="D1786" t="s">
        <v>205</v>
      </c>
      <c r="E1786">
        <v>2024857</v>
      </c>
      <c r="G1786" s="40" t="str">
        <f>especies_ativa_codibama[[#This Row],[Nome popular]]</f>
        <v>Ipê-amarelo</v>
      </c>
      <c r="H1786" s="40" t="str">
        <f>especies_ativa_codibama[[#This Row],[Nome científico]]</f>
        <v>Handroanthus coronatus</v>
      </c>
    </row>
    <row r="1787" spans="1:8" x14ac:dyDescent="0.25">
      <c r="A1787">
        <v>37186</v>
      </c>
      <c r="B1787" t="s">
        <v>2749</v>
      </c>
      <c r="C1787" t="s">
        <v>2500</v>
      </c>
      <c r="D1787" t="s">
        <v>126</v>
      </c>
      <c r="E1787">
        <v>32239</v>
      </c>
      <c r="G1787" s="40" t="str">
        <f>especies_ativa_codibama[[#This Row],[Nome popular]]</f>
        <v>bacuri, aricuri, uricuri, uricurã-vermelho</v>
      </c>
      <c r="H1787" s="40" t="str">
        <f>especies_ativa_codibama[[#This Row],[Nome científico]]</f>
        <v xml:space="preserve">Attalea phalerata </v>
      </c>
    </row>
    <row r="1788" spans="1:8" x14ac:dyDescent="0.25">
      <c r="A1788">
        <v>37187</v>
      </c>
      <c r="B1788" t="s">
        <v>93</v>
      </c>
      <c r="C1788" t="s">
        <v>2501</v>
      </c>
      <c r="D1788" t="s">
        <v>38</v>
      </c>
      <c r="E1788">
        <v>33912</v>
      </c>
      <c r="G1788" s="40" t="str">
        <f>especies_ativa_codibama[[#This Row],[Nome popular]]</f>
        <v>Eucalipto</v>
      </c>
      <c r="H1788" s="40" t="str">
        <f>especies_ativa_codibama[[#This Row],[Nome científico]]</f>
        <v>Eucalyptus urophylla</v>
      </c>
    </row>
    <row r="1789" spans="1:8" x14ac:dyDescent="0.25">
      <c r="A1789">
        <v>37192</v>
      </c>
      <c r="B1789" t="s">
        <v>186</v>
      </c>
      <c r="C1789" t="s">
        <v>2502</v>
      </c>
      <c r="D1789" t="s">
        <v>38</v>
      </c>
      <c r="E1789">
        <v>1425116</v>
      </c>
      <c r="G1789" s="40" t="str">
        <f>especies_ativa_codibama[[#This Row],[Nome popular]]</f>
        <v>--</v>
      </c>
      <c r="H1789" s="40" t="str">
        <f>especies_ativa_codibama[[#This Row],[Nome científico]]</f>
        <v>Cordiera concolor</v>
      </c>
    </row>
    <row r="1790" spans="1:8" x14ac:dyDescent="0.25">
      <c r="A1790">
        <v>37193</v>
      </c>
      <c r="B1790" t="s">
        <v>186</v>
      </c>
      <c r="C1790" t="s">
        <v>2503</v>
      </c>
      <c r="D1790" t="s">
        <v>38</v>
      </c>
      <c r="E1790">
        <v>1981084</v>
      </c>
      <c r="G1790" s="40" t="str">
        <f>especies_ativa_codibama[[#This Row],[Nome popular]]</f>
        <v>--</v>
      </c>
      <c r="H1790" s="40" t="str">
        <f>especies_ativa_codibama[[#This Row],[Nome científico]]</f>
        <v>Davilla elliptica</v>
      </c>
    </row>
    <row r="1791" spans="1:8" x14ac:dyDescent="0.25">
      <c r="A1791">
        <v>37194</v>
      </c>
      <c r="B1791" t="s">
        <v>2504</v>
      </c>
      <c r="C1791" t="s">
        <v>2505</v>
      </c>
      <c r="D1791" t="s">
        <v>38</v>
      </c>
      <c r="E1791">
        <v>1425708</v>
      </c>
      <c r="G1791" s="40" t="str">
        <f>especies_ativa_codibama[[#This Row],[Nome popular]]</f>
        <v>araçá-cascudo</v>
      </c>
      <c r="H1791" s="40" t="str">
        <f>especies_ativa_codibama[[#This Row],[Nome científico]]</f>
        <v>Psidium laruotteanum</v>
      </c>
    </row>
    <row r="1792" spans="1:8" x14ac:dyDescent="0.25">
      <c r="A1792">
        <v>37195</v>
      </c>
      <c r="B1792" t="s">
        <v>2506</v>
      </c>
      <c r="C1792" t="s">
        <v>2507</v>
      </c>
      <c r="D1792" t="s">
        <v>38</v>
      </c>
      <c r="E1792">
        <v>2024730</v>
      </c>
      <c r="G1792" s="40" t="str">
        <f>especies_ativa_codibama[[#This Row],[Nome popular]]</f>
        <v>catinga-de-porco, tanibuca, muçambé, cuiarana, tanimbuca, chapada, merindiba</v>
      </c>
      <c r="H1792" s="40" t="str">
        <f>especies_ativa_codibama[[#This Row],[Nome científico]]</f>
        <v>Terminalia tetraphylla</v>
      </c>
    </row>
    <row r="1793" spans="1:8" x14ac:dyDescent="0.25">
      <c r="A1793">
        <v>37196</v>
      </c>
      <c r="B1793" t="s">
        <v>186</v>
      </c>
      <c r="C1793" t="s">
        <v>2508</v>
      </c>
      <c r="D1793" t="s">
        <v>38</v>
      </c>
      <c r="E1793">
        <v>1981785</v>
      </c>
      <c r="G1793" s="40" t="str">
        <f>especies_ativa_codibama[[#This Row],[Nome popular]]</f>
        <v>--</v>
      </c>
      <c r="H1793" s="40" t="str">
        <f>especies_ativa_codibama[[#This Row],[Nome científico]]</f>
        <v>Heteropterys argyrophaea</v>
      </c>
    </row>
    <row r="1794" spans="1:8" x14ac:dyDescent="0.25">
      <c r="A1794">
        <v>37197</v>
      </c>
      <c r="B1794" t="s">
        <v>106</v>
      </c>
      <c r="C1794" t="s">
        <v>2750</v>
      </c>
      <c r="D1794" t="s">
        <v>38</v>
      </c>
      <c r="E1794">
        <v>2024734</v>
      </c>
      <c r="G1794" s="40" t="str">
        <f>especies_ativa_codibama[[#This Row],[Nome popular]]</f>
        <v>---</v>
      </c>
      <c r="H1794" s="40" t="str">
        <f>especies_ativa_codibama[[#This Row],[Nome científico]]</f>
        <v>Palicourea sessilis</v>
      </c>
    </row>
    <row r="1795" spans="1:8" x14ac:dyDescent="0.25">
      <c r="A1795">
        <v>37198</v>
      </c>
      <c r="B1795" t="s">
        <v>2509</v>
      </c>
      <c r="C1795" t="s">
        <v>2510</v>
      </c>
      <c r="D1795" t="s">
        <v>38</v>
      </c>
      <c r="E1795">
        <v>1414979</v>
      </c>
      <c r="G1795" s="40" t="str">
        <f>especies_ativa_codibama[[#This Row],[Nome popular]]</f>
        <v>Canela-de-ema</v>
      </c>
      <c r="H1795" s="40" t="str">
        <f>especies_ativa_codibama[[#This Row],[Nome científico]]</f>
        <v>Vellozia squamata</v>
      </c>
    </row>
    <row r="1796" spans="1:8" x14ac:dyDescent="0.25">
      <c r="A1796">
        <v>37199</v>
      </c>
      <c r="B1796" t="s">
        <v>2751</v>
      </c>
      <c r="C1796" t="s">
        <v>2752</v>
      </c>
      <c r="D1796" t="s">
        <v>38</v>
      </c>
      <c r="E1796">
        <v>2024960</v>
      </c>
      <c r="G1796" s="40" t="str">
        <f>especies_ativa_codibama[[#This Row],[Nome popular]]</f>
        <v>cambuy, pau-pilão, mirindiba, mijol, cuiarana, tarumarana, merindiba, piá-banheira, pebanheira, biriba, miringiba, imbuzeiro</v>
      </c>
      <c r="H1796" s="40" t="str">
        <f>especies_ativa_codibama[[#This Row],[Nome científico]]</f>
        <v>Terminalia corrugata</v>
      </c>
    </row>
    <row r="1797" spans="1:8" x14ac:dyDescent="0.25">
      <c r="A1797">
        <v>37201</v>
      </c>
      <c r="B1797" t="s">
        <v>122</v>
      </c>
      <c r="C1797" t="s">
        <v>123</v>
      </c>
      <c r="D1797" t="s">
        <v>38</v>
      </c>
      <c r="E1797">
        <v>34884</v>
      </c>
      <c r="G1797" s="40" t="str">
        <f>especies_ativa_codibama[[#This Row],[Nome popular]]</f>
        <v>Ajuru</v>
      </c>
      <c r="H1797" s="40" t="str">
        <f>especies_ativa_codibama[[#This Row],[Nome científico]]</f>
        <v>Licania apetala</v>
      </c>
    </row>
    <row r="1798" spans="1:8" x14ac:dyDescent="0.25">
      <c r="A1798">
        <v>37202</v>
      </c>
      <c r="B1798" t="s">
        <v>2511</v>
      </c>
      <c r="C1798" t="s">
        <v>2512</v>
      </c>
      <c r="D1798" t="s">
        <v>38</v>
      </c>
      <c r="E1798">
        <v>33345</v>
      </c>
      <c r="G1798" s="40" t="str">
        <f>especies_ativa_codibama[[#This Row],[Nome popular]]</f>
        <v>gameleira</v>
      </c>
      <c r="H1798" s="40" t="str">
        <f>especies_ativa_codibama[[#This Row],[Nome científico]]</f>
        <v>Ficus killipii</v>
      </c>
    </row>
    <row r="1799" spans="1:8" x14ac:dyDescent="0.25">
      <c r="A1799">
        <v>37203</v>
      </c>
      <c r="B1799" t="s">
        <v>2513</v>
      </c>
      <c r="C1799" t="s">
        <v>2514</v>
      </c>
      <c r="D1799" t="s">
        <v>38</v>
      </c>
      <c r="E1799">
        <v>518509</v>
      </c>
      <c r="G1799" s="40" t="str">
        <f>especies_ativa_codibama[[#This Row],[Nome popular]]</f>
        <v>Cipó de São João, Flor de São João</v>
      </c>
      <c r="H1799" s="40" t="str">
        <f>especies_ativa_codibama[[#This Row],[Nome científico]]</f>
        <v>Pyrostegia venusta</v>
      </c>
    </row>
    <row r="1800" spans="1:8" x14ac:dyDescent="0.25">
      <c r="A1800">
        <v>37204</v>
      </c>
      <c r="B1800" t="s">
        <v>2753</v>
      </c>
      <c r="C1800" t="s">
        <v>2754</v>
      </c>
      <c r="D1800" t="s">
        <v>38</v>
      </c>
      <c r="E1800">
        <v>1686054</v>
      </c>
      <c r="G1800" s="40" t="str">
        <f>especies_ativa_codibama[[#This Row],[Nome popular]]</f>
        <v>Murta-branca</v>
      </c>
      <c r="H1800" s="40" t="str">
        <f>especies_ativa_codibama[[#This Row],[Nome científico]]</f>
        <v>Myrcia selloi</v>
      </c>
    </row>
    <row r="1801" spans="1:8" x14ac:dyDescent="0.25">
      <c r="A1801">
        <v>37205</v>
      </c>
      <c r="B1801" t="s">
        <v>2755</v>
      </c>
      <c r="C1801" t="s">
        <v>2756</v>
      </c>
      <c r="D1801" t="s">
        <v>38</v>
      </c>
      <c r="E1801">
        <v>595989</v>
      </c>
      <c r="G1801" s="40" t="str">
        <f>especies_ativa_codibama[[#This Row],[Nome popular]]</f>
        <v>unha-de-bode</v>
      </c>
      <c r="H1801" s="40" t="str">
        <f>especies_ativa_codibama[[#This Row],[Nome científico]]</f>
        <v>Bauhinia curvula</v>
      </c>
    </row>
    <row r="1802" spans="1:8" x14ac:dyDescent="0.25">
      <c r="A1802">
        <v>37207</v>
      </c>
      <c r="B1802" t="s">
        <v>106</v>
      </c>
      <c r="C1802" t="s">
        <v>2757</v>
      </c>
      <c r="D1802" t="s">
        <v>126</v>
      </c>
      <c r="E1802">
        <v>1986410</v>
      </c>
      <c r="G1802" s="40" t="str">
        <f>especies_ativa_codibama[[#This Row],[Nome popular]]</f>
        <v>---</v>
      </c>
      <c r="H1802" s="40" t="str">
        <f>especies_ativa_codibama[[#This Row],[Nome científico]]</f>
        <v>Eugenia sellowiana</v>
      </c>
    </row>
    <row r="1803" spans="1:8" x14ac:dyDescent="0.25">
      <c r="A1803">
        <v>37214</v>
      </c>
      <c r="B1803" t="s">
        <v>2758</v>
      </c>
      <c r="C1803" t="s">
        <v>2759</v>
      </c>
      <c r="D1803" t="s">
        <v>126</v>
      </c>
      <c r="E1803">
        <v>2003217</v>
      </c>
      <c r="G1803" s="40" t="str">
        <f>especies_ativa_codibama[[#This Row],[Nome popular]]</f>
        <v>algodão-do-campo, algodãozinho-do-campo, algodão-bravo</v>
      </c>
      <c r="H1803" s="40" t="str">
        <f>especies_ativa_codibama[[#This Row],[Nome científico]]</f>
        <v>Cochlospermum regium</v>
      </c>
    </row>
    <row r="1804" spans="1:8" x14ac:dyDescent="0.25">
      <c r="A1804">
        <v>37215</v>
      </c>
      <c r="B1804" t="s">
        <v>2760</v>
      </c>
      <c r="C1804" t="s">
        <v>2761</v>
      </c>
      <c r="D1804" t="s">
        <v>126</v>
      </c>
      <c r="E1804">
        <v>1985407</v>
      </c>
      <c r="G1804" s="40" t="str">
        <f>especies_ativa_codibama[[#This Row],[Nome popular]]</f>
        <v>graxuma, mutamba, saca-rolha, pimenta-de-mocó</v>
      </c>
      <c r="H1804" s="40" t="str">
        <f>especies_ativa_codibama[[#This Row],[Nome científico]]</f>
        <v>Helicteres muscosa</v>
      </c>
    </row>
    <row r="1805" spans="1:8" x14ac:dyDescent="0.25">
      <c r="A1805">
        <v>37216</v>
      </c>
      <c r="B1805" t="s">
        <v>186</v>
      </c>
      <c r="C1805" t="s">
        <v>2762</v>
      </c>
      <c r="D1805" t="s">
        <v>79</v>
      </c>
      <c r="E1805">
        <v>2024956</v>
      </c>
      <c r="G1805" s="40" t="str">
        <f>especies_ativa_codibama[[#This Row],[Nome popular]]</f>
        <v>--</v>
      </c>
      <c r="H1805" s="40" t="str">
        <f>especies_ativa_codibama[[#This Row],[Nome científico]]</f>
        <v>Poecilanthe goiasana</v>
      </c>
    </row>
    <row r="1806" spans="1:8" x14ac:dyDescent="0.25">
      <c r="A1806">
        <v>37217</v>
      </c>
      <c r="B1806" t="s">
        <v>106</v>
      </c>
      <c r="C1806" t="s">
        <v>2763</v>
      </c>
      <c r="D1806" t="s">
        <v>38</v>
      </c>
      <c r="E1806">
        <v>2024957</v>
      </c>
      <c r="G1806" s="40" t="str">
        <f>especies_ativa_codibama[[#This Row],[Nome popular]]</f>
        <v>---</v>
      </c>
      <c r="H1806" s="40" t="str">
        <f>especies_ativa_codibama[[#This Row],[Nome científico]]</f>
        <v>Aspidosperma brasiliense</v>
      </c>
    </row>
    <row r="1807" spans="1:8" x14ac:dyDescent="0.25">
      <c r="A1807">
        <v>37218</v>
      </c>
      <c r="B1807" t="s">
        <v>106</v>
      </c>
      <c r="C1807" t="s">
        <v>2764</v>
      </c>
      <c r="D1807" t="s">
        <v>38</v>
      </c>
      <c r="E1807">
        <v>1982706</v>
      </c>
      <c r="G1807" s="40" t="str">
        <f>especies_ativa_codibama[[#This Row],[Nome popular]]</f>
        <v>---</v>
      </c>
      <c r="H1807" s="40" t="str">
        <f>especies_ativa_codibama[[#This Row],[Nome científico]]</f>
        <v>MYRSINE PARVIFOLIA</v>
      </c>
    </row>
  </sheetData>
  <mergeCells count="1">
    <mergeCell ref="A1:H3"/>
  </mergeCells>
  <pageMargins left="0.51180555555555596" right="0.51180555555555596" top="0.78749999999999998" bottom="0.78749999999999998"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5B927"/>
  </sheetPr>
  <dimension ref="A1:G16"/>
  <sheetViews>
    <sheetView zoomScaleNormal="100" workbookViewId="0">
      <selection activeCell="A7" sqref="A7:XFD7"/>
    </sheetView>
  </sheetViews>
  <sheetFormatPr defaultColWidth="8.7109375" defaultRowHeight="15" x14ac:dyDescent="0.25"/>
  <cols>
    <col min="1" max="1" width="7.28515625" style="26" customWidth="1"/>
    <col min="2" max="2" width="37.140625" style="26" customWidth="1"/>
    <col min="3" max="3" width="50.28515625" style="26" customWidth="1"/>
    <col min="4" max="4" width="22.42578125" style="26" customWidth="1"/>
    <col min="5" max="5" width="12.42578125" style="26" customWidth="1"/>
  </cols>
  <sheetData>
    <row r="1" spans="1:7" ht="18.75" customHeight="1" x14ac:dyDescent="0.25">
      <c r="A1" s="44" t="s">
        <v>19</v>
      </c>
      <c r="B1" s="44"/>
      <c r="C1" s="44"/>
      <c r="D1" s="27"/>
      <c r="E1" s="27"/>
      <c r="F1" s="27"/>
      <c r="G1" s="27"/>
    </row>
    <row r="2" spans="1:7" ht="15" customHeight="1" x14ac:dyDescent="0.25">
      <c r="A2" s="44"/>
      <c r="B2" s="44"/>
      <c r="C2" s="44"/>
      <c r="D2" s="27"/>
      <c r="E2" s="27"/>
      <c r="F2" s="27"/>
      <c r="G2" s="27"/>
    </row>
    <row r="3" spans="1:7" ht="15" customHeight="1" x14ac:dyDescent="0.25">
      <c r="A3" s="44"/>
      <c r="B3" s="44"/>
      <c r="C3" s="44"/>
      <c r="D3" s="27"/>
      <c r="E3" s="27"/>
      <c r="F3" s="27"/>
      <c r="G3" s="27"/>
    </row>
    <row r="4" spans="1:7" x14ac:dyDescent="0.25">
      <c r="A4" s="28" t="s">
        <v>2515</v>
      </c>
      <c r="B4" s="28" t="s">
        <v>2516</v>
      </c>
      <c r="C4" s="28" t="s">
        <v>2517</v>
      </c>
      <c r="D4" s="29"/>
      <c r="E4" s="30"/>
      <c r="F4" s="30"/>
      <c r="G4" s="30"/>
    </row>
    <row r="5" spans="1:7" x14ac:dyDescent="0.25">
      <c r="A5" s="26">
        <v>25</v>
      </c>
      <c r="B5" s="26" t="s">
        <v>2518</v>
      </c>
      <c r="C5" s="26" t="s">
        <v>2519</v>
      </c>
    </row>
    <row r="6" spans="1:7" x14ac:dyDescent="0.25">
      <c r="A6" s="26">
        <v>27</v>
      </c>
      <c r="B6" s="26" t="s">
        <v>2520</v>
      </c>
      <c r="C6" s="26" t="s">
        <v>2519</v>
      </c>
    </row>
    <row r="7" spans="1:7" x14ac:dyDescent="0.25">
      <c r="A7" s="26">
        <v>49</v>
      </c>
      <c r="B7" s="26" t="s">
        <v>2521</v>
      </c>
      <c r="C7" s="26" t="s">
        <v>2519</v>
      </c>
    </row>
    <row r="8" spans="1:7" x14ac:dyDescent="0.25">
      <c r="A8" s="26">
        <v>81</v>
      </c>
      <c r="B8" s="26" t="s">
        <v>2522</v>
      </c>
      <c r="C8" s="26" t="s">
        <v>2519</v>
      </c>
    </row>
    <row r="9" spans="1:7" x14ac:dyDescent="0.25">
      <c r="A9" s="26">
        <v>84</v>
      </c>
      <c r="B9" s="26" t="s">
        <v>2523</v>
      </c>
      <c r="C9" s="26" t="s">
        <v>2519</v>
      </c>
    </row>
    <row r="10" spans="1:7" x14ac:dyDescent="0.25">
      <c r="A10" s="26">
        <v>89</v>
      </c>
      <c r="B10" s="26" t="s">
        <v>2549</v>
      </c>
      <c r="C10" s="26" t="s">
        <v>2519</v>
      </c>
    </row>
    <row r="11" spans="1:7" x14ac:dyDescent="0.25">
      <c r="A11" s="26">
        <v>34</v>
      </c>
      <c r="B11" s="26" t="s">
        <v>2524</v>
      </c>
      <c r="C11" s="26" t="s">
        <v>2525</v>
      </c>
    </row>
    <row r="12" spans="1:7" x14ac:dyDescent="0.25">
      <c r="A12" s="26">
        <v>50</v>
      </c>
      <c r="B12" s="26" t="s">
        <v>2521</v>
      </c>
      <c r="C12" s="26" t="s">
        <v>2525</v>
      </c>
    </row>
    <row r="13" spans="1:7" x14ac:dyDescent="0.25">
      <c r="A13" s="26">
        <v>58</v>
      </c>
      <c r="B13" s="26" t="s">
        <v>2526</v>
      </c>
      <c r="C13" s="26" t="s">
        <v>2527</v>
      </c>
    </row>
    <row r="14" spans="1:7" x14ac:dyDescent="0.25">
      <c r="A14" s="26">
        <v>53</v>
      </c>
      <c r="B14" s="26" t="s">
        <v>2528</v>
      </c>
      <c r="C14" s="26" t="s">
        <v>2529</v>
      </c>
    </row>
    <row r="15" spans="1:7" x14ac:dyDescent="0.25">
      <c r="A15" s="26">
        <v>52</v>
      </c>
      <c r="B15" s="26" t="s">
        <v>2530</v>
      </c>
      <c r="C15" s="26" t="s">
        <v>2531</v>
      </c>
    </row>
    <row r="16" spans="1:7" x14ac:dyDescent="0.25">
      <c r="A16" s="26">
        <v>61</v>
      </c>
      <c r="B16" s="26" t="s">
        <v>2532</v>
      </c>
      <c r="C16" s="26" t="s">
        <v>2533</v>
      </c>
    </row>
  </sheetData>
  <mergeCells count="1">
    <mergeCell ref="A1:C3"/>
  </mergeCells>
  <pageMargins left="0.51180555555555596" right="0.51180555555555596" top="0.78749999999999998" bottom="0.78749999999999998"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14938"/>
  </sheetPr>
  <dimension ref="A1:E1001"/>
  <sheetViews>
    <sheetView zoomScaleNormal="100" workbookViewId="0">
      <selection activeCell="C16" sqref="C16"/>
    </sheetView>
  </sheetViews>
  <sheetFormatPr defaultColWidth="10.7109375" defaultRowHeight="15" x14ac:dyDescent="0.25"/>
  <cols>
    <col min="1" max="1" width="18" style="26" customWidth="1"/>
    <col min="2" max="2" width="19" style="31" customWidth="1"/>
    <col min="3" max="3" width="18.85546875" style="26" customWidth="1"/>
    <col min="4" max="4" width="24.7109375" style="26" customWidth="1"/>
    <col min="5" max="5" width="26.7109375" style="26" customWidth="1"/>
  </cols>
  <sheetData>
    <row r="1" spans="1:5" x14ac:dyDescent="0.25">
      <c r="A1" s="32" t="s">
        <v>2534</v>
      </c>
      <c r="B1" s="33" t="s">
        <v>2535</v>
      </c>
      <c r="C1" s="32" t="s">
        <v>2536</v>
      </c>
      <c r="D1" s="32" t="s">
        <v>2537</v>
      </c>
      <c r="E1" s="32" t="s">
        <v>2538</v>
      </c>
    </row>
    <row r="2" spans="1:5" x14ac:dyDescent="0.25">
      <c r="A2" s="26">
        <f>IF('2 - PREENCHA AQUI'!E6=FALSE(),0,'2 - PREENCHA AQUI'!E6)</f>
        <v>0</v>
      </c>
      <c r="B2" s="31">
        <f>'2 - PREENCHA AQUI'!J6</f>
        <v>0</v>
      </c>
      <c r="C2" s="31">
        <f>'2 - PREENCHA AQUI'!K6</f>
        <v>0</v>
      </c>
      <c r="D2" s="26">
        <f>'2 - PREENCHA AQUI'!L6</f>
        <v>0</v>
      </c>
      <c r="E2" s="26">
        <f>'2 - PREENCHA AQUI'!M6</f>
        <v>0</v>
      </c>
    </row>
    <row r="3" spans="1:5" x14ac:dyDescent="0.25">
      <c r="A3" s="26">
        <f>IF('2 - PREENCHA AQUI'!E7=FALSE(),0,'2 - PREENCHA AQUI'!E7)</f>
        <v>0</v>
      </c>
      <c r="B3" s="31">
        <f>'2 - PREENCHA AQUI'!J7</f>
        <v>0</v>
      </c>
      <c r="C3" s="31">
        <f>'2 - PREENCHA AQUI'!K7</f>
        <v>0</v>
      </c>
      <c r="D3" s="26">
        <f>'2 - PREENCHA AQUI'!L7</f>
        <v>0</v>
      </c>
      <c r="E3" s="26">
        <f>'2 - PREENCHA AQUI'!M7</f>
        <v>0</v>
      </c>
    </row>
    <row r="4" spans="1:5" x14ac:dyDescent="0.25">
      <c r="A4" s="26">
        <f>IF('2 - PREENCHA AQUI'!E8=FALSE(),0,'2 - PREENCHA AQUI'!E8)</f>
        <v>0</v>
      </c>
      <c r="B4" s="31">
        <f>'2 - PREENCHA AQUI'!J8</f>
        <v>0</v>
      </c>
      <c r="C4" s="31">
        <f>'2 - PREENCHA AQUI'!K8</f>
        <v>0</v>
      </c>
      <c r="D4" s="26">
        <f>'2 - PREENCHA AQUI'!L8</f>
        <v>0</v>
      </c>
      <c r="E4" s="26">
        <f>'2 - PREENCHA AQUI'!M8</f>
        <v>0</v>
      </c>
    </row>
    <row r="5" spans="1:5" x14ac:dyDescent="0.25">
      <c r="A5" s="26">
        <f>IF('2 - PREENCHA AQUI'!E9=FALSE(),0,'2 - PREENCHA AQUI'!E9)</f>
        <v>0</v>
      </c>
      <c r="B5" s="31">
        <f>'2 - PREENCHA AQUI'!J9</f>
        <v>0</v>
      </c>
      <c r="C5" s="31">
        <f>'2 - PREENCHA AQUI'!K9</f>
        <v>0</v>
      </c>
      <c r="D5" s="26">
        <f>'2 - PREENCHA AQUI'!L9</f>
        <v>0</v>
      </c>
      <c r="E5" s="26">
        <f>'2 - PREENCHA AQUI'!M9</f>
        <v>0</v>
      </c>
    </row>
    <row r="6" spans="1:5" x14ac:dyDescent="0.25">
      <c r="A6" s="26">
        <f>IF('2 - PREENCHA AQUI'!E10=FALSE(),0,'2 - PREENCHA AQUI'!E10)</f>
        <v>0</v>
      </c>
      <c r="B6" s="31">
        <f>'2 - PREENCHA AQUI'!J10</f>
        <v>0</v>
      </c>
      <c r="C6" s="31">
        <f>'2 - PREENCHA AQUI'!K10</f>
        <v>0</v>
      </c>
      <c r="D6" s="26">
        <f>'2 - PREENCHA AQUI'!L10</f>
        <v>0</v>
      </c>
      <c r="E6" s="26">
        <f>'2 - PREENCHA AQUI'!M10</f>
        <v>0</v>
      </c>
    </row>
    <row r="7" spans="1:5" x14ac:dyDescent="0.25">
      <c r="A7" s="26">
        <f>IF('2 - PREENCHA AQUI'!E11=FALSE(),0,'2 - PREENCHA AQUI'!E11)</f>
        <v>0</v>
      </c>
      <c r="B7" s="31">
        <f>'2 - PREENCHA AQUI'!J11</f>
        <v>0</v>
      </c>
      <c r="C7" s="31">
        <f>'2 - PREENCHA AQUI'!K11</f>
        <v>0</v>
      </c>
      <c r="D7" s="26">
        <f>'2 - PREENCHA AQUI'!L11</f>
        <v>0</v>
      </c>
      <c r="E7" s="26">
        <f>'2 - PREENCHA AQUI'!M11</f>
        <v>0</v>
      </c>
    </row>
    <row r="8" spans="1:5" x14ac:dyDescent="0.25">
      <c r="A8" s="26">
        <f>IF('2 - PREENCHA AQUI'!E12=FALSE(),0,'2 - PREENCHA AQUI'!E12)</f>
        <v>0</v>
      </c>
      <c r="B8" s="31">
        <f>'2 - PREENCHA AQUI'!J12</f>
        <v>0</v>
      </c>
      <c r="C8" s="31">
        <f>'2 - PREENCHA AQUI'!K12</f>
        <v>0</v>
      </c>
      <c r="D8" s="26">
        <f>'2 - PREENCHA AQUI'!L12</f>
        <v>0</v>
      </c>
      <c r="E8" s="26">
        <f>'2 - PREENCHA AQUI'!M12</f>
        <v>0</v>
      </c>
    </row>
    <row r="9" spans="1:5" x14ac:dyDescent="0.25">
      <c r="A9" s="26">
        <f>IF('2 - PREENCHA AQUI'!E13=FALSE(),0,'2 - PREENCHA AQUI'!E13)</f>
        <v>0</v>
      </c>
      <c r="B9" s="31">
        <f>'2 - PREENCHA AQUI'!J13</f>
        <v>0</v>
      </c>
      <c r="C9" s="31">
        <f>'2 - PREENCHA AQUI'!K13</f>
        <v>0</v>
      </c>
      <c r="D9" s="26">
        <f>'2 - PREENCHA AQUI'!L13</f>
        <v>0</v>
      </c>
      <c r="E9" s="26">
        <f>'2 - PREENCHA AQUI'!M13</f>
        <v>0</v>
      </c>
    </row>
    <row r="10" spans="1:5" x14ac:dyDescent="0.25">
      <c r="A10" s="26">
        <f>IF('2 - PREENCHA AQUI'!E14=FALSE(),0,'2 - PREENCHA AQUI'!E14)</f>
        <v>0</v>
      </c>
      <c r="B10" s="31">
        <f>'2 - PREENCHA AQUI'!J14</f>
        <v>0</v>
      </c>
      <c r="C10" s="31">
        <f>'2 - PREENCHA AQUI'!K14</f>
        <v>0</v>
      </c>
      <c r="D10" s="26">
        <f>'2 - PREENCHA AQUI'!L14</f>
        <v>0</v>
      </c>
      <c r="E10" s="26">
        <f>'2 - PREENCHA AQUI'!M14</f>
        <v>0</v>
      </c>
    </row>
    <row r="11" spans="1:5" x14ac:dyDescent="0.25">
      <c r="A11" s="26">
        <f>IF('2 - PREENCHA AQUI'!E15=FALSE(),0,'2 - PREENCHA AQUI'!E15)</f>
        <v>0</v>
      </c>
      <c r="B11" s="31">
        <f>'2 - PREENCHA AQUI'!J15</f>
        <v>0</v>
      </c>
      <c r="C11" s="31">
        <f>'2 - PREENCHA AQUI'!K15</f>
        <v>0</v>
      </c>
      <c r="D11" s="26">
        <f>'2 - PREENCHA AQUI'!L15</f>
        <v>0</v>
      </c>
      <c r="E11" s="26">
        <f>'2 - PREENCHA AQUI'!M15</f>
        <v>0</v>
      </c>
    </row>
    <row r="12" spans="1:5" x14ac:dyDescent="0.25">
      <c r="A12" s="26">
        <f>IF('2 - PREENCHA AQUI'!E16=FALSE(),0,'2 - PREENCHA AQUI'!E16)</f>
        <v>0</v>
      </c>
      <c r="B12" s="31">
        <f>'2 - PREENCHA AQUI'!J16</f>
        <v>0</v>
      </c>
      <c r="C12" s="31">
        <f>'2 - PREENCHA AQUI'!K16</f>
        <v>0</v>
      </c>
      <c r="D12" s="26">
        <f>'2 - PREENCHA AQUI'!L16</f>
        <v>0</v>
      </c>
      <c r="E12" s="26">
        <f>'2 - PREENCHA AQUI'!M16</f>
        <v>0</v>
      </c>
    </row>
    <row r="13" spans="1:5" x14ac:dyDescent="0.25">
      <c r="A13" s="26">
        <f>IF('2 - PREENCHA AQUI'!E17=FALSE(),0,'2 - PREENCHA AQUI'!E17)</f>
        <v>0</v>
      </c>
      <c r="B13" s="31">
        <f>'2 - PREENCHA AQUI'!J17</f>
        <v>0</v>
      </c>
      <c r="C13" s="31">
        <f>'2 - PREENCHA AQUI'!K17</f>
        <v>0</v>
      </c>
      <c r="D13" s="26">
        <f>'2 - PREENCHA AQUI'!L17</f>
        <v>0</v>
      </c>
      <c r="E13" s="26">
        <f>'2 - PREENCHA AQUI'!M17</f>
        <v>0</v>
      </c>
    </row>
    <row r="14" spans="1:5" x14ac:dyDescent="0.25">
      <c r="A14" s="26">
        <f>IF('2 - PREENCHA AQUI'!E18=FALSE(),0,'2 - PREENCHA AQUI'!E18)</f>
        <v>0</v>
      </c>
      <c r="B14" s="31">
        <f>'2 - PREENCHA AQUI'!J18</f>
        <v>0</v>
      </c>
      <c r="C14" s="31">
        <f>'2 - PREENCHA AQUI'!K18</f>
        <v>0</v>
      </c>
      <c r="D14" s="26">
        <f>'2 - PREENCHA AQUI'!L18</f>
        <v>0</v>
      </c>
      <c r="E14" s="26">
        <f>'2 - PREENCHA AQUI'!M18</f>
        <v>0</v>
      </c>
    </row>
    <row r="15" spans="1:5" x14ac:dyDescent="0.25">
      <c r="A15" s="26">
        <f>IF('2 - PREENCHA AQUI'!E19=FALSE(),0,'2 - PREENCHA AQUI'!E19)</f>
        <v>0</v>
      </c>
      <c r="B15" s="31">
        <f>'2 - PREENCHA AQUI'!J19</f>
        <v>0</v>
      </c>
      <c r="C15" s="31">
        <f>'2 - PREENCHA AQUI'!K19</f>
        <v>0</v>
      </c>
      <c r="D15" s="26">
        <f>'2 - PREENCHA AQUI'!L19</f>
        <v>0</v>
      </c>
      <c r="E15" s="26">
        <f>'2 - PREENCHA AQUI'!M19</f>
        <v>0</v>
      </c>
    </row>
    <row r="16" spans="1:5" x14ac:dyDescent="0.25">
      <c r="A16" s="26">
        <f>IF('2 - PREENCHA AQUI'!E20=FALSE(),0,'2 - PREENCHA AQUI'!E20)</f>
        <v>0</v>
      </c>
      <c r="B16" s="31">
        <f>'2 - PREENCHA AQUI'!J20</f>
        <v>0</v>
      </c>
      <c r="C16" s="31">
        <f>'2 - PREENCHA AQUI'!K20</f>
        <v>0</v>
      </c>
      <c r="D16" s="26">
        <f>'2 - PREENCHA AQUI'!L20</f>
        <v>0</v>
      </c>
      <c r="E16" s="26">
        <f>'2 - PREENCHA AQUI'!M20</f>
        <v>0</v>
      </c>
    </row>
    <row r="17" spans="1:5" x14ac:dyDescent="0.25">
      <c r="A17" s="26">
        <f>IF('2 - PREENCHA AQUI'!E21=FALSE(),0,'2 - PREENCHA AQUI'!E21)</f>
        <v>0</v>
      </c>
      <c r="B17" s="31">
        <f>'2 - PREENCHA AQUI'!J21</f>
        <v>0</v>
      </c>
      <c r="C17" s="31">
        <f>'2 - PREENCHA AQUI'!K21</f>
        <v>0</v>
      </c>
      <c r="D17" s="26">
        <f>'2 - PREENCHA AQUI'!L21</f>
        <v>0</v>
      </c>
      <c r="E17" s="26">
        <f>'2 - PREENCHA AQUI'!M21</f>
        <v>0</v>
      </c>
    </row>
    <row r="18" spans="1:5" x14ac:dyDescent="0.25">
      <c r="A18" s="26">
        <f>IF('2 - PREENCHA AQUI'!E22=FALSE(),0,'2 - PREENCHA AQUI'!E22)</f>
        <v>0</v>
      </c>
      <c r="B18" s="31">
        <f>'2 - PREENCHA AQUI'!J22</f>
        <v>0</v>
      </c>
      <c r="C18" s="31">
        <f>'2 - PREENCHA AQUI'!K22</f>
        <v>0</v>
      </c>
      <c r="D18" s="26">
        <f>'2 - PREENCHA AQUI'!L22</f>
        <v>0</v>
      </c>
      <c r="E18" s="26">
        <f>'2 - PREENCHA AQUI'!M22</f>
        <v>0</v>
      </c>
    </row>
    <row r="19" spans="1:5" x14ac:dyDescent="0.25">
      <c r="A19" s="26">
        <f>IF('2 - PREENCHA AQUI'!E23=FALSE(),0,'2 - PREENCHA AQUI'!E23)</f>
        <v>0</v>
      </c>
      <c r="B19" s="31">
        <f>'2 - PREENCHA AQUI'!J23</f>
        <v>0</v>
      </c>
      <c r="C19" s="31">
        <f>'2 - PREENCHA AQUI'!K23</f>
        <v>0</v>
      </c>
      <c r="D19" s="26">
        <f>'2 - PREENCHA AQUI'!L23</f>
        <v>0</v>
      </c>
      <c r="E19" s="26">
        <f>'2 - PREENCHA AQUI'!M23</f>
        <v>0</v>
      </c>
    </row>
    <row r="20" spans="1:5" x14ac:dyDescent="0.25">
      <c r="A20" s="26">
        <f>IF('2 - PREENCHA AQUI'!E24=FALSE(),0,'2 - PREENCHA AQUI'!E24)</f>
        <v>0</v>
      </c>
      <c r="B20" s="31">
        <f>'2 - PREENCHA AQUI'!J24</f>
        <v>0</v>
      </c>
      <c r="C20" s="31">
        <f>'2 - PREENCHA AQUI'!K24</f>
        <v>0</v>
      </c>
      <c r="D20" s="26">
        <f>'2 - PREENCHA AQUI'!L24</f>
        <v>0</v>
      </c>
      <c r="E20" s="26">
        <f>'2 - PREENCHA AQUI'!M24</f>
        <v>0</v>
      </c>
    </row>
    <row r="21" spans="1:5" x14ac:dyDescent="0.25">
      <c r="A21" s="26">
        <f>IF('2 - PREENCHA AQUI'!E25=FALSE(),0,'2 - PREENCHA AQUI'!E25)</f>
        <v>0</v>
      </c>
      <c r="B21" s="31">
        <f>'2 - PREENCHA AQUI'!J25</f>
        <v>0</v>
      </c>
      <c r="C21" s="31">
        <f>'2 - PREENCHA AQUI'!K25</f>
        <v>0</v>
      </c>
      <c r="D21" s="26">
        <f>'2 - PREENCHA AQUI'!L25</f>
        <v>0</v>
      </c>
      <c r="E21" s="26">
        <f>'2 - PREENCHA AQUI'!M25</f>
        <v>0</v>
      </c>
    </row>
    <row r="22" spans="1:5" x14ac:dyDescent="0.25">
      <c r="A22" s="26">
        <f>IF('2 - PREENCHA AQUI'!E26=FALSE(),0,'2 - PREENCHA AQUI'!E26)</f>
        <v>0</v>
      </c>
      <c r="B22" s="31">
        <f>'2 - PREENCHA AQUI'!J26</f>
        <v>0</v>
      </c>
      <c r="C22" s="31">
        <f>'2 - PREENCHA AQUI'!K26</f>
        <v>0</v>
      </c>
      <c r="D22" s="26">
        <f>'2 - PREENCHA AQUI'!L26</f>
        <v>0</v>
      </c>
      <c r="E22" s="26">
        <f>'2 - PREENCHA AQUI'!M26</f>
        <v>0</v>
      </c>
    </row>
    <row r="23" spans="1:5" x14ac:dyDescent="0.25">
      <c r="A23" s="26">
        <f>IF('2 - PREENCHA AQUI'!E27=FALSE(),0,'2 - PREENCHA AQUI'!E27)</f>
        <v>0</v>
      </c>
      <c r="B23" s="31">
        <f>'2 - PREENCHA AQUI'!J27</f>
        <v>0</v>
      </c>
      <c r="C23" s="31">
        <f>'2 - PREENCHA AQUI'!K27</f>
        <v>0</v>
      </c>
      <c r="D23" s="26">
        <f>'2 - PREENCHA AQUI'!L27</f>
        <v>0</v>
      </c>
      <c r="E23" s="26">
        <f>'2 - PREENCHA AQUI'!M27</f>
        <v>0</v>
      </c>
    </row>
    <row r="24" spans="1:5" x14ac:dyDescent="0.25">
      <c r="A24" s="26">
        <f>IF('2 - PREENCHA AQUI'!E28=FALSE(),0,'2 - PREENCHA AQUI'!E28)</f>
        <v>0</v>
      </c>
      <c r="B24" s="31">
        <f>'2 - PREENCHA AQUI'!J28</f>
        <v>0</v>
      </c>
      <c r="C24" s="31">
        <f>'2 - PREENCHA AQUI'!K28</f>
        <v>0</v>
      </c>
      <c r="D24" s="26">
        <f>'2 - PREENCHA AQUI'!L28</f>
        <v>0</v>
      </c>
      <c r="E24" s="26">
        <f>'2 - PREENCHA AQUI'!M28</f>
        <v>0</v>
      </c>
    </row>
    <row r="25" spans="1:5" x14ac:dyDescent="0.25">
      <c r="A25" s="26">
        <f>IF('2 - PREENCHA AQUI'!E29=FALSE(),0,'2 - PREENCHA AQUI'!E29)</f>
        <v>0</v>
      </c>
      <c r="B25" s="31">
        <f>'2 - PREENCHA AQUI'!J29</f>
        <v>0</v>
      </c>
      <c r="C25" s="31">
        <f>'2 - PREENCHA AQUI'!K29</f>
        <v>0</v>
      </c>
      <c r="D25" s="26">
        <f>'2 - PREENCHA AQUI'!L29</f>
        <v>0</v>
      </c>
      <c r="E25" s="26">
        <f>'2 - PREENCHA AQUI'!M29</f>
        <v>0</v>
      </c>
    </row>
    <row r="26" spans="1:5" x14ac:dyDescent="0.25">
      <c r="A26" s="26">
        <f>IF('2 - PREENCHA AQUI'!E30=FALSE(),0,'2 - PREENCHA AQUI'!E30)</f>
        <v>0</v>
      </c>
      <c r="B26" s="31">
        <f>'2 - PREENCHA AQUI'!J30</f>
        <v>0</v>
      </c>
      <c r="C26" s="31">
        <f>'2 - PREENCHA AQUI'!K30</f>
        <v>0</v>
      </c>
      <c r="D26" s="26">
        <f>'2 - PREENCHA AQUI'!L30</f>
        <v>0</v>
      </c>
      <c r="E26" s="26">
        <f>'2 - PREENCHA AQUI'!M30</f>
        <v>0</v>
      </c>
    </row>
    <row r="27" spans="1:5" x14ac:dyDescent="0.25">
      <c r="A27" s="26">
        <f>IF('2 - PREENCHA AQUI'!E31=FALSE(),0,'2 - PREENCHA AQUI'!E31)</f>
        <v>0</v>
      </c>
      <c r="B27" s="31">
        <f>'2 - PREENCHA AQUI'!J31</f>
        <v>0</v>
      </c>
      <c r="C27" s="31">
        <f>'2 - PREENCHA AQUI'!K31</f>
        <v>0</v>
      </c>
      <c r="D27" s="26">
        <f>'2 - PREENCHA AQUI'!L31</f>
        <v>0</v>
      </c>
      <c r="E27" s="26">
        <f>'2 - PREENCHA AQUI'!M31</f>
        <v>0</v>
      </c>
    </row>
    <row r="28" spans="1:5" x14ac:dyDescent="0.25">
      <c r="A28" s="26">
        <f>IF('2 - PREENCHA AQUI'!E32=FALSE(),0,'2 - PREENCHA AQUI'!E32)</f>
        <v>0</v>
      </c>
      <c r="B28" s="31">
        <f>'2 - PREENCHA AQUI'!J32</f>
        <v>0</v>
      </c>
      <c r="C28" s="31">
        <f>'2 - PREENCHA AQUI'!K32</f>
        <v>0</v>
      </c>
      <c r="D28" s="26">
        <f>'2 - PREENCHA AQUI'!L32</f>
        <v>0</v>
      </c>
      <c r="E28" s="26">
        <f>'2 - PREENCHA AQUI'!M32</f>
        <v>0</v>
      </c>
    </row>
    <row r="29" spans="1:5" x14ac:dyDescent="0.25">
      <c r="A29" s="26">
        <f>IF('2 - PREENCHA AQUI'!E33=FALSE(),0,'2 - PREENCHA AQUI'!E33)</f>
        <v>0</v>
      </c>
      <c r="B29" s="31">
        <f>'2 - PREENCHA AQUI'!J33</f>
        <v>0</v>
      </c>
      <c r="C29" s="31">
        <f>'2 - PREENCHA AQUI'!K33</f>
        <v>0</v>
      </c>
      <c r="D29" s="26">
        <f>'2 - PREENCHA AQUI'!L33</f>
        <v>0</v>
      </c>
      <c r="E29" s="26">
        <f>'2 - PREENCHA AQUI'!M33</f>
        <v>0</v>
      </c>
    </row>
    <row r="30" spans="1:5" x14ac:dyDescent="0.25">
      <c r="A30" s="26">
        <f>IF('2 - PREENCHA AQUI'!E34=FALSE(),0,'2 - PREENCHA AQUI'!E34)</f>
        <v>0</v>
      </c>
      <c r="B30" s="31">
        <f>'2 - PREENCHA AQUI'!J34</f>
        <v>0</v>
      </c>
      <c r="C30" s="31">
        <f>'2 - PREENCHA AQUI'!K34</f>
        <v>0</v>
      </c>
      <c r="D30" s="26">
        <f>'2 - PREENCHA AQUI'!L34</f>
        <v>0</v>
      </c>
      <c r="E30" s="26">
        <f>'2 - PREENCHA AQUI'!M34</f>
        <v>0</v>
      </c>
    </row>
    <row r="31" spans="1:5" x14ac:dyDescent="0.25">
      <c r="A31" s="26">
        <f>IF('2 - PREENCHA AQUI'!E35=FALSE(),0,'2 - PREENCHA AQUI'!E35)</f>
        <v>0</v>
      </c>
      <c r="B31" s="31">
        <f>'2 - PREENCHA AQUI'!J35</f>
        <v>0</v>
      </c>
      <c r="C31" s="31">
        <f>'2 - PREENCHA AQUI'!K35</f>
        <v>0</v>
      </c>
      <c r="D31" s="26">
        <f>'2 - PREENCHA AQUI'!L35</f>
        <v>0</v>
      </c>
      <c r="E31" s="26">
        <f>'2 - PREENCHA AQUI'!M35</f>
        <v>0</v>
      </c>
    </row>
    <row r="32" spans="1:5" x14ac:dyDescent="0.25">
      <c r="A32" s="26">
        <f>IF('2 - PREENCHA AQUI'!E36=FALSE(),0,'2 - PREENCHA AQUI'!E36)</f>
        <v>0</v>
      </c>
      <c r="B32" s="31">
        <f>'2 - PREENCHA AQUI'!J36</f>
        <v>0</v>
      </c>
      <c r="C32" s="31">
        <f>'2 - PREENCHA AQUI'!K36</f>
        <v>0</v>
      </c>
      <c r="D32" s="26">
        <f>'2 - PREENCHA AQUI'!L36</f>
        <v>0</v>
      </c>
      <c r="E32" s="26">
        <f>'2 - PREENCHA AQUI'!M36</f>
        <v>0</v>
      </c>
    </row>
    <row r="33" spans="1:5" x14ac:dyDescent="0.25">
      <c r="A33" s="26">
        <f>IF('2 - PREENCHA AQUI'!E37=FALSE(),0,'2 - PREENCHA AQUI'!E37)</f>
        <v>0</v>
      </c>
      <c r="B33" s="31">
        <f>'2 - PREENCHA AQUI'!J37</f>
        <v>0</v>
      </c>
      <c r="C33" s="31">
        <f>'2 - PREENCHA AQUI'!K37</f>
        <v>0</v>
      </c>
      <c r="D33" s="26">
        <f>'2 - PREENCHA AQUI'!L37</f>
        <v>0</v>
      </c>
      <c r="E33" s="26">
        <f>'2 - PREENCHA AQUI'!M37</f>
        <v>0</v>
      </c>
    </row>
    <row r="34" spans="1:5" x14ac:dyDescent="0.25">
      <c r="A34" s="26">
        <f>IF('2 - PREENCHA AQUI'!E38=FALSE(),0,'2 - PREENCHA AQUI'!E38)</f>
        <v>0</v>
      </c>
      <c r="B34" s="31">
        <f>'2 - PREENCHA AQUI'!J38</f>
        <v>0</v>
      </c>
      <c r="C34" s="31">
        <f>'2 - PREENCHA AQUI'!K38</f>
        <v>0</v>
      </c>
      <c r="D34" s="26">
        <f>'2 - PREENCHA AQUI'!L38</f>
        <v>0</v>
      </c>
      <c r="E34" s="26">
        <f>'2 - PREENCHA AQUI'!M38</f>
        <v>0</v>
      </c>
    </row>
    <row r="35" spans="1:5" x14ac:dyDescent="0.25">
      <c r="A35" s="26">
        <f>IF('2 - PREENCHA AQUI'!E39=FALSE(),0,'2 - PREENCHA AQUI'!E39)</f>
        <v>0</v>
      </c>
      <c r="B35" s="31">
        <f>'2 - PREENCHA AQUI'!J39</f>
        <v>0</v>
      </c>
      <c r="C35" s="31">
        <f>'2 - PREENCHA AQUI'!K39</f>
        <v>0</v>
      </c>
      <c r="D35" s="26">
        <f>'2 - PREENCHA AQUI'!L39</f>
        <v>0</v>
      </c>
      <c r="E35" s="26">
        <f>'2 - PREENCHA AQUI'!M39</f>
        <v>0</v>
      </c>
    </row>
    <row r="36" spans="1:5" x14ac:dyDescent="0.25">
      <c r="A36" s="26">
        <f>IF('2 - PREENCHA AQUI'!E40=FALSE(),0,'2 - PREENCHA AQUI'!E40)</f>
        <v>0</v>
      </c>
      <c r="B36" s="31">
        <f>'2 - PREENCHA AQUI'!J40</f>
        <v>0</v>
      </c>
      <c r="C36" s="31">
        <f>'2 - PREENCHA AQUI'!K40</f>
        <v>0</v>
      </c>
      <c r="D36" s="26">
        <f>'2 - PREENCHA AQUI'!L40</f>
        <v>0</v>
      </c>
      <c r="E36" s="26">
        <f>'2 - PREENCHA AQUI'!M40</f>
        <v>0</v>
      </c>
    </row>
    <row r="37" spans="1:5" x14ac:dyDescent="0.25">
      <c r="A37" s="26">
        <f>IF('2 - PREENCHA AQUI'!E41=FALSE(),0,'2 - PREENCHA AQUI'!E41)</f>
        <v>0</v>
      </c>
      <c r="B37" s="31">
        <f>'2 - PREENCHA AQUI'!J41</f>
        <v>0</v>
      </c>
      <c r="C37" s="31">
        <f>'2 - PREENCHA AQUI'!K41</f>
        <v>0</v>
      </c>
      <c r="D37" s="26">
        <f>'2 - PREENCHA AQUI'!L41</f>
        <v>0</v>
      </c>
      <c r="E37" s="26">
        <f>'2 - PREENCHA AQUI'!M41</f>
        <v>0</v>
      </c>
    </row>
    <row r="38" spans="1:5" x14ac:dyDescent="0.25">
      <c r="A38" s="26">
        <f>IF('2 - PREENCHA AQUI'!E42=FALSE(),0,'2 - PREENCHA AQUI'!E42)</f>
        <v>0</v>
      </c>
      <c r="B38" s="31">
        <f>'2 - PREENCHA AQUI'!J42</f>
        <v>0</v>
      </c>
      <c r="C38" s="31">
        <f>'2 - PREENCHA AQUI'!K42</f>
        <v>0</v>
      </c>
      <c r="D38" s="26">
        <f>'2 - PREENCHA AQUI'!L42</f>
        <v>0</v>
      </c>
      <c r="E38" s="26">
        <f>'2 - PREENCHA AQUI'!M42</f>
        <v>0</v>
      </c>
    </row>
    <row r="39" spans="1:5" x14ac:dyDescent="0.25">
      <c r="A39" s="26">
        <f>IF('2 - PREENCHA AQUI'!E43=FALSE(),0,'2 - PREENCHA AQUI'!E43)</f>
        <v>0</v>
      </c>
      <c r="B39" s="31">
        <f>'2 - PREENCHA AQUI'!J43</f>
        <v>0</v>
      </c>
      <c r="C39" s="31">
        <f>'2 - PREENCHA AQUI'!K43</f>
        <v>0</v>
      </c>
      <c r="D39" s="26">
        <f>'2 - PREENCHA AQUI'!L43</f>
        <v>0</v>
      </c>
      <c r="E39" s="26">
        <f>'2 - PREENCHA AQUI'!M43</f>
        <v>0</v>
      </c>
    </row>
    <row r="40" spans="1:5" x14ac:dyDescent="0.25">
      <c r="A40" s="26">
        <f>IF('2 - PREENCHA AQUI'!E44=FALSE(),0,'2 - PREENCHA AQUI'!E44)</f>
        <v>0</v>
      </c>
      <c r="B40" s="31">
        <f>'2 - PREENCHA AQUI'!J44</f>
        <v>0</v>
      </c>
      <c r="C40" s="31">
        <f>'2 - PREENCHA AQUI'!K44</f>
        <v>0</v>
      </c>
      <c r="D40" s="26">
        <f>'2 - PREENCHA AQUI'!L44</f>
        <v>0</v>
      </c>
      <c r="E40" s="26">
        <f>'2 - PREENCHA AQUI'!M44</f>
        <v>0</v>
      </c>
    </row>
    <row r="41" spans="1:5" x14ac:dyDescent="0.25">
      <c r="A41" s="26">
        <f>IF('2 - PREENCHA AQUI'!E45=FALSE(),0,'2 - PREENCHA AQUI'!E45)</f>
        <v>0</v>
      </c>
      <c r="B41" s="31">
        <f>'2 - PREENCHA AQUI'!J45</f>
        <v>0</v>
      </c>
      <c r="C41" s="31">
        <f>'2 - PREENCHA AQUI'!K45</f>
        <v>0</v>
      </c>
      <c r="D41" s="26">
        <f>'2 - PREENCHA AQUI'!L45</f>
        <v>0</v>
      </c>
      <c r="E41" s="26">
        <f>'2 - PREENCHA AQUI'!M45</f>
        <v>0</v>
      </c>
    </row>
    <row r="42" spans="1:5" x14ac:dyDescent="0.25">
      <c r="A42" s="26">
        <f>IF('2 - PREENCHA AQUI'!E46=FALSE(),0,'2 - PREENCHA AQUI'!E46)</f>
        <v>0</v>
      </c>
      <c r="B42" s="31">
        <f>'2 - PREENCHA AQUI'!J46</f>
        <v>0</v>
      </c>
      <c r="C42" s="31">
        <f>'2 - PREENCHA AQUI'!K46</f>
        <v>0</v>
      </c>
      <c r="D42" s="26">
        <f>'2 - PREENCHA AQUI'!L46</f>
        <v>0</v>
      </c>
      <c r="E42" s="26">
        <f>'2 - PREENCHA AQUI'!M46</f>
        <v>0</v>
      </c>
    </row>
    <row r="43" spans="1:5" x14ac:dyDescent="0.25">
      <c r="A43" s="26">
        <f>IF('2 - PREENCHA AQUI'!E47=FALSE(),0,'2 - PREENCHA AQUI'!E47)</f>
        <v>0</v>
      </c>
      <c r="B43" s="31">
        <f>'2 - PREENCHA AQUI'!J47</f>
        <v>0</v>
      </c>
      <c r="C43" s="31">
        <f>'2 - PREENCHA AQUI'!K47</f>
        <v>0</v>
      </c>
      <c r="D43" s="26">
        <f>'2 - PREENCHA AQUI'!L47</f>
        <v>0</v>
      </c>
      <c r="E43" s="26">
        <f>'2 - PREENCHA AQUI'!M47</f>
        <v>0</v>
      </c>
    </row>
    <row r="44" spans="1:5" x14ac:dyDescent="0.25">
      <c r="A44" s="26">
        <f>IF('2 - PREENCHA AQUI'!E48=FALSE(),0,'2 - PREENCHA AQUI'!E48)</f>
        <v>0</v>
      </c>
      <c r="B44" s="31">
        <f>'2 - PREENCHA AQUI'!J48</f>
        <v>0</v>
      </c>
      <c r="C44" s="31">
        <f>'2 - PREENCHA AQUI'!K48</f>
        <v>0</v>
      </c>
      <c r="D44" s="26">
        <f>'2 - PREENCHA AQUI'!L48</f>
        <v>0</v>
      </c>
      <c r="E44" s="26">
        <f>'2 - PREENCHA AQUI'!M48</f>
        <v>0</v>
      </c>
    </row>
    <row r="45" spans="1:5" x14ac:dyDescent="0.25">
      <c r="A45" s="26">
        <f>IF('2 - PREENCHA AQUI'!E49=FALSE(),0,'2 - PREENCHA AQUI'!E49)</f>
        <v>0</v>
      </c>
      <c r="B45" s="31">
        <f>'2 - PREENCHA AQUI'!J49</f>
        <v>0</v>
      </c>
      <c r="C45" s="31">
        <f>'2 - PREENCHA AQUI'!K49</f>
        <v>0</v>
      </c>
      <c r="D45" s="26">
        <f>'2 - PREENCHA AQUI'!L49</f>
        <v>0</v>
      </c>
      <c r="E45" s="26">
        <f>'2 - PREENCHA AQUI'!M49</f>
        <v>0</v>
      </c>
    </row>
    <row r="46" spans="1:5" x14ac:dyDescent="0.25">
      <c r="A46" s="26">
        <f>IF('2 - PREENCHA AQUI'!E50=FALSE(),0,'2 - PREENCHA AQUI'!E50)</f>
        <v>0</v>
      </c>
      <c r="B46" s="31">
        <f>'2 - PREENCHA AQUI'!J50</f>
        <v>0</v>
      </c>
      <c r="C46" s="31">
        <f>'2 - PREENCHA AQUI'!K50</f>
        <v>0</v>
      </c>
      <c r="D46" s="26">
        <f>'2 - PREENCHA AQUI'!L50</f>
        <v>0</v>
      </c>
      <c r="E46" s="26">
        <f>'2 - PREENCHA AQUI'!M50</f>
        <v>0</v>
      </c>
    </row>
    <row r="47" spans="1:5" x14ac:dyDescent="0.25">
      <c r="A47" s="26">
        <f>IF('2 - PREENCHA AQUI'!E51=FALSE(),0,'2 - PREENCHA AQUI'!E51)</f>
        <v>0</v>
      </c>
      <c r="B47" s="31">
        <f>'2 - PREENCHA AQUI'!J51</f>
        <v>0</v>
      </c>
      <c r="C47" s="31">
        <f>'2 - PREENCHA AQUI'!K51</f>
        <v>0</v>
      </c>
      <c r="D47" s="26">
        <f>'2 - PREENCHA AQUI'!L51</f>
        <v>0</v>
      </c>
      <c r="E47" s="26">
        <f>'2 - PREENCHA AQUI'!M51</f>
        <v>0</v>
      </c>
    </row>
    <row r="48" spans="1:5" x14ac:dyDescent="0.25">
      <c r="A48" s="26">
        <f>IF('2 - PREENCHA AQUI'!E52=FALSE(),0,'2 - PREENCHA AQUI'!E52)</f>
        <v>0</v>
      </c>
      <c r="B48" s="31">
        <f>'2 - PREENCHA AQUI'!J52</f>
        <v>0</v>
      </c>
      <c r="C48" s="31">
        <f>'2 - PREENCHA AQUI'!K52</f>
        <v>0</v>
      </c>
      <c r="D48" s="26">
        <f>'2 - PREENCHA AQUI'!L52</f>
        <v>0</v>
      </c>
      <c r="E48" s="26">
        <f>'2 - PREENCHA AQUI'!M52</f>
        <v>0</v>
      </c>
    </row>
    <row r="49" spans="1:5" x14ac:dyDescent="0.25">
      <c r="A49" s="26">
        <f>IF('2 - PREENCHA AQUI'!E53=FALSE(),0,'2 - PREENCHA AQUI'!E53)</f>
        <v>0</v>
      </c>
      <c r="B49" s="31">
        <f>'2 - PREENCHA AQUI'!J53</f>
        <v>0</v>
      </c>
      <c r="C49" s="31">
        <f>'2 - PREENCHA AQUI'!K53</f>
        <v>0</v>
      </c>
      <c r="D49" s="26">
        <f>'2 - PREENCHA AQUI'!L53</f>
        <v>0</v>
      </c>
      <c r="E49" s="26">
        <f>'2 - PREENCHA AQUI'!M53</f>
        <v>0</v>
      </c>
    </row>
    <row r="50" spans="1:5" x14ac:dyDescent="0.25">
      <c r="A50" s="26">
        <f>IF('2 - PREENCHA AQUI'!E54=FALSE(),0,'2 - PREENCHA AQUI'!E54)</f>
        <v>0</v>
      </c>
      <c r="B50" s="31">
        <f>'2 - PREENCHA AQUI'!J54</f>
        <v>0</v>
      </c>
      <c r="C50" s="31">
        <f>'2 - PREENCHA AQUI'!K54</f>
        <v>0</v>
      </c>
      <c r="D50" s="26">
        <f>'2 - PREENCHA AQUI'!L54</f>
        <v>0</v>
      </c>
      <c r="E50" s="26">
        <f>'2 - PREENCHA AQUI'!M54</f>
        <v>0</v>
      </c>
    </row>
    <row r="51" spans="1:5" x14ac:dyDescent="0.25">
      <c r="A51" s="26">
        <f>IF('2 - PREENCHA AQUI'!E55=FALSE(),0,'2 - PREENCHA AQUI'!E55)</f>
        <v>0</v>
      </c>
      <c r="B51" s="31">
        <f>'2 - PREENCHA AQUI'!J55</f>
        <v>0</v>
      </c>
      <c r="C51" s="31">
        <f>'2 - PREENCHA AQUI'!K55</f>
        <v>0</v>
      </c>
      <c r="D51" s="26">
        <f>'2 - PREENCHA AQUI'!L55</f>
        <v>0</v>
      </c>
      <c r="E51" s="26">
        <f>'2 - PREENCHA AQUI'!M55</f>
        <v>0</v>
      </c>
    </row>
    <row r="52" spans="1:5" x14ac:dyDescent="0.25">
      <c r="A52" s="26">
        <f>IF('2 - PREENCHA AQUI'!E56=FALSE(),0,'2 - PREENCHA AQUI'!E56)</f>
        <v>0</v>
      </c>
      <c r="B52" s="31">
        <f>'2 - PREENCHA AQUI'!J56</f>
        <v>0</v>
      </c>
      <c r="C52" s="31">
        <f>'2 - PREENCHA AQUI'!K56</f>
        <v>0</v>
      </c>
      <c r="D52" s="26">
        <f>'2 - PREENCHA AQUI'!L56</f>
        <v>0</v>
      </c>
      <c r="E52" s="26">
        <f>'2 - PREENCHA AQUI'!M56</f>
        <v>0</v>
      </c>
    </row>
    <row r="53" spans="1:5" x14ac:dyDescent="0.25">
      <c r="A53" s="26">
        <f>IF('2 - PREENCHA AQUI'!E57=FALSE(),0,'2 - PREENCHA AQUI'!E57)</f>
        <v>0</v>
      </c>
      <c r="B53" s="31">
        <f>'2 - PREENCHA AQUI'!J57</f>
        <v>0</v>
      </c>
      <c r="C53" s="31">
        <f>'2 - PREENCHA AQUI'!K57</f>
        <v>0</v>
      </c>
      <c r="D53" s="26">
        <f>'2 - PREENCHA AQUI'!L57</f>
        <v>0</v>
      </c>
      <c r="E53" s="26">
        <f>'2 - PREENCHA AQUI'!M57</f>
        <v>0</v>
      </c>
    </row>
    <row r="54" spans="1:5" x14ac:dyDescent="0.25">
      <c r="A54" s="26">
        <f>IF('2 - PREENCHA AQUI'!E58=FALSE(),0,'2 - PREENCHA AQUI'!E58)</f>
        <v>0</v>
      </c>
      <c r="B54" s="31">
        <f>'2 - PREENCHA AQUI'!J58</f>
        <v>0</v>
      </c>
      <c r="C54" s="31">
        <f>'2 - PREENCHA AQUI'!K58</f>
        <v>0</v>
      </c>
      <c r="D54" s="26">
        <f>'2 - PREENCHA AQUI'!L58</f>
        <v>0</v>
      </c>
      <c r="E54" s="26">
        <f>'2 - PREENCHA AQUI'!M58</f>
        <v>0</v>
      </c>
    </row>
    <row r="55" spans="1:5" x14ac:dyDescent="0.25">
      <c r="A55" s="26">
        <f>IF('2 - PREENCHA AQUI'!E59=FALSE(),0,'2 - PREENCHA AQUI'!E59)</f>
        <v>0</v>
      </c>
      <c r="B55" s="31">
        <f>'2 - PREENCHA AQUI'!J59</f>
        <v>0</v>
      </c>
      <c r="C55" s="31">
        <f>'2 - PREENCHA AQUI'!K59</f>
        <v>0</v>
      </c>
      <c r="D55" s="26">
        <f>'2 - PREENCHA AQUI'!L59</f>
        <v>0</v>
      </c>
      <c r="E55" s="26">
        <f>'2 - PREENCHA AQUI'!M59</f>
        <v>0</v>
      </c>
    </row>
    <row r="56" spans="1:5" x14ac:dyDescent="0.25">
      <c r="A56" s="26">
        <f>IF('2 - PREENCHA AQUI'!E60=FALSE(),0,'2 - PREENCHA AQUI'!E60)</f>
        <v>0</v>
      </c>
      <c r="B56" s="31">
        <f>'2 - PREENCHA AQUI'!J60</f>
        <v>0</v>
      </c>
      <c r="C56" s="31">
        <f>'2 - PREENCHA AQUI'!K60</f>
        <v>0</v>
      </c>
      <c r="D56" s="26">
        <f>'2 - PREENCHA AQUI'!L60</f>
        <v>0</v>
      </c>
      <c r="E56" s="26">
        <f>'2 - PREENCHA AQUI'!M60</f>
        <v>0</v>
      </c>
    </row>
    <row r="57" spans="1:5" x14ac:dyDescent="0.25">
      <c r="A57" s="26">
        <f>IF('2 - PREENCHA AQUI'!E61=FALSE(),0,'2 - PREENCHA AQUI'!E61)</f>
        <v>0</v>
      </c>
      <c r="B57" s="31">
        <f>'2 - PREENCHA AQUI'!J61</f>
        <v>0</v>
      </c>
      <c r="C57" s="31">
        <f>'2 - PREENCHA AQUI'!K61</f>
        <v>0</v>
      </c>
      <c r="D57" s="26">
        <f>'2 - PREENCHA AQUI'!L61</f>
        <v>0</v>
      </c>
      <c r="E57" s="26">
        <f>'2 - PREENCHA AQUI'!M61</f>
        <v>0</v>
      </c>
    </row>
    <row r="58" spans="1:5" x14ac:dyDescent="0.25">
      <c r="A58" s="26">
        <f>IF('2 - PREENCHA AQUI'!E62=FALSE(),0,'2 - PREENCHA AQUI'!E62)</f>
        <v>0</v>
      </c>
      <c r="B58" s="31">
        <f>'2 - PREENCHA AQUI'!J62</f>
        <v>0</v>
      </c>
      <c r="C58" s="31">
        <f>'2 - PREENCHA AQUI'!K62</f>
        <v>0</v>
      </c>
      <c r="D58" s="26">
        <f>'2 - PREENCHA AQUI'!L62</f>
        <v>0</v>
      </c>
      <c r="E58" s="26">
        <f>'2 - PREENCHA AQUI'!M62</f>
        <v>0</v>
      </c>
    </row>
    <row r="59" spans="1:5" x14ac:dyDescent="0.25">
      <c r="A59" s="26">
        <f>IF('2 - PREENCHA AQUI'!E63=FALSE(),0,'2 - PREENCHA AQUI'!E63)</f>
        <v>0</v>
      </c>
      <c r="B59" s="31">
        <f>'2 - PREENCHA AQUI'!J63</f>
        <v>0</v>
      </c>
      <c r="C59" s="31">
        <f>'2 - PREENCHA AQUI'!K63</f>
        <v>0</v>
      </c>
      <c r="D59" s="26">
        <f>'2 - PREENCHA AQUI'!L63</f>
        <v>0</v>
      </c>
      <c r="E59" s="26">
        <f>'2 - PREENCHA AQUI'!M63</f>
        <v>0</v>
      </c>
    </row>
    <row r="60" spans="1:5" x14ac:dyDescent="0.25">
      <c r="A60" s="26">
        <f>IF('2 - PREENCHA AQUI'!E64=FALSE(),0,'2 - PREENCHA AQUI'!E64)</f>
        <v>0</v>
      </c>
      <c r="B60" s="31">
        <f>'2 - PREENCHA AQUI'!J64</f>
        <v>0</v>
      </c>
      <c r="C60" s="31">
        <f>'2 - PREENCHA AQUI'!K64</f>
        <v>0</v>
      </c>
      <c r="D60" s="26">
        <f>'2 - PREENCHA AQUI'!L64</f>
        <v>0</v>
      </c>
      <c r="E60" s="26">
        <f>'2 - PREENCHA AQUI'!M64</f>
        <v>0</v>
      </c>
    </row>
    <row r="61" spans="1:5" x14ac:dyDescent="0.25">
      <c r="A61" s="26">
        <f>IF('2 - PREENCHA AQUI'!E65=FALSE(),0,'2 - PREENCHA AQUI'!E65)</f>
        <v>0</v>
      </c>
      <c r="B61" s="31">
        <f>'2 - PREENCHA AQUI'!J65</f>
        <v>0</v>
      </c>
      <c r="C61" s="31">
        <f>'2 - PREENCHA AQUI'!K65</f>
        <v>0</v>
      </c>
      <c r="D61" s="26">
        <f>'2 - PREENCHA AQUI'!L65</f>
        <v>0</v>
      </c>
      <c r="E61" s="26">
        <f>'2 - PREENCHA AQUI'!M65</f>
        <v>0</v>
      </c>
    </row>
    <row r="62" spans="1:5" x14ac:dyDescent="0.25">
      <c r="A62" s="26">
        <f>IF('2 - PREENCHA AQUI'!E66=FALSE(),0,'2 - PREENCHA AQUI'!E66)</f>
        <v>0</v>
      </c>
      <c r="B62" s="31">
        <f>'2 - PREENCHA AQUI'!J66</f>
        <v>0</v>
      </c>
      <c r="C62" s="31">
        <f>'2 - PREENCHA AQUI'!K66</f>
        <v>0</v>
      </c>
      <c r="D62" s="26">
        <f>'2 - PREENCHA AQUI'!L66</f>
        <v>0</v>
      </c>
      <c r="E62" s="26">
        <f>'2 - PREENCHA AQUI'!M66</f>
        <v>0</v>
      </c>
    </row>
    <row r="63" spans="1:5" x14ac:dyDescent="0.25">
      <c r="A63" s="26">
        <f>IF('2 - PREENCHA AQUI'!E67=FALSE(),0,'2 - PREENCHA AQUI'!E67)</f>
        <v>0</v>
      </c>
      <c r="B63" s="31">
        <f>'2 - PREENCHA AQUI'!J67</f>
        <v>0</v>
      </c>
      <c r="C63" s="31">
        <f>'2 - PREENCHA AQUI'!K67</f>
        <v>0</v>
      </c>
      <c r="D63" s="26">
        <f>'2 - PREENCHA AQUI'!L67</f>
        <v>0</v>
      </c>
      <c r="E63" s="26">
        <f>'2 - PREENCHA AQUI'!M67</f>
        <v>0</v>
      </c>
    </row>
    <row r="64" spans="1:5" x14ac:dyDescent="0.25">
      <c r="A64" s="26">
        <f>IF('2 - PREENCHA AQUI'!E68=FALSE(),0,'2 - PREENCHA AQUI'!E68)</f>
        <v>0</v>
      </c>
      <c r="B64" s="31">
        <f>'2 - PREENCHA AQUI'!J68</f>
        <v>0</v>
      </c>
      <c r="C64" s="31">
        <f>'2 - PREENCHA AQUI'!K68</f>
        <v>0</v>
      </c>
      <c r="D64" s="26">
        <f>'2 - PREENCHA AQUI'!L68</f>
        <v>0</v>
      </c>
      <c r="E64" s="26">
        <f>'2 - PREENCHA AQUI'!M68</f>
        <v>0</v>
      </c>
    </row>
    <row r="65" spans="1:5" x14ac:dyDescent="0.25">
      <c r="A65" s="26">
        <f>IF('2 - PREENCHA AQUI'!E69=FALSE(),0,'2 - PREENCHA AQUI'!E69)</f>
        <v>0</v>
      </c>
      <c r="B65" s="31">
        <f>'2 - PREENCHA AQUI'!J69</f>
        <v>0</v>
      </c>
      <c r="C65" s="31">
        <f>'2 - PREENCHA AQUI'!K69</f>
        <v>0</v>
      </c>
      <c r="D65" s="26">
        <f>'2 - PREENCHA AQUI'!L69</f>
        <v>0</v>
      </c>
      <c r="E65" s="26">
        <f>'2 - PREENCHA AQUI'!M69</f>
        <v>0</v>
      </c>
    </row>
    <row r="66" spans="1:5" x14ac:dyDescent="0.25">
      <c r="A66" s="26">
        <f>IF('2 - PREENCHA AQUI'!E70=FALSE(),0,'2 - PREENCHA AQUI'!E70)</f>
        <v>0</v>
      </c>
      <c r="B66" s="31">
        <f>'2 - PREENCHA AQUI'!J70</f>
        <v>0</v>
      </c>
      <c r="C66" s="31">
        <f>'2 - PREENCHA AQUI'!K70</f>
        <v>0</v>
      </c>
      <c r="D66" s="26">
        <f>'2 - PREENCHA AQUI'!L70</f>
        <v>0</v>
      </c>
      <c r="E66" s="26">
        <f>'2 - PREENCHA AQUI'!M70</f>
        <v>0</v>
      </c>
    </row>
    <row r="67" spans="1:5" x14ac:dyDescent="0.25">
      <c r="A67" s="26">
        <f>IF('2 - PREENCHA AQUI'!E71=FALSE(),0,'2 - PREENCHA AQUI'!E71)</f>
        <v>0</v>
      </c>
      <c r="B67" s="31">
        <f>'2 - PREENCHA AQUI'!J71</f>
        <v>0</v>
      </c>
      <c r="C67" s="31">
        <f>'2 - PREENCHA AQUI'!K71</f>
        <v>0</v>
      </c>
      <c r="D67" s="26">
        <f>'2 - PREENCHA AQUI'!L71</f>
        <v>0</v>
      </c>
      <c r="E67" s="26">
        <f>'2 - PREENCHA AQUI'!M71</f>
        <v>0</v>
      </c>
    </row>
    <row r="68" spans="1:5" x14ac:dyDescent="0.25">
      <c r="A68" s="26">
        <f>IF('2 - PREENCHA AQUI'!E72=FALSE(),0,'2 - PREENCHA AQUI'!E72)</f>
        <v>0</v>
      </c>
      <c r="B68" s="31">
        <f>'2 - PREENCHA AQUI'!J72</f>
        <v>0</v>
      </c>
      <c r="C68" s="31">
        <f>'2 - PREENCHA AQUI'!K72</f>
        <v>0</v>
      </c>
      <c r="D68" s="26">
        <f>'2 - PREENCHA AQUI'!L72</f>
        <v>0</v>
      </c>
      <c r="E68" s="26">
        <f>'2 - PREENCHA AQUI'!M72</f>
        <v>0</v>
      </c>
    </row>
    <row r="69" spans="1:5" x14ac:dyDescent="0.25">
      <c r="A69" s="26">
        <f>IF('2 - PREENCHA AQUI'!E73=FALSE(),0,'2 - PREENCHA AQUI'!E73)</f>
        <v>0</v>
      </c>
      <c r="B69" s="31">
        <f>'2 - PREENCHA AQUI'!J73</f>
        <v>0</v>
      </c>
      <c r="C69" s="31">
        <f>'2 - PREENCHA AQUI'!K73</f>
        <v>0</v>
      </c>
      <c r="D69" s="26">
        <f>'2 - PREENCHA AQUI'!L73</f>
        <v>0</v>
      </c>
      <c r="E69" s="26">
        <f>'2 - PREENCHA AQUI'!M73</f>
        <v>0</v>
      </c>
    </row>
    <row r="70" spans="1:5" x14ac:dyDescent="0.25">
      <c r="A70" s="26">
        <f>IF('2 - PREENCHA AQUI'!E74=FALSE(),0,'2 - PREENCHA AQUI'!E74)</f>
        <v>0</v>
      </c>
      <c r="B70" s="31">
        <f>'2 - PREENCHA AQUI'!J74</f>
        <v>0</v>
      </c>
      <c r="C70" s="31">
        <f>'2 - PREENCHA AQUI'!K74</f>
        <v>0</v>
      </c>
      <c r="D70" s="26">
        <f>'2 - PREENCHA AQUI'!L74</f>
        <v>0</v>
      </c>
      <c r="E70" s="26">
        <f>'2 - PREENCHA AQUI'!M74</f>
        <v>0</v>
      </c>
    </row>
    <row r="71" spans="1:5" x14ac:dyDescent="0.25">
      <c r="A71" s="26">
        <f>IF('2 - PREENCHA AQUI'!E75=FALSE(),0,'2 - PREENCHA AQUI'!E75)</f>
        <v>0</v>
      </c>
      <c r="B71" s="31">
        <f>'2 - PREENCHA AQUI'!J75</f>
        <v>0</v>
      </c>
      <c r="C71" s="31">
        <f>'2 - PREENCHA AQUI'!K75</f>
        <v>0</v>
      </c>
      <c r="D71" s="26">
        <f>'2 - PREENCHA AQUI'!L75</f>
        <v>0</v>
      </c>
      <c r="E71" s="26">
        <f>'2 - PREENCHA AQUI'!M75</f>
        <v>0</v>
      </c>
    </row>
    <row r="72" spans="1:5" x14ac:dyDescent="0.25">
      <c r="A72" s="26">
        <f>IF('2 - PREENCHA AQUI'!E76=FALSE(),0,'2 - PREENCHA AQUI'!E76)</f>
        <v>0</v>
      </c>
      <c r="B72" s="31">
        <f>'2 - PREENCHA AQUI'!J76</f>
        <v>0</v>
      </c>
      <c r="C72" s="31">
        <f>'2 - PREENCHA AQUI'!K76</f>
        <v>0</v>
      </c>
      <c r="D72" s="26">
        <f>'2 - PREENCHA AQUI'!L76</f>
        <v>0</v>
      </c>
      <c r="E72" s="26">
        <f>'2 - PREENCHA AQUI'!M76</f>
        <v>0</v>
      </c>
    </row>
    <row r="73" spans="1:5" x14ac:dyDescent="0.25">
      <c r="A73" s="26">
        <f>IF('2 - PREENCHA AQUI'!E77=FALSE(),0,'2 - PREENCHA AQUI'!E77)</f>
        <v>0</v>
      </c>
      <c r="B73" s="31">
        <f>'2 - PREENCHA AQUI'!J77</f>
        <v>0</v>
      </c>
      <c r="C73" s="31">
        <f>'2 - PREENCHA AQUI'!K77</f>
        <v>0</v>
      </c>
      <c r="D73" s="26">
        <f>'2 - PREENCHA AQUI'!L77</f>
        <v>0</v>
      </c>
      <c r="E73" s="26">
        <f>'2 - PREENCHA AQUI'!M77</f>
        <v>0</v>
      </c>
    </row>
    <row r="74" spans="1:5" x14ac:dyDescent="0.25">
      <c r="A74" s="26">
        <f>IF('2 - PREENCHA AQUI'!E78=FALSE(),0,'2 - PREENCHA AQUI'!E78)</f>
        <v>0</v>
      </c>
      <c r="B74" s="31">
        <f>'2 - PREENCHA AQUI'!J78</f>
        <v>0</v>
      </c>
      <c r="C74" s="31">
        <f>'2 - PREENCHA AQUI'!K78</f>
        <v>0</v>
      </c>
      <c r="D74" s="26">
        <f>'2 - PREENCHA AQUI'!L78</f>
        <v>0</v>
      </c>
      <c r="E74" s="26">
        <f>'2 - PREENCHA AQUI'!M78</f>
        <v>0</v>
      </c>
    </row>
    <row r="75" spans="1:5" x14ac:dyDescent="0.25">
      <c r="A75" s="26">
        <f>IF('2 - PREENCHA AQUI'!E79=FALSE(),0,'2 - PREENCHA AQUI'!E79)</f>
        <v>0</v>
      </c>
      <c r="B75" s="31">
        <f>'2 - PREENCHA AQUI'!J79</f>
        <v>0</v>
      </c>
      <c r="C75" s="31">
        <f>'2 - PREENCHA AQUI'!K79</f>
        <v>0</v>
      </c>
      <c r="D75" s="26">
        <f>'2 - PREENCHA AQUI'!L79</f>
        <v>0</v>
      </c>
      <c r="E75" s="26">
        <f>'2 - PREENCHA AQUI'!M79</f>
        <v>0</v>
      </c>
    </row>
    <row r="76" spans="1:5" x14ac:dyDescent="0.25">
      <c r="A76" s="26">
        <f>IF('2 - PREENCHA AQUI'!E80=FALSE(),0,'2 - PREENCHA AQUI'!E80)</f>
        <v>0</v>
      </c>
      <c r="B76" s="31">
        <f>'2 - PREENCHA AQUI'!J80</f>
        <v>0</v>
      </c>
      <c r="C76" s="31">
        <f>'2 - PREENCHA AQUI'!K80</f>
        <v>0</v>
      </c>
      <c r="D76" s="26">
        <f>'2 - PREENCHA AQUI'!L80</f>
        <v>0</v>
      </c>
      <c r="E76" s="26">
        <f>'2 - PREENCHA AQUI'!M80</f>
        <v>0</v>
      </c>
    </row>
    <row r="77" spans="1:5" x14ac:dyDescent="0.25">
      <c r="A77" s="26">
        <f>IF('2 - PREENCHA AQUI'!E81=FALSE(),0,'2 - PREENCHA AQUI'!E81)</f>
        <v>0</v>
      </c>
      <c r="B77" s="31">
        <f>'2 - PREENCHA AQUI'!J81</f>
        <v>0</v>
      </c>
      <c r="C77" s="31">
        <f>'2 - PREENCHA AQUI'!K81</f>
        <v>0</v>
      </c>
      <c r="D77" s="26">
        <f>'2 - PREENCHA AQUI'!L81</f>
        <v>0</v>
      </c>
      <c r="E77" s="26">
        <f>'2 - PREENCHA AQUI'!M81</f>
        <v>0</v>
      </c>
    </row>
    <row r="78" spans="1:5" x14ac:dyDescent="0.25">
      <c r="A78" s="26">
        <f>IF('2 - PREENCHA AQUI'!E82=FALSE(),0,'2 - PREENCHA AQUI'!E82)</f>
        <v>0</v>
      </c>
      <c r="B78" s="31">
        <f>'2 - PREENCHA AQUI'!J82</f>
        <v>0</v>
      </c>
      <c r="C78" s="31">
        <f>'2 - PREENCHA AQUI'!K82</f>
        <v>0</v>
      </c>
      <c r="D78" s="26">
        <f>'2 - PREENCHA AQUI'!L82</f>
        <v>0</v>
      </c>
      <c r="E78" s="26">
        <f>'2 - PREENCHA AQUI'!M82</f>
        <v>0</v>
      </c>
    </row>
    <row r="79" spans="1:5" x14ac:dyDescent="0.25">
      <c r="A79" s="26">
        <f>IF('2 - PREENCHA AQUI'!E83=FALSE(),0,'2 - PREENCHA AQUI'!E83)</f>
        <v>0</v>
      </c>
      <c r="B79" s="31">
        <f>'2 - PREENCHA AQUI'!J83</f>
        <v>0</v>
      </c>
      <c r="C79" s="31">
        <f>'2 - PREENCHA AQUI'!K83</f>
        <v>0</v>
      </c>
      <c r="D79" s="26">
        <f>'2 - PREENCHA AQUI'!L83</f>
        <v>0</v>
      </c>
      <c r="E79" s="26">
        <f>'2 - PREENCHA AQUI'!M83</f>
        <v>0</v>
      </c>
    </row>
    <row r="80" spans="1:5" x14ac:dyDescent="0.25">
      <c r="A80" s="26">
        <f>IF('2 - PREENCHA AQUI'!E84=FALSE(),0,'2 - PREENCHA AQUI'!E84)</f>
        <v>0</v>
      </c>
      <c r="B80" s="31">
        <f>'2 - PREENCHA AQUI'!J84</f>
        <v>0</v>
      </c>
      <c r="C80" s="31">
        <f>'2 - PREENCHA AQUI'!K84</f>
        <v>0</v>
      </c>
      <c r="D80" s="26">
        <f>'2 - PREENCHA AQUI'!L84</f>
        <v>0</v>
      </c>
      <c r="E80" s="26">
        <f>'2 - PREENCHA AQUI'!M84</f>
        <v>0</v>
      </c>
    </row>
    <row r="81" spans="1:5" x14ac:dyDescent="0.25">
      <c r="A81" s="26">
        <f>IF('2 - PREENCHA AQUI'!E85=FALSE(),0,'2 - PREENCHA AQUI'!E85)</f>
        <v>0</v>
      </c>
      <c r="B81" s="31">
        <f>'2 - PREENCHA AQUI'!J85</f>
        <v>0</v>
      </c>
      <c r="C81" s="31">
        <f>'2 - PREENCHA AQUI'!K85</f>
        <v>0</v>
      </c>
      <c r="D81" s="26">
        <f>'2 - PREENCHA AQUI'!L85</f>
        <v>0</v>
      </c>
      <c r="E81" s="26">
        <f>'2 - PREENCHA AQUI'!M85</f>
        <v>0</v>
      </c>
    </row>
    <row r="82" spans="1:5" x14ac:dyDescent="0.25">
      <c r="A82" s="26">
        <f>IF('2 - PREENCHA AQUI'!E86=FALSE(),0,'2 - PREENCHA AQUI'!E86)</f>
        <v>0</v>
      </c>
      <c r="B82" s="31">
        <f>'2 - PREENCHA AQUI'!J86</f>
        <v>0</v>
      </c>
      <c r="C82" s="31">
        <f>'2 - PREENCHA AQUI'!K86</f>
        <v>0</v>
      </c>
      <c r="D82" s="26">
        <f>'2 - PREENCHA AQUI'!L86</f>
        <v>0</v>
      </c>
      <c r="E82" s="26">
        <f>'2 - PREENCHA AQUI'!M86</f>
        <v>0</v>
      </c>
    </row>
    <row r="83" spans="1:5" x14ac:dyDescent="0.25">
      <c r="A83" s="26">
        <f>IF('2 - PREENCHA AQUI'!E87=FALSE(),0,'2 - PREENCHA AQUI'!E87)</f>
        <v>0</v>
      </c>
      <c r="B83" s="31">
        <f>'2 - PREENCHA AQUI'!J87</f>
        <v>0</v>
      </c>
      <c r="C83" s="31">
        <f>'2 - PREENCHA AQUI'!K87</f>
        <v>0</v>
      </c>
      <c r="D83" s="26">
        <f>'2 - PREENCHA AQUI'!L87</f>
        <v>0</v>
      </c>
      <c r="E83" s="26">
        <f>'2 - PREENCHA AQUI'!M87</f>
        <v>0</v>
      </c>
    </row>
    <row r="84" spans="1:5" x14ac:dyDescent="0.25">
      <c r="A84" s="26">
        <f>IF('2 - PREENCHA AQUI'!E88=FALSE(),0,'2 - PREENCHA AQUI'!E88)</f>
        <v>0</v>
      </c>
      <c r="B84" s="31">
        <f>'2 - PREENCHA AQUI'!J88</f>
        <v>0</v>
      </c>
      <c r="C84" s="31">
        <f>'2 - PREENCHA AQUI'!K88</f>
        <v>0</v>
      </c>
      <c r="D84" s="26">
        <f>'2 - PREENCHA AQUI'!L88</f>
        <v>0</v>
      </c>
      <c r="E84" s="26">
        <f>'2 - PREENCHA AQUI'!M88</f>
        <v>0</v>
      </c>
    </row>
    <row r="85" spans="1:5" x14ac:dyDescent="0.25">
      <c r="A85" s="26">
        <f>IF('2 - PREENCHA AQUI'!E89=FALSE(),0,'2 - PREENCHA AQUI'!E89)</f>
        <v>0</v>
      </c>
      <c r="B85" s="31">
        <f>'2 - PREENCHA AQUI'!J89</f>
        <v>0</v>
      </c>
      <c r="C85" s="31">
        <f>'2 - PREENCHA AQUI'!K89</f>
        <v>0</v>
      </c>
      <c r="D85" s="26">
        <f>'2 - PREENCHA AQUI'!L89</f>
        <v>0</v>
      </c>
      <c r="E85" s="26">
        <f>'2 - PREENCHA AQUI'!M89</f>
        <v>0</v>
      </c>
    </row>
    <row r="86" spans="1:5" x14ac:dyDescent="0.25">
      <c r="A86" s="26">
        <f>IF('2 - PREENCHA AQUI'!E90=FALSE(),0,'2 - PREENCHA AQUI'!E90)</f>
        <v>0</v>
      </c>
      <c r="B86" s="31">
        <f>'2 - PREENCHA AQUI'!J90</f>
        <v>0</v>
      </c>
      <c r="C86" s="31">
        <f>'2 - PREENCHA AQUI'!K90</f>
        <v>0</v>
      </c>
      <c r="D86" s="26">
        <f>'2 - PREENCHA AQUI'!L90</f>
        <v>0</v>
      </c>
      <c r="E86" s="26">
        <f>'2 - PREENCHA AQUI'!M90</f>
        <v>0</v>
      </c>
    </row>
    <row r="87" spans="1:5" x14ac:dyDescent="0.25">
      <c r="A87" s="26">
        <f>IF('2 - PREENCHA AQUI'!E91=FALSE(),0,'2 - PREENCHA AQUI'!E91)</f>
        <v>0</v>
      </c>
      <c r="B87" s="31">
        <f>'2 - PREENCHA AQUI'!J91</f>
        <v>0</v>
      </c>
      <c r="C87" s="31">
        <f>'2 - PREENCHA AQUI'!K91</f>
        <v>0</v>
      </c>
      <c r="D87" s="26">
        <f>'2 - PREENCHA AQUI'!L91</f>
        <v>0</v>
      </c>
      <c r="E87" s="26">
        <f>'2 - PREENCHA AQUI'!M91</f>
        <v>0</v>
      </c>
    </row>
    <row r="88" spans="1:5" x14ac:dyDescent="0.25">
      <c r="A88" s="26">
        <f>IF('2 - PREENCHA AQUI'!E92=FALSE(),0,'2 - PREENCHA AQUI'!E92)</f>
        <v>0</v>
      </c>
      <c r="B88" s="31">
        <f>'2 - PREENCHA AQUI'!J92</f>
        <v>0</v>
      </c>
      <c r="C88" s="31">
        <f>'2 - PREENCHA AQUI'!K92</f>
        <v>0</v>
      </c>
      <c r="D88" s="26">
        <f>'2 - PREENCHA AQUI'!L92</f>
        <v>0</v>
      </c>
      <c r="E88" s="26">
        <f>'2 - PREENCHA AQUI'!M92</f>
        <v>0</v>
      </c>
    </row>
    <row r="89" spans="1:5" x14ac:dyDescent="0.25">
      <c r="A89" s="26">
        <f>IF('2 - PREENCHA AQUI'!E93=FALSE(),0,'2 - PREENCHA AQUI'!E93)</f>
        <v>0</v>
      </c>
      <c r="B89" s="31">
        <f>'2 - PREENCHA AQUI'!J93</f>
        <v>0</v>
      </c>
      <c r="C89" s="31">
        <f>'2 - PREENCHA AQUI'!K93</f>
        <v>0</v>
      </c>
      <c r="D89" s="26">
        <f>'2 - PREENCHA AQUI'!L93</f>
        <v>0</v>
      </c>
      <c r="E89" s="26">
        <f>'2 - PREENCHA AQUI'!M93</f>
        <v>0</v>
      </c>
    </row>
    <row r="90" spans="1:5" x14ac:dyDescent="0.25">
      <c r="A90" s="26">
        <f>IF('2 - PREENCHA AQUI'!E94=FALSE(),0,'2 - PREENCHA AQUI'!E94)</f>
        <v>0</v>
      </c>
      <c r="B90" s="31">
        <f>'2 - PREENCHA AQUI'!J94</f>
        <v>0</v>
      </c>
      <c r="C90" s="31">
        <f>'2 - PREENCHA AQUI'!K94</f>
        <v>0</v>
      </c>
      <c r="D90" s="26">
        <f>'2 - PREENCHA AQUI'!L94</f>
        <v>0</v>
      </c>
      <c r="E90" s="26">
        <f>'2 - PREENCHA AQUI'!M94</f>
        <v>0</v>
      </c>
    </row>
    <row r="91" spans="1:5" x14ac:dyDescent="0.25">
      <c r="A91" s="26">
        <f>IF('2 - PREENCHA AQUI'!E95=FALSE(),0,'2 - PREENCHA AQUI'!E95)</f>
        <v>0</v>
      </c>
      <c r="B91" s="31">
        <f>'2 - PREENCHA AQUI'!J95</f>
        <v>0</v>
      </c>
      <c r="C91" s="31">
        <f>'2 - PREENCHA AQUI'!K95</f>
        <v>0</v>
      </c>
      <c r="D91" s="26">
        <f>'2 - PREENCHA AQUI'!L95</f>
        <v>0</v>
      </c>
      <c r="E91" s="26">
        <f>'2 - PREENCHA AQUI'!M95</f>
        <v>0</v>
      </c>
    </row>
    <row r="92" spans="1:5" x14ac:dyDescent="0.25">
      <c r="A92" s="26">
        <f>IF('2 - PREENCHA AQUI'!E96=FALSE(),0,'2 - PREENCHA AQUI'!E96)</f>
        <v>0</v>
      </c>
      <c r="B92" s="31">
        <f>'2 - PREENCHA AQUI'!J96</f>
        <v>0</v>
      </c>
      <c r="C92" s="31">
        <f>'2 - PREENCHA AQUI'!K96</f>
        <v>0</v>
      </c>
      <c r="D92" s="26">
        <f>'2 - PREENCHA AQUI'!L96</f>
        <v>0</v>
      </c>
      <c r="E92" s="26">
        <f>'2 - PREENCHA AQUI'!M96</f>
        <v>0</v>
      </c>
    </row>
    <row r="93" spans="1:5" x14ac:dyDescent="0.25">
      <c r="A93" s="26">
        <f>IF('2 - PREENCHA AQUI'!E97=FALSE(),0,'2 - PREENCHA AQUI'!E97)</f>
        <v>0</v>
      </c>
      <c r="B93" s="31">
        <f>'2 - PREENCHA AQUI'!J97</f>
        <v>0</v>
      </c>
      <c r="C93" s="31">
        <f>'2 - PREENCHA AQUI'!K97</f>
        <v>0</v>
      </c>
      <c r="D93" s="26">
        <f>'2 - PREENCHA AQUI'!L97</f>
        <v>0</v>
      </c>
      <c r="E93" s="26">
        <f>'2 - PREENCHA AQUI'!M97</f>
        <v>0</v>
      </c>
    </row>
    <row r="94" spans="1:5" x14ac:dyDescent="0.25">
      <c r="A94" s="26">
        <f>IF('2 - PREENCHA AQUI'!E98=FALSE(),0,'2 - PREENCHA AQUI'!E98)</f>
        <v>0</v>
      </c>
      <c r="B94" s="31">
        <f>'2 - PREENCHA AQUI'!J98</f>
        <v>0</v>
      </c>
      <c r="C94" s="31">
        <f>'2 - PREENCHA AQUI'!K98</f>
        <v>0</v>
      </c>
      <c r="D94" s="26">
        <f>'2 - PREENCHA AQUI'!L98</f>
        <v>0</v>
      </c>
      <c r="E94" s="26">
        <f>'2 - PREENCHA AQUI'!M98</f>
        <v>0</v>
      </c>
    </row>
    <row r="95" spans="1:5" x14ac:dyDescent="0.25">
      <c r="A95" s="26">
        <f>IF('2 - PREENCHA AQUI'!E99=FALSE(),0,'2 - PREENCHA AQUI'!E99)</f>
        <v>0</v>
      </c>
      <c r="B95" s="31">
        <f>'2 - PREENCHA AQUI'!J99</f>
        <v>0</v>
      </c>
      <c r="C95" s="31">
        <f>'2 - PREENCHA AQUI'!K99</f>
        <v>0</v>
      </c>
      <c r="D95" s="26">
        <f>'2 - PREENCHA AQUI'!L99</f>
        <v>0</v>
      </c>
      <c r="E95" s="26">
        <f>'2 - PREENCHA AQUI'!M99</f>
        <v>0</v>
      </c>
    </row>
    <row r="96" spans="1:5" x14ac:dyDescent="0.25">
      <c r="A96" s="26">
        <f>IF('2 - PREENCHA AQUI'!E100=FALSE(),0,'2 - PREENCHA AQUI'!E100)</f>
        <v>0</v>
      </c>
      <c r="B96" s="31">
        <f>'2 - PREENCHA AQUI'!J100</f>
        <v>0</v>
      </c>
      <c r="C96" s="31">
        <f>'2 - PREENCHA AQUI'!K100</f>
        <v>0</v>
      </c>
      <c r="D96" s="26">
        <f>'2 - PREENCHA AQUI'!L100</f>
        <v>0</v>
      </c>
      <c r="E96" s="26">
        <f>'2 - PREENCHA AQUI'!M100</f>
        <v>0</v>
      </c>
    </row>
    <row r="97" spans="1:5" x14ac:dyDescent="0.25">
      <c r="A97" s="26">
        <f>IF('2 - PREENCHA AQUI'!E101=FALSE(),0,'2 - PREENCHA AQUI'!E101)</f>
        <v>0</v>
      </c>
      <c r="B97" s="31">
        <f>'2 - PREENCHA AQUI'!J101</f>
        <v>0</v>
      </c>
      <c r="C97" s="31">
        <f>'2 - PREENCHA AQUI'!K101</f>
        <v>0</v>
      </c>
      <c r="D97" s="26">
        <f>'2 - PREENCHA AQUI'!L101</f>
        <v>0</v>
      </c>
      <c r="E97" s="26">
        <f>'2 - PREENCHA AQUI'!M101</f>
        <v>0</v>
      </c>
    </row>
    <row r="98" spans="1:5" x14ac:dyDescent="0.25">
      <c r="A98" s="26">
        <f>IF('2 - PREENCHA AQUI'!E102=FALSE(),0,'2 - PREENCHA AQUI'!E102)</f>
        <v>0</v>
      </c>
      <c r="B98" s="31">
        <f>'2 - PREENCHA AQUI'!J102</f>
        <v>0</v>
      </c>
      <c r="C98" s="31">
        <f>'2 - PREENCHA AQUI'!K102</f>
        <v>0</v>
      </c>
      <c r="D98" s="26">
        <f>'2 - PREENCHA AQUI'!L102</f>
        <v>0</v>
      </c>
      <c r="E98" s="26">
        <f>'2 - PREENCHA AQUI'!M102</f>
        <v>0</v>
      </c>
    </row>
    <row r="99" spans="1:5" x14ac:dyDescent="0.25">
      <c r="A99" s="26">
        <f>IF('2 - PREENCHA AQUI'!E103=FALSE(),0,'2 - PREENCHA AQUI'!E103)</f>
        <v>0</v>
      </c>
      <c r="B99" s="31">
        <f>'2 - PREENCHA AQUI'!J103</f>
        <v>0</v>
      </c>
      <c r="C99" s="31">
        <f>'2 - PREENCHA AQUI'!K103</f>
        <v>0</v>
      </c>
      <c r="D99" s="26">
        <f>'2 - PREENCHA AQUI'!L103</f>
        <v>0</v>
      </c>
      <c r="E99" s="26">
        <f>'2 - PREENCHA AQUI'!M103</f>
        <v>0</v>
      </c>
    </row>
    <row r="100" spans="1:5" x14ac:dyDescent="0.25">
      <c r="A100" s="26">
        <f>IF('2 - PREENCHA AQUI'!E104=FALSE(),0,'2 - PREENCHA AQUI'!E104)</f>
        <v>0</v>
      </c>
      <c r="B100" s="31">
        <f>'2 - PREENCHA AQUI'!J104</f>
        <v>0</v>
      </c>
      <c r="C100" s="31">
        <f>'2 - PREENCHA AQUI'!K104</f>
        <v>0</v>
      </c>
      <c r="D100" s="26">
        <f>'2 - PREENCHA AQUI'!L104</f>
        <v>0</v>
      </c>
      <c r="E100" s="26">
        <f>'2 - PREENCHA AQUI'!M104</f>
        <v>0</v>
      </c>
    </row>
    <row r="101" spans="1:5" x14ac:dyDescent="0.25">
      <c r="A101" s="26">
        <f>IF('2 - PREENCHA AQUI'!E105=FALSE(),0,'2 - PREENCHA AQUI'!E105)</f>
        <v>0</v>
      </c>
      <c r="B101" s="31">
        <f>'2 - PREENCHA AQUI'!J105</f>
        <v>0</v>
      </c>
      <c r="C101" s="31">
        <f>'2 - PREENCHA AQUI'!K105</f>
        <v>0</v>
      </c>
      <c r="D101" s="26">
        <f>'2 - PREENCHA AQUI'!L105</f>
        <v>0</v>
      </c>
      <c r="E101" s="26">
        <f>'2 - PREENCHA AQUI'!M105</f>
        <v>0</v>
      </c>
    </row>
    <row r="102" spans="1:5" x14ac:dyDescent="0.25">
      <c r="A102" s="26">
        <f>IF('2 - PREENCHA AQUI'!E106=FALSE(),0,'2 - PREENCHA AQUI'!E106)</f>
        <v>0</v>
      </c>
      <c r="B102" s="31">
        <f>'2 - PREENCHA AQUI'!J106</f>
        <v>0</v>
      </c>
      <c r="C102" s="31">
        <f>'2 - PREENCHA AQUI'!K106</f>
        <v>0</v>
      </c>
      <c r="D102" s="26">
        <f>'2 - PREENCHA AQUI'!L106</f>
        <v>0</v>
      </c>
      <c r="E102" s="26">
        <f>'2 - PREENCHA AQUI'!M106</f>
        <v>0</v>
      </c>
    </row>
    <row r="103" spans="1:5" x14ac:dyDescent="0.25">
      <c r="A103" s="26">
        <f>IF('2 - PREENCHA AQUI'!E107=FALSE(),0,'2 - PREENCHA AQUI'!E107)</f>
        <v>0</v>
      </c>
      <c r="B103" s="31">
        <f>'2 - PREENCHA AQUI'!J107</f>
        <v>0</v>
      </c>
      <c r="C103" s="31">
        <f>'2 - PREENCHA AQUI'!K107</f>
        <v>0</v>
      </c>
      <c r="D103" s="26">
        <f>'2 - PREENCHA AQUI'!L107</f>
        <v>0</v>
      </c>
      <c r="E103" s="26">
        <f>'2 - PREENCHA AQUI'!M107</f>
        <v>0</v>
      </c>
    </row>
    <row r="104" spans="1:5" x14ac:dyDescent="0.25">
      <c r="A104" s="26">
        <f>IF('2 - PREENCHA AQUI'!E108=FALSE(),0,'2 - PREENCHA AQUI'!E108)</f>
        <v>0</v>
      </c>
      <c r="B104" s="31">
        <f>'2 - PREENCHA AQUI'!J108</f>
        <v>0</v>
      </c>
      <c r="C104" s="31">
        <f>'2 - PREENCHA AQUI'!K108</f>
        <v>0</v>
      </c>
      <c r="D104" s="26">
        <f>'2 - PREENCHA AQUI'!L108</f>
        <v>0</v>
      </c>
      <c r="E104" s="26">
        <f>'2 - PREENCHA AQUI'!M108</f>
        <v>0</v>
      </c>
    </row>
    <row r="105" spans="1:5" x14ac:dyDescent="0.25">
      <c r="A105" s="26">
        <f>IF('2 - PREENCHA AQUI'!E109=FALSE(),0,'2 - PREENCHA AQUI'!E109)</f>
        <v>0</v>
      </c>
      <c r="B105" s="31">
        <f>'2 - PREENCHA AQUI'!J109</f>
        <v>0</v>
      </c>
      <c r="C105" s="31">
        <f>'2 - PREENCHA AQUI'!K109</f>
        <v>0</v>
      </c>
      <c r="D105" s="26">
        <f>'2 - PREENCHA AQUI'!L109</f>
        <v>0</v>
      </c>
      <c r="E105" s="26">
        <f>'2 - PREENCHA AQUI'!M109</f>
        <v>0</v>
      </c>
    </row>
    <row r="106" spans="1:5" x14ac:dyDescent="0.25">
      <c r="A106" s="26">
        <f>IF('2 - PREENCHA AQUI'!E110=FALSE(),0,'2 - PREENCHA AQUI'!E110)</f>
        <v>0</v>
      </c>
      <c r="B106" s="31">
        <f>'2 - PREENCHA AQUI'!J110</f>
        <v>0</v>
      </c>
      <c r="C106" s="31">
        <f>'2 - PREENCHA AQUI'!K110</f>
        <v>0</v>
      </c>
      <c r="D106" s="26">
        <f>'2 - PREENCHA AQUI'!L110</f>
        <v>0</v>
      </c>
      <c r="E106" s="26">
        <f>'2 - PREENCHA AQUI'!M110</f>
        <v>0</v>
      </c>
    </row>
    <row r="107" spans="1:5" x14ac:dyDescent="0.25">
      <c r="A107" s="26">
        <f>IF('2 - PREENCHA AQUI'!E111=FALSE(),0,'2 - PREENCHA AQUI'!E111)</f>
        <v>0</v>
      </c>
      <c r="B107" s="31">
        <f>'2 - PREENCHA AQUI'!J111</f>
        <v>0</v>
      </c>
      <c r="C107" s="31">
        <f>'2 - PREENCHA AQUI'!K111</f>
        <v>0</v>
      </c>
      <c r="D107" s="26">
        <f>'2 - PREENCHA AQUI'!L111</f>
        <v>0</v>
      </c>
      <c r="E107" s="26">
        <f>'2 - PREENCHA AQUI'!M111</f>
        <v>0</v>
      </c>
    </row>
    <row r="108" spans="1:5" x14ac:dyDescent="0.25">
      <c r="A108" s="26">
        <f>IF('2 - PREENCHA AQUI'!E112=FALSE(),0,'2 - PREENCHA AQUI'!E112)</f>
        <v>0</v>
      </c>
      <c r="B108" s="31">
        <f>'2 - PREENCHA AQUI'!J112</f>
        <v>0</v>
      </c>
      <c r="C108" s="31">
        <f>'2 - PREENCHA AQUI'!K112</f>
        <v>0</v>
      </c>
      <c r="D108" s="26">
        <f>'2 - PREENCHA AQUI'!L112</f>
        <v>0</v>
      </c>
      <c r="E108" s="26">
        <f>'2 - PREENCHA AQUI'!M112</f>
        <v>0</v>
      </c>
    </row>
    <row r="109" spans="1:5" x14ac:dyDescent="0.25">
      <c r="A109" s="26">
        <f>IF('2 - PREENCHA AQUI'!E113=FALSE(),0,'2 - PREENCHA AQUI'!E113)</f>
        <v>0</v>
      </c>
      <c r="B109" s="31">
        <f>'2 - PREENCHA AQUI'!J113</f>
        <v>0</v>
      </c>
      <c r="C109" s="31">
        <f>'2 - PREENCHA AQUI'!K113</f>
        <v>0</v>
      </c>
      <c r="D109" s="26">
        <f>'2 - PREENCHA AQUI'!L113</f>
        <v>0</v>
      </c>
      <c r="E109" s="26">
        <f>'2 - PREENCHA AQUI'!M113</f>
        <v>0</v>
      </c>
    </row>
    <row r="110" spans="1:5" x14ac:dyDescent="0.25">
      <c r="A110" s="26">
        <f>IF('2 - PREENCHA AQUI'!E114=FALSE(),0,'2 - PREENCHA AQUI'!E114)</f>
        <v>0</v>
      </c>
      <c r="B110" s="31">
        <f>'2 - PREENCHA AQUI'!J114</f>
        <v>0</v>
      </c>
      <c r="C110" s="31">
        <f>'2 - PREENCHA AQUI'!K114</f>
        <v>0</v>
      </c>
      <c r="D110" s="26">
        <f>'2 - PREENCHA AQUI'!L114</f>
        <v>0</v>
      </c>
      <c r="E110" s="26">
        <f>'2 - PREENCHA AQUI'!M114</f>
        <v>0</v>
      </c>
    </row>
    <row r="111" spans="1:5" x14ac:dyDescent="0.25">
      <c r="A111" s="26">
        <f>IF('2 - PREENCHA AQUI'!E115=FALSE(),0,'2 - PREENCHA AQUI'!E115)</f>
        <v>0</v>
      </c>
      <c r="B111" s="31">
        <f>'2 - PREENCHA AQUI'!J115</f>
        <v>0</v>
      </c>
      <c r="C111" s="31">
        <f>'2 - PREENCHA AQUI'!K115</f>
        <v>0</v>
      </c>
      <c r="D111" s="26">
        <f>'2 - PREENCHA AQUI'!L115</f>
        <v>0</v>
      </c>
      <c r="E111" s="26">
        <f>'2 - PREENCHA AQUI'!M115</f>
        <v>0</v>
      </c>
    </row>
    <row r="112" spans="1:5" x14ac:dyDescent="0.25">
      <c r="A112" s="26">
        <f>IF('2 - PREENCHA AQUI'!E116=FALSE(),0,'2 - PREENCHA AQUI'!E116)</f>
        <v>0</v>
      </c>
      <c r="B112" s="31">
        <f>'2 - PREENCHA AQUI'!J116</f>
        <v>0</v>
      </c>
      <c r="C112" s="31">
        <f>'2 - PREENCHA AQUI'!K116</f>
        <v>0</v>
      </c>
      <c r="D112" s="26">
        <f>'2 - PREENCHA AQUI'!L116</f>
        <v>0</v>
      </c>
      <c r="E112" s="26">
        <f>'2 - PREENCHA AQUI'!M116</f>
        <v>0</v>
      </c>
    </row>
    <row r="113" spans="1:5" x14ac:dyDescent="0.25">
      <c r="A113" s="26">
        <f>IF('2 - PREENCHA AQUI'!E117=FALSE(),0,'2 - PREENCHA AQUI'!E117)</f>
        <v>0</v>
      </c>
      <c r="B113" s="31">
        <f>'2 - PREENCHA AQUI'!J117</f>
        <v>0</v>
      </c>
      <c r="C113" s="31">
        <f>'2 - PREENCHA AQUI'!K117</f>
        <v>0</v>
      </c>
      <c r="D113" s="26">
        <f>'2 - PREENCHA AQUI'!L117</f>
        <v>0</v>
      </c>
      <c r="E113" s="26">
        <f>'2 - PREENCHA AQUI'!M117</f>
        <v>0</v>
      </c>
    </row>
    <row r="114" spans="1:5" x14ac:dyDescent="0.25">
      <c r="A114" s="26">
        <f>IF('2 - PREENCHA AQUI'!E118=FALSE(),0,'2 - PREENCHA AQUI'!E118)</f>
        <v>0</v>
      </c>
      <c r="B114" s="31">
        <f>'2 - PREENCHA AQUI'!J118</f>
        <v>0</v>
      </c>
      <c r="C114" s="31">
        <f>'2 - PREENCHA AQUI'!K118</f>
        <v>0</v>
      </c>
      <c r="D114" s="26">
        <f>'2 - PREENCHA AQUI'!L118</f>
        <v>0</v>
      </c>
      <c r="E114" s="26">
        <f>'2 - PREENCHA AQUI'!M118</f>
        <v>0</v>
      </c>
    </row>
    <row r="115" spans="1:5" x14ac:dyDescent="0.25">
      <c r="A115" s="26">
        <f>IF('2 - PREENCHA AQUI'!E119=FALSE(),0,'2 - PREENCHA AQUI'!E119)</f>
        <v>0</v>
      </c>
      <c r="B115" s="31">
        <f>'2 - PREENCHA AQUI'!J119</f>
        <v>0</v>
      </c>
      <c r="C115" s="31">
        <f>'2 - PREENCHA AQUI'!K119</f>
        <v>0</v>
      </c>
      <c r="D115" s="26">
        <f>'2 - PREENCHA AQUI'!L119</f>
        <v>0</v>
      </c>
      <c r="E115" s="26">
        <f>'2 - PREENCHA AQUI'!M119</f>
        <v>0</v>
      </c>
    </row>
    <row r="116" spans="1:5" x14ac:dyDescent="0.25">
      <c r="A116" s="26">
        <f>IF('2 - PREENCHA AQUI'!E120=FALSE(),0,'2 - PREENCHA AQUI'!E120)</f>
        <v>0</v>
      </c>
      <c r="B116" s="31">
        <f>'2 - PREENCHA AQUI'!J120</f>
        <v>0</v>
      </c>
      <c r="C116" s="31">
        <f>'2 - PREENCHA AQUI'!K120</f>
        <v>0</v>
      </c>
      <c r="D116" s="26">
        <f>'2 - PREENCHA AQUI'!L120</f>
        <v>0</v>
      </c>
      <c r="E116" s="26">
        <f>'2 - PREENCHA AQUI'!M120</f>
        <v>0</v>
      </c>
    </row>
    <row r="117" spans="1:5" x14ac:dyDescent="0.25">
      <c r="A117" s="26">
        <f>IF('2 - PREENCHA AQUI'!E121=FALSE(),0,'2 - PREENCHA AQUI'!E121)</f>
        <v>0</v>
      </c>
      <c r="B117" s="31">
        <f>'2 - PREENCHA AQUI'!J121</f>
        <v>0</v>
      </c>
      <c r="C117" s="31">
        <f>'2 - PREENCHA AQUI'!K121</f>
        <v>0</v>
      </c>
      <c r="D117" s="26">
        <f>'2 - PREENCHA AQUI'!L121</f>
        <v>0</v>
      </c>
      <c r="E117" s="26">
        <f>'2 - PREENCHA AQUI'!M121</f>
        <v>0</v>
      </c>
    </row>
    <row r="118" spans="1:5" x14ac:dyDescent="0.25">
      <c r="A118" s="26">
        <f>IF('2 - PREENCHA AQUI'!E122=FALSE(),0,'2 - PREENCHA AQUI'!E122)</f>
        <v>0</v>
      </c>
      <c r="B118" s="31">
        <f>'2 - PREENCHA AQUI'!J122</f>
        <v>0</v>
      </c>
      <c r="C118" s="31">
        <f>'2 - PREENCHA AQUI'!K122</f>
        <v>0</v>
      </c>
      <c r="D118" s="26">
        <f>'2 - PREENCHA AQUI'!L122</f>
        <v>0</v>
      </c>
      <c r="E118" s="26">
        <f>'2 - PREENCHA AQUI'!M122</f>
        <v>0</v>
      </c>
    </row>
    <row r="119" spans="1:5" x14ac:dyDescent="0.25">
      <c r="A119" s="26">
        <f>IF('2 - PREENCHA AQUI'!E123=FALSE(),0,'2 - PREENCHA AQUI'!E123)</f>
        <v>0</v>
      </c>
      <c r="B119" s="31">
        <f>'2 - PREENCHA AQUI'!J123</f>
        <v>0</v>
      </c>
      <c r="C119" s="31">
        <f>'2 - PREENCHA AQUI'!K123</f>
        <v>0</v>
      </c>
      <c r="D119" s="26">
        <f>'2 - PREENCHA AQUI'!L123</f>
        <v>0</v>
      </c>
      <c r="E119" s="26">
        <f>'2 - PREENCHA AQUI'!M123</f>
        <v>0</v>
      </c>
    </row>
    <row r="120" spans="1:5" x14ac:dyDescent="0.25">
      <c r="A120" s="26">
        <f>IF('2 - PREENCHA AQUI'!E124=FALSE(),0,'2 - PREENCHA AQUI'!E124)</f>
        <v>0</v>
      </c>
      <c r="B120" s="31">
        <f>'2 - PREENCHA AQUI'!J124</f>
        <v>0</v>
      </c>
      <c r="C120" s="31">
        <f>'2 - PREENCHA AQUI'!K124</f>
        <v>0</v>
      </c>
      <c r="D120" s="26">
        <f>'2 - PREENCHA AQUI'!L124</f>
        <v>0</v>
      </c>
      <c r="E120" s="26">
        <f>'2 - PREENCHA AQUI'!M124</f>
        <v>0</v>
      </c>
    </row>
    <row r="121" spans="1:5" x14ac:dyDescent="0.25">
      <c r="A121" s="26">
        <f>IF('2 - PREENCHA AQUI'!E125=FALSE(),0,'2 - PREENCHA AQUI'!E125)</f>
        <v>0</v>
      </c>
      <c r="B121" s="31">
        <f>'2 - PREENCHA AQUI'!J125</f>
        <v>0</v>
      </c>
      <c r="C121" s="31">
        <f>'2 - PREENCHA AQUI'!K125</f>
        <v>0</v>
      </c>
      <c r="D121" s="26">
        <f>'2 - PREENCHA AQUI'!L125</f>
        <v>0</v>
      </c>
      <c r="E121" s="26">
        <f>'2 - PREENCHA AQUI'!M125</f>
        <v>0</v>
      </c>
    </row>
    <row r="122" spans="1:5" x14ac:dyDescent="0.25">
      <c r="A122" s="26">
        <f>IF('2 - PREENCHA AQUI'!E126=FALSE(),0,'2 - PREENCHA AQUI'!E126)</f>
        <v>0</v>
      </c>
      <c r="B122" s="31">
        <f>'2 - PREENCHA AQUI'!J126</f>
        <v>0</v>
      </c>
      <c r="C122" s="31">
        <f>'2 - PREENCHA AQUI'!K126</f>
        <v>0</v>
      </c>
      <c r="D122" s="26">
        <f>'2 - PREENCHA AQUI'!L126</f>
        <v>0</v>
      </c>
      <c r="E122" s="26">
        <f>'2 - PREENCHA AQUI'!M126</f>
        <v>0</v>
      </c>
    </row>
    <row r="123" spans="1:5" x14ac:dyDescent="0.25">
      <c r="A123" s="26">
        <f>IF('2 - PREENCHA AQUI'!E127=FALSE(),0,'2 - PREENCHA AQUI'!E127)</f>
        <v>0</v>
      </c>
      <c r="B123" s="31">
        <f>'2 - PREENCHA AQUI'!J127</f>
        <v>0</v>
      </c>
      <c r="C123" s="31">
        <f>'2 - PREENCHA AQUI'!K127</f>
        <v>0</v>
      </c>
      <c r="D123" s="26">
        <f>'2 - PREENCHA AQUI'!L127</f>
        <v>0</v>
      </c>
      <c r="E123" s="26">
        <f>'2 - PREENCHA AQUI'!M127</f>
        <v>0</v>
      </c>
    </row>
    <row r="124" spans="1:5" x14ac:dyDescent="0.25">
      <c r="A124" s="26">
        <f>IF('2 - PREENCHA AQUI'!E128=FALSE(),0,'2 - PREENCHA AQUI'!E128)</f>
        <v>0</v>
      </c>
      <c r="B124" s="31">
        <f>'2 - PREENCHA AQUI'!J128</f>
        <v>0</v>
      </c>
      <c r="C124" s="31">
        <f>'2 - PREENCHA AQUI'!K128</f>
        <v>0</v>
      </c>
      <c r="D124" s="26">
        <f>'2 - PREENCHA AQUI'!L128</f>
        <v>0</v>
      </c>
      <c r="E124" s="26">
        <f>'2 - PREENCHA AQUI'!M128</f>
        <v>0</v>
      </c>
    </row>
    <row r="125" spans="1:5" x14ac:dyDescent="0.25">
      <c r="A125" s="26">
        <f>IF('2 - PREENCHA AQUI'!E129=FALSE(),0,'2 - PREENCHA AQUI'!E129)</f>
        <v>0</v>
      </c>
      <c r="B125" s="31">
        <f>'2 - PREENCHA AQUI'!J129</f>
        <v>0</v>
      </c>
      <c r="C125" s="31">
        <f>'2 - PREENCHA AQUI'!K129</f>
        <v>0</v>
      </c>
      <c r="D125" s="26">
        <f>'2 - PREENCHA AQUI'!L129</f>
        <v>0</v>
      </c>
      <c r="E125" s="26">
        <f>'2 - PREENCHA AQUI'!M129</f>
        <v>0</v>
      </c>
    </row>
    <row r="126" spans="1:5" x14ac:dyDescent="0.25">
      <c r="A126" s="26">
        <f>IF('2 - PREENCHA AQUI'!E130=FALSE(),0,'2 - PREENCHA AQUI'!E130)</f>
        <v>0</v>
      </c>
      <c r="B126" s="31">
        <f>'2 - PREENCHA AQUI'!J130</f>
        <v>0</v>
      </c>
      <c r="C126" s="31">
        <f>'2 - PREENCHA AQUI'!K130</f>
        <v>0</v>
      </c>
      <c r="D126" s="26">
        <f>'2 - PREENCHA AQUI'!L130</f>
        <v>0</v>
      </c>
      <c r="E126" s="26">
        <f>'2 - PREENCHA AQUI'!M130</f>
        <v>0</v>
      </c>
    </row>
    <row r="127" spans="1:5" x14ac:dyDescent="0.25">
      <c r="A127" s="26">
        <f>IF('2 - PREENCHA AQUI'!E131=FALSE(),0,'2 - PREENCHA AQUI'!E131)</f>
        <v>0</v>
      </c>
      <c r="B127" s="31">
        <f>'2 - PREENCHA AQUI'!J131</f>
        <v>0</v>
      </c>
      <c r="C127" s="31">
        <f>'2 - PREENCHA AQUI'!K131</f>
        <v>0</v>
      </c>
      <c r="D127" s="26">
        <f>'2 - PREENCHA AQUI'!L131</f>
        <v>0</v>
      </c>
      <c r="E127" s="26">
        <f>'2 - PREENCHA AQUI'!M131</f>
        <v>0</v>
      </c>
    </row>
    <row r="128" spans="1:5" x14ac:dyDescent="0.25">
      <c r="A128" s="26">
        <f>IF('2 - PREENCHA AQUI'!E132=FALSE(),0,'2 - PREENCHA AQUI'!E132)</f>
        <v>0</v>
      </c>
      <c r="B128" s="31">
        <f>'2 - PREENCHA AQUI'!J132</f>
        <v>0</v>
      </c>
      <c r="C128" s="31">
        <f>'2 - PREENCHA AQUI'!K132</f>
        <v>0</v>
      </c>
      <c r="D128" s="26">
        <f>'2 - PREENCHA AQUI'!L132</f>
        <v>0</v>
      </c>
      <c r="E128" s="26">
        <f>'2 - PREENCHA AQUI'!M132</f>
        <v>0</v>
      </c>
    </row>
    <row r="129" spans="1:5" x14ac:dyDescent="0.25">
      <c r="A129" s="26">
        <f>IF('2 - PREENCHA AQUI'!E133=FALSE(),0,'2 - PREENCHA AQUI'!E133)</f>
        <v>0</v>
      </c>
      <c r="B129" s="31">
        <f>'2 - PREENCHA AQUI'!J133</f>
        <v>0</v>
      </c>
      <c r="C129" s="31">
        <f>'2 - PREENCHA AQUI'!K133</f>
        <v>0</v>
      </c>
      <c r="D129" s="26">
        <f>'2 - PREENCHA AQUI'!L133</f>
        <v>0</v>
      </c>
      <c r="E129" s="26">
        <f>'2 - PREENCHA AQUI'!M133</f>
        <v>0</v>
      </c>
    </row>
    <row r="130" spans="1:5" x14ac:dyDescent="0.25">
      <c r="A130" s="26">
        <f>IF('2 - PREENCHA AQUI'!E134=FALSE(),0,'2 - PREENCHA AQUI'!E134)</f>
        <v>0</v>
      </c>
      <c r="B130" s="31">
        <f>'2 - PREENCHA AQUI'!J134</f>
        <v>0</v>
      </c>
      <c r="C130" s="31">
        <f>'2 - PREENCHA AQUI'!K134</f>
        <v>0</v>
      </c>
      <c r="D130" s="26">
        <f>'2 - PREENCHA AQUI'!L134</f>
        <v>0</v>
      </c>
      <c r="E130" s="26">
        <f>'2 - PREENCHA AQUI'!M134</f>
        <v>0</v>
      </c>
    </row>
    <row r="131" spans="1:5" x14ac:dyDescent="0.25">
      <c r="A131" s="26">
        <f>IF('2 - PREENCHA AQUI'!E135=FALSE(),0,'2 - PREENCHA AQUI'!E135)</f>
        <v>0</v>
      </c>
      <c r="B131" s="31">
        <f>'2 - PREENCHA AQUI'!J135</f>
        <v>0</v>
      </c>
      <c r="C131" s="31">
        <f>'2 - PREENCHA AQUI'!K135</f>
        <v>0</v>
      </c>
      <c r="D131" s="26">
        <f>'2 - PREENCHA AQUI'!L135</f>
        <v>0</v>
      </c>
      <c r="E131" s="26">
        <f>'2 - PREENCHA AQUI'!M135</f>
        <v>0</v>
      </c>
    </row>
    <row r="132" spans="1:5" x14ac:dyDescent="0.25">
      <c r="A132" s="26">
        <f>IF('2 - PREENCHA AQUI'!E136=FALSE(),0,'2 - PREENCHA AQUI'!E136)</f>
        <v>0</v>
      </c>
      <c r="B132" s="31">
        <f>'2 - PREENCHA AQUI'!J136</f>
        <v>0</v>
      </c>
      <c r="C132" s="31">
        <f>'2 - PREENCHA AQUI'!K136</f>
        <v>0</v>
      </c>
      <c r="D132" s="26">
        <f>'2 - PREENCHA AQUI'!L136</f>
        <v>0</v>
      </c>
      <c r="E132" s="26">
        <f>'2 - PREENCHA AQUI'!M136</f>
        <v>0</v>
      </c>
    </row>
    <row r="133" spans="1:5" x14ac:dyDescent="0.25">
      <c r="A133" s="26">
        <f>IF('2 - PREENCHA AQUI'!E137=FALSE(),0,'2 - PREENCHA AQUI'!E137)</f>
        <v>0</v>
      </c>
      <c r="B133" s="31">
        <f>'2 - PREENCHA AQUI'!J137</f>
        <v>0</v>
      </c>
      <c r="C133" s="31">
        <f>'2 - PREENCHA AQUI'!K137</f>
        <v>0</v>
      </c>
      <c r="D133" s="26">
        <f>'2 - PREENCHA AQUI'!L137</f>
        <v>0</v>
      </c>
      <c r="E133" s="26">
        <f>'2 - PREENCHA AQUI'!M137</f>
        <v>0</v>
      </c>
    </row>
    <row r="134" spans="1:5" x14ac:dyDescent="0.25">
      <c r="A134" s="26">
        <f>IF('2 - PREENCHA AQUI'!E138=FALSE(),0,'2 - PREENCHA AQUI'!E138)</f>
        <v>0</v>
      </c>
      <c r="B134" s="31">
        <f>'2 - PREENCHA AQUI'!J138</f>
        <v>0</v>
      </c>
      <c r="C134" s="31">
        <f>'2 - PREENCHA AQUI'!K138</f>
        <v>0</v>
      </c>
      <c r="D134" s="26">
        <f>'2 - PREENCHA AQUI'!L138</f>
        <v>0</v>
      </c>
      <c r="E134" s="26">
        <f>'2 - PREENCHA AQUI'!M138</f>
        <v>0</v>
      </c>
    </row>
    <row r="135" spans="1:5" x14ac:dyDescent="0.25">
      <c r="A135" s="26">
        <f>IF('2 - PREENCHA AQUI'!E139=FALSE(),0,'2 - PREENCHA AQUI'!E139)</f>
        <v>0</v>
      </c>
      <c r="B135" s="31">
        <f>'2 - PREENCHA AQUI'!J139</f>
        <v>0</v>
      </c>
      <c r="C135" s="31">
        <f>'2 - PREENCHA AQUI'!K139</f>
        <v>0</v>
      </c>
      <c r="D135" s="26">
        <f>'2 - PREENCHA AQUI'!L139</f>
        <v>0</v>
      </c>
      <c r="E135" s="26">
        <f>'2 - PREENCHA AQUI'!M139</f>
        <v>0</v>
      </c>
    </row>
    <row r="136" spans="1:5" x14ac:dyDescent="0.25">
      <c r="A136" s="26">
        <f>IF('2 - PREENCHA AQUI'!E140=FALSE(),0,'2 - PREENCHA AQUI'!E140)</f>
        <v>0</v>
      </c>
      <c r="B136" s="31">
        <f>'2 - PREENCHA AQUI'!J140</f>
        <v>0</v>
      </c>
      <c r="C136" s="31">
        <f>'2 - PREENCHA AQUI'!K140</f>
        <v>0</v>
      </c>
      <c r="D136" s="26">
        <f>'2 - PREENCHA AQUI'!L140</f>
        <v>0</v>
      </c>
      <c r="E136" s="26">
        <f>'2 - PREENCHA AQUI'!M140</f>
        <v>0</v>
      </c>
    </row>
    <row r="137" spans="1:5" x14ac:dyDescent="0.25">
      <c r="A137" s="26">
        <f>IF('2 - PREENCHA AQUI'!E141=FALSE(),0,'2 - PREENCHA AQUI'!E141)</f>
        <v>0</v>
      </c>
      <c r="B137" s="31">
        <f>'2 - PREENCHA AQUI'!J141</f>
        <v>0</v>
      </c>
      <c r="C137" s="31">
        <f>'2 - PREENCHA AQUI'!K141</f>
        <v>0</v>
      </c>
      <c r="D137" s="26">
        <f>'2 - PREENCHA AQUI'!L141</f>
        <v>0</v>
      </c>
      <c r="E137" s="26">
        <f>'2 - PREENCHA AQUI'!M141</f>
        <v>0</v>
      </c>
    </row>
    <row r="138" spans="1:5" x14ac:dyDescent="0.25">
      <c r="A138" s="26">
        <f>IF('2 - PREENCHA AQUI'!E142=FALSE(),0,'2 - PREENCHA AQUI'!E142)</f>
        <v>0</v>
      </c>
      <c r="B138" s="31">
        <f>'2 - PREENCHA AQUI'!J142</f>
        <v>0</v>
      </c>
      <c r="C138" s="31">
        <f>'2 - PREENCHA AQUI'!K142</f>
        <v>0</v>
      </c>
      <c r="D138" s="26">
        <f>'2 - PREENCHA AQUI'!L142</f>
        <v>0</v>
      </c>
      <c r="E138" s="26">
        <f>'2 - PREENCHA AQUI'!M142</f>
        <v>0</v>
      </c>
    </row>
    <row r="139" spans="1:5" x14ac:dyDescent="0.25">
      <c r="A139" s="26">
        <f>IF('2 - PREENCHA AQUI'!E143=FALSE(),0,'2 - PREENCHA AQUI'!E143)</f>
        <v>0</v>
      </c>
      <c r="B139" s="31">
        <f>'2 - PREENCHA AQUI'!J143</f>
        <v>0</v>
      </c>
      <c r="C139" s="31">
        <f>'2 - PREENCHA AQUI'!K143</f>
        <v>0</v>
      </c>
      <c r="D139" s="26">
        <f>'2 - PREENCHA AQUI'!L143</f>
        <v>0</v>
      </c>
      <c r="E139" s="26">
        <f>'2 - PREENCHA AQUI'!M143</f>
        <v>0</v>
      </c>
    </row>
    <row r="140" spans="1:5" x14ac:dyDescent="0.25">
      <c r="A140" s="26">
        <f>IF('2 - PREENCHA AQUI'!E144=FALSE(),0,'2 - PREENCHA AQUI'!E144)</f>
        <v>0</v>
      </c>
      <c r="B140" s="31">
        <f>'2 - PREENCHA AQUI'!J144</f>
        <v>0</v>
      </c>
      <c r="C140" s="31">
        <f>'2 - PREENCHA AQUI'!K144</f>
        <v>0</v>
      </c>
      <c r="D140" s="26">
        <f>'2 - PREENCHA AQUI'!L144</f>
        <v>0</v>
      </c>
      <c r="E140" s="26">
        <f>'2 - PREENCHA AQUI'!M144</f>
        <v>0</v>
      </c>
    </row>
    <row r="141" spans="1:5" x14ac:dyDescent="0.25">
      <c r="A141" s="26">
        <f>IF('2 - PREENCHA AQUI'!E145=FALSE(),0,'2 - PREENCHA AQUI'!E145)</f>
        <v>0</v>
      </c>
      <c r="B141" s="31">
        <f>'2 - PREENCHA AQUI'!J145</f>
        <v>0</v>
      </c>
      <c r="C141" s="31">
        <f>'2 - PREENCHA AQUI'!K145</f>
        <v>0</v>
      </c>
      <c r="D141" s="26">
        <f>'2 - PREENCHA AQUI'!L145</f>
        <v>0</v>
      </c>
      <c r="E141" s="26">
        <f>'2 - PREENCHA AQUI'!M145</f>
        <v>0</v>
      </c>
    </row>
    <row r="142" spans="1:5" x14ac:dyDescent="0.25">
      <c r="A142" s="26">
        <f>IF('2 - PREENCHA AQUI'!E146=FALSE(),0,'2 - PREENCHA AQUI'!E146)</f>
        <v>0</v>
      </c>
      <c r="B142" s="31">
        <f>'2 - PREENCHA AQUI'!J146</f>
        <v>0</v>
      </c>
      <c r="C142" s="31">
        <f>'2 - PREENCHA AQUI'!K146</f>
        <v>0</v>
      </c>
      <c r="D142" s="26">
        <f>'2 - PREENCHA AQUI'!L146</f>
        <v>0</v>
      </c>
      <c r="E142" s="26">
        <f>'2 - PREENCHA AQUI'!M146</f>
        <v>0</v>
      </c>
    </row>
    <row r="143" spans="1:5" x14ac:dyDescent="0.25">
      <c r="A143" s="26">
        <f>IF('2 - PREENCHA AQUI'!E147=FALSE(),0,'2 - PREENCHA AQUI'!E147)</f>
        <v>0</v>
      </c>
      <c r="B143" s="31">
        <f>'2 - PREENCHA AQUI'!J147</f>
        <v>0</v>
      </c>
      <c r="C143" s="31">
        <f>'2 - PREENCHA AQUI'!K147</f>
        <v>0</v>
      </c>
      <c r="D143" s="26">
        <f>'2 - PREENCHA AQUI'!L147</f>
        <v>0</v>
      </c>
      <c r="E143" s="26">
        <f>'2 - PREENCHA AQUI'!M147</f>
        <v>0</v>
      </c>
    </row>
    <row r="144" spans="1:5" x14ac:dyDescent="0.25">
      <c r="A144" s="26">
        <f>IF('2 - PREENCHA AQUI'!E148=FALSE(),0,'2 - PREENCHA AQUI'!E148)</f>
        <v>0</v>
      </c>
      <c r="B144" s="31">
        <f>'2 - PREENCHA AQUI'!J148</f>
        <v>0</v>
      </c>
      <c r="C144" s="31">
        <f>'2 - PREENCHA AQUI'!K148</f>
        <v>0</v>
      </c>
      <c r="D144" s="26">
        <f>'2 - PREENCHA AQUI'!L148</f>
        <v>0</v>
      </c>
      <c r="E144" s="26">
        <f>'2 - PREENCHA AQUI'!M148</f>
        <v>0</v>
      </c>
    </row>
    <row r="145" spans="1:5" x14ac:dyDescent="0.25">
      <c r="A145" s="26">
        <f>IF('2 - PREENCHA AQUI'!E149=FALSE(),0,'2 - PREENCHA AQUI'!E149)</f>
        <v>0</v>
      </c>
      <c r="B145" s="31">
        <f>'2 - PREENCHA AQUI'!J149</f>
        <v>0</v>
      </c>
      <c r="C145" s="31">
        <f>'2 - PREENCHA AQUI'!K149</f>
        <v>0</v>
      </c>
      <c r="D145" s="26">
        <f>'2 - PREENCHA AQUI'!L149</f>
        <v>0</v>
      </c>
      <c r="E145" s="26">
        <f>'2 - PREENCHA AQUI'!M149</f>
        <v>0</v>
      </c>
    </row>
    <row r="146" spans="1:5" x14ac:dyDescent="0.25">
      <c r="A146" s="26">
        <f>IF('2 - PREENCHA AQUI'!E150=FALSE(),0,'2 - PREENCHA AQUI'!E150)</f>
        <v>0</v>
      </c>
      <c r="B146" s="31">
        <f>'2 - PREENCHA AQUI'!J150</f>
        <v>0</v>
      </c>
      <c r="C146" s="31">
        <f>'2 - PREENCHA AQUI'!K150</f>
        <v>0</v>
      </c>
      <c r="D146" s="26">
        <f>'2 - PREENCHA AQUI'!L150</f>
        <v>0</v>
      </c>
      <c r="E146" s="26">
        <f>'2 - PREENCHA AQUI'!M150</f>
        <v>0</v>
      </c>
    </row>
    <row r="147" spans="1:5" x14ac:dyDescent="0.25">
      <c r="A147" s="26">
        <f>IF('2 - PREENCHA AQUI'!E151=FALSE(),0,'2 - PREENCHA AQUI'!E151)</f>
        <v>0</v>
      </c>
      <c r="B147" s="31">
        <f>'2 - PREENCHA AQUI'!J151</f>
        <v>0</v>
      </c>
      <c r="C147" s="31">
        <f>'2 - PREENCHA AQUI'!K151</f>
        <v>0</v>
      </c>
      <c r="D147" s="26">
        <f>'2 - PREENCHA AQUI'!L151</f>
        <v>0</v>
      </c>
      <c r="E147" s="26">
        <f>'2 - PREENCHA AQUI'!M151</f>
        <v>0</v>
      </c>
    </row>
    <row r="148" spans="1:5" x14ac:dyDescent="0.25">
      <c r="A148" s="26">
        <f>IF('2 - PREENCHA AQUI'!E152=FALSE(),0,'2 - PREENCHA AQUI'!E152)</f>
        <v>0</v>
      </c>
      <c r="B148" s="31">
        <f>'2 - PREENCHA AQUI'!J152</f>
        <v>0</v>
      </c>
      <c r="C148" s="31">
        <f>'2 - PREENCHA AQUI'!K152</f>
        <v>0</v>
      </c>
      <c r="D148" s="26">
        <f>'2 - PREENCHA AQUI'!L152</f>
        <v>0</v>
      </c>
      <c r="E148" s="26">
        <f>'2 - PREENCHA AQUI'!M152</f>
        <v>0</v>
      </c>
    </row>
    <row r="149" spans="1:5" x14ac:dyDescent="0.25">
      <c r="A149" s="26">
        <f>IF('2 - PREENCHA AQUI'!E153=FALSE(),0,'2 - PREENCHA AQUI'!E153)</f>
        <v>0</v>
      </c>
      <c r="B149" s="31">
        <f>'2 - PREENCHA AQUI'!J153</f>
        <v>0</v>
      </c>
      <c r="C149" s="31">
        <f>'2 - PREENCHA AQUI'!K153</f>
        <v>0</v>
      </c>
      <c r="D149" s="26">
        <f>'2 - PREENCHA AQUI'!L153</f>
        <v>0</v>
      </c>
      <c r="E149" s="26">
        <f>'2 - PREENCHA AQUI'!M153</f>
        <v>0</v>
      </c>
    </row>
    <row r="150" spans="1:5" x14ac:dyDescent="0.25">
      <c r="A150" s="26">
        <f>IF('2 - PREENCHA AQUI'!E154=FALSE(),0,'2 - PREENCHA AQUI'!E154)</f>
        <v>0</v>
      </c>
      <c r="B150" s="31">
        <f>'2 - PREENCHA AQUI'!J154</f>
        <v>0</v>
      </c>
      <c r="C150" s="31">
        <f>'2 - PREENCHA AQUI'!K154</f>
        <v>0</v>
      </c>
      <c r="D150" s="26">
        <f>'2 - PREENCHA AQUI'!L154</f>
        <v>0</v>
      </c>
      <c r="E150" s="26">
        <f>'2 - PREENCHA AQUI'!M154</f>
        <v>0</v>
      </c>
    </row>
    <row r="151" spans="1:5" x14ac:dyDescent="0.25">
      <c r="A151" s="26">
        <f>IF('2 - PREENCHA AQUI'!E155=FALSE(),0,'2 - PREENCHA AQUI'!E155)</f>
        <v>0</v>
      </c>
      <c r="B151" s="31">
        <f>'2 - PREENCHA AQUI'!J155</f>
        <v>0</v>
      </c>
      <c r="C151" s="31">
        <f>'2 - PREENCHA AQUI'!K155</f>
        <v>0</v>
      </c>
      <c r="D151" s="26">
        <f>'2 - PREENCHA AQUI'!L155</f>
        <v>0</v>
      </c>
      <c r="E151" s="26">
        <f>'2 - PREENCHA AQUI'!M155</f>
        <v>0</v>
      </c>
    </row>
    <row r="152" spans="1:5" x14ac:dyDescent="0.25">
      <c r="A152" s="26">
        <f>IF('2 - PREENCHA AQUI'!E156=FALSE(),0,'2 - PREENCHA AQUI'!E156)</f>
        <v>0</v>
      </c>
      <c r="B152" s="31">
        <f>'2 - PREENCHA AQUI'!J156</f>
        <v>0</v>
      </c>
      <c r="C152" s="31">
        <f>'2 - PREENCHA AQUI'!K156</f>
        <v>0</v>
      </c>
      <c r="D152" s="26">
        <f>'2 - PREENCHA AQUI'!L156</f>
        <v>0</v>
      </c>
      <c r="E152" s="26">
        <f>'2 - PREENCHA AQUI'!M156</f>
        <v>0</v>
      </c>
    </row>
    <row r="153" spans="1:5" x14ac:dyDescent="0.25">
      <c r="A153" s="26">
        <f>IF('2 - PREENCHA AQUI'!E157=FALSE(),0,'2 - PREENCHA AQUI'!E157)</f>
        <v>0</v>
      </c>
      <c r="B153" s="31">
        <f>'2 - PREENCHA AQUI'!J157</f>
        <v>0</v>
      </c>
      <c r="C153" s="31">
        <f>'2 - PREENCHA AQUI'!K157</f>
        <v>0</v>
      </c>
      <c r="D153" s="26">
        <f>'2 - PREENCHA AQUI'!L157</f>
        <v>0</v>
      </c>
      <c r="E153" s="26">
        <f>'2 - PREENCHA AQUI'!M157</f>
        <v>0</v>
      </c>
    </row>
    <row r="154" spans="1:5" x14ac:dyDescent="0.25">
      <c r="A154" s="26">
        <f>IF('2 - PREENCHA AQUI'!E158=FALSE(),0,'2 - PREENCHA AQUI'!E158)</f>
        <v>0</v>
      </c>
      <c r="B154" s="31">
        <f>'2 - PREENCHA AQUI'!J158</f>
        <v>0</v>
      </c>
      <c r="C154" s="31">
        <f>'2 - PREENCHA AQUI'!K158</f>
        <v>0</v>
      </c>
      <c r="D154" s="26">
        <f>'2 - PREENCHA AQUI'!L158</f>
        <v>0</v>
      </c>
      <c r="E154" s="26">
        <f>'2 - PREENCHA AQUI'!M158</f>
        <v>0</v>
      </c>
    </row>
    <row r="155" spans="1:5" x14ac:dyDescent="0.25">
      <c r="A155" s="26">
        <f>IF('2 - PREENCHA AQUI'!E159=FALSE(),0,'2 - PREENCHA AQUI'!E159)</f>
        <v>0</v>
      </c>
      <c r="B155" s="31">
        <f>'2 - PREENCHA AQUI'!J159</f>
        <v>0</v>
      </c>
      <c r="C155" s="31">
        <f>'2 - PREENCHA AQUI'!K159</f>
        <v>0</v>
      </c>
      <c r="D155" s="26">
        <f>'2 - PREENCHA AQUI'!L159</f>
        <v>0</v>
      </c>
      <c r="E155" s="26">
        <f>'2 - PREENCHA AQUI'!M159</f>
        <v>0</v>
      </c>
    </row>
    <row r="156" spans="1:5" x14ac:dyDescent="0.25">
      <c r="A156" s="26">
        <f>IF('2 - PREENCHA AQUI'!E160=FALSE(),0,'2 - PREENCHA AQUI'!E160)</f>
        <v>0</v>
      </c>
      <c r="B156" s="31">
        <f>'2 - PREENCHA AQUI'!J160</f>
        <v>0</v>
      </c>
      <c r="C156" s="31">
        <f>'2 - PREENCHA AQUI'!K160</f>
        <v>0</v>
      </c>
      <c r="D156" s="26">
        <f>'2 - PREENCHA AQUI'!L160</f>
        <v>0</v>
      </c>
      <c r="E156" s="26">
        <f>'2 - PREENCHA AQUI'!M160</f>
        <v>0</v>
      </c>
    </row>
    <row r="157" spans="1:5" x14ac:dyDescent="0.25">
      <c r="A157" s="26">
        <f>IF('2 - PREENCHA AQUI'!E161=FALSE(),0,'2 - PREENCHA AQUI'!E161)</f>
        <v>0</v>
      </c>
      <c r="B157" s="31">
        <f>'2 - PREENCHA AQUI'!J161</f>
        <v>0</v>
      </c>
      <c r="C157" s="31">
        <f>'2 - PREENCHA AQUI'!K161</f>
        <v>0</v>
      </c>
      <c r="D157" s="26">
        <f>'2 - PREENCHA AQUI'!L161</f>
        <v>0</v>
      </c>
      <c r="E157" s="26">
        <f>'2 - PREENCHA AQUI'!M161</f>
        <v>0</v>
      </c>
    </row>
    <row r="158" spans="1:5" x14ac:dyDescent="0.25">
      <c r="A158" s="26">
        <f>IF('2 - PREENCHA AQUI'!E162=FALSE(),0,'2 - PREENCHA AQUI'!E162)</f>
        <v>0</v>
      </c>
      <c r="B158" s="31">
        <f>'2 - PREENCHA AQUI'!J162</f>
        <v>0</v>
      </c>
      <c r="C158" s="31">
        <f>'2 - PREENCHA AQUI'!K162</f>
        <v>0</v>
      </c>
      <c r="D158" s="26">
        <f>'2 - PREENCHA AQUI'!L162</f>
        <v>0</v>
      </c>
      <c r="E158" s="26">
        <f>'2 - PREENCHA AQUI'!M162</f>
        <v>0</v>
      </c>
    </row>
    <row r="159" spans="1:5" x14ac:dyDescent="0.25">
      <c r="A159" s="26">
        <f>IF('2 - PREENCHA AQUI'!E163=FALSE(),0,'2 - PREENCHA AQUI'!E163)</f>
        <v>0</v>
      </c>
      <c r="B159" s="31">
        <f>'2 - PREENCHA AQUI'!J163</f>
        <v>0</v>
      </c>
      <c r="C159" s="31">
        <f>'2 - PREENCHA AQUI'!K163</f>
        <v>0</v>
      </c>
      <c r="D159" s="26">
        <f>'2 - PREENCHA AQUI'!L163</f>
        <v>0</v>
      </c>
      <c r="E159" s="26">
        <f>'2 - PREENCHA AQUI'!M163</f>
        <v>0</v>
      </c>
    </row>
    <row r="160" spans="1:5" x14ac:dyDescent="0.25">
      <c r="A160" s="26">
        <f>IF('2 - PREENCHA AQUI'!E164=FALSE(),0,'2 - PREENCHA AQUI'!E164)</f>
        <v>0</v>
      </c>
      <c r="B160" s="31">
        <f>'2 - PREENCHA AQUI'!J164</f>
        <v>0</v>
      </c>
      <c r="C160" s="31">
        <f>'2 - PREENCHA AQUI'!K164</f>
        <v>0</v>
      </c>
      <c r="D160" s="26">
        <f>'2 - PREENCHA AQUI'!L164</f>
        <v>0</v>
      </c>
      <c r="E160" s="26">
        <f>'2 - PREENCHA AQUI'!M164</f>
        <v>0</v>
      </c>
    </row>
    <row r="161" spans="1:5" x14ac:dyDescent="0.25">
      <c r="A161" s="26">
        <f>IF('2 - PREENCHA AQUI'!E165=FALSE(),0,'2 - PREENCHA AQUI'!E165)</f>
        <v>0</v>
      </c>
      <c r="B161" s="31">
        <f>'2 - PREENCHA AQUI'!J165</f>
        <v>0</v>
      </c>
      <c r="C161" s="31">
        <f>'2 - PREENCHA AQUI'!K165</f>
        <v>0</v>
      </c>
      <c r="D161" s="26">
        <f>'2 - PREENCHA AQUI'!L165</f>
        <v>0</v>
      </c>
      <c r="E161" s="26">
        <f>'2 - PREENCHA AQUI'!M165</f>
        <v>0</v>
      </c>
    </row>
    <row r="162" spans="1:5" x14ac:dyDescent="0.25">
      <c r="A162" s="26">
        <f>IF('2 - PREENCHA AQUI'!E166=FALSE(),0,'2 - PREENCHA AQUI'!E166)</f>
        <v>0</v>
      </c>
      <c r="B162" s="31">
        <f>'2 - PREENCHA AQUI'!J166</f>
        <v>0</v>
      </c>
      <c r="C162" s="31">
        <f>'2 - PREENCHA AQUI'!K166</f>
        <v>0</v>
      </c>
      <c r="D162" s="26">
        <f>'2 - PREENCHA AQUI'!L166</f>
        <v>0</v>
      </c>
      <c r="E162" s="26">
        <f>'2 - PREENCHA AQUI'!M166</f>
        <v>0</v>
      </c>
    </row>
    <row r="163" spans="1:5" x14ac:dyDescent="0.25">
      <c r="A163" s="26">
        <f>IF('2 - PREENCHA AQUI'!E167=FALSE(),0,'2 - PREENCHA AQUI'!E167)</f>
        <v>0</v>
      </c>
      <c r="B163" s="31">
        <f>'2 - PREENCHA AQUI'!J167</f>
        <v>0</v>
      </c>
      <c r="C163" s="31">
        <f>'2 - PREENCHA AQUI'!K167</f>
        <v>0</v>
      </c>
      <c r="D163" s="26">
        <f>'2 - PREENCHA AQUI'!L167</f>
        <v>0</v>
      </c>
      <c r="E163" s="26">
        <f>'2 - PREENCHA AQUI'!M167</f>
        <v>0</v>
      </c>
    </row>
    <row r="164" spans="1:5" x14ac:dyDescent="0.25">
      <c r="A164" s="26">
        <f>IF('2 - PREENCHA AQUI'!E168=FALSE(),0,'2 - PREENCHA AQUI'!E168)</f>
        <v>0</v>
      </c>
      <c r="B164" s="31">
        <f>'2 - PREENCHA AQUI'!J168</f>
        <v>0</v>
      </c>
      <c r="C164" s="31">
        <f>'2 - PREENCHA AQUI'!K168</f>
        <v>0</v>
      </c>
      <c r="D164" s="26">
        <f>'2 - PREENCHA AQUI'!L168</f>
        <v>0</v>
      </c>
      <c r="E164" s="26">
        <f>'2 - PREENCHA AQUI'!M168</f>
        <v>0</v>
      </c>
    </row>
    <row r="165" spans="1:5" x14ac:dyDescent="0.25">
      <c r="A165" s="26">
        <f>IF('2 - PREENCHA AQUI'!E169=FALSE(),0,'2 - PREENCHA AQUI'!E169)</f>
        <v>0</v>
      </c>
      <c r="B165" s="31">
        <f>'2 - PREENCHA AQUI'!J169</f>
        <v>0</v>
      </c>
      <c r="C165" s="31">
        <f>'2 - PREENCHA AQUI'!K169</f>
        <v>0</v>
      </c>
      <c r="D165" s="26">
        <f>'2 - PREENCHA AQUI'!L169</f>
        <v>0</v>
      </c>
      <c r="E165" s="26">
        <f>'2 - PREENCHA AQUI'!M169</f>
        <v>0</v>
      </c>
    </row>
    <row r="166" spans="1:5" x14ac:dyDescent="0.25">
      <c r="A166" s="26">
        <f>IF('2 - PREENCHA AQUI'!E170=FALSE(),0,'2 - PREENCHA AQUI'!E170)</f>
        <v>0</v>
      </c>
      <c r="B166" s="31">
        <f>'2 - PREENCHA AQUI'!J170</f>
        <v>0</v>
      </c>
      <c r="C166" s="31">
        <f>'2 - PREENCHA AQUI'!K170</f>
        <v>0</v>
      </c>
      <c r="D166" s="26">
        <f>'2 - PREENCHA AQUI'!L170</f>
        <v>0</v>
      </c>
      <c r="E166" s="26">
        <f>'2 - PREENCHA AQUI'!M170</f>
        <v>0</v>
      </c>
    </row>
    <row r="167" spans="1:5" x14ac:dyDescent="0.25">
      <c r="A167" s="26">
        <f>IF('2 - PREENCHA AQUI'!E171=FALSE(),0,'2 - PREENCHA AQUI'!E171)</f>
        <v>0</v>
      </c>
      <c r="B167" s="31">
        <f>'2 - PREENCHA AQUI'!J171</f>
        <v>0</v>
      </c>
      <c r="C167" s="31">
        <f>'2 - PREENCHA AQUI'!K171</f>
        <v>0</v>
      </c>
      <c r="D167" s="26">
        <f>'2 - PREENCHA AQUI'!L171</f>
        <v>0</v>
      </c>
      <c r="E167" s="26">
        <f>'2 - PREENCHA AQUI'!M171</f>
        <v>0</v>
      </c>
    </row>
    <row r="168" spans="1:5" x14ac:dyDescent="0.25">
      <c r="A168" s="26">
        <f>IF('2 - PREENCHA AQUI'!E172=FALSE(),0,'2 - PREENCHA AQUI'!E172)</f>
        <v>0</v>
      </c>
      <c r="B168" s="31">
        <f>'2 - PREENCHA AQUI'!J172</f>
        <v>0</v>
      </c>
      <c r="C168" s="31">
        <f>'2 - PREENCHA AQUI'!K172</f>
        <v>0</v>
      </c>
      <c r="D168" s="26">
        <f>'2 - PREENCHA AQUI'!L172</f>
        <v>0</v>
      </c>
      <c r="E168" s="26">
        <f>'2 - PREENCHA AQUI'!M172</f>
        <v>0</v>
      </c>
    </row>
    <row r="169" spans="1:5" x14ac:dyDescent="0.25">
      <c r="A169" s="26">
        <f>IF('2 - PREENCHA AQUI'!E173=FALSE(),0,'2 - PREENCHA AQUI'!E173)</f>
        <v>0</v>
      </c>
      <c r="B169" s="31">
        <f>'2 - PREENCHA AQUI'!J173</f>
        <v>0</v>
      </c>
      <c r="C169" s="31">
        <f>'2 - PREENCHA AQUI'!K173</f>
        <v>0</v>
      </c>
      <c r="D169" s="26">
        <f>'2 - PREENCHA AQUI'!L173</f>
        <v>0</v>
      </c>
      <c r="E169" s="26">
        <f>'2 - PREENCHA AQUI'!M173</f>
        <v>0</v>
      </c>
    </row>
    <row r="170" spans="1:5" x14ac:dyDescent="0.25">
      <c r="A170" s="26">
        <f>IF('2 - PREENCHA AQUI'!E174=FALSE(),0,'2 - PREENCHA AQUI'!E174)</f>
        <v>0</v>
      </c>
      <c r="B170" s="31">
        <f>'2 - PREENCHA AQUI'!J174</f>
        <v>0</v>
      </c>
      <c r="C170" s="31">
        <f>'2 - PREENCHA AQUI'!K174</f>
        <v>0</v>
      </c>
      <c r="D170" s="26">
        <f>'2 - PREENCHA AQUI'!L174</f>
        <v>0</v>
      </c>
      <c r="E170" s="26">
        <f>'2 - PREENCHA AQUI'!M174</f>
        <v>0</v>
      </c>
    </row>
    <row r="171" spans="1:5" x14ac:dyDescent="0.25">
      <c r="A171" s="26">
        <f>IF('2 - PREENCHA AQUI'!E175=FALSE(),0,'2 - PREENCHA AQUI'!E175)</f>
        <v>0</v>
      </c>
      <c r="B171" s="31">
        <f>'2 - PREENCHA AQUI'!J175</f>
        <v>0</v>
      </c>
      <c r="C171" s="31">
        <f>'2 - PREENCHA AQUI'!K175</f>
        <v>0</v>
      </c>
      <c r="D171" s="26">
        <f>'2 - PREENCHA AQUI'!L175</f>
        <v>0</v>
      </c>
      <c r="E171" s="26">
        <f>'2 - PREENCHA AQUI'!M175</f>
        <v>0</v>
      </c>
    </row>
    <row r="172" spans="1:5" x14ac:dyDescent="0.25">
      <c r="A172" s="26">
        <f>IF('2 - PREENCHA AQUI'!E176=FALSE(),0,'2 - PREENCHA AQUI'!E176)</f>
        <v>0</v>
      </c>
      <c r="B172" s="31">
        <f>'2 - PREENCHA AQUI'!J176</f>
        <v>0</v>
      </c>
      <c r="C172" s="31">
        <f>'2 - PREENCHA AQUI'!K176</f>
        <v>0</v>
      </c>
      <c r="D172" s="26">
        <f>'2 - PREENCHA AQUI'!L176</f>
        <v>0</v>
      </c>
      <c r="E172" s="26">
        <f>'2 - PREENCHA AQUI'!M176</f>
        <v>0</v>
      </c>
    </row>
    <row r="173" spans="1:5" x14ac:dyDescent="0.25">
      <c r="A173" s="26">
        <f>IF('2 - PREENCHA AQUI'!E177=FALSE(),0,'2 - PREENCHA AQUI'!E177)</f>
        <v>0</v>
      </c>
      <c r="B173" s="31">
        <f>'2 - PREENCHA AQUI'!J177</f>
        <v>0</v>
      </c>
      <c r="C173" s="31">
        <f>'2 - PREENCHA AQUI'!K177</f>
        <v>0</v>
      </c>
      <c r="D173" s="26">
        <f>'2 - PREENCHA AQUI'!L177</f>
        <v>0</v>
      </c>
      <c r="E173" s="26">
        <f>'2 - PREENCHA AQUI'!M177</f>
        <v>0</v>
      </c>
    </row>
    <row r="174" spans="1:5" x14ac:dyDescent="0.25">
      <c r="A174" s="26">
        <f>IF('2 - PREENCHA AQUI'!E178=FALSE(),0,'2 - PREENCHA AQUI'!E178)</f>
        <v>0</v>
      </c>
      <c r="B174" s="31">
        <f>'2 - PREENCHA AQUI'!J178</f>
        <v>0</v>
      </c>
      <c r="C174" s="31">
        <f>'2 - PREENCHA AQUI'!K178</f>
        <v>0</v>
      </c>
      <c r="D174" s="26">
        <f>'2 - PREENCHA AQUI'!L178</f>
        <v>0</v>
      </c>
      <c r="E174" s="26">
        <f>'2 - PREENCHA AQUI'!M178</f>
        <v>0</v>
      </c>
    </row>
    <row r="175" spans="1:5" x14ac:dyDescent="0.25">
      <c r="A175" s="26">
        <f>IF('2 - PREENCHA AQUI'!E179=FALSE(),0,'2 - PREENCHA AQUI'!E179)</f>
        <v>0</v>
      </c>
      <c r="B175" s="31">
        <f>'2 - PREENCHA AQUI'!J179</f>
        <v>0</v>
      </c>
      <c r="C175" s="31">
        <f>'2 - PREENCHA AQUI'!K179</f>
        <v>0</v>
      </c>
      <c r="D175" s="26">
        <f>'2 - PREENCHA AQUI'!L179</f>
        <v>0</v>
      </c>
      <c r="E175" s="26">
        <f>'2 - PREENCHA AQUI'!M179</f>
        <v>0</v>
      </c>
    </row>
    <row r="176" spans="1:5" x14ac:dyDescent="0.25">
      <c r="A176" s="26">
        <f>IF('2 - PREENCHA AQUI'!E180=FALSE(),0,'2 - PREENCHA AQUI'!E180)</f>
        <v>0</v>
      </c>
      <c r="B176" s="31">
        <f>'2 - PREENCHA AQUI'!J180</f>
        <v>0</v>
      </c>
      <c r="C176" s="31">
        <f>'2 - PREENCHA AQUI'!K180</f>
        <v>0</v>
      </c>
      <c r="D176" s="26">
        <f>'2 - PREENCHA AQUI'!L180</f>
        <v>0</v>
      </c>
      <c r="E176" s="26">
        <f>'2 - PREENCHA AQUI'!M180</f>
        <v>0</v>
      </c>
    </row>
    <row r="177" spans="1:5" x14ac:dyDescent="0.25">
      <c r="A177" s="26">
        <f>IF('2 - PREENCHA AQUI'!E181=FALSE(),0,'2 - PREENCHA AQUI'!E181)</f>
        <v>0</v>
      </c>
      <c r="B177" s="31">
        <f>'2 - PREENCHA AQUI'!J181</f>
        <v>0</v>
      </c>
      <c r="C177" s="31">
        <f>'2 - PREENCHA AQUI'!K181</f>
        <v>0</v>
      </c>
      <c r="D177" s="26">
        <f>'2 - PREENCHA AQUI'!L181</f>
        <v>0</v>
      </c>
      <c r="E177" s="26">
        <f>'2 - PREENCHA AQUI'!M181</f>
        <v>0</v>
      </c>
    </row>
    <row r="178" spans="1:5" x14ac:dyDescent="0.25">
      <c r="A178" s="26">
        <f>IF('2 - PREENCHA AQUI'!E182=FALSE(),0,'2 - PREENCHA AQUI'!E182)</f>
        <v>0</v>
      </c>
      <c r="B178" s="31">
        <f>'2 - PREENCHA AQUI'!J182</f>
        <v>0</v>
      </c>
      <c r="C178" s="31">
        <f>'2 - PREENCHA AQUI'!K182</f>
        <v>0</v>
      </c>
      <c r="D178" s="26">
        <f>'2 - PREENCHA AQUI'!L182</f>
        <v>0</v>
      </c>
      <c r="E178" s="26">
        <f>'2 - PREENCHA AQUI'!M182</f>
        <v>0</v>
      </c>
    </row>
    <row r="179" spans="1:5" x14ac:dyDescent="0.25">
      <c r="A179" s="26">
        <f>IF('2 - PREENCHA AQUI'!E183=FALSE(),0,'2 - PREENCHA AQUI'!E183)</f>
        <v>0</v>
      </c>
      <c r="B179" s="31">
        <f>'2 - PREENCHA AQUI'!J183</f>
        <v>0</v>
      </c>
      <c r="C179" s="31">
        <f>'2 - PREENCHA AQUI'!K183</f>
        <v>0</v>
      </c>
      <c r="D179" s="26">
        <f>'2 - PREENCHA AQUI'!L183</f>
        <v>0</v>
      </c>
      <c r="E179" s="26">
        <f>'2 - PREENCHA AQUI'!M183</f>
        <v>0</v>
      </c>
    </row>
    <row r="180" spans="1:5" x14ac:dyDescent="0.25">
      <c r="A180" s="26">
        <f>IF('2 - PREENCHA AQUI'!E184=FALSE(),0,'2 - PREENCHA AQUI'!E184)</f>
        <v>0</v>
      </c>
      <c r="B180" s="31">
        <f>'2 - PREENCHA AQUI'!J184</f>
        <v>0</v>
      </c>
      <c r="C180" s="31">
        <f>'2 - PREENCHA AQUI'!K184</f>
        <v>0</v>
      </c>
      <c r="D180" s="26">
        <f>'2 - PREENCHA AQUI'!L184</f>
        <v>0</v>
      </c>
      <c r="E180" s="26">
        <f>'2 - PREENCHA AQUI'!M184</f>
        <v>0</v>
      </c>
    </row>
    <row r="181" spans="1:5" x14ac:dyDescent="0.25">
      <c r="A181" s="26">
        <f>IF('2 - PREENCHA AQUI'!E185=FALSE(),0,'2 - PREENCHA AQUI'!E185)</f>
        <v>0</v>
      </c>
      <c r="B181" s="31">
        <f>'2 - PREENCHA AQUI'!J185</f>
        <v>0</v>
      </c>
      <c r="C181" s="31">
        <f>'2 - PREENCHA AQUI'!K185</f>
        <v>0</v>
      </c>
      <c r="D181" s="26">
        <f>'2 - PREENCHA AQUI'!L185</f>
        <v>0</v>
      </c>
      <c r="E181" s="26">
        <f>'2 - PREENCHA AQUI'!M185</f>
        <v>0</v>
      </c>
    </row>
    <row r="182" spans="1:5" x14ac:dyDescent="0.25">
      <c r="A182" s="26">
        <f>IF('2 - PREENCHA AQUI'!E186=FALSE(),0,'2 - PREENCHA AQUI'!E186)</f>
        <v>0</v>
      </c>
      <c r="B182" s="31">
        <f>'2 - PREENCHA AQUI'!J186</f>
        <v>0</v>
      </c>
      <c r="C182" s="31">
        <f>'2 - PREENCHA AQUI'!K186</f>
        <v>0</v>
      </c>
      <c r="D182" s="26">
        <f>'2 - PREENCHA AQUI'!L186</f>
        <v>0</v>
      </c>
      <c r="E182" s="26">
        <f>'2 - PREENCHA AQUI'!M186</f>
        <v>0</v>
      </c>
    </row>
    <row r="183" spans="1:5" x14ac:dyDescent="0.25">
      <c r="A183" s="26">
        <f>IF('2 - PREENCHA AQUI'!E187=FALSE(),0,'2 - PREENCHA AQUI'!E187)</f>
        <v>0</v>
      </c>
      <c r="B183" s="31">
        <f>'2 - PREENCHA AQUI'!J187</f>
        <v>0</v>
      </c>
      <c r="C183" s="31">
        <f>'2 - PREENCHA AQUI'!K187</f>
        <v>0</v>
      </c>
      <c r="D183" s="26">
        <f>'2 - PREENCHA AQUI'!L187</f>
        <v>0</v>
      </c>
      <c r="E183" s="26">
        <f>'2 - PREENCHA AQUI'!M187</f>
        <v>0</v>
      </c>
    </row>
    <row r="184" spans="1:5" x14ac:dyDescent="0.25">
      <c r="A184" s="26">
        <f>IF('2 - PREENCHA AQUI'!E188=FALSE(),0,'2 - PREENCHA AQUI'!E188)</f>
        <v>0</v>
      </c>
      <c r="B184" s="31">
        <f>'2 - PREENCHA AQUI'!J188</f>
        <v>0</v>
      </c>
      <c r="C184" s="31">
        <f>'2 - PREENCHA AQUI'!K188</f>
        <v>0</v>
      </c>
      <c r="D184" s="26">
        <f>'2 - PREENCHA AQUI'!L188</f>
        <v>0</v>
      </c>
      <c r="E184" s="26">
        <f>'2 - PREENCHA AQUI'!M188</f>
        <v>0</v>
      </c>
    </row>
    <row r="185" spans="1:5" x14ac:dyDescent="0.25">
      <c r="A185" s="26">
        <f>IF('2 - PREENCHA AQUI'!E189=FALSE(),0,'2 - PREENCHA AQUI'!E189)</f>
        <v>0</v>
      </c>
      <c r="B185" s="31">
        <f>'2 - PREENCHA AQUI'!J189</f>
        <v>0</v>
      </c>
      <c r="C185" s="31">
        <f>'2 - PREENCHA AQUI'!K189</f>
        <v>0</v>
      </c>
      <c r="D185" s="26">
        <f>'2 - PREENCHA AQUI'!L189</f>
        <v>0</v>
      </c>
      <c r="E185" s="26">
        <f>'2 - PREENCHA AQUI'!M189</f>
        <v>0</v>
      </c>
    </row>
    <row r="186" spans="1:5" x14ac:dyDescent="0.25">
      <c r="A186" s="26">
        <f>IF('2 - PREENCHA AQUI'!E190=FALSE(),0,'2 - PREENCHA AQUI'!E190)</f>
        <v>0</v>
      </c>
      <c r="B186" s="31">
        <f>'2 - PREENCHA AQUI'!J190</f>
        <v>0</v>
      </c>
      <c r="C186" s="31">
        <f>'2 - PREENCHA AQUI'!K190</f>
        <v>0</v>
      </c>
      <c r="D186" s="26">
        <f>'2 - PREENCHA AQUI'!L190</f>
        <v>0</v>
      </c>
      <c r="E186" s="26">
        <f>'2 - PREENCHA AQUI'!M190</f>
        <v>0</v>
      </c>
    </row>
    <row r="187" spans="1:5" x14ac:dyDescent="0.25">
      <c r="A187" s="26">
        <f>IF('2 - PREENCHA AQUI'!E191=FALSE(),0,'2 - PREENCHA AQUI'!E191)</f>
        <v>0</v>
      </c>
      <c r="B187" s="31">
        <f>'2 - PREENCHA AQUI'!J191</f>
        <v>0</v>
      </c>
      <c r="C187" s="31">
        <f>'2 - PREENCHA AQUI'!K191</f>
        <v>0</v>
      </c>
      <c r="D187" s="26">
        <f>'2 - PREENCHA AQUI'!L191</f>
        <v>0</v>
      </c>
      <c r="E187" s="26">
        <f>'2 - PREENCHA AQUI'!M191</f>
        <v>0</v>
      </c>
    </row>
    <row r="188" spans="1:5" x14ac:dyDescent="0.25">
      <c r="A188" s="26">
        <f>IF('2 - PREENCHA AQUI'!E192=FALSE(),0,'2 - PREENCHA AQUI'!E192)</f>
        <v>0</v>
      </c>
      <c r="B188" s="31">
        <f>'2 - PREENCHA AQUI'!J192</f>
        <v>0</v>
      </c>
      <c r="C188" s="31">
        <f>'2 - PREENCHA AQUI'!K192</f>
        <v>0</v>
      </c>
      <c r="D188" s="26">
        <f>'2 - PREENCHA AQUI'!L192</f>
        <v>0</v>
      </c>
      <c r="E188" s="26">
        <f>'2 - PREENCHA AQUI'!M192</f>
        <v>0</v>
      </c>
    </row>
    <row r="189" spans="1:5" x14ac:dyDescent="0.25">
      <c r="A189" s="26">
        <f>IF('2 - PREENCHA AQUI'!E193=FALSE(),0,'2 - PREENCHA AQUI'!E193)</f>
        <v>0</v>
      </c>
      <c r="B189" s="31">
        <f>'2 - PREENCHA AQUI'!J193</f>
        <v>0</v>
      </c>
      <c r="C189" s="31">
        <f>'2 - PREENCHA AQUI'!K193</f>
        <v>0</v>
      </c>
      <c r="D189" s="26">
        <f>'2 - PREENCHA AQUI'!L193</f>
        <v>0</v>
      </c>
      <c r="E189" s="26">
        <f>'2 - PREENCHA AQUI'!M193</f>
        <v>0</v>
      </c>
    </row>
    <row r="190" spans="1:5" x14ac:dyDescent="0.25">
      <c r="A190" s="26">
        <f>IF('2 - PREENCHA AQUI'!E194=FALSE(),0,'2 - PREENCHA AQUI'!E194)</f>
        <v>0</v>
      </c>
      <c r="B190" s="31">
        <f>'2 - PREENCHA AQUI'!J194</f>
        <v>0</v>
      </c>
      <c r="C190" s="31">
        <f>'2 - PREENCHA AQUI'!K194</f>
        <v>0</v>
      </c>
      <c r="D190" s="26">
        <f>'2 - PREENCHA AQUI'!L194</f>
        <v>0</v>
      </c>
      <c r="E190" s="26">
        <f>'2 - PREENCHA AQUI'!M194</f>
        <v>0</v>
      </c>
    </row>
    <row r="191" spans="1:5" x14ac:dyDescent="0.25">
      <c r="A191" s="26">
        <f>IF('2 - PREENCHA AQUI'!E195=FALSE(),0,'2 - PREENCHA AQUI'!E195)</f>
        <v>0</v>
      </c>
      <c r="B191" s="31">
        <f>'2 - PREENCHA AQUI'!J195</f>
        <v>0</v>
      </c>
      <c r="C191" s="31">
        <f>'2 - PREENCHA AQUI'!K195</f>
        <v>0</v>
      </c>
      <c r="D191" s="26">
        <f>'2 - PREENCHA AQUI'!L195</f>
        <v>0</v>
      </c>
      <c r="E191" s="26">
        <f>'2 - PREENCHA AQUI'!M195</f>
        <v>0</v>
      </c>
    </row>
    <row r="192" spans="1:5" x14ac:dyDescent="0.25">
      <c r="A192" s="26">
        <f>IF('2 - PREENCHA AQUI'!E196=FALSE(),0,'2 - PREENCHA AQUI'!E196)</f>
        <v>0</v>
      </c>
      <c r="B192" s="31">
        <f>'2 - PREENCHA AQUI'!J196</f>
        <v>0</v>
      </c>
      <c r="C192" s="31">
        <f>'2 - PREENCHA AQUI'!K196</f>
        <v>0</v>
      </c>
      <c r="D192" s="26">
        <f>'2 - PREENCHA AQUI'!L196</f>
        <v>0</v>
      </c>
      <c r="E192" s="26">
        <f>'2 - PREENCHA AQUI'!M196</f>
        <v>0</v>
      </c>
    </row>
    <row r="193" spans="1:5" x14ac:dyDescent="0.25">
      <c r="A193" s="26">
        <f>IF('2 - PREENCHA AQUI'!E197=FALSE(),0,'2 - PREENCHA AQUI'!E197)</f>
        <v>0</v>
      </c>
      <c r="B193" s="31">
        <f>'2 - PREENCHA AQUI'!J197</f>
        <v>0</v>
      </c>
      <c r="C193" s="31">
        <f>'2 - PREENCHA AQUI'!K197</f>
        <v>0</v>
      </c>
      <c r="D193" s="26">
        <f>'2 - PREENCHA AQUI'!L197</f>
        <v>0</v>
      </c>
      <c r="E193" s="26">
        <f>'2 - PREENCHA AQUI'!M197</f>
        <v>0</v>
      </c>
    </row>
    <row r="194" spans="1:5" x14ac:dyDescent="0.25">
      <c r="A194" s="26">
        <f>IF('2 - PREENCHA AQUI'!E198=FALSE(),0,'2 - PREENCHA AQUI'!E198)</f>
        <v>0</v>
      </c>
      <c r="B194" s="31">
        <f>'2 - PREENCHA AQUI'!J198</f>
        <v>0</v>
      </c>
      <c r="C194" s="31">
        <f>'2 - PREENCHA AQUI'!K198</f>
        <v>0</v>
      </c>
      <c r="D194" s="26">
        <f>'2 - PREENCHA AQUI'!L198</f>
        <v>0</v>
      </c>
      <c r="E194" s="26">
        <f>'2 - PREENCHA AQUI'!M198</f>
        <v>0</v>
      </c>
    </row>
    <row r="195" spans="1:5" x14ac:dyDescent="0.25">
      <c r="A195" s="26">
        <f>IF('2 - PREENCHA AQUI'!E199=FALSE(),0,'2 - PREENCHA AQUI'!E199)</f>
        <v>0</v>
      </c>
      <c r="B195" s="31">
        <f>'2 - PREENCHA AQUI'!J199</f>
        <v>0</v>
      </c>
      <c r="C195" s="31">
        <f>'2 - PREENCHA AQUI'!K199</f>
        <v>0</v>
      </c>
      <c r="D195" s="26">
        <f>'2 - PREENCHA AQUI'!L199</f>
        <v>0</v>
      </c>
      <c r="E195" s="26">
        <f>'2 - PREENCHA AQUI'!M199</f>
        <v>0</v>
      </c>
    </row>
    <row r="196" spans="1:5" x14ac:dyDescent="0.25">
      <c r="A196" s="26">
        <f>IF('2 - PREENCHA AQUI'!E200=FALSE(),0,'2 - PREENCHA AQUI'!E200)</f>
        <v>0</v>
      </c>
      <c r="B196" s="31">
        <f>'2 - PREENCHA AQUI'!J200</f>
        <v>0</v>
      </c>
      <c r="C196" s="31">
        <f>'2 - PREENCHA AQUI'!K200</f>
        <v>0</v>
      </c>
      <c r="D196" s="26">
        <f>'2 - PREENCHA AQUI'!L200</f>
        <v>0</v>
      </c>
      <c r="E196" s="26">
        <f>'2 - PREENCHA AQUI'!M200</f>
        <v>0</v>
      </c>
    </row>
    <row r="197" spans="1:5" x14ac:dyDescent="0.25">
      <c r="A197" s="26">
        <f>IF('2 - PREENCHA AQUI'!E201=FALSE(),0,'2 - PREENCHA AQUI'!E201)</f>
        <v>0</v>
      </c>
      <c r="B197" s="31">
        <f>'2 - PREENCHA AQUI'!J201</f>
        <v>0</v>
      </c>
      <c r="C197" s="31">
        <f>'2 - PREENCHA AQUI'!K201</f>
        <v>0</v>
      </c>
      <c r="D197" s="26">
        <f>'2 - PREENCHA AQUI'!L201</f>
        <v>0</v>
      </c>
      <c r="E197" s="26">
        <f>'2 - PREENCHA AQUI'!M201</f>
        <v>0</v>
      </c>
    </row>
    <row r="198" spans="1:5" x14ac:dyDescent="0.25">
      <c r="A198" s="26">
        <f>IF('2 - PREENCHA AQUI'!E202=FALSE(),0,'2 - PREENCHA AQUI'!E202)</f>
        <v>0</v>
      </c>
      <c r="B198" s="31">
        <f>'2 - PREENCHA AQUI'!J202</f>
        <v>0</v>
      </c>
      <c r="C198" s="31">
        <f>'2 - PREENCHA AQUI'!K202</f>
        <v>0</v>
      </c>
      <c r="D198" s="26">
        <f>'2 - PREENCHA AQUI'!L202</f>
        <v>0</v>
      </c>
      <c r="E198" s="26">
        <f>'2 - PREENCHA AQUI'!M202</f>
        <v>0</v>
      </c>
    </row>
    <row r="199" spans="1:5" x14ac:dyDescent="0.25">
      <c r="A199" s="26">
        <f>IF('2 - PREENCHA AQUI'!E203=FALSE(),0,'2 - PREENCHA AQUI'!E203)</f>
        <v>0</v>
      </c>
      <c r="B199" s="31">
        <f>'2 - PREENCHA AQUI'!J203</f>
        <v>0</v>
      </c>
      <c r="C199" s="31">
        <f>'2 - PREENCHA AQUI'!K203</f>
        <v>0</v>
      </c>
      <c r="D199" s="26">
        <f>'2 - PREENCHA AQUI'!L203</f>
        <v>0</v>
      </c>
      <c r="E199" s="26">
        <f>'2 - PREENCHA AQUI'!M203</f>
        <v>0</v>
      </c>
    </row>
    <row r="200" spans="1:5" x14ac:dyDescent="0.25">
      <c r="A200" s="26">
        <f>IF('2 - PREENCHA AQUI'!E204=FALSE(),0,'2 - PREENCHA AQUI'!E204)</f>
        <v>0</v>
      </c>
      <c r="B200" s="31">
        <f>'2 - PREENCHA AQUI'!J204</f>
        <v>0</v>
      </c>
      <c r="C200" s="31">
        <f>'2 - PREENCHA AQUI'!K204</f>
        <v>0</v>
      </c>
      <c r="D200" s="26">
        <f>'2 - PREENCHA AQUI'!L204</f>
        <v>0</v>
      </c>
      <c r="E200" s="26">
        <f>'2 - PREENCHA AQUI'!M204</f>
        <v>0</v>
      </c>
    </row>
    <row r="201" spans="1:5" x14ac:dyDescent="0.25">
      <c r="A201" s="26">
        <f>IF('2 - PREENCHA AQUI'!E205=FALSE(),0,'2 - PREENCHA AQUI'!E205)</f>
        <v>0</v>
      </c>
      <c r="B201" s="31">
        <f>'2 - PREENCHA AQUI'!J205</f>
        <v>0</v>
      </c>
      <c r="C201" s="31">
        <f>'2 - PREENCHA AQUI'!K205</f>
        <v>0</v>
      </c>
      <c r="D201" s="26">
        <f>'2 - PREENCHA AQUI'!L205</f>
        <v>0</v>
      </c>
      <c r="E201" s="26">
        <f>'2 - PREENCHA AQUI'!M205</f>
        <v>0</v>
      </c>
    </row>
    <row r="202" spans="1:5" x14ac:dyDescent="0.25">
      <c r="A202" s="26">
        <f>IF('2 - PREENCHA AQUI'!E206=FALSE(),0,'2 - PREENCHA AQUI'!E206)</f>
        <v>0</v>
      </c>
      <c r="B202" s="31">
        <f>'2 - PREENCHA AQUI'!J206</f>
        <v>0</v>
      </c>
      <c r="C202" s="31">
        <f>'2 - PREENCHA AQUI'!K206</f>
        <v>0</v>
      </c>
      <c r="D202" s="26">
        <f>'2 - PREENCHA AQUI'!L206</f>
        <v>0</v>
      </c>
      <c r="E202" s="26">
        <f>'2 - PREENCHA AQUI'!M206</f>
        <v>0</v>
      </c>
    </row>
    <row r="203" spans="1:5" x14ac:dyDescent="0.25">
      <c r="A203" s="26">
        <f>IF('2 - PREENCHA AQUI'!E207=FALSE(),0,'2 - PREENCHA AQUI'!E207)</f>
        <v>0</v>
      </c>
      <c r="B203" s="31">
        <f>'2 - PREENCHA AQUI'!J207</f>
        <v>0</v>
      </c>
      <c r="C203" s="31">
        <f>'2 - PREENCHA AQUI'!K207</f>
        <v>0</v>
      </c>
      <c r="D203" s="26">
        <f>'2 - PREENCHA AQUI'!L207</f>
        <v>0</v>
      </c>
      <c r="E203" s="26">
        <f>'2 - PREENCHA AQUI'!M207</f>
        <v>0</v>
      </c>
    </row>
    <row r="204" spans="1:5" x14ac:dyDescent="0.25">
      <c r="A204" s="26">
        <f>IF('2 - PREENCHA AQUI'!E208=FALSE(),0,'2 - PREENCHA AQUI'!E208)</f>
        <v>0</v>
      </c>
      <c r="B204" s="31">
        <f>'2 - PREENCHA AQUI'!J208</f>
        <v>0</v>
      </c>
      <c r="C204" s="31">
        <f>'2 - PREENCHA AQUI'!K208</f>
        <v>0</v>
      </c>
      <c r="D204" s="26">
        <f>'2 - PREENCHA AQUI'!L208</f>
        <v>0</v>
      </c>
      <c r="E204" s="26">
        <f>'2 - PREENCHA AQUI'!M208</f>
        <v>0</v>
      </c>
    </row>
    <row r="205" spans="1:5" x14ac:dyDescent="0.25">
      <c r="A205" s="26">
        <f>IF('2 - PREENCHA AQUI'!E209=FALSE(),0,'2 - PREENCHA AQUI'!E209)</f>
        <v>0</v>
      </c>
      <c r="B205" s="31">
        <f>'2 - PREENCHA AQUI'!J209</f>
        <v>0</v>
      </c>
      <c r="C205" s="31">
        <f>'2 - PREENCHA AQUI'!K209</f>
        <v>0</v>
      </c>
      <c r="D205" s="26">
        <f>'2 - PREENCHA AQUI'!L209</f>
        <v>0</v>
      </c>
      <c r="E205" s="26">
        <f>'2 - PREENCHA AQUI'!M209</f>
        <v>0</v>
      </c>
    </row>
    <row r="206" spans="1:5" x14ac:dyDescent="0.25">
      <c r="A206" s="26">
        <f>IF('2 - PREENCHA AQUI'!E210=FALSE(),0,'2 - PREENCHA AQUI'!E210)</f>
        <v>0</v>
      </c>
      <c r="B206" s="31">
        <f>'2 - PREENCHA AQUI'!J210</f>
        <v>0</v>
      </c>
      <c r="C206" s="31">
        <f>'2 - PREENCHA AQUI'!K210</f>
        <v>0</v>
      </c>
      <c r="D206" s="26">
        <f>'2 - PREENCHA AQUI'!L210</f>
        <v>0</v>
      </c>
      <c r="E206" s="26">
        <f>'2 - PREENCHA AQUI'!M210</f>
        <v>0</v>
      </c>
    </row>
    <row r="207" spans="1:5" x14ac:dyDescent="0.25">
      <c r="A207" s="26">
        <f>IF('2 - PREENCHA AQUI'!E211=FALSE(),0,'2 - PREENCHA AQUI'!E211)</f>
        <v>0</v>
      </c>
      <c r="B207" s="31">
        <f>'2 - PREENCHA AQUI'!J211</f>
        <v>0</v>
      </c>
      <c r="C207" s="31">
        <f>'2 - PREENCHA AQUI'!K211</f>
        <v>0</v>
      </c>
      <c r="D207" s="26">
        <f>'2 - PREENCHA AQUI'!L211</f>
        <v>0</v>
      </c>
      <c r="E207" s="26">
        <f>'2 - PREENCHA AQUI'!M211</f>
        <v>0</v>
      </c>
    </row>
    <row r="208" spans="1:5" x14ac:dyDescent="0.25">
      <c r="A208" s="26">
        <f>IF('2 - PREENCHA AQUI'!E212=FALSE(),0,'2 - PREENCHA AQUI'!E212)</f>
        <v>0</v>
      </c>
      <c r="B208" s="31">
        <f>'2 - PREENCHA AQUI'!J212</f>
        <v>0</v>
      </c>
      <c r="C208" s="31">
        <f>'2 - PREENCHA AQUI'!K212</f>
        <v>0</v>
      </c>
      <c r="D208" s="26">
        <f>'2 - PREENCHA AQUI'!L212</f>
        <v>0</v>
      </c>
      <c r="E208" s="26">
        <f>'2 - PREENCHA AQUI'!M212</f>
        <v>0</v>
      </c>
    </row>
    <row r="209" spans="1:5" x14ac:dyDescent="0.25">
      <c r="A209" s="26">
        <f>IF('2 - PREENCHA AQUI'!E213=FALSE(),0,'2 - PREENCHA AQUI'!E213)</f>
        <v>0</v>
      </c>
      <c r="B209" s="31">
        <f>'2 - PREENCHA AQUI'!J213</f>
        <v>0</v>
      </c>
      <c r="C209" s="31">
        <f>'2 - PREENCHA AQUI'!K213</f>
        <v>0</v>
      </c>
      <c r="D209" s="26">
        <f>'2 - PREENCHA AQUI'!L213</f>
        <v>0</v>
      </c>
      <c r="E209" s="26">
        <f>'2 - PREENCHA AQUI'!M213</f>
        <v>0</v>
      </c>
    </row>
    <row r="210" spans="1:5" x14ac:dyDescent="0.25">
      <c r="A210" s="26">
        <f>IF('2 - PREENCHA AQUI'!E214=FALSE(),0,'2 - PREENCHA AQUI'!E214)</f>
        <v>0</v>
      </c>
      <c r="B210" s="31">
        <f>'2 - PREENCHA AQUI'!J214</f>
        <v>0</v>
      </c>
      <c r="C210" s="31">
        <f>'2 - PREENCHA AQUI'!K214</f>
        <v>0</v>
      </c>
      <c r="D210" s="26">
        <f>'2 - PREENCHA AQUI'!L214</f>
        <v>0</v>
      </c>
      <c r="E210" s="26">
        <f>'2 - PREENCHA AQUI'!M214</f>
        <v>0</v>
      </c>
    </row>
    <row r="211" spans="1:5" x14ac:dyDescent="0.25">
      <c r="A211" s="26">
        <f>IF('2 - PREENCHA AQUI'!E215=FALSE(),0,'2 - PREENCHA AQUI'!E215)</f>
        <v>0</v>
      </c>
      <c r="B211" s="31">
        <f>'2 - PREENCHA AQUI'!J215</f>
        <v>0</v>
      </c>
      <c r="C211" s="31">
        <f>'2 - PREENCHA AQUI'!K215</f>
        <v>0</v>
      </c>
      <c r="D211" s="26">
        <f>'2 - PREENCHA AQUI'!L215</f>
        <v>0</v>
      </c>
      <c r="E211" s="26">
        <f>'2 - PREENCHA AQUI'!M215</f>
        <v>0</v>
      </c>
    </row>
    <row r="212" spans="1:5" x14ac:dyDescent="0.25">
      <c r="A212" s="26">
        <f>IF('2 - PREENCHA AQUI'!E216=FALSE(),0,'2 - PREENCHA AQUI'!E216)</f>
        <v>0</v>
      </c>
      <c r="B212" s="31">
        <f>'2 - PREENCHA AQUI'!J216</f>
        <v>0</v>
      </c>
      <c r="C212" s="31">
        <f>'2 - PREENCHA AQUI'!K216</f>
        <v>0</v>
      </c>
      <c r="D212" s="26">
        <f>'2 - PREENCHA AQUI'!L216</f>
        <v>0</v>
      </c>
      <c r="E212" s="26">
        <f>'2 - PREENCHA AQUI'!M216</f>
        <v>0</v>
      </c>
    </row>
    <row r="213" spans="1:5" x14ac:dyDescent="0.25">
      <c r="A213" s="26">
        <f>IF('2 - PREENCHA AQUI'!E217=FALSE(),0,'2 - PREENCHA AQUI'!E217)</f>
        <v>0</v>
      </c>
      <c r="B213" s="31">
        <f>'2 - PREENCHA AQUI'!J217</f>
        <v>0</v>
      </c>
      <c r="C213" s="31">
        <f>'2 - PREENCHA AQUI'!K217</f>
        <v>0</v>
      </c>
      <c r="D213" s="26">
        <f>'2 - PREENCHA AQUI'!L217</f>
        <v>0</v>
      </c>
      <c r="E213" s="26">
        <f>'2 - PREENCHA AQUI'!M217</f>
        <v>0</v>
      </c>
    </row>
    <row r="214" spans="1:5" x14ac:dyDescent="0.25">
      <c r="A214" s="26">
        <f>IF('2 - PREENCHA AQUI'!E218=FALSE(),0,'2 - PREENCHA AQUI'!E218)</f>
        <v>0</v>
      </c>
      <c r="B214" s="31">
        <f>'2 - PREENCHA AQUI'!J218</f>
        <v>0</v>
      </c>
      <c r="C214" s="31">
        <f>'2 - PREENCHA AQUI'!K218</f>
        <v>0</v>
      </c>
      <c r="D214" s="26">
        <f>'2 - PREENCHA AQUI'!L218</f>
        <v>0</v>
      </c>
      <c r="E214" s="26">
        <f>'2 - PREENCHA AQUI'!M218</f>
        <v>0</v>
      </c>
    </row>
    <row r="215" spans="1:5" x14ac:dyDescent="0.25">
      <c r="A215" s="26">
        <f>IF('2 - PREENCHA AQUI'!E219=FALSE(),0,'2 - PREENCHA AQUI'!E219)</f>
        <v>0</v>
      </c>
      <c r="B215" s="31">
        <f>'2 - PREENCHA AQUI'!J219</f>
        <v>0</v>
      </c>
      <c r="C215" s="31">
        <f>'2 - PREENCHA AQUI'!K219</f>
        <v>0</v>
      </c>
      <c r="D215" s="26">
        <f>'2 - PREENCHA AQUI'!L219</f>
        <v>0</v>
      </c>
      <c r="E215" s="26">
        <f>'2 - PREENCHA AQUI'!M219</f>
        <v>0</v>
      </c>
    </row>
    <row r="216" spans="1:5" x14ac:dyDescent="0.25">
      <c r="A216" s="26">
        <f>IF('2 - PREENCHA AQUI'!E220=FALSE(),0,'2 - PREENCHA AQUI'!E220)</f>
        <v>0</v>
      </c>
      <c r="B216" s="31">
        <f>'2 - PREENCHA AQUI'!J220</f>
        <v>0</v>
      </c>
      <c r="C216" s="31">
        <f>'2 - PREENCHA AQUI'!K220</f>
        <v>0</v>
      </c>
      <c r="D216" s="26">
        <f>'2 - PREENCHA AQUI'!L220</f>
        <v>0</v>
      </c>
      <c r="E216" s="26">
        <f>'2 - PREENCHA AQUI'!M220</f>
        <v>0</v>
      </c>
    </row>
    <row r="217" spans="1:5" x14ac:dyDescent="0.25">
      <c r="A217" s="26">
        <f>IF('2 - PREENCHA AQUI'!E221=FALSE(),0,'2 - PREENCHA AQUI'!E221)</f>
        <v>0</v>
      </c>
      <c r="B217" s="31">
        <f>'2 - PREENCHA AQUI'!J221</f>
        <v>0</v>
      </c>
      <c r="C217" s="31">
        <f>'2 - PREENCHA AQUI'!K221</f>
        <v>0</v>
      </c>
      <c r="D217" s="26">
        <f>'2 - PREENCHA AQUI'!L221</f>
        <v>0</v>
      </c>
      <c r="E217" s="26">
        <f>'2 - PREENCHA AQUI'!M221</f>
        <v>0</v>
      </c>
    </row>
    <row r="218" spans="1:5" x14ac:dyDescent="0.25">
      <c r="A218" s="26">
        <f>IF('2 - PREENCHA AQUI'!E222=FALSE(),0,'2 - PREENCHA AQUI'!E222)</f>
        <v>0</v>
      </c>
      <c r="B218" s="31">
        <f>'2 - PREENCHA AQUI'!J222</f>
        <v>0</v>
      </c>
      <c r="C218" s="31">
        <f>'2 - PREENCHA AQUI'!K222</f>
        <v>0</v>
      </c>
      <c r="D218" s="26">
        <f>'2 - PREENCHA AQUI'!L222</f>
        <v>0</v>
      </c>
      <c r="E218" s="26">
        <f>'2 - PREENCHA AQUI'!M222</f>
        <v>0</v>
      </c>
    </row>
    <row r="219" spans="1:5" x14ac:dyDescent="0.25">
      <c r="A219" s="26">
        <f>IF('2 - PREENCHA AQUI'!E223=FALSE(),0,'2 - PREENCHA AQUI'!E223)</f>
        <v>0</v>
      </c>
      <c r="B219" s="31">
        <f>'2 - PREENCHA AQUI'!J223</f>
        <v>0</v>
      </c>
      <c r="C219" s="31">
        <f>'2 - PREENCHA AQUI'!K223</f>
        <v>0</v>
      </c>
      <c r="D219" s="26">
        <f>'2 - PREENCHA AQUI'!L223</f>
        <v>0</v>
      </c>
      <c r="E219" s="26">
        <f>'2 - PREENCHA AQUI'!M223</f>
        <v>0</v>
      </c>
    </row>
    <row r="220" spans="1:5" x14ac:dyDescent="0.25">
      <c r="A220" s="26">
        <f>IF('2 - PREENCHA AQUI'!E224=FALSE(),0,'2 - PREENCHA AQUI'!E224)</f>
        <v>0</v>
      </c>
      <c r="B220" s="31">
        <f>'2 - PREENCHA AQUI'!J224</f>
        <v>0</v>
      </c>
      <c r="C220" s="31">
        <f>'2 - PREENCHA AQUI'!K224</f>
        <v>0</v>
      </c>
      <c r="D220" s="26">
        <f>'2 - PREENCHA AQUI'!L224</f>
        <v>0</v>
      </c>
      <c r="E220" s="26">
        <f>'2 - PREENCHA AQUI'!M224</f>
        <v>0</v>
      </c>
    </row>
    <row r="221" spans="1:5" x14ac:dyDescent="0.25">
      <c r="A221" s="26">
        <f>IF('2 - PREENCHA AQUI'!E225=FALSE(),0,'2 - PREENCHA AQUI'!E225)</f>
        <v>0</v>
      </c>
      <c r="B221" s="31">
        <f>'2 - PREENCHA AQUI'!J225</f>
        <v>0</v>
      </c>
      <c r="C221" s="31">
        <f>'2 - PREENCHA AQUI'!K225</f>
        <v>0</v>
      </c>
      <c r="D221" s="26">
        <f>'2 - PREENCHA AQUI'!L225</f>
        <v>0</v>
      </c>
      <c r="E221" s="26">
        <f>'2 - PREENCHA AQUI'!M225</f>
        <v>0</v>
      </c>
    </row>
    <row r="222" spans="1:5" x14ac:dyDescent="0.25">
      <c r="A222" s="26">
        <f>IF('2 - PREENCHA AQUI'!E226=FALSE(),0,'2 - PREENCHA AQUI'!E226)</f>
        <v>0</v>
      </c>
      <c r="B222" s="31">
        <f>'2 - PREENCHA AQUI'!J226</f>
        <v>0</v>
      </c>
      <c r="C222" s="31">
        <f>'2 - PREENCHA AQUI'!K226</f>
        <v>0</v>
      </c>
      <c r="D222" s="26">
        <f>'2 - PREENCHA AQUI'!L226</f>
        <v>0</v>
      </c>
      <c r="E222" s="26">
        <f>'2 - PREENCHA AQUI'!M226</f>
        <v>0</v>
      </c>
    </row>
    <row r="223" spans="1:5" x14ac:dyDescent="0.25">
      <c r="A223" s="26">
        <f>IF('2 - PREENCHA AQUI'!E227=FALSE(),0,'2 - PREENCHA AQUI'!E227)</f>
        <v>0</v>
      </c>
      <c r="B223" s="31">
        <f>'2 - PREENCHA AQUI'!J227</f>
        <v>0</v>
      </c>
      <c r="C223" s="31">
        <f>'2 - PREENCHA AQUI'!K227</f>
        <v>0</v>
      </c>
      <c r="D223" s="26">
        <f>'2 - PREENCHA AQUI'!L227</f>
        <v>0</v>
      </c>
      <c r="E223" s="26">
        <f>'2 - PREENCHA AQUI'!M227</f>
        <v>0</v>
      </c>
    </row>
    <row r="224" spans="1:5" x14ac:dyDescent="0.25">
      <c r="A224" s="26">
        <f>IF('2 - PREENCHA AQUI'!E228=FALSE(),0,'2 - PREENCHA AQUI'!E228)</f>
        <v>0</v>
      </c>
      <c r="B224" s="31">
        <f>'2 - PREENCHA AQUI'!J228</f>
        <v>0</v>
      </c>
      <c r="C224" s="31">
        <f>'2 - PREENCHA AQUI'!K228</f>
        <v>0</v>
      </c>
      <c r="D224" s="26">
        <f>'2 - PREENCHA AQUI'!L228</f>
        <v>0</v>
      </c>
      <c r="E224" s="26">
        <f>'2 - PREENCHA AQUI'!M228</f>
        <v>0</v>
      </c>
    </row>
    <row r="225" spans="1:5" x14ac:dyDescent="0.25">
      <c r="A225" s="26">
        <f>IF('2 - PREENCHA AQUI'!E229=FALSE(),0,'2 - PREENCHA AQUI'!E229)</f>
        <v>0</v>
      </c>
      <c r="B225" s="31">
        <f>'2 - PREENCHA AQUI'!J229</f>
        <v>0</v>
      </c>
      <c r="C225" s="31">
        <f>'2 - PREENCHA AQUI'!K229</f>
        <v>0</v>
      </c>
      <c r="D225" s="26">
        <f>'2 - PREENCHA AQUI'!L229</f>
        <v>0</v>
      </c>
      <c r="E225" s="26">
        <f>'2 - PREENCHA AQUI'!M229</f>
        <v>0</v>
      </c>
    </row>
    <row r="226" spans="1:5" x14ac:dyDescent="0.25">
      <c r="A226" s="26">
        <f>IF('2 - PREENCHA AQUI'!E230=FALSE(),0,'2 - PREENCHA AQUI'!E230)</f>
        <v>0</v>
      </c>
      <c r="B226" s="31">
        <f>'2 - PREENCHA AQUI'!J230</f>
        <v>0</v>
      </c>
      <c r="C226" s="31">
        <f>'2 - PREENCHA AQUI'!K230</f>
        <v>0</v>
      </c>
      <c r="D226" s="26">
        <f>'2 - PREENCHA AQUI'!L230</f>
        <v>0</v>
      </c>
      <c r="E226" s="26">
        <f>'2 - PREENCHA AQUI'!M230</f>
        <v>0</v>
      </c>
    </row>
    <row r="227" spans="1:5" x14ac:dyDescent="0.25">
      <c r="A227" s="26">
        <f>IF('2 - PREENCHA AQUI'!E231=FALSE(),0,'2 - PREENCHA AQUI'!E231)</f>
        <v>0</v>
      </c>
      <c r="B227" s="31">
        <f>'2 - PREENCHA AQUI'!J231</f>
        <v>0</v>
      </c>
      <c r="C227" s="31">
        <f>'2 - PREENCHA AQUI'!K231</f>
        <v>0</v>
      </c>
      <c r="D227" s="26">
        <f>'2 - PREENCHA AQUI'!L231</f>
        <v>0</v>
      </c>
      <c r="E227" s="26">
        <f>'2 - PREENCHA AQUI'!M231</f>
        <v>0</v>
      </c>
    </row>
    <row r="228" spans="1:5" x14ac:dyDescent="0.25">
      <c r="A228" s="26">
        <f>IF('2 - PREENCHA AQUI'!E232=FALSE(),0,'2 - PREENCHA AQUI'!E232)</f>
        <v>0</v>
      </c>
      <c r="B228" s="31">
        <f>'2 - PREENCHA AQUI'!J232</f>
        <v>0</v>
      </c>
      <c r="C228" s="31">
        <f>'2 - PREENCHA AQUI'!K232</f>
        <v>0</v>
      </c>
      <c r="D228" s="26">
        <f>'2 - PREENCHA AQUI'!L232</f>
        <v>0</v>
      </c>
      <c r="E228" s="26">
        <f>'2 - PREENCHA AQUI'!M232</f>
        <v>0</v>
      </c>
    </row>
    <row r="229" spans="1:5" x14ac:dyDescent="0.25">
      <c r="A229" s="26">
        <f>IF('2 - PREENCHA AQUI'!E233=FALSE(),0,'2 - PREENCHA AQUI'!E233)</f>
        <v>0</v>
      </c>
      <c r="B229" s="31">
        <f>'2 - PREENCHA AQUI'!J233</f>
        <v>0</v>
      </c>
      <c r="C229" s="31">
        <f>'2 - PREENCHA AQUI'!K233</f>
        <v>0</v>
      </c>
      <c r="D229" s="26">
        <f>'2 - PREENCHA AQUI'!L233</f>
        <v>0</v>
      </c>
      <c r="E229" s="26">
        <f>'2 - PREENCHA AQUI'!M233</f>
        <v>0</v>
      </c>
    </row>
    <row r="230" spans="1:5" x14ac:dyDescent="0.25">
      <c r="A230" s="26">
        <f>IF('2 - PREENCHA AQUI'!E234=FALSE(),0,'2 - PREENCHA AQUI'!E234)</f>
        <v>0</v>
      </c>
      <c r="B230" s="31">
        <f>'2 - PREENCHA AQUI'!J234</f>
        <v>0</v>
      </c>
      <c r="C230" s="31">
        <f>'2 - PREENCHA AQUI'!K234</f>
        <v>0</v>
      </c>
      <c r="D230" s="26">
        <f>'2 - PREENCHA AQUI'!L234</f>
        <v>0</v>
      </c>
      <c r="E230" s="26">
        <f>'2 - PREENCHA AQUI'!M234</f>
        <v>0</v>
      </c>
    </row>
    <row r="231" spans="1:5" x14ac:dyDescent="0.25">
      <c r="A231" s="26">
        <f>IF('2 - PREENCHA AQUI'!E235=FALSE(),0,'2 - PREENCHA AQUI'!E235)</f>
        <v>0</v>
      </c>
      <c r="B231" s="31">
        <f>'2 - PREENCHA AQUI'!J235</f>
        <v>0</v>
      </c>
      <c r="C231" s="31">
        <f>'2 - PREENCHA AQUI'!K235</f>
        <v>0</v>
      </c>
      <c r="D231" s="26">
        <f>'2 - PREENCHA AQUI'!L235</f>
        <v>0</v>
      </c>
      <c r="E231" s="26">
        <f>'2 - PREENCHA AQUI'!M235</f>
        <v>0</v>
      </c>
    </row>
    <row r="232" spans="1:5" x14ac:dyDescent="0.25">
      <c r="A232" s="26">
        <f>IF('2 - PREENCHA AQUI'!E236=FALSE(),0,'2 - PREENCHA AQUI'!E236)</f>
        <v>0</v>
      </c>
      <c r="B232" s="31">
        <f>'2 - PREENCHA AQUI'!J236</f>
        <v>0</v>
      </c>
      <c r="C232" s="31">
        <f>'2 - PREENCHA AQUI'!K236</f>
        <v>0</v>
      </c>
      <c r="D232" s="26">
        <f>'2 - PREENCHA AQUI'!L236</f>
        <v>0</v>
      </c>
      <c r="E232" s="26">
        <f>'2 - PREENCHA AQUI'!M236</f>
        <v>0</v>
      </c>
    </row>
    <row r="233" spans="1:5" x14ac:dyDescent="0.25">
      <c r="A233" s="26">
        <f>IF('2 - PREENCHA AQUI'!E237=FALSE(),0,'2 - PREENCHA AQUI'!E237)</f>
        <v>0</v>
      </c>
      <c r="B233" s="31">
        <f>'2 - PREENCHA AQUI'!J237</f>
        <v>0</v>
      </c>
      <c r="C233" s="31">
        <f>'2 - PREENCHA AQUI'!K237</f>
        <v>0</v>
      </c>
      <c r="D233" s="26">
        <f>'2 - PREENCHA AQUI'!L237</f>
        <v>0</v>
      </c>
      <c r="E233" s="26">
        <f>'2 - PREENCHA AQUI'!M237</f>
        <v>0</v>
      </c>
    </row>
    <row r="234" spans="1:5" x14ac:dyDescent="0.25">
      <c r="A234" s="26">
        <f>IF('2 - PREENCHA AQUI'!E238=FALSE(),0,'2 - PREENCHA AQUI'!E238)</f>
        <v>0</v>
      </c>
      <c r="B234" s="31">
        <f>'2 - PREENCHA AQUI'!J238</f>
        <v>0</v>
      </c>
      <c r="C234" s="31">
        <f>'2 - PREENCHA AQUI'!K238</f>
        <v>0</v>
      </c>
      <c r="D234" s="26">
        <f>'2 - PREENCHA AQUI'!L238</f>
        <v>0</v>
      </c>
      <c r="E234" s="26">
        <f>'2 - PREENCHA AQUI'!M238</f>
        <v>0</v>
      </c>
    </row>
    <row r="235" spans="1:5" x14ac:dyDescent="0.25">
      <c r="A235" s="26">
        <f>IF('2 - PREENCHA AQUI'!E239=FALSE(),0,'2 - PREENCHA AQUI'!E239)</f>
        <v>0</v>
      </c>
      <c r="B235" s="31">
        <f>'2 - PREENCHA AQUI'!J239</f>
        <v>0</v>
      </c>
      <c r="C235" s="31">
        <f>'2 - PREENCHA AQUI'!K239</f>
        <v>0</v>
      </c>
      <c r="D235" s="26">
        <f>'2 - PREENCHA AQUI'!L239</f>
        <v>0</v>
      </c>
      <c r="E235" s="26">
        <f>'2 - PREENCHA AQUI'!M239</f>
        <v>0</v>
      </c>
    </row>
    <row r="236" spans="1:5" x14ac:dyDescent="0.25">
      <c r="A236" s="26">
        <f>IF('2 - PREENCHA AQUI'!E240=FALSE(),0,'2 - PREENCHA AQUI'!E240)</f>
        <v>0</v>
      </c>
      <c r="B236" s="31">
        <f>'2 - PREENCHA AQUI'!J240</f>
        <v>0</v>
      </c>
      <c r="C236" s="31">
        <f>'2 - PREENCHA AQUI'!K240</f>
        <v>0</v>
      </c>
      <c r="D236" s="26">
        <f>'2 - PREENCHA AQUI'!L240</f>
        <v>0</v>
      </c>
      <c r="E236" s="26">
        <f>'2 - PREENCHA AQUI'!M240</f>
        <v>0</v>
      </c>
    </row>
    <row r="237" spans="1:5" x14ac:dyDescent="0.25">
      <c r="A237" s="26">
        <f>IF('2 - PREENCHA AQUI'!E241=FALSE(),0,'2 - PREENCHA AQUI'!E241)</f>
        <v>0</v>
      </c>
      <c r="B237" s="31">
        <f>'2 - PREENCHA AQUI'!J241</f>
        <v>0</v>
      </c>
      <c r="C237" s="31">
        <f>'2 - PREENCHA AQUI'!K241</f>
        <v>0</v>
      </c>
      <c r="D237" s="26">
        <f>'2 - PREENCHA AQUI'!L241</f>
        <v>0</v>
      </c>
      <c r="E237" s="26">
        <f>'2 - PREENCHA AQUI'!M241</f>
        <v>0</v>
      </c>
    </row>
    <row r="238" spans="1:5" x14ac:dyDescent="0.25">
      <c r="A238" s="26">
        <f>IF('2 - PREENCHA AQUI'!E242=FALSE(),0,'2 - PREENCHA AQUI'!E242)</f>
        <v>0</v>
      </c>
      <c r="B238" s="31">
        <f>'2 - PREENCHA AQUI'!J242</f>
        <v>0</v>
      </c>
      <c r="C238" s="31">
        <f>'2 - PREENCHA AQUI'!K242</f>
        <v>0</v>
      </c>
      <c r="D238" s="26">
        <f>'2 - PREENCHA AQUI'!L242</f>
        <v>0</v>
      </c>
      <c r="E238" s="26">
        <f>'2 - PREENCHA AQUI'!M242</f>
        <v>0</v>
      </c>
    </row>
    <row r="239" spans="1:5" x14ac:dyDescent="0.25">
      <c r="A239" s="26">
        <f>IF('2 - PREENCHA AQUI'!E243=FALSE(),0,'2 - PREENCHA AQUI'!E243)</f>
        <v>0</v>
      </c>
      <c r="B239" s="31">
        <f>'2 - PREENCHA AQUI'!J243</f>
        <v>0</v>
      </c>
      <c r="C239" s="31">
        <f>'2 - PREENCHA AQUI'!K243</f>
        <v>0</v>
      </c>
      <c r="D239" s="26">
        <f>'2 - PREENCHA AQUI'!L243</f>
        <v>0</v>
      </c>
      <c r="E239" s="26">
        <f>'2 - PREENCHA AQUI'!M243</f>
        <v>0</v>
      </c>
    </row>
    <row r="240" spans="1:5" x14ac:dyDescent="0.25">
      <c r="A240" s="26">
        <f>IF('2 - PREENCHA AQUI'!E244=FALSE(),0,'2 - PREENCHA AQUI'!E244)</f>
        <v>0</v>
      </c>
      <c r="B240" s="31">
        <f>'2 - PREENCHA AQUI'!J244</f>
        <v>0</v>
      </c>
      <c r="C240" s="31">
        <f>'2 - PREENCHA AQUI'!K244</f>
        <v>0</v>
      </c>
      <c r="D240" s="26">
        <f>'2 - PREENCHA AQUI'!L244</f>
        <v>0</v>
      </c>
      <c r="E240" s="26">
        <f>'2 - PREENCHA AQUI'!M244</f>
        <v>0</v>
      </c>
    </row>
    <row r="241" spans="1:5" x14ac:dyDescent="0.25">
      <c r="A241" s="26">
        <f>IF('2 - PREENCHA AQUI'!E245=FALSE(),0,'2 - PREENCHA AQUI'!E245)</f>
        <v>0</v>
      </c>
      <c r="B241" s="31">
        <f>'2 - PREENCHA AQUI'!J245</f>
        <v>0</v>
      </c>
      <c r="C241" s="31">
        <f>'2 - PREENCHA AQUI'!K245</f>
        <v>0</v>
      </c>
      <c r="D241" s="26">
        <f>'2 - PREENCHA AQUI'!L245</f>
        <v>0</v>
      </c>
      <c r="E241" s="26">
        <f>'2 - PREENCHA AQUI'!M245</f>
        <v>0</v>
      </c>
    </row>
    <row r="242" spans="1:5" x14ac:dyDescent="0.25">
      <c r="A242" s="26">
        <f>IF('2 - PREENCHA AQUI'!E246=FALSE(),0,'2 - PREENCHA AQUI'!E246)</f>
        <v>0</v>
      </c>
      <c r="B242" s="31">
        <f>'2 - PREENCHA AQUI'!J246</f>
        <v>0</v>
      </c>
      <c r="C242" s="31">
        <f>'2 - PREENCHA AQUI'!K246</f>
        <v>0</v>
      </c>
      <c r="D242" s="26">
        <f>'2 - PREENCHA AQUI'!L246</f>
        <v>0</v>
      </c>
      <c r="E242" s="26">
        <f>'2 - PREENCHA AQUI'!M246</f>
        <v>0</v>
      </c>
    </row>
    <row r="243" spans="1:5" x14ac:dyDescent="0.25">
      <c r="A243" s="26">
        <f>IF('2 - PREENCHA AQUI'!E247=FALSE(),0,'2 - PREENCHA AQUI'!E247)</f>
        <v>0</v>
      </c>
      <c r="B243" s="31">
        <f>'2 - PREENCHA AQUI'!J247</f>
        <v>0</v>
      </c>
      <c r="C243" s="31">
        <f>'2 - PREENCHA AQUI'!K247</f>
        <v>0</v>
      </c>
      <c r="D243" s="26">
        <f>'2 - PREENCHA AQUI'!L247</f>
        <v>0</v>
      </c>
      <c r="E243" s="26">
        <f>'2 - PREENCHA AQUI'!M247</f>
        <v>0</v>
      </c>
    </row>
    <row r="244" spans="1:5" x14ac:dyDescent="0.25">
      <c r="A244" s="26">
        <f>IF('2 - PREENCHA AQUI'!E248=FALSE(),0,'2 - PREENCHA AQUI'!E248)</f>
        <v>0</v>
      </c>
      <c r="B244" s="31">
        <f>'2 - PREENCHA AQUI'!J248</f>
        <v>0</v>
      </c>
      <c r="C244" s="31">
        <f>'2 - PREENCHA AQUI'!K248</f>
        <v>0</v>
      </c>
      <c r="D244" s="26">
        <f>'2 - PREENCHA AQUI'!L248</f>
        <v>0</v>
      </c>
      <c r="E244" s="26">
        <f>'2 - PREENCHA AQUI'!M248</f>
        <v>0</v>
      </c>
    </row>
    <row r="245" spans="1:5" x14ac:dyDescent="0.25">
      <c r="A245" s="26">
        <f>IF('2 - PREENCHA AQUI'!E249=FALSE(),0,'2 - PREENCHA AQUI'!E249)</f>
        <v>0</v>
      </c>
      <c r="B245" s="31">
        <f>'2 - PREENCHA AQUI'!J249</f>
        <v>0</v>
      </c>
      <c r="C245" s="31">
        <f>'2 - PREENCHA AQUI'!K249</f>
        <v>0</v>
      </c>
      <c r="D245" s="26">
        <f>'2 - PREENCHA AQUI'!L249</f>
        <v>0</v>
      </c>
      <c r="E245" s="26">
        <f>'2 - PREENCHA AQUI'!M249</f>
        <v>0</v>
      </c>
    </row>
    <row r="246" spans="1:5" x14ac:dyDescent="0.25">
      <c r="A246" s="26">
        <f>IF('2 - PREENCHA AQUI'!E250=FALSE(),0,'2 - PREENCHA AQUI'!E250)</f>
        <v>0</v>
      </c>
      <c r="B246" s="31">
        <f>'2 - PREENCHA AQUI'!J250</f>
        <v>0</v>
      </c>
      <c r="C246" s="31">
        <f>'2 - PREENCHA AQUI'!K250</f>
        <v>0</v>
      </c>
      <c r="D246" s="26">
        <f>'2 - PREENCHA AQUI'!L250</f>
        <v>0</v>
      </c>
      <c r="E246" s="26">
        <f>'2 - PREENCHA AQUI'!M250</f>
        <v>0</v>
      </c>
    </row>
    <row r="247" spans="1:5" x14ac:dyDescent="0.25">
      <c r="A247" s="26">
        <f>IF('2 - PREENCHA AQUI'!E251=FALSE(),0,'2 - PREENCHA AQUI'!E251)</f>
        <v>0</v>
      </c>
      <c r="B247" s="31">
        <f>'2 - PREENCHA AQUI'!J251</f>
        <v>0</v>
      </c>
      <c r="C247" s="31">
        <f>'2 - PREENCHA AQUI'!K251</f>
        <v>0</v>
      </c>
      <c r="D247" s="26">
        <f>'2 - PREENCHA AQUI'!L251</f>
        <v>0</v>
      </c>
      <c r="E247" s="26">
        <f>'2 - PREENCHA AQUI'!M251</f>
        <v>0</v>
      </c>
    </row>
    <row r="248" spans="1:5" x14ac:dyDescent="0.25">
      <c r="A248" s="26">
        <f>IF('2 - PREENCHA AQUI'!E252=FALSE(),0,'2 - PREENCHA AQUI'!E252)</f>
        <v>0</v>
      </c>
      <c r="B248" s="31">
        <f>'2 - PREENCHA AQUI'!J252</f>
        <v>0</v>
      </c>
      <c r="C248" s="31">
        <f>'2 - PREENCHA AQUI'!K252</f>
        <v>0</v>
      </c>
      <c r="D248" s="26">
        <f>'2 - PREENCHA AQUI'!L252</f>
        <v>0</v>
      </c>
      <c r="E248" s="26">
        <f>'2 - PREENCHA AQUI'!M252</f>
        <v>0</v>
      </c>
    </row>
    <row r="249" spans="1:5" x14ac:dyDescent="0.25">
      <c r="A249" s="26">
        <f>IF('2 - PREENCHA AQUI'!E253=FALSE(),0,'2 - PREENCHA AQUI'!E253)</f>
        <v>0</v>
      </c>
      <c r="B249" s="31">
        <f>'2 - PREENCHA AQUI'!J253</f>
        <v>0</v>
      </c>
      <c r="C249" s="31">
        <f>'2 - PREENCHA AQUI'!K253</f>
        <v>0</v>
      </c>
      <c r="D249" s="26">
        <f>'2 - PREENCHA AQUI'!L253</f>
        <v>0</v>
      </c>
      <c r="E249" s="26">
        <f>'2 - PREENCHA AQUI'!M253</f>
        <v>0</v>
      </c>
    </row>
    <row r="250" spans="1:5" x14ac:dyDescent="0.25">
      <c r="A250" s="26">
        <f>IF('2 - PREENCHA AQUI'!E254=FALSE(),0,'2 - PREENCHA AQUI'!E254)</f>
        <v>0</v>
      </c>
      <c r="B250" s="31">
        <f>'2 - PREENCHA AQUI'!J254</f>
        <v>0</v>
      </c>
      <c r="C250" s="31">
        <f>'2 - PREENCHA AQUI'!K254</f>
        <v>0</v>
      </c>
      <c r="D250" s="26">
        <f>'2 - PREENCHA AQUI'!L254</f>
        <v>0</v>
      </c>
      <c r="E250" s="26">
        <f>'2 - PREENCHA AQUI'!M254</f>
        <v>0</v>
      </c>
    </row>
    <row r="251" spans="1:5" x14ac:dyDescent="0.25">
      <c r="A251" s="26">
        <f>IF('2 - PREENCHA AQUI'!E255=FALSE(),0,'2 - PREENCHA AQUI'!E255)</f>
        <v>0</v>
      </c>
      <c r="B251" s="31">
        <f>'2 - PREENCHA AQUI'!J255</f>
        <v>0</v>
      </c>
      <c r="C251" s="31">
        <f>'2 - PREENCHA AQUI'!K255</f>
        <v>0</v>
      </c>
      <c r="D251" s="26">
        <f>'2 - PREENCHA AQUI'!L255</f>
        <v>0</v>
      </c>
      <c r="E251" s="26">
        <f>'2 - PREENCHA AQUI'!M255</f>
        <v>0</v>
      </c>
    </row>
    <row r="252" spans="1:5" x14ac:dyDescent="0.25">
      <c r="A252" s="26">
        <f>IF('2 - PREENCHA AQUI'!E256=FALSE(),0,'2 - PREENCHA AQUI'!E256)</f>
        <v>0</v>
      </c>
      <c r="B252" s="31">
        <f>'2 - PREENCHA AQUI'!J256</f>
        <v>0</v>
      </c>
      <c r="C252" s="31">
        <f>'2 - PREENCHA AQUI'!K256</f>
        <v>0</v>
      </c>
      <c r="D252" s="26">
        <f>'2 - PREENCHA AQUI'!L256</f>
        <v>0</v>
      </c>
      <c r="E252" s="26">
        <f>'2 - PREENCHA AQUI'!M256</f>
        <v>0</v>
      </c>
    </row>
    <row r="253" spans="1:5" x14ac:dyDescent="0.25">
      <c r="A253" s="26">
        <f>IF('2 - PREENCHA AQUI'!E257=FALSE(),0,'2 - PREENCHA AQUI'!E257)</f>
        <v>0</v>
      </c>
      <c r="B253" s="31">
        <f>'2 - PREENCHA AQUI'!J257</f>
        <v>0</v>
      </c>
      <c r="C253" s="31">
        <f>'2 - PREENCHA AQUI'!K257</f>
        <v>0</v>
      </c>
      <c r="D253" s="26">
        <f>'2 - PREENCHA AQUI'!L257</f>
        <v>0</v>
      </c>
      <c r="E253" s="26">
        <f>'2 - PREENCHA AQUI'!M257</f>
        <v>0</v>
      </c>
    </row>
    <row r="254" spans="1:5" x14ac:dyDescent="0.25">
      <c r="A254" s="26">
        <f>IF('2 - PREENCHA AQUI'!E258=FALSE(),0,'2 - PREENCHA AQUI'!E258)</f>
        <v>0</v>
      </c>
      <c r="B254" s="31">
        <f>'2 - PREENCHA AQUI'!J258</f>
        <v>0</v>
      </c>
      <c r="C254" s="31">
        <f>'2 - PREENCHA AQUI'!K258</f>
        <v>0</v>
      </c>
      <c r="D254" s="26">
        <f>'2 - PREENCHA AQUI'!L258</f>
        <v>0</v>
      </c>
      <c r="E254" s="26">
        <f>'2 - PREENCHA AQUI'!M258</f>
        <v>0</v>
      </c>
    </row>
    <row r="255" spans="1:5" x14ac:dyDescent="0.25">
      <c r="A255" s="26">
        <f>IF('2 - PREENCHA AQUI'!E259=FALSE(),0,'2 - PREENCHA AQUI'!E259)</f>
        <v>0</v>
      </c>
      <c r="B255" s="31">
        <f>'2 - PREENCHA AQUI'!J259</f>
        <v>0</v>
      </c>
      <c r="C255" s="31">
        <f>'2 - PREENCHA AQUI'!K259</f>
        <v>0</v>
      </c>
      <c r="D255" s="26">
        <f>'2 - PREENCHA AQUI'!L259</f>
        <v>0</v>
      </c>
      <c r="E255" s="26">
        <f>'2 - PREENCHA AQUI'!M259</f>
        <v>0</v>
      </c>
    </row>
    <row r="256" spans="1:5" x14ac:dyDescent="0.25">
      <c r="A256" s="26">
        <f>IF('2 - PREENCHA AQUI'!E260=FALSE(),0,'2 - PREENCHA AQUI'!E260)</f>
        <v>0</v>
      </c>
      <c r="B256" s="31">
        <f>'2 - PREENCHA AQUI'!J260</f>
        <v>0</v>
      </c>
      <c r="C256" s="31">
        <f>'2 - PREENCHA AQUI'!K260</f>
        <v>0</v>
      </c>
      <c r="D256" s="26">
        <f>'2 - PREENCHA AQUI'!L260</f>
        <v>0</v>
      </c>
      <c r="E256" s="26">
        <f>'2 - PREENCHA AQUI'!M260</f>
        <v>0</v>
      </c>
    </row>
    <row r="257" spans="1:5" x14ac:dyDescent="0.25">
      <c r="A257" s="26">
        <f>IF('2 - PREENCHA AQUI'!E261=FALSE(),0,'2 - PREENCHA AQUI'!E261)</f>
        <v>0</v>
      </c>
      <c r="B257" s="31">
        <f>'2 - PREENCHA AQUI'!J261</f>
        <v>0</v>
      </c>
      <c r="C257" s="31">
        <f>'2 - PREENCHA AQUI'!K261</f>
        <v>0</v>
      </c>
      <c r="D257" s="26">
        <f>'2 - PREENCHA AQUI'!L261</f>
        <v>0</v>
      </c>
      <c r="E257" s="26">
        <f>'2 - PREENCHA AQUI'!M261</f>
        <v>0</v>
      </c>
    </row>
    <row r="258" spans="1:5" x14ac:dyDescent="0.25">
      <c r="A258" s="26">
        <f>IF('2 - PREENCHA AQUI'!E262=FALSE(),0,'2 - PREENCHA AQUI'!E262)</f>
        <v>0</v>
      </c>
      <c r="B258" s="31">
        <f>'2 - PREENCHA AQUI'!J262</f>
        <v>0</v>
      </c>
      <c r="C258" s="31">
        <f>'2 - PREENCHA AQUI'!K262</f>
        <v>0</v>
      </c>
      <c r="D258" s="26">
        <f>'2 - PREENCHA AQUI'!L262</f>
        <v>0</v>
      </c>
      <c r="E258" s="26">
        <f>'2 - PREENCHA AQUI'!M262</f>
        <v>0</v>
      </c>
    </row>
    <row r="259" spans="1:5" x14ac:dyDescent="0.25">
      <c r="A259" s="26">
        <f>IF('2 - PREENCHA AQUI'!E263=FALSE(),0,'2 - PREENCHA AQUI'!E263)</f>
        <v>0</v>
      </c>
      <c r="B259" s="31">
        <f>'2 - PREENCHA AQUI'!J263</f>
        <v>0</v>
      </c>
      <c r="C259" s="31">
        <f>'2 - PREENCHA AQUI'!K263</f>
        <v>0</v>
      </c>
      <c r="D259" s="26">
        <f>'2 - PREENCHA AQUI'!L263</f>
        <v>0</v>
      </c>
      <c r="E259" s="26">
        <f>'2 - PREENCHA AQUI'!M263</f>
        <v>0</v>
      </c>
    </row>
    <row r="260" spans="1:5" x14ac:dyDescent="0.25">
      <c r="A260" s="26">
        <f>IF('2 - PREENCHA AQUI'!E264=FALSE(),0,'2 - PREENCHA AQUI'!E264)</f>
        <v>0</v>
      </c>
      <c r="B260" s="31">
        <f>'2 - PREENCHA AQUI'!J264</f>
        <v>0</v>
      </c>
      <c r="C260" s="31">
        <f>'2 - PREENCHA AQUI'!K264</f>
        <v>0</v>
      </c>
      <c r="D260" s="26">
        <f>'2 - PREENCHA AQUI'!L264</f>
        <v>0</v>
      </c>
      <c r="E260" s="26">
        <f>'2 - PREENCHA AQUI'!M264</f>
        <v>0</v>
      </c>
    </row>
    <row r="261" spans="1:5" x14ac:dyDescent="0.25">
      <c r="A261" s="26">
        <f>IF('2 - PREENCHA AQUI'!E265=FALSE(),0,'2 - PREENCHA AQUI'!E265)</f>
        <v>0</v>
      </c>
      <c r="B261" s="31">
        <f>'2 - PREENCHA AQUI'!J265</f>
        <v>0</v>
      </c>
      <c r="C261" s="31">
        <f>'2 - PREENCHA AQUI'!K265</f>
        <v>0</v>
      </c>
      <c r="D261" s="26">
        <f>'2 - PREENCHA AQUI'!L265</f>
        <v>0</v>
      </c>
      <c r="E261" s="26">
        <f>'2 - PREENCHA AQUI'!M265</f>
        <v>0</v>
      </c>
    </row>
    <row r="262" spans="1:5" x14ac:dyDescent="0.25">
      <c r="A262" s="26">
        <f>IF('2 - PREENCHA AQUI'!E266=FALSE(),0,'2 - PREENCHA AQUI'!E266)</f>
        <v>0</v>
      </c>
      <c r="B262" s="31">
        <f>'2 - PREENCHA AQUI'!J266</f>
        <v>0</v>
      </c>
      <c r="C262" s="31">
        <f>'2 - PREENCHA AQUI'!K266</f>
        <v>0</v>
      </c>
      <c r="D262" s="26">
        <f>'2 - PREENCHA AQUI'!L266</f>
        <v>0</v>
      </c>
      <c r="E262" s="26">
        <f>'2 - PREENCHA AQUI'!M266</f>
        <v>0</v>
      </c>
    </row>
    <row r="263" spans="1:5" x14ac:dyDescent="0.25">
      <c r="A263" s="26">
        <f>IF('2 - PREENCHA AQUI'!E267=FALSE(),0,'2 - PREENCHA AQUI'!E267)</f>
        <v>0</v>
      </c>
      <c r="B263" s="31">
        <f>'2 - PREENCHA AQUI'!J267</f>
        <v>0</v>
      </c>
      <c r="C263" s="31">
        <f>'2 - PREENCHA AQUI'!K267</f>
        <v>0</v>
      </c>
      <c r="D263" s="26">
        <f>'2 - PREENCHA AQUI'!L267</f>
        <v>0</v>
      </c>
      <c r="E263" s="26">
        <f>'2 - PREENCHA AQUI'!M267</f>
        <v>0</v>
      </c>
    </row>
    <row r="264" spans="1:5" x14ac:dyDescent="0.25">
      <c r="A264" s="26">
        <f>IF('2 - PREENCHA AQUI'!E268=FALSE(),0,'2 - PREENCHA AQUI'!E268)</f>
        <v>0</v>
      </c>
      <c r="B264" s="31">
        <f>'2 - PREENCHA AQUI'!J268</f>
        <v>0</v>
      </c>
      <c r="C264" s="31">
        <f>'2 - PREENCHA AQUI'!K268</f>
        <v>0</v>
      </c>
      <c r="D264" s="26">
        <f>'2 - PREENCHA AQUI'!L268</f>
        <v>0</v>
      </c>
      <c r="E264" s="26">
        <f>'2 - PREENCHA AQUI'!M268</f>
        <v>0</v>
      </c>
    </row>
    <row r="265" spans="1:5" x14ac:dyDescent="0.25">
      <c r="A265" s="26">
        <f>IF('2 - PREENCHA AQUI'!E269=FALSE(),0,'2 - PREENCHA AQUI'!E269)</f>
        <v>0</v>
      </c>
      <c r="B265" s="31">
        <f>'2 - PREENCHA AQUI'!J269</f>
        <v>0</v>
      </c>
      <c r="C265" s="31">
        <f>'2 - PREENCHA AQUI'!K269</f>
        <v>0</v>
      </c>
      <c r="D265" s="26">
        <f>'2 - PREENCHA AQUI'!L269</f>
        <v>0</v>
      </c>
      <c r="E265" s="26">
        <f>'2 - PREENCHA AQUI'!M269</f>
        <v>0</v>
      </c>
    </row>
    <row r="266" spans="1:5" x14ac:dyDescent="0.25">
      <c r="A266" s="26">
        <f>IF('2 - PREENCHA AQUI'!E270=FALSE(),0,'2 - PREENCHA AQUI'!E270)</f>
        <v>0</v>
      </c>
      <c r="B266" s="31">
        <f>'2 - PREENCHA AQUI'!J270</f>
        <v>0</v>
      </c>
      <c r="C266" s="31">
        <f>'2 - PREENCHA AQUI'!K270</f>
        <v>0</v>
      </c>
      <c r="D266" s="26">
        <f>'2 - PREENCHA AQUI'!L270</f>
        <v>0</v>
      </c>
      <c r="E266" s="26">
        <f>'2 - PREENCHA AQUI'!M270</f>
        <v>0</v>
      </c>
    </row>
    <row r="267" spans="1:5" x14ac:dyDescent="0.25">
      <c r="A267" s="26">
        <f>IF('2 - PREENCHA AQUI'!E271=FALSE(),0,'2 - PREENCHA AQUI'!E271)</f>
        <v>0</v>
      </c>
      <c r="B267" s="31">
        <f>'2 - PREENCHA AQUI'!J271</f>
        <v>0</v>
      </c>
      <c r="C267" s="31">
        <f>'2 - PREENCHA AQUI'!K271</f>
        <v>0</v>
      </c>
      <c r="D267" s="26">
        <f>'2 - PREENCHA AQUI'!L271</f>
        <v>0</v>
      </c>
      <c r="E267" s="26">
        <f>'2 - PREENCHA AQUI'!M271</f>
        <v>0</v>
      </c>
    </row>
    <row r="268" spans="1:5" x14ac:dyDescent="0.25">
      <c r="A268" s="26">
        <f>IF('2 - PREENCHA AQUI'!E272=FALSE(),0,'2 - PREENCHA AQUI'!E272)</f>
        <v>0</v>
      </c>
      <c r="B268" s="31">
        <f>'2 - PREENCHA AQUI'!J272</f>
        <v>0</v>
      </c>
      <c r="C268" s="31">
        <f>'2 - PREENCHA AQUI'!K272</f>
        <v>0</v>
      </c>
      <c r="D268" s="26">
        <f>'2 - PREENCHA AQUI'!L272</f>
        <v>0</v>
      </c>
      <c r="E268" s="26">
        <f>'2 - PREENCHA AQUI'!M272</f>
        <v>0</v>
      </c>
    </row>
    <row r="269" spans="1:5" x14ac:dyDescent="0.25">
      <c r="A269" s="26">
        <f>IF('2 - PREENCHA AQUI'!E273=FALSE(),0,'2 - PREENCHA AQUI'!E273)</f>
        <v>0</v>
      </c>
      <c r="B269" s="31">
        <f>'2 - PREENCHA AQUI'!J273</f>
        <v>0</v>
      </c>
      <c r="C269" s="31">
        <f>'2 - PREENCHA AQUI'!K273</f>
        <v>0</v>
      </c>
      <c r="D269" s="26">
        <f>'2 - PREENCHA AQUI'!L273</f>
        <v>0</v>
      </c>
      <c r="E269" s="26">
        <f>'2 - PREENCHA AQUI'!M273</f>
        <v>0</v>
      </c>
    </row>
    <row r="270" spans="1:5" x14ac:dyDescent="0.25">
      <c r="A270" s="26">
        <f>IF('2 - PREENCHA AQUI'!E274=FALSE(),0,'2 - PREENCHA AQUI'!E274)</f>
        <v>0</v>
      </c>
      <c r="B270" s="31">
        <f>'2 - PREENCHA AQUI'!J274</f>
        <v>0</v>
      </c>
      <c r="C270" s="31">
        <f>'2 - PREENCHA AQUI'!K274</f>
        <v>0</v>
      </c>
      <c r="D270" s="26">
        <f>'2 - PREENCHA AQUI'!L274</f>
        <v>0</v>
      </c>
      <c r="E270" s="26">
        <f>'2 - PREENCHA AQUI'!M274</f>
        <v>0</v>
      </c>
    </row>
    <row r="271" spans="1:5" x14ac:dyDescent="0.25">
      <c r="A271" s="26">
        <f>IF('2 - PREENCHA AQUI'!E275=FALSE(),0,'2 - PREENCHA AQUI'!E275)</f>
        <v>0</v>
      </c>
      <c r="B271" s="31">
        <f>'2 - PREENCHA AQUI'!J275</f>
        <v>0</v>
      </c>
      <c r="C271" s="31">
        <f>'2 - PREENCHA AQUI'!K275</f>
        <v>0</v>
      </c>
      <c r="D271" s="26">
        <f>'2 - PREENCHA AQUI'!L275</f>
        <v>0</v>
      </c>
      <c r="E271" s="26">
        <f>'2 - PREENCHA AQUI'!M275</f>
        <v>0</v>
      </c>
    </row>
    <row r="272" spans="1:5" x14ac:dyDescent="0.25">
      <c r="A272" s="26">
        <f>IF('2 - PREENCHA AQUI'!E276=FALSE(),0,'2 - PREENCHA AQUI'!E276)</f>
        <v>0</v>
      </c>
      <c r="B272" s="31">
        <f>'2 - PREENCHA AQUI'!J276</f>
        <v>0</v>
      </c>
      <c r="C272" s="31">
        <f>'2 - PREENCHA AQUI'!K276</f>
        <v>0</v>
      </c>
      <c r="D272" s="26">
        <f>'2 - PREENCHA AQUI'!L276</f>
        <v>0</v>
      </c>
      <c r="E272" s="26">
        <f>'2 - PREENCHA AQUI'!M276</f>
        <v>0</v>
      </c>
    </row>
    <row r="273" spans="1:5" x14ac:dyDescent="0.25">
      <c r="A273" s="26">
        <f>IF('2 - PREENCHA AQUI'!E277=FALSE(),0,'2 - PREENCHA AQUI'!E277)</f>
        <v>0</v>
      </c>
      <c r="B273" s="31">
        <f>'2 - PREENCHA AQUI'!J277</f>
        <v>0</v>
      </c>
      <c r="C273" s="31">
        <f>'2 - PREENCHA AQUI'!K277</f>
        <v>0</v>
      </c>
      <c r="D273" s="26">
        <f>'2 - PREENCHA AQUI'!L277</f>
        <v>0</v>
      </c>
      <c r="E273" s="26">
        <f>'2 - PREENCHA AQUI'!M277</f>
        <v>0</v>
      </c>
    </row>
    <row r="274" spans="1:5" x14ac:dyDescent="0.25">
      <c r="A274" s="26">
        <f>IF('2 - PREENCHA AQUI'!E278=FALSE(),0,'2 - PREENCHA AQUI'!E278)</f>
        <v>0</v>
      </c>
      <c r="B274" s="31">
        <f>'2 - PREENCHA AQUI'!J278</f>
        <v>0</v>
      </c>
      <c r="C274" s="31">
        <f>'2 - PREENCHA AQUI'!K278</f>
        <v>0</v>
      </c>
      <c r="D274" s="26">
        <f>'2 - PREENCHA AQUI'!L278</f>
        <v>0</v>
      </c>
      <c r="E274" s="26">
        <f>'2 - PREENCHA AQUI'!M278</f>
        <v>0</v>
      </c>
    </row>
    <row r="275" spans="1:5" x14ac:dyDescent="0.25">
      <c r="A275" s="26">
        <f>IF('2 - PREENCHA AQUI'!E279=FALSE(),0,'2 - PREENCHA AQUI'!E279)</f>
        <v>0</v>
      </c>
      <c r="B275" s="31">
        <f>'2 - PREENCHA AQUI'!J279</f>
        <v>0</v>
      </c>
      <c r="C275" s="31">
        <f>'2 - PREENCHA AQUI'!K279</f>
        <v>0</v>
      </c>
      <c r="D275" s="26">
        <f>'2 - PREENCHA AQUI'!L279</f>
        <v>0</v>
      </c>
      <c r="E275" s="26">
        <f>'2 - PREENCHA AQUI'!M279</f>
        <v>0</v>
      </c>
    </row>
    <row r="276" spans="1:5" x14ac:dyDescent="0.25">
      <c r="A276" s="26">
        <f>IF('2 - PREENCHA AQUI'!E280=FALSE(),0,'2 - PREENCHA AQUI'!E280)</f>
        <v>0</v>
      </c>
      <c r="B276" s="31">
        <f>'2 - PREENCHA AQUI'!J280</f>
        <v>0</v>
      </c>
      <c r="C276" s="31">
        <f>'2 - PREENCHA AQUI'!K280</f>
        <v>0</v>
      </c>
      <c r="D276" s="26">
        <f>'2 - PREENCHA AQUI'!L280</f>
        <v>0</v>
      </c>
      <c r="E276" s="26">
        <f>'2 - PREENCHA AQUI'!M280</f>
        <v>0</v>
      </c>
    </row>
    <row r="277" spans="1:5" x14ac:dyDescent="0.25">
      <c r="A277" s="26">
        <f>IF('2 - PREENCHA AQUI'!E281=FALSE(),0,'2 - PREENCHA AQUI'!E281)</f>
        <v>0</v>
      </c>
      <c r="B277" s="31">
        <f>'2 - PREENCHA AQUI'!J281</f>
        <v>0</v>
      </c>
      <c r="C277" s="31">
        <f>'2 - PREENCHA AQUI'!K281</f>
        <v>0</v>
      </c>
      <c r="D277" s="26">
        <f>'2 - PREENCHA AQUI'!L281</f>
        <v>0</v>
      </c>
      <c r="E277" s="26">
        <f>'2 - PREENCHA AQUI'!M281</f>
        <v>0</v>
      </c>
    </row>
    <row r="278" spans="1:5" x14ac:dyDescent="0.25">
      <c r="A278" s="26">
        <f>IF('2 - PREENCHA AQUI'!E282=FALSE(),0,'2 - PREENCHA AQUI'!E282)</f>
        <v>0</v>
      </c>
      <c r="B278" s="31">
        <f>'2 - PREENCHA AQUI'!J282</f>
        <v>0</v>
      </c>
      <c r="C278" s="31">
        <f>'2 - PREENCHA AQUI'!K282</f>
        <v>0</v>
      </c>
      <c r="D278" s="26">
        <f>'2 - PREENCHA AQUI'!L282</f>
        <v>0</v>
      </c>
      <c r="E278" s="26">
        <f>'2 - PREENCHA AQUI'!M282</f>
        <v>0</v>
      </c>
    </row>
    <row r="279" spans="1:5" x14ac:dyDescent="0.25">
      <c r="A279" s="26">
        <f>IF('2 - PREENCHA AQUI'!E283=FALSE(),0,'2 - PREENCHA AQUI'!E283)</f>
        <v>0</v>
      </c>
      <c r="B279" s="31">
        <f>'2 - PREENCHA AQUI'!J283</f>
        <v>0</v>
      </c>
      <c r="C279" s="31">
        <f>'2 - PREENCHA AQUI'!K283</f>
        <v>0</v>
      </c>
      <c r="D279" s="26">
        <f>'2 - PREENCHA AQUI'!L283</f>
        <v>0</v>
      </c>
      <c r="E279" s="26">
        <f>'2 - PREENCHA AQUI'!M283</f>
        <v>0</v>
      </c>
    </row>
    <row r="280" spans="1:5" x14ac:dyDescent="0.25">
      <c r="A280" s="26">
        <f>IF('2 - PREENCHA AQUI'!E284=FALSE(),0,'2 - PREENCHA AQUI'!E284)</f>
        <v>0</v>
      </c>
      <c r="B280" s="31">
        <f>'2 - PREENCHA AQUI'!J284</f>
        <v>0</v>
      </c>
      <c r="C280" s="31">
        <f>'2 - PREENCHA AQUI'!K284</f>
        <v>0</v>
      </c>
      <c r="D280" s="26">
        <f>'2 - PREENCHA AQUI'!L284</f>
        <v>0</v>
      </c>
      <c r="E280" s="26">
        <f>'2 - PREENCHA AQUI'!M284</f>
        <v>0</v>
      </c>
    </row>
    <row r="281" spans="1:5" x14ac:dyDescent="0.25">
      <c r="A281" s="26">
        <f>IF('2 - PREENCHA AQUI'!E285=FALSE(),0,'2 - PREENCHA AQUI'!E285)</f>
        <v>0</v>
      </c>
      <c r="B281" s="31">
        <f>'2 - PREENCHA AQUI'!J285</f>
        <v>0</v>
      </c>
      <c r="C281" s="31">
        <f>'2 - PREENCHA AQUI'!K285</f>
        <v>0</v>
      </c>
      <c r="D281" s="26">
        <f>'2 - PREENCHA AQUI'!L285</f>
        <v>0</v>
      </c>
      <c r="E281" s="26">
        <f>'2 - PREENCHA AQUI'!M285</f>
        <v>0</v>
      </c>
    </row>
    <row r="282" spans="1:5" x14ac:dyDescent="0.25">
      <c r="A282" s="26">
        <f>IF('2 - PREENCHA AQUI'!E286=FALSE(),0,'2 - PREENCHA AQUI'!E286)</f>
        <v>0</v>
      </c>
      <c r="B282" s="31">
        <f>'2 - PREENCHA AQUI'!J286</f>
        <v>0</v>
      </c>
      <c r="C282" s="31">
        <f>'2 - PREENCHA AQUI'!K286</f>
        <v>0</v>
      </c>
      <c r="D282" s="26">
        <f>'2 - PREENCHA AQUI'!L286</f>
        <v>0</v>
      </c>
      <c r="E282" s="26">
        <f>'2 - PREENCHA AQUI'!M286</f>
        <v>0</v>
      </c>
    </row>
    <row r="283" spans="1:5" x14ac:dyDescent="0.25">
      <c r="A283" s="26">
        <f>IF('2 - PREENCHA AQUI'!E287=FALSE(),0,'2 - PREENCHA AQUI'!E287)</f>
        <v>0</v>
      </c>
      <c r="B283" s="31">
        <f>'2 - PREENCHA AQUI'!J287</f>
        <v>0</v>
      </c>
      <c r="C283" s="31">
        <f>'2 - PREENCHA AQUI'!K287</f>
        <v>0</v>
      </c>
      <c r="D283" s="26">
        <f>'2 - PREENCHA AQUI'!L287</f>
        <v>0</v>
      </c>
      <c r="E283" s="26">
        <f>'2 - PREENCHA AQUI'!M287</f>
        <v>0</v>
      </c>
    </row>
    <row r="284" spans="1:5" x14ac:dyDescent="0.25">
      <c r="A284" s="26">
        <f>IF('2 - PREENCHA AQUI'!E288=FALSE(),0,'2 - PREENCHA AQUI'!E288)</f>
        <v>0</v>
      </c>
      <c r="B284" s="31">
        <f>'2 - PREENCHA AQUI'!J288</f>
        <v>0</v>
      </c>
      <c r="C284" s="31">
        <f>'2 - PREENCHA AQUI'!K288</f>
        <v>0</v>
      </c>
      <c r="D284" s="26">
        <f>'2 - PREENCHA AQUI'!L288</f>
        <v>0</v>
      </c>
      <c r="E284" s="26">
        <f>'2 - PREENCHA AQUI'!M288</f>
        <v>0</v>
      </c>
    </row>
    <row r="285" spans="1:5" x14ac:dyDescent="0.25">
      <c r="A285" s="26">
        <f>IF('2 - PREENCHA AQUI'!E289=FALSE(),0,'2 - PREENCHA AQUI'!E289)</f>
        <v>0</v>
      </c>
      <c r="B285" s="31">
        <f>'2 - PREENCHA AQUI'!J289</f>
        <v>0</v>
      </c>
      <c r="C285" s="31">
        <f>'2 - PREENCHA AQUI'!K289</f>
        <v>0</v>
      </c>
      <c r="D285" s="26">
        <f>'2 - PREENCHA AQUI'!L289</f>
        <v>0</v>
      </c>
      <c r="E285" s="26">
        <f>'2 - PREENCHA AQUI'!M289</f>
        <v>0</v>
      </c>
    </row>
    <row r="286" spans="1:5" x14ac:dyDescent="0.25">
      <c r="A286" s="26">
        <f>IF('2 - PREENCHA AQUI'!E290=FALSE(),0,'2 - PREENCHA AQUI'!E290)</f>
        <v>0</v>
      </c>
      <c r="B286" s="31">
        <f>'2 - PREENCHA AQUI'!J290</f>
        <v>0</v>
      </c>
      <c r="C286" s="31">
        <f>'2 - PREENCHA AQUI'!K290</f>
        <v>0</v>
      </c>
      <c r="D286" s="26">
        <f>'2 - PREENCHA AQUI'!L290</f>
        <v>0</v>
      </c>
      <c r="E286" s="26">
        <f>'2 - PREENCHA AQUI'!M290</f>
        <v>0</v>
      </c>
    </row>
    <row r="287" spans="1:5" x14ac:dyDescent="0.25">
      <c r="A287" s="26">
        <f>IF('2 - PREENCHA AQUI'!E291=FALSE(),0,'2 - PREENCHA AQUI'!E291)</f>
        <v>0</v>
      </c>
      <c r="B287" s="31">
        <f>'2 - PREENCHA AQUI'!J291</f>
        <v>0</v>
      </c>
      <c r="C287" s="31">
        <f>'2 - PREENCHA AQUI'!K291</f>
        <v>0</v>
      </c>
      <c r="D287" s="26">
        <f>'2 - PREENCHA AQUI'!L291</f>
        <v>0</v>
      </c>
      <c r="E287" s="26">
        <f>'2 - PREENCHA AQUI'!M291</f>
        <v>0</v>
      </c>
    </row>
    <row r="288" spans="1:5" x14ac:dyDescent="0.25">
      <c r="A288" s="26">
        <f>IF('2 - PREENCHA AQUI'!E292=FALSE(),0,'2 - PREENCHA AQUI'!E292)</f>
        <v>0</v>
      </c>
      <c r="B288" s="31">
        <f>'2 - PREENCHA AQUI'!J292</f>
        <v>0</v>
      </c>
      <c r="C288" s="31">
        <f>'2 - PREENCHA AQUI'!K292</f>
        <v>0</v>
      </c>
      <c r="D288" s="26">
        <f>'2 - PREENCHA AQUI'!L292</f>
        <v>0</v>
      </c>
      <c r="E288" s="26">
        <f>'2 - PREENCHA AQUI'!M292</f>
        <v>0</v>
      </c>
    </row>
    <row r="289" spans="1:5" x14ac:dyDescent="0.25">
      <c r="A289" s="26">
        <f>IF('2 - PREENCHA AQUI'!E293=FALSE(),0,'2 - PREENCHA AQUI'!E293)</f>
        <v>0</v>
      </c>
      <c r="B289" s="31">
        <f>'2 - PREENCHA AQUI'!J293</f>
        <v>0</v>
      </c>
      <c r="C289" s="31">
        <f>'2 - PREENCHA AQUI'!K293</f>
        <v>0</v>
      </c>
      <c r="D289" s="26">
        <f>'2 - PREENCHA AQUI'!L293</f>
        <v>0</v>
      </c>
      <c r="E289" s="26">
        <f>'2 - PREENCHA AQUI'!M293</f>
        <v>0</v>
      </c>
    </row>
    <row r="290" spans="1:5" x14ac:dyDescent="0.25">
      <c r="A290" s="26">
        <f>IF('2 - PREENCHA AQUI'!E294=FALSE(),0,'2 - PREENCHA AQUI'!E294)</f>
        <v>0</v>
      </c>
      <c r="B290" s="31">
        <f>'2 - PREENCHA AQUI'!J294</f>
        <v>0</v>
      </c>
      <c r="C290" s="31">
        <f>'2 - PREENCHA AQUI'!K294</f>
        <v>0</v>
      </c>
      <c r="D290" s="26">
        <f>'2 - PREENCHA AQUI'!L294</f>
        <v>0</v>
      </c>
      <c r="E290" s="26">
        <f>'2 - PREENCHA AQUI'!M294</f>
        <v>0</v>
      </c>
    </row>
    <row r="291" spans="1:5" x14ac:dyDescent="0.25">
      <c r="A291" s="26">
        <f>IF('2 - PREENCHA AQUI'!E295=FALSE(),0,'2 - PREENCHA AQUI'!E295)</f>
        <v>0</v>
      </c>
      <c r="B291" s="31">
        <f>'2 - PREENCHA AQUI'!J295</f>
        <v>0</v>
      </c>
      <c r="C291" s="31">
        <f>'2 - PREENCHA AQUI'!K295</f>
        <v>0</v>
      </c>
      <c r="D291" s="26">
        <f>'2 - PREENCHA AQUI'!L295</f>
        <v>0</v>
      </c>
      <c r="E291" s="26">
        <f>'2 - PREENCHA AQUI'!M295</f>
        <v>0</v>
      </c>
    </row>
    <row r="292" spans="1:5" x14ac:dyDescent="0.25">
      <c r="A292" s="26">
        <f>IF('2 - PREENCHA AQUI'!E296=FALSE(),0,'2 - PREENCHA AQUI'!E296)</f>
        <v>0</v>
      </c>
      <c r="B292" s="31">
        <f>'2 - PREENCHA AQUI'!J296</f>
        <v>0</v>
      </c>
      <c r="C292" s="31">
        <f>'2 - PREENCHA AQUI'!K296</f>
        <v>0</v>
      </c>
      <c r="D292" s="26">
        <f>'2 - PREENCHA AQUI'!L296</f>
        <v>0</v>
      </c>
      <c r="E292" s="26">
        <f>'2 - PREENCHA AQUI'!M296</f>
        <v>0</v>
      </c>
    </row>
    <row r="293" spans="1:5" x14ac:dyDescent="0.25">
      <c r="A293" s="26">
        <f>IF('2 - PREENCHA AQUI'!E297=FALSE(),0,'2 - PREENCHA AQUI'!E297)</f>
        <v>0</v>
      </c>
      <c r="B293" s="31">
        <f>'2 - PREENCHA AQUI'!J297</f>
        <v>0</v>
      </c>
      <c r="C293" s="31">
        <f>'2 - PREENCHA AQUI'!K297</f>
        <v>0</v>
      </c>
      <c r="D293" s="26">
        <f>'2 - PREENCHA AQUI'!L297</f>
        <v>0</v>
      </c>
      <c r="E293" s="26">
        <f>'2 - PREENCHA AQUI'!M297</f>
        <v>0</v>
      </c>
    </row>
    <row r="294" spans="1:5" x14ac:dyDescent="0.25">
      <c r="A294" s="26">
        <f>IF('2 - PREENCHA AQUI'!E298=FALSE(),0,'2 - PREENCHA AQUI'!E298)</f>
        <v>0</v>
      </c>
      <c r="B294" s="31">
        <f>'2 - PREENCHA AQUI'!J298</f>
        <v>0</v>
      </c>
      <c r="C294" s="31">
        <f>'2 - PREENCHA AQUI'!K298</f>
        <v>0</v>
      </c>
      <c r="D294" s="26">
        <f>'2 - PREENCHA AQUI'!L298</f>
        <v>0</v>
      </c>
      <c r="E294" s="26">
        <f>'2 - PREENCHA AQUI'!M298</f>
        <v>0</v>
      </c>
    </row>
    <row r="295" spans="1:5" x14ac:dyDescent="0.25">
      <c r="A295" s="26">
        <f>IF('2 - PREENCHA AQUI'!E299=FALSE(),0,'2 - PREENCHA AQUI'!E299)</f>
        <v>0</v>
      </c>
      <c r="B295" s="31">
        <f>'2 - PREENCHA AQUI'!J299</f>
        <v>0</v>
      </c>
      <c r="C295" s="31">
        <f>'2 - PREENCHA AQUI'!K299</f>
        <v>0</v>
      </c>
      <c r="D295" s="26">
        <f>'2 - PREENCHA AQUI'!L299</f>
        <v>0</v>
      </c>
      <c r="E295" s="26">
        <f>'2 - PREENCHA AQUI'!M299</f>
        <v>0</v>
      </c>
    </row>
    <row r="296" spans="1:5" x14ac:dyDescent="0.25">
      <c r="A296" s="26">
        <f>IF('2 - PREENCHA AQUI'!E300=FALSE(),0,'2 - PREENCHA AQUI'!E300)</f>
        <v>0</v>
      </c>
      <c r="B296" s="31">
        <f>'2 - PREENCHA AQUI'!J300</f>
        <v>0</v>
      </c>
      <c r="C296" s="31">
        <f>'2 - PREENCHA AQUI'!K300</f>
        <v>0</v>
      </c>
      <c r="D296" s="26">
        <f>'2 - PREENCHA AQUI'!L300</f>
        <v>0</v>
      </c>
      <c r="E296" s="26">
        <f>'2 - PREENCHA AQUI'!M300</f>
        <v>0</v>
      </c>
    </row>
    <row r="297" spans="1:5" x14ac:dyDescent="0.25">
      <c r="A297" s="26">
        <f>IF('2 - PREENCHA AQUI'!E301=FALSE(),0,'2 - PREENCHA AQUI'!E301)</f>
        <v>0</v>
      </c>
      <c r="B297" s="31">
        <f>'2 - PREENCHA AQUI'!J301</f>
        <v>0</v>
      </c>
      <c r="C297" s="31">
        <f>'2 - PREENCHA AQUI'!K301</f>
        <v>0</v>
      </c>
      <c r="D297" s="26">
        <f>'2 - PREENCHA AQUI'!L301</f>
        <v>0</v>
      </c>
      <c r="E297" s="26">
        <f>'2 - PREENCHA AQUI'!M301</f>
        <v>0</v>
      </c>
    </row>
    <row r="298" spans="1:5" x14ac:dyDescent="0.25">
      <c r="A298" s="26">
        <f>IF('2 - PREENCHA AQUI'!E302=FALSE(),0,'2 - PREENCHA AQUI'!E302)</f>
        <v>0</v>
      </c>
      <c r="B298" s="31">
        <f>'2 - PREENCHA AQUI'!J302</f>
        <v>0</v>
      </c>
      <c r="C298" s="31">
        <f>'2 - PREENCHA AQUI'!K302</f>
        <v>0</v>
      </c>
      <c r="D298" s="26">
        <f>'2 - PREENCHA AQUI'!L302</f>
        <v>0</v>
      </c>
      <c r="E298" s="26">
        <f>'2 - PREENCHA AQUI'!M302</f>
        <v>0</v>
      </c>
    </row>
    <row r="299" spans="1:5" x14ac:dyDescent="0.25">
      <c r="A299" s="26">
        <f>IF('2 - PREENCHA AQUI'!E303=FALSE(),0,'2 - PREENCHA AQUI'!E303)</f>
        <v>0</v>
      </c>
      <c r="B299" s="31">
        <f>'2 - PREENCHA AQUI'!J303</f>
        <v>0</v>
      </c>
      <c r="C299" s="31">
        <f>'2 - PREENCHA AQUI'!K303</f>
        <v>0</v>
      </c>
      <c r="D299" s="26">
        <f>'2 - PREENCHA AQUI'!L303</f>
        <v>0</v>
      </c>
      <c r="E299" s="26">
        <f>'2 - PREENCHA AQUI'!M303</f>
        <v>0</v>
      </c>
    </row>
    <row r="300" spans="1:5" x14ac:dyDescent="0.25">
      <c r="A300" s="26">
        <f>IF('2 - PREENCHA AQUI'!E304=FALSE(),0,'2 - PREENCHA AQUI'!E304)</f>
        <v>0</v>
      </c>
      <c r="B300" s="31">
        <f>'2 - PREENCHA AQUI'!J304</f>
        <v>0</v>
      </c>
      <c r="C300" s="31">
        <f>'2 - PREENCHA AQUI'!K304</f>
        <v>0</v>
      </c>
      <c r="D300" s="26">
        <f>'2 - PREENCHA AQUI'!L304</f>
        <v>0</v>
      </c>
      <c r="E300" s="26">
        <f>'2 - PREENCHA AQUI'!M304</f>
        <v>0</v>
      </c>
    </row>
    <row r="301" spans="1:5" x14ac:dyDescent="0.25">
      <c r="A301" s="26">
        <f>IF('2 - PREENCHA AQUI'!E305=FALSE(),0,'2 - PREENCHA AQUI'!E305)</f>
        <v>0</v>
      </c>
      <c r="B301" s="31">
        <f>'2 - PREENCHA AQUI'!J305</f>
        <v>0</v>
      </c>
      <c r="C301" s="31">
        <f>'2 - PREENCHA AQUI'!K305</f>
        <v>0</v>
      </c>
      <c r="D301" s="26">
        <f>'2 - PREENCHA AQUI'!L305</f>
        <v>0</v>
      </c>
      <c r="E301" s="26">
        <f>'2 - PREENCHA AQUI'!M305</f>
        <v>0</v>
      </c>
    </row>
    <row r="302" spans="1:5" x14ac:dyDescent="0.25">
      <c r="A302" s="26">
        <f>IF('2 - PREENCHA AQUI'!E306=FALSE(),0,'2 - PREENCHA AQUI'!E306)</f>
        <v>0</v>
      </c>
      <c r="B302" s="31">
        <f>'2 - PREENCHA AQUI'!J306</f>
        <v>0</v>
      </c>
      <c r="C302" s="31">
        <f>'2 - PREENCHA AQUI'!K306</f>
        <v>0</v>
      </c>
      <c r="D302" s="26">
        <f>'2 - PREENCHA AQUI'!L306</f>
        <v>0</v>
      </c>
      <c r="E302" s="26">
        <f>'2 - PREENCHA AQUI'!M306</f>
        <v>0</v>
      </c>
    </row>
    <row r="303" spans="1:5" x14ac:dyDescent="0.25">
      <c r="A303" s="26">
        <f>IF('2 - PREENCHA AQUI'!E307=FALSE(),0,'2 - PREENCHA AQUI'!E307)</f>
        <v>0</v>
      </c>
      <c r="B303" s="31">
        <f>'2 - PREENCHA AQUI'!J307</f>
        <v>0</v>
      </c>
      <c r="C303" s="31">
        <f>'2 - PREENCHA AQUI'!K307</f>
        <v>0</v>
      </c>
      <c r="D303" s="26">
        <f>'2 - PREENCHA AQUI'!L307</f>
        <v>0</v>
      </c>
      <c r="E303" s="26">
        <f>'2 - PREENCHA AQUI'!M307</f>
        <v>0</v>
      </c>
    </row>
    <row r="304" spans="1:5" x14ac:dyDescent="0.25">
      <c r="A304" s="26">
        <f>IF('2 - PREENCHA AQUI'!E308=FALSE(),0,'2 - PREENCHA AQUI'!E308)</f>
        <v>0</v>
      </c>
      <c r="B304" s="31">
        <f>'2 - PREENCHA AQUI'!J308</f>
        <v>0</v>
      </c>
      <c r="C304" s="31">
        <f>'2 - PREENCHA AQUI'!K308</f>
        <v>0</v>
      </c>
      <c r="D304" s="26">
        <f>'2 - PREENCHA AQUI'!L308</f>
        <v>0</v>
      </c>
      <c r="E304" s="26">
        <f>'2 - PREENCHA AQUI'!M308</f>
        <v>0</v>
      </c>
    </row>
    <row r="305" spans="1:5" x14ac:dyDescent="0.25">
      <c r="A305" s="26">
        <f>IF('2 - PREENCHA AQUI'!E309=FALSE(),0,'2 - PREENCHA AQUI'!E309)</f>
        <v>0</v>
      </c>
      <c r="B305" s="31">
        <f>'2 - PREENCHA AQUI'!J309</f>
        <v>0</v>
      </c>
      <c r="C305" s="31">
        <f>'2 - PREENCHA AQUI'!K309</f>
        <v>0</v>
      </c>
      <c r="D305" s="26">
        <f>'2 - PREENCHA AQUI'!L309</f>
        <v>0</v>
      </c>
      <c r="E305" s="26">
        <f>'2 - PREENCHA AQUI'!M309</f>
        <v>0</v>
      </c>
    </row>
    <row r="306" spans="1:5" x14ac:dyDescent="0.25">
      <c r="A306" s="26">
        <f>IF('2 - PREENCHA AQUI'!E310=FALSE(),0,'2 - PREENCHA AQUI'!E310)</f>
        <v>0</v>
      </c>
      <c r="B306" s="31">
        <f>'2 - PREENCHA AQUI'!J310</f>
        <v>0</v>
      </c>
      <c r="C306" s="31">
        <f>'2 - PREENCHA AQUI'!K310</f>
        <v>0</v>
      </c>
      <c r="D306" s="26">
        <f>'2 - PREENCHA AQUI'!L310</f>
        <v>0</v>
      </c>
      <c r="E306" s="26">
        <f>'2 - PREENCHA AQUI'!M310</f>
        <v>0</v>
      </c>
    </row>
    <row r="307" spans="1:5" x14ac:dyDescent="0.25">
      <c r="A307" s="26">
        <f>IF('2 - PREENCHA AQUI'!E311=FALSE(),0,'2 - PREENCHA AQUI'!E311)</f>
        <v>0</v>
      </c>
      <c r="B307" s="31">
        <f>'2 - PREENCHA AQUI'!J311</f>
        <v>0</v>
      </c>
      <c r="C307" s="31">
        <f>'2 - PREENCHA AQUI'!K311</f>
        <v>0</v>
      </c>
      <c r="D307" s="26">
        <f>'2 - PREENCHA AQUI'!L311</f>
        <v>0</v>
      </c>
      <c r="E307" s="26">
        <f>'2 - PREENCHA AQUI'!M311</f>
        <v>0</v>
      </c>
    </row>
    <row r="308" spans="1:5" x14ac:dyDescent="0.25">
      <c r="A308" s="26">
        <f>IF('2 - PREENCHA AQUI'!E312=FALSE(),0,'2 - PREENCHA AQUI'!E312)</f>
        <v>0</v>
      </c>
      <c r="B308" s="31">
        <f>'2 - PREENCHA AQUI'!J312</f>
        <v>0</v>
      </c>
      <c r="C308" s="31">
        <f>'2 - PREENCHA AQUI'!K312</f>
        <v>0</v>
      </c>
      <c r="D308" s="26">
        <f>'2 - PREENCHA AQUI'!L312</f>
        <v>0</v>
      </c>
      <c r="E308" s="26">
        <f>'2 - PREENCHA AQUI'!M312</f>
        <v>0</v>
      </c>
    </row>
    <row r="309" spans="1:5" x14ac:dyDescent="0.25">
      <c r="A309" s="26">
        <f>IF('2 - PREENCHA AQUI'!E313=FALSE(),0,'2 - PREENCHA AQUI'!E313)</f>
        <v>0</v>
      </c>
      <c r="B309" s="31">
        <f>'2 - PREENCHA AQUI'!J313</f>
        <v>0</v>
      </c>
      <c r="C309" s="31">
        <f>'2 - PREENCHA AQUI'!K313</f>
        <v>0</v>
      </c>
      <c r="D309" s="26">
        <f>'2 - PREENCHA AQUI'!L313</f>
        <v>0</v>
      </c>
      <c r="E309" s="26">
        <f>'2 - PREENCHA AQUI'!M313</f>
        <v>0</v>
      </c>
    </row>
    <row r="310" spans="1:5" x14ac:dyDescent="0.25">
      <c r="A310" s="26">
        <f>IF('2 - PREENCHA AQUI'!E314=FALSE(),0,'2 - PREENCHA AQUI'!E314)</f>
        <v>0</v>
      </c>
      <c r="B310" s="31">
        <f>'2 - PREENCHA AQUI'!J314</f>
        <v>0</v>
      </c>
      <c r="C310" s="31">
        <f>'2 - PREENCHA AQUI'!K314</f>
        <v>0</v>
      </c>
      <c r="D310" s="26">
        <f>'2 - PREENCHA AQUI'!L314</f>
        <v>0</v>
      </c>
      <c r="E310" s="26">
        <f>'2 - PREENCHA AQUI'!M314</f>
        <v>0</v>
      </c>
    </row>
    <row r="311" spans="1:5" x14ac:dyDescent="0.25">
      <c r="A311" s="26">
        <f>IF('2 - PREENCHA AQUI'!E315=FALSE(),0,'2 - PREENCHA AQUI'!E315)</f>
        <v>0</v>
      </c>
      <c r="B311" s="31">
        <f>'2 - PREENCHA AQUI'!J315</f>
        <v>0</v>
      </c>
      <c r="C311" s="31">
        <f>'2 - PREENCHA AQUI'!K315</f>
        <v>0</v>
      </c>
      <c r="D311" s="26">
        <f>'2 - PREENCHA AQUI'!L315</f>
        <v>0</v>
      </c>
      <c r="E311" s="26">
        <f>'2 - PREENCHA AQUI'!M315</f>
        <v>0</v>
      </c>
    </row>
    <row r="312" spans="1:5" x14ac:dyDescent="0.25">
      <c r="A312" s="26">
        <f>IF('2 - PREENCHA AQUI'!E316=FALSE(),0,'2 - PREENCHA AQUI'!E316)</f>
        <v>0</v>
      </c>
      <c r="B312" s="31">
        <f>'2 - PREENCHA AQUI'!J316</f>
        <v>0</v>
      </c>
      <c r="C312" s="31">
        <f>'2 - PREENCHA AQUI'!K316</f>
        <v>0</v>
      </c>
      <c r="D312" s="26">
        <f>'2 - PREENCHA AQUI'!L316</f>
        <v>0</v>
      </c>
      <c r="E312" s="26">
        <f>'2 - PREENCHA AQUI'!M316</f>
        <v>0</v>
      </c>
    </row>
    <row r="313" spans="1:5" x14ac:dyDescent="0.25">
      <c r="A313" s="26">
        <f>IF('2 - PREENCHA AQUI'!E317=FALSE(),0,'2 - PREENCHA AQUI'!E317)</f>
        <v>0</v>
      </c>
      <c r="B313" s="31">
        <f>'2 - PREENCHA AQUI'!J317</f>
        <v>0</v>
      </c>
      <c r="C313" s="31">
        <f>'2 - PREENCHA AQUI'!K317</f>
        <v>0</v>
      </c>
      <c r="D313" s="26">
        <f>'2 - PREENCHA AQUI'!L317</f>
        <v>0</v>
      </c>
      <c r="E313" s="26">
        <f>'2 - PREENCHA AQUI'!M317</f>
        <v>0</v>
      </c>
    </row>
    <row r="314" spans="1:5" x14ac:dyDescent="0.25">
      <c r="A314" s="26">
        <f>IF('2 - PREENCHA AQUI'!E318=FALSE(),0,'2 - PREENCHA AQUI'!E318)</f>
        <v>0</v>
      </c>
      <c r="B314" s="31">
        <f>'2 - PREENCHA AQUI'!J318</f>
        <v>0</v>
      </c>
      <c r="C314" s="31">
        <f>'2 - PREENCHA AQUI'!K318</f>
        <v>0</v>
      </c>
      <c r="D314" s="26">
        <f>'2 - PREENCHA AQUI'!L318</f>
        <v>0</v>
      </c>
      <c r="E314" s="26">
        <f>'2 - PREENCHA AQUI'!M318</f>
        <v>0</v>
      </c>
    </row>
    <row r="315" spans="1:5" x14ac:dyDescent="0.25">
      <c r="A315" s="26">
        <f>IF('2 - PREENCHA AQUI'!E319=FALSE(),0,'2 - PREENCHA AQUI'!E319)</f>
        <v>0</v>
      </c>
      <c r="B315" s="31">
        <f>'2 - PREENCHA AQUI'!J319</f>
        <v>0</v>
      </c>
      <c r="C315" s="31">
        <f>'2 - PREENCHA AQUI'!K319</f>
        <v>0</v>
      </c>
      <c r="D315" s="26">
        <f>'2 - PREENCHA AQUI'!L319</f>
        <v>0</v>
      </c>
      <c r="E315" s="26">
        <f>'2 - PREENCHA AQUI'!M319</f>
        <v>0</v>
      </c>
    </row>
    <row r="316" spans="1:5" x14ac:dyDescent="0.25">
      <c r="A316" s="26">
        <f>IF('2 - PREENCHA AQUI'!E320=FALSE(),0,'2 - PREENCHA AQUI'!E320)</f>
        <v>0</v>
      </c>
      <c r="B316" s="31">
        <f>'2 - PREENCHA AQUI'!J320</f>
        <v>0</v>
      </c>
      <c r="C316" s="31">
        <f>'2 - PREENCHA AQUI'!K320</f>
        <v>0</v>
      </c>
      <c r="D316" s="26">
        <f>'2 - PREENCHA AQUI'!L320</f>
        <v>0</v>
      </c>
      <c r="E316" s="26">
        <f>'2 - PREENCHA AQUI'!M320</f>
        <v>0</v>
      </c>
    </row>
    <row r="317" spans="1:5" x14ac:dyDescent="0.25">
      <c r="A317" s="26">
        <f>IF('2 - PREENCHA AQUI'!E321=FALSE(),0,'2 - PREENCHA AQUI'!E321)</f>
        <v>0</v>
      </c>
      <c r="B317" s="31">
        <f>'2 - PREENCHA AQUI'!J321</f>
        <v>0</v>
      </c>
      <c r="C317" s="31">
        <f>'2 - PREENCHA AQUI'!K321</f>
        <v>0</v>
      </c>
      <c r="D317" s="26">
        <f>'2 - PREENCHA AQUI'!L321</f>
        <v>0</v>
      </c>
      <c r="E317" s="26">
        <f>'2 - PREENCHA AQUI'!M321</f>
        <v>0</v>
      </c>
    </row>
    <row r="318" spans="1:5" x14ac:dyDescent="0.25">
      <c r="A318" s="26">
        <f>IF('2 - PREENCHA AQUI'!E322=FALSE(),0,'2 - PREENCHA AQUI'!E322)</f>
        <v>0</v>
      </c>
      <c r="B318" s="31">
        <f>'2 - PREENCHA AQUI'!J322</f>
        <v>0</v>
      </c>
      <c r="C318" s="31">
        <f>'2 - PREENCHA AQUI'!K322</f>
        <v>0</v>
      </c>
      <c r="D318" s="26">
        <f>'2 - PREENCHA AQUI'!L322</f>
        <v>0</v>
      </c>
      <c r="E318" s="26">
        <f>'2 - PREENCHA AQUI'!M322</f>
        <v>0</v>
      </c>
    </row>
    <row r="319" spans="1:5" x14ac:dyDescent="0.25">
      <c r="A319" s="26">
        <f>IF('2 - PREENCHA AQUI'!E323=FALSE(),0,'2 - PREENCHA AQUI'!E323)</f>
        <v>0</v>
      </c>
      <c r="B319" s="31">
        <f>'2 - PREENCHA AQUI'!J323</f>
        <v>0</v>
      </c>
      <c r="C319" s="31">
        <f>'2 - PREENCHA AQUI'!K323</f>
        <v>0</v>
      </c>
      <c r="D319" s="26">
        <f>'2 - PREENCHA AQUI'!L323</f>
        <v>0</v>
      </c>
      <c r="E319" s="26">
        <f>'2 - PREENCHA AQUI'!M323</f>
        <v>0</v>
      </c>
    </row>
    <row r="320" spans="1:5" x14ac:dyDescent="0.25">
      <c r="A320" s="26">
        <f>IF('2 - PREENCHA AQUI'!E324=FALSE(),0,'2 - PREENCHA AQUI'!E324)</f>
        <v>0</v>
      </c>
      <c r="B320" s="31">
        <f>'2 - PREENCHA AQUI'!J324</f>
        <v>0</v>
      </c>
      <c r="C320" s="31">
        <f>'2 - PREENCHA AQUI'!K324</f>
        <v>0</v>
      </c>
      <c r="D320" s="26">
        <f>'2 - PREENCHA AQUI'!L324</f>
        <v>0</v>
      </c>
      <c r="E320" s="26">
        <f>'2 - PREENCHA AQUI'!M324</f>
        <v>0</v>
      </c>
    </row>
    <row r="321" spans="1:5" x14ac:dyDescent="0.25">
      <c r="A321" s="26">
        <f>IF('2 - PREENCHA AQUI'!E325=FALSE(),0,'2 - PREENCHA AQUI'!E325)</f>
        <v>0</v>
      </c>
      <c r="B321" s="31">
        <f>'2 - PREENCHA AQUI'!J325</f>
        <v>0</v>
      </c>
      <c r="C321" s="31">
        <f>'2 - PREENCHA AQUI'!K325</f>
        <v>0</v>
      </c>
      <c r="D321" s="26">
        <f>'2 - PREENCHA AQUI'!L325</f>
        <v>0</v>
      </c>
      <c r="E321" s="26">
        <f>'2 - PREENCHA AQUI'!M325</f>
        <v>0</v>
      </c>
    </row>
    <row r="322" spans="1:5" x14ac:dyDescent="0.25">
      <c r="A322" s="26">
        <f>IF('2 - PREENCHA AQUI'!E326=FALSE(),0,'2 - PREENCHA AQUI'!E326)</f>
        <v>0</v>
      </c>
      <c r="B322" s="31">
        <f>'2 - PREENCHA AQUI'!J326</f>
        <v>0</v>
      </c>
      <c r="C322" s="31">
        <f>'2 - PREENCHA AQUI'!K326</f>
        <v>0</v>
      </c>
      <c r="D322" s="26">
        <f>'2 - PREENCHA AQUI'!L326</f>
        <v>0</v>
      </c>
      <c r="E322" s="26">
        <f>'2 - PREENCHA AQUI'!M326</f>
        <v>0</v>
      </c>
    </row>
    <row r="323" spans="1:5" x14ac:dyDescent="0.25">
      <c r="A323" s="26">
        <f>IF('2 - PREENCHA AQUI'!E327=FALSE(),0,'2 - PREENCHA AQUI'!E327)</f>
        <v>0</v>
      </c>
      <c r="B323" s="31">
        <f>'2 - PREENCHA AQUI'!J327</f>
        <v>0</v>
      </c>
      <c r="C323" s="31">
        <f>'2 - PREENCHA AQUI'!K327</f>
        <v>0</v>
      </c>
      <c r="D323" s="26">
        <f>'2 - PREENCHA AQUI'!L327</f>
        <v>0</v>
      </c>
      <c r="E323" s="26">
        <f>'2 - PREENCHA AQUI'!M327</f>
        <v>0</v>
      </c>
    </row>
    <row r="324" spans="1:5" x14ac:dyDescent="0.25">
      <c r="A324" s="26">
        <f>IF('2 - PREENCHA AQUI'!E328=FALSE(),0,'2 - PREENCHA AQUI'!E328)</f>
        <v>0</v>
      </c>
      <c r="B324" s="31">
        <f>'2 - PREENCHA AQUI'!J328</f>
        <v>0</v>
      </c>
      <c r="C324" s="31">
        <f>'2 - PREENCHA AQUI'!K328</f>
        <v>0</v>
      </c>
      <c r="D324" s="26">
        <f>'2 - PREENCHA AQUI'!L328</f>
        <v>0</v>
      </c>
      <c r="E324" s="26">
        <f>'2 - PREENCHA AQUI'!M328</f>
        <v>0</v>
      </c>
    </row>
    <row r="325" spans="1:5" x14ac:dyDescent="0.25">
      <c r="A325" s="26">
        <f>IF('2 - PREENCHA AQUI'!E329=FALSE(),0,'2 - PREENCHA AQUI'!E329)</f>
        <v>0</v>
      </c>
      <c r="B325" s="31">
        <f>'2 - PREENCHA AQUI'!J329</f>
        <v>0</v>
      </c>
      <c r="C325" s="31">
        <f>'2 - PREENCHA AQUI'!K329</f>
        <v>0</v>
      </c>
      <c r="D325" s="26">
        <f>'2 - PREENCHA AQUI'!L329</f>
        <v>0</v>
      </c>
      <c r="E325" s="26">
        <f>'2 - PREENCHA AQUI'!M329</f>
        <v>0</v>
      </c>
    </row>
    <row r="326" spans="1:5" x14ac:dyDescent="0.25">
      <c r="A326" s="26">
        <f>IF('2 - PREENCHA AQUI'!E330=FALSE(),0,'2 - PREENCHA AQUI'!E330)</f>
        <v>0</v>
      </c>
      <c r="B326" s="31">
        <f>'2 - PREENCHA AQUI'!J330</f>
        <v>0</v>
      </c>
      <c r="C326" s="31">
        <f>'2 - PREENCHA AQUI'!K330</f>
        <v>0</v>
      </c>
      <c r="D326" s="26">
        <f>'2 - PREENCHA AQUI'!L330</f>
        <v>0</v>
      </c>
      <c r="E326" s="26">
        <f>'2 - PREENCHA AQUI'!M330</f>
        <v>0</v>
      </c>
    </row>
    <row r="327" spans="1:5" x14ac:dyDescent="0.25">
      <c r="A327" s="26">
        <f>IF('2 - PREENCHA AQUI'!E331=FALSE(),0,'2 - PREENCHA AQUI'!E331)</f>
        <v>0</v>
      </c>
      <c r="B327" s="31">
        <f>'2 - PREENCHA AQUI'!J331</f>
        <v>0</v>
      </c>
      <c r="C327" s="31">
        <f>'2 - PREENCHA AQUI'!K331</f>
        <v>0</v>
      </c>
      <c r="D327" s="26">
        <f>'2 - PREENCHA AQUI'!L331</f>
        <v>0</v>
      </c>
      <c r="E327" s="26">
        <f>'2 - PREENCHA AQUI'!M331</f>
        <v>0</v>
      </c>
    </row>
    <row r="328" spans="1:5" x14ac:dyDescent="0.25">
      <c r="A328" s="26">
        <f>IF('2 - PREENCHA AQUI'!E332=FALSE(),0,'2 - PREENCHA AQUI'!E332)</f>
        <v>0</v>
      </c>
      <c r="B328" s="31">
        <f>'2 - PREENCHA AQUI'!J332</f>
        <v>0</v>
      </c>
      <c r="C328" s="31">
        <f>'2 - PREENCHA AQUI'!K332</f>
        <v>0</v>
      </c>
      <c r="D328" s="26">
        <f>'2 - PREENCHA AQUI'!L332</f>
        <v>0</v>
      </c>
      <c r="E328" s="26">
        <f>'2 - PREENCHA AQUI'!M332</f>
        <v>0</v>
      </c>
    </row>
    <row r="329" spans="1:5" x14ac:dyDescent="0.25">
      <c r="A329" s="26">
        <f>IF('2 - PREENCHA AQUI'!E333=FALSE(),0,'2 - PREENCHA AQUI'!E333)</f>
        <v>0</v>
      </c>
      <c r="B329" s="31">
        <f>'2 - PREENCHA AQUI'!J333</f>
        <v>0</v>
      </c>
      <c r="C329" s="31">
        <f>'2 - PREENCHA AQUI'!K333</f>
        <v>0</v>
      </c>
      <c r="D329" s="26">
        <f>'2 - PREENCHA AQUI'!L333</f>
        <v>0</v>
      </c>
      <c r="E329" s="26">
        <f>'2 - PREENCHA AQUI'!M333</f>
        <v>0</v>
      </c>
    </row>
    <row r="330" spans="1:5" x14ac:dyDescent="0.25">
      <c r="A330" s="26">
        <f>IF('2 - PREENCHA AQUI'!E334=FALSE(),0,'2 - PREENCHA AQUI'!E334)</f>
        <v>0</v>
      </c>
      <c r="B330" s="31">
        <f>'2 - PREENCHA AQUI'!J334</f>
        <v>0</v>
      </c>
      <c r="C330" s="31">
        <f>'2 - PREENCHA AQUI'!K334</f>
        <v>0</v>
      </c>
      <c r="D330" s="26">
        <f>'2 - PREENCHA AQUI'!L334</f>
        <v>0</v>
      </c>
      <c r="E330" s="26">
        <f>'2 - PREENCHA AQUI'!M334</f>
        <v>0</v>
      </c>
    </row>
    <row r="331" spans="1:5" x14ac:dyDescent="0.25">
      <c r="A331" s="26">
        <f>IF('2 - PREENCHA AQUI'!E335=FALSE(),0,'2 - PREENCHA AQUI'!E335)</f>
        <v>0</v>
      </c>
      <c r="B331" s="31">
        <f>'2 - PREENCHA AQUI'!J335</f>
        <v>0</v>
      </c>
      <c r="C331" s="31">
        <f>'2 - PREENCHA AQUI'!K335</f>
        <v>0</v>
      </c>
      <c r="D331" s="26">
        <f>'2 - PREENCHA AQUI'!L335</f>
        <v>0</v>
      </c>
      <c r="E331" s="26">
        <f>'2 - PREENCHA AQUI'!M335</f>
        <v>0</v>
      </c>
    </row>
    <row r="332" spans="1:5" x14ac:dyDescent="0.25">
      <c r="A332" s="26">
        <f>IF('2 - PREENCHA AQUI'!E336=FALSE(),0,'2 - PREENCHA AQUI'!E336)</f>
        <v>0</v>
      </c>
      <c r="B332" s="31">
        <f>'2 - PREENCHA AQUI'!J336</f>
        <v>0</v>
      </c>
      <c r="C332" s="31">
        <f>'2 - PREENCHA AQUI'!K336</f>
        <v>0</v>
      </c>
      <c r="D332" s="26">
        <f>'2 - PREENCHA AQUI'!L336</f>
        <v>0</v>
      </c>
      <c r="E332" s="26">
        <f>'2 - PREENCHA AQUI'!M336</f>
        <v>0</v>
      </c>
    </row>
    <row r="333" spans="1:5" x14ac:dyDescent="0.25">
      <c r="A333" s="26">
        <f>IF('2 - PREENCHA AQUI'!E337=FALSE(),0,'2 - PREENCHA AQUI'!E337)</f>
        <v>0</v>
      </c>
      <c r="B333" s="31">
        <f>'2 - PREENCHA AQUI'!J337</f>
        <v>0</v>
      </c>
      <c r="C333" s="31">
        <f>'2 - PREENCHA AQUI'!K337</f>
        <v>0</v>
      </c>
      <c r="D333" s="26">
        <f>'2 - PREENCHA AQUI'!L337</f>
        <v>0</v>
      </c>
      <c r="E333" s="26">
        <f>'2 - PREENCHA AQUI'!M337</f>
        <v>0</v>
      </c>
    </row>
    <row r="334" spans="1:5" x14ac:dyDescent="0.25">
      <c r="A334" s="26">
        <f>IF('2 - PREENCHA AQUI'!E338=FALSE(),0,'2 - PREENCHA AQUI'!E338)</f>
        <v>0</v>
      </c>
      <c r="B334" s="31">
        <f>'2 - PREENCHA AQUI'!J338</f>
        <v>0</v>
      </c>
      <c r="C334" s="31">
        <f>'2 - PREENCHA AQUI'!K338</f>
        <v>0</v>
      </c>
      <c r="D334" s="26">
        <f>'2 - PREENCHA AQUI'!L338</f>
        <v>0</v>
      </c>
      <c r="E334" s="26">
        <f>'2 - PREENCHA AQUI'!M338</f>
        <v>0</v>
      </c>
    </row>
    <row r="335" spans="1:5" x14ac:dyDescent="0.25">
      <c r="A335" s="26">
        <f>IF('2 - PREENCHA AQUI'!E339=FALSE(),0,'2 - PREENCHA AQUI'!E339)</f>
        <v>0</v>
      </c>
      <c r="B335" s="31">
        <f>'2 - PREENCHA AQUI'!J339</f>
        <v>0</v>
      </c>
      <c r="C335" s="31">
        <f>'2 - PREENCHA AQUI'!K339</f>
        <v>0</v>
      </c>
      <c r="D335" s="26">
        <f>'2 - PREENCHA AQUI'!L339</f>
        <v>0</v>
      </c>
      <c r="E335" s="26">
        <f>'2 - PREENCHA AQUI'!M339</f>
        <v>0</v>
      </c>
    </row>
    <row r="336" spans="1:5" x14ac:dyDescent="0.25">
      <c r="A336" s="26">
        <f>IF('2 - PREENCHA AQUI'!E340=FALSE(),0,'2 - PREENCHA AQUI'!E340)</f>
        <v>0</v>
      </c>
      <c r="B336" s="31">
        <f>'2 - PREENCHA AQUI'!J340</f>
        <v>0</v>
      </c>
      <c r="C336" s="31">
        <f>'2 - PREENCHA AQUI'!K340</f>
        <v>0</v>
      </c>
      <c r="D336" s="26">
        <f>'2 - PREENCHA AQUI'!L340</f>
        <v>0</v>
      </c>
      <c r="E336" s="26">
        <f>'2 - PREENCHA AQUI'!M340</f>
        <v>0</v>
      </c>
    </row>
    <row r="337" spans="1:5" x14ac:dyDescent="0.25">
      <c r="A337" s="26">
        <f>IF('2 - PREENCHA AQUI'!E341=FALSE(),0,'2 - PREENCHA AQUI'!E341)</f>
        <v>0</v>
      </c>
      <c r="B337" s="31">
        <f>'2 - PREENCHA AQUI'!J341</f>
        <v>0</v>
      </c>
      <c r="C337" s="31">
        <f>'2 - PREENCHA AQUI'!K341</f>
        <v>0</v>
      </c>
      <c r="D337" s="26">
        <f>'2 - PREENCHA AQUI'!L341</f>
        <v>0</v>
      </c>
      <c r="E337" s="26">
        <f>'2 - PREENCHA AQUI'!M341</f>
        <v>0</v>
      </c>
    </row>
    <row r="338" spans="1:5" x14ac:dyDescent="0.25">
      <c r="A338" s="26">
        <f>IF('2 - PREENCHA AQUI'!E342=FALSE(),0,'2 - PREENCHA AQUI'!E342)</f>
        <v>0</v>
      </c>
      <c r="B338" s="31">
        <f>'2 - PREENCHA AQUI'!J342</f>
        <v>0</v>
      </c>
      <c r="C338" s="31">
        <f>'2 - PREENCHA AQUI'!K342</f>
        <v>0</v>
      </c>
      <c r="D338" s="26">
        <f>'2 - PREENCHA AQUI'!L342</f>
        <v>0</v>
      </c>
      <c r="E338" s="26">
        <f>'2 - PREENCHA AQUI'!M342</f>
        <v>0</v>
      </c>
    </row>
    <row r="339" spans="1:5" x14ac:dyDescent="0.25">
      <c r="A339" s="26">
        <f>IF('2 - PREENCHA AQUI'!E343=FALSE(),0,'2 - PREENCHA AQUI'!E343)</f>
        <v>0</v>
      </c>
      <c r="B339" s="31">
        <f>'2 - PREENCHA AQUI'!J343</f>
        <v>0</v>
      </c>
      <c r="C339" s="31">
        <f>'2 - PREENCHA AQUI'!K343</f>
        <v>0</v>
      </c>
      <c r="D339" s="26">
        <f>'2 - PREENCHA AQUI'!L343</f>
        <v>0</v>
      </c>
      <c r="E339" s="26">
        <f>'2 - PREENCHA AQUI'!M343</f>
        <v>0</v>
      </c>
    </row>
    <row r="340" spans="1:5" x14ac:dyDescent="0.25">
      <c r="A340" s="26">
        <f>IF('2 - PREENCHA AQUI'!E344=FALSE(),0,'2 - PREENCHA AQUI'!E344)</f>
        <v>0</v>
      </c>
      <c r="B340" s="31">
        <f>'2 - PREENCHA AQUI'!J344</f>
        <v>0</v>
      </c>
      <c r="C340" s="31">
        <f>'2 - PREENCHA AQUI'!K344</f>
        <v>0</v>
      </c>
      <c r="D340" s="26">
        <f>'2 - PREENCHA AQUI'!L344</f>
        <v>0</v>
      </c>
      <c r="E340" s="26">
        <f>'2 - PREENCHA AQUI'!M344</f>
        <v>0</v>
      </c>
    </row>
    <row r="341" spans="1:5" x14ac:dyDescent="0.25">
      <c r="A341" s="26">
        <f>IF('2 - PREENCHA AQUI'!E345=FALSE(),0,'2 - PREENCHA AQUI'!E345)</f>
        <v>0</v>
      </c>
      <c r="B341" s="31">
        <f>'2 - PREENCHA AQUI'!J345</f>
        <v>0</v>
      </c>
      <c r="C341" s="31">
        <f>'2 - PREENCHA AQUI'!K345</f>
        <v>0</v>
      </c>
      <c r="D341" s="26">
        <f>'2 - PREENCHA AQUI'!L345</f>
        <v>0</v>
      </c>
      <c r="E341" s="26">
        <f>'2 - PREENCHA AQUI'!M345</f>
        <v>0</v>
      </c>
    </row>
    <row r="342" spans="1:5" x14ac:dyDescent="0.25">
      <c r="A342" s="26">
        <f>IF('2 - PREENCHA AQUI'!E346=FALSE(),0,'2 - PREENCHA AQUI'!E346)</f>
        <v>0</v>
      </c>
      <c r="B342" s="31">
        <f>'2 - PREENCHA AQUI'!J346</f>
        <v>0</v>
      </c>
      <c r="C342" s="31">
        <f>'2 - PREENCHA AQUI'!K346</f>
        <v>0</v>
      </c>
      <c r="D342" s="26">
        <f>'2 - PREENCHA AQUI'!L346</f>
        <v>0</v>
      </c>
      <c r="E342" s="26">
        <f>'2 - PREENCHA AQUI'!M346</f>
        <v>0</v>
      </c>
    </row>
    <row r="343" spans="1:5" x14ac:dyDescent="0.25">
      <c r="A343" s="26">
        <f>IF('2 - PREENCHA AQUI'!E347=FALSE(),0,'2 - PREENCHA AQUI'!E347)</f>
        <v>0</v>
      </c>
      <c r="B343" s="31">
        <f>'2 - PREENCHA AQUI'!J347</f>
        <v>0</v>
      </c>
      <c r="C343" s="31">
        <f>'2 - PREENCHA AQUI'!K347</f>
        <v>0</v>
      </c>
      <c r="D343" s="26">
        <f>'2 - PREENCHA AQUI'!L347</f>
        <v>0</v>
      </c>
      <c r="E343" s="26">
        <f>'2 - PREENCHA AQUI'!M347</f>
        <v>0</v>
      </c>
    </row>
    <row r="344" spans="1:5" x14ac:dyDescent="0.25">
      <c r="A344" s="26">
        <f>IF('2 - PREENCHA AQUI'!E348=FALSE(),0,'2 - PREENCHA AQUI'!E348)</f>
        <v>0</v>
      </c>
      <c r="B344" s="31">
        <f>'2 - PREENCHA AQUI'!J348</f>
        <v>0</v>
      </c>
      <c r="C344" s="31">
        <f>'2 - PREENCHA AQUI'!K348</f>
        <v>0</v>
      </c>
      <c r="D344" s="26">
        <f>'2 - PREENCHA AQUI'!L348</f>
        <v>0</v>
      </c>
      <c r="E344" s="26">
        <f>'2 - PREENCHA AQUI'!M348</f>
        <v>0</v>
      </c>
    </row>
    <row r="345" spans="1:5" x14ac:dyDescent="0.25">
      <c r="A345" s="26">
        <f>IF('2 - PREENCHA AQUI'!E349=FALSE(),0,'2 - PREENCHA AQUI'!E349)</f>
        <v>0</v>
      </c>
      <c r="B345" s="31">
        <f>'2 - PREENCHA AQUI'!J349</f>
        <v>0</v>
      </c>
      <c r="C345" s="31">
        <f>'2 - PREENCHA AQUI'!K349</f>
        <v>0</v>
      </c>
      <c r="D345" s="26">
        <f>'2 - PREENCHA AQUI'!L349</f>
        <v>0</v>
      </c>
      <c r="E345" s="26">
        <f>'2 - PREENCHA AQUI'!M349</f>
        <v>0</v>
      </c>
    </row>
    <row r="346" spans="1:5" x14ac:dyDescent="0.25">
      <c r="A346" s="26">
        <f>IF('2 - PREENCHA AQUI'!E350=FALSE(),0,'2 - PREENCHA AQUI'!E350)</f>
        <v>0</v>
      </c>
      <c r="B346" s="31">
        <f>'2 - PREENCHA AQUI'!J350</f>
        <v>0</v>
      </c>
      <c r="C346" s="31">
        <f>'2 - PREENCHA AQUI'!K350</f>
        <v>0</v>
      </c>
      <c r="D346" s="26">
        <f>'2 - PREENCHA AQUI'!L350</f>
        <v>0</v>
      </c>
      <c r="E346" s="26">
        <f>'2 - PREENCHA AQUI'!M350</f>
        <v>0</v>
      </c>
    </row>
    <row r="347" spans="1:5" x14ac:dyDescent="0.25">
      <c r="A347" s="26">
        <f>IF('2 - PREENCHA AQUI'!E351=FALSE(),0,'2 - PREENCHA AQUI'!E351)</f>
        <v>0</v>
      </c>
      <c r="B347" s="31">
        <f>'2 - PREENCHA AQUI'!J351</f>
        <v>0</v>
      </c>
      <c r="C347" s="31">
        <f>'2 - PREENCHA AQUI'!K351</f>
        <v>0</v>
      </c>
      <c r="D347" s="26">
        <f>'2 - PREENCHA AQUI'!L351</f>
        <v>0</v>
      </c>
      <c r="E347" s="26">
        <f>'2 - PREENCHA AQUI'!M351</f>
        <v>0</v>
      </c>
    </row>
    <row r="348" spans="1:5" x14ac:dyDescent="0.25">
      <c r="A348" s="26">
        <f>IF('2 - PREENCHA AQUI'!E352=FALSE(),0,'2 - PREENCHA AQUI'!E352)</f>
        <v>0</v>
      </c>
      <c r="B348" s="31">
        <f>'2 - PREENCHA AQUI'!J352</f>
        <v>0</v>
      </c>
      <c r="C348" s="31">
        <f>'2 - PREENCHA AQUI'!K352</f>
        <v>0</v>
      </c>
      <c r="D348" s="26">
        <f>'2 - PREENCHA AQUI'!L352</f>
        <v>0</v>
      </c>
      <c r="E348" s="26">
        <f>'2 - PREENCHA AQUI'!M352</f>
        <v>0</v>
      </c>
    </row>
    <row r="349" spans="1:5" x14ac:dyDescent="0.25">
      <c r="A349" s="26">
        <f>IF('2 - PREENCHA AQUI'!E353=FALSE(),0,'2 - PREENCHA AQUI'!E353)</f>
        <v>0</v>
      </c>
      <c r="B349" s="31">
        <f>'2 - PREENCHA AQUI'!J353</f>
        <v>0</v>
      </c>
      <c r="C349" s="31">
        <f>'2 - PREENCHA AQUI'!K353</f>
        <v>0</v>
      </c>
      <c r="D349" s="26">
        <f>'2 - PREENCHA AQUI'!L353</f>
        <v>0</v>
      </c>
      <c r="E349" s="26">
        <f>'2 - PREENCHA AQUI'!M353</f>
        <v>0</v>
      </c>
    </row>
    <row r="350" spans="1:5" x14ac:dyDescent="0.25">
      <c r="A350" s="26">
        <f>IF('2 - PREENCHA AQUI'!E354=FALSE(),0,'2 - PREENCHA AQUI'!E354)</f>
        <v>0</v>
      </c>
      <c r="B350" s="31">
        <f>'2 - PREENCHA AQUI'!J354</f>
        <v>0</v>
      </c>
      <c r="C350" s="31">
        <f>'2 - PREENCHA AQUI'!K354</f>
        <v>0</v>
      </c>
      <c r="D350" s="26">
        <f>'2 - PREENCHA AQUI'!L354</f>
        <v>0</v>
      </c>
      <c r="E350" s="26">
        <f>'2 - PREENCHA AQUI'!M354</f>
        <v>0</v>
      </c>
    </row>
    <row r="351" spans="1:5" x14ac:dyDescent="0.25">
      <c r="A351" s="26">
        <f>IF('2 - PREENCHA AQUI'!E355=FALSE(),0,'2 - PREENCHA AQUI'!E355)</f>
        <v>0</v>
      </c>
      <c r="B351" s="31">
        <f>'2 - PREENCHA AQUI'!J355</f>
        <v>0</v>
      </c>
      <c r="C351" s="31">
        <f>'2 - PREENCHA AQUI'!K355</f>
        <v>0</v>
      </c>
      <c r="D351" s="26">
        <f>'2 - PREENCHA AQUI'!L355</f>
        <v>0</v>
      </c>
      <c r="E351" s="26">
        <f>'2 - PREENCHA AQUI'!M355</f>
        <v>0</v>
      </c>
    </row>
    <row r="352" spans="1:5" x14ac:dyDescent="0.25">
      <c r="A352" s="26">
        <f>IF('2 - PREENCHA AQUI'!E356=FALSE(),0,'2 - PREENCHA AQUI'!E356)</f>
        <v>0</v>
      </c>
      <c r="B352" s="31">
        <f>'2 - PREENCHA AQUI'!J356</f>
        <v>0</v>
      </c>
      <c r="C352" s="31">
        <f>'2 - PREENCHA AQUI'!K356</f>
        <v>0</v>
      </c>
      <c r="D352" s="26">
        <f>'2 - PREENCHA AQUI'!L356</f>
        <v>0</v>
      </c>
      <c r="E352" s="26">
        <f>'2 - PREENCHA AQUI'!M356</f>
        <v>0</v>
      </c>
    </row>
    <row r="353" spans="1:5" x14ac:dyDescent="0.25">
      <c r="A353" s="26">
        <f>IF('2 - PREENCHA AQUI'!E357=FALSE(),0,'2 - PREENCHA AQUI'!E357)</f>
        <v>0</v>
      </c>
      <c r="B353" s="31">
        <f>'2 - PREENCHA AQUI'!J357</f>
        <v>0</v>
      </c>
      <c r="C353" s="31">
        <f>'2 - PREENCHA AQUI'!K357</f>
        <v>0</v>
      </c>
      <c r="D353" s="26">
        <f>'2 - PREENCHA AQUI'!L357</f>
        <v>0</v>
      </c>
      <c r="E353" s="26">
        <f>'2 - PREENCHA AQUI'!M357</f>
        <v>0</v>
      </c>
    </row>
    <row r="354" spans="1:5" x14ac:dyDescent="0.25">
      <c r="A354" s="26">
        <f>IF('2 - PREENCHA AQUI'!E358=FALSE(),0,'2 - PREENCHA AQUI'!E358)</f>
        <v>0</v>
      </c>
      <c r="B354" s="31">
        <f>'2 - PREENCHA AQUI'!J358</f>
        <v>0</v>
      </c>
      <c r="C354" s="31">
        <f>'2 - PREENCHA AQUI'!K358</f>
        <v>0</v>
      </c>
      <c r="D354" s="26">
        <f>'2 - PREENCHA AQUI'!L358</f>
        <v>0</v>
      </c>
      <c r="E354" s="26">
        <f>'2 - PREENCHA AQUI'!M358</f>
        <v>0</v>
      </c>
    </row>
    <row r="355" spans="1:5" x14ac:dyDescent="0.25">
      <c r="A355" s="26">
        <f>IF('2 - PREENCHA AQUI'!E359=FALSE(),0,'2 - PREENCHA AQUI'!E359)</f>
        <v>0</v>
      </c>
      <c r="B355" s="31">
        <f>'2 - PREENCHA AQUI'!J359</f>
        <v>0</v>
      </c>
      <c r="C355" s="31">
        <f>'2 - PREENCHA AQUI'!K359</f>
        <v>0</v>
      </c>
      <c r="D355" s="26">
        <f>'2 - PREENCHA AQUI'!L359</f>
        <v>0</v>
      </c>
      <c r="E355" s="26">
        <f>'2 - PREENCHA AQUI'!M359</f>
        <v>0</v>
      </c>
    </row>
    <row r="356" spans="1:5" x14ac:dyDescent="0.25">
      <c r="A356" s="26">
        <f>IF('2 - PREENCHA AQUI'!E360=FALSE(),0,'2 - PREENCHA AQUI'!E360)</f>
        <v>0</v>
      </c>
      <c r="B356" s="31">
        <f>'2 - PREENCHA AQUI'!J360</f>
        <v>0</v>
      </c>
      <c r="C356" s="31">
        <f>'2 - PREENCHA AQUI'!K360</f>
        <v>0</v>
      </c>
      <c r="D356" s="26">
        <f>'2 - PREENCHA AQUI'!L360</f>
        <v>0</v>
      </c>
      <c r="E356" s="26">
        <f>'2 - PREENCHA AQUI'!M360</f>
        <v>0</v>
      </c>
    </row>
    <row r="357" spans="1:5" x14ac:dyDescent="0.25">
      <c r="A357" s="26">
        <f>IF('2 - PREENCHA AQUI'!E361=FALSE(),0,'2 - PREENCHA AQUI'!E361)</f>
        <v>0</v>
      </c>
      <c r="B357" s="31">
        <f>'2 - PREENCHA AQUI'!J361</f>
        <v>0</v>
      </c>
      <c r="C357" s="31">
        <f>'2 - PREENCHA AQUI'!K361</f>
        <v>0</v>
      </c>
      <c r="D357" s="26">
        <f>'2 - PREENCHA AQUI'!L361</f>
        <v>0</v>
      </c>
      <c r="E357" s="26">
        <f>'2 - PREENCHA AQUI'!M361</f>
        <v>0</v>
      </c>
    </row>
    <row r="358" spans="1:5" x14ac:dyDescent="0.25">
      <c r="A358" s="26">
        <f>IF('2 - PREENCHA AQUI'!E362=FALSE(),0,'2 - PREENCHA AQUI'!E362)</f>
        <v>0</v>
      </c>
      <c r="B358" s="31">
        <f>'2 - PREENCHA AQUI'!J362</f>
        <v>0</v>
      </c>
      <c r="C358" s="31">
        <f>'2 - PREENCHA AQUI'!K362</f>
        <v>0</v>
      </c>
      <c r="D358" s="26">
        <f>'2 - PREENCHA AQUI'!L362</f>
        <v>0</v>
      </c>
      <c r="E358" s="26">
        <f>'2 - PREENCHA AQUI'!M362</f>
        <v>0</v>
      </c>
    </row>
    <row r="359" spans="1:5" x14ac:dyDescent="0.25">
      <c r="A359" s="26">
        <f>IF('2 - PREENCHA AQUI'!E363=FALSE(),0,'2 - PREENCHA AQUI'!E363)</f>
        <v>0</v>
      </c>
      <c r="B359" s="31">
        <f>'2 - PREENCHA AQUI'!J363</f>
        <v>0</v>
      </c>
      <c r="C359" s="31">
        <f>'2 - PREENCHA AQUI'!K363</f>
        <v>0</v>
      </c>
      <c r="D359" s="26">
        <f>'2 - PREENCHA AQUI'!L363</f>
        <v>0</v>
      </c>
      <c r="E359" s="26">
        <f>'2 - PREENCHA AQUI'!M363</f>
        <v>0</v>
      </c>
    </row>
    <row r="360" spans="1:5" x14ac:dyDescent="0.25">
      <c r="A360" s="26">
        <f>IF('2 - PREENCHA AQUI'!E364=FALSE(),0,'2 - PREENCHA AQUI'!E364)</f>
        <v>0</v>
      </c>
      <c r="B360" s="31">
        <f>'2 - PREENCHA AQUI'!J364</f>
        <v>0</v>
      </c>
      <c r="C360" s="31">
        <f>'2 - PREENCHA AQUI'!K364</f>
        <v>0</v>
      </c>
      <c r="D360" s="26">
        <f>'2 - PREENCHA AQUI'!L364</f>
        <v>0</v>
      </c>
      <c r="E360" s="26">
        <f>'2 - PREENCHA AQUI'!M364</f>
        <v>0</v>
      </c>
    </row>
    <row r="361" spans="1:5" x14ac:dyDescent="0.25">
      <c r="A361" s="26">
        <f>IF('2 - PREENCHA AQUI'!E365=FALSE(),0,'2 - PREENCHA AQUI'!E365)</f>
        <v>0</v>
      </c>
      <c r="B361" s="31">
        <f>'2 - PREENCHA AQUI'!J365</f>
        <v>0</v>
      </c>
      <c r="C361" s="31">
        <f>'2 - PREENCHA AQUI'!K365</f>
        <v>0</v>
      </c>
      <c r="D361" s="26">
        <f>'2 - PREENCHA AQUI'!L365</f>
        <v>0</v>
      </c>
      <c r="E361" s="26">
        <f>'2 - PREENCHA AQUI'!M365</f>
        <v>0</v>
      </c>
    </row>
    <row r="362" spans="1:5" x14ac:dyDescent="0.25">
      <c r="A362" s="26">
        <f>IF('2 - PREENCHA AQUI'!E366=FALSE(),0,'2 - PREENCHA AQUI'!E366)</f>
        <v>0</v>
      </c>
      <c r="B362" s="31">
        <f>'2 - PREENCHA AQUI'!J366</f>
        <v>0</v>
      </c>
      <c r="C362" s="31">
        <f>'2 - PREENCHA AQUI'!K366</f>
        <v>0</v>
      </c>
      <c r="D362" s="26">
        <f>'2 - PREENCHA AQUI'!L366</f>
        <v>0</v>
      </c>
      <c r="E362" s="26">
        <f>'2 - PREENCHA AQUI'!M366</f>
        <v>0</v>
      </c>
    </row>
    <row r="363" spans="1:5" x14ac:dyDescent="0.25">
      <c r="A363" s="26">
        <f>IF('2 - PREENCHA AQUI'!E367=FALSE(),0,'2 - PREENCHA AQUI'!E367)</f>
        <v>0</v>
      </c>
      <c r="B363" s="31">
        <f>'2 - PREENCHA AQUI'!J367</f>
        <v>0</v>
      </c>
      <c r="C363" s="31">
        <f>'2 - PREENCHA AQUI'!K367</f>
        <v>0</v>
      </c>
      <c r="D363" s="26">
        <f>'2 - PREENCHA AQUI'!L367</f>
        <v>0</v>
      </c>
      <c r="E363" s="26">
        <f>'2 - PREENCHA AQUI'!M367</f>
        <v>0</v>
      </c>
    </row>
    <row r="364" spans="1:5" x14ac:dyDescent="0.25">
      <c r="A364" s="26">
        <f>IF('2 - PREENCHA AQUI'!E368=FALSE(),0,'2 - PREENCHA AQUI'!E368)</f>
        <v>0</v>
      </c>
      <c r="B364" s="31">
        <f>'2 - PREENCHA AQUI'!J368</f>
        <v>0</v>
      </c>
      <c r="C364" s="31">
        <f>'2 - PREENCHA AQUI'!K368</f>
        <v>0</v>
      </c>
      <c r="D364" s="26">
        <f>'2 - PREENCHA AQUI'!L368</f>
        <v>0</v>
      </c>
      <c r="E364" s="26">
        <f>'2 - PREENCHA AQUI'!M368</f>
        <v>0</v>
      </c>
    </row>
    <row r="365" spans="1:5" x14ac:dyDescent="0.25">
      <c r="A365" s="26">
        <f>IF('2 - PREENCHA AQUI'!E369=FALSE(),0,'2 - PREENCHA AQUI'!E369)</f>
        <v>0</v>
      </c>
      <c r="B365" s="31">
        <f>'2 - PREENCHA AQUI'!J369</f>
        <v>0</v>
      </c>
      <c r="C365" s="31">
        <f>'2 - PREENCHA AQUI'!K369</f>
        <v>0</v>
      </c>
      <c r="D365" s="26">
        <f>'2 - PREENCHA AQUI'!L369</f>
        <v>0</v>
      </c>
      <c r="E365" s="26">
        <f>'2 - PREENCHA AQUI'!M369</f>
        <v>0</v>
      </c>
    </row>
    <row r="366" spans="1:5" x14ac:dyDescent="0.25">
      <c r="A366" s="26">
        <f>IF('2 - PREENCHA AQUI'!E370=FALSE(),0,'2 - PREENCHA AQUI'!E370)</f>
        <v>0</v>
      </c>
      <c r="B366" s="31">
        <f>'2 - PREENCHA AQUI'!J370</f>
        <v>0</v>
      </c>
      <c r="C366" s="31">
        <f>'2 - PREENCHA AQUI'!K370</f>
        <v>0</v>
      </c>
      <c r="D366" s="26">
        <f>'2 - PREENCHA AQUI'!L370</f>
        <v>0</v>
      </c>
      <c r="E366" s="26">
        <f>'2 - PREENCHA AQUI'!M370</f>
        <v>0</v>
      </c>
    </row>
    <row r="367" spans="1:5" x14ac:dyDescent="0.25">
      <c r="A367" s="26">
        <f>IF('2 - PREENCHA AQUI'!E371=FALSE(),0,'2 - PREENCHA AQUI'!E371)</f>
        <v>0</v>
      </c>
      <c r="B367" s="31">
        <f>'2 - PREENCHA AQUI'!J371</f>
        <v>0</v>
      </c>
      <c r="C367" s="31">
        <f>'2 - PREENCHA AQUI'!K371</f>
        <v>0</v>
      </c>
      <c r="D367" s="26">
        <f>'2 - PREENCHA AQUI'!L371</f>
        <v>0</v>
      </c>
      <c r="E367" s="26">
        <f>'2 - PREENCHA AQUI'!M371</f>
        <v>0</v>
      </c>
    </row>
    <row r="368" spans="1:5" x14ac:dyDescent="0.25">
      <c r="A368" s="26">
        <f>IF('2 - PREENCHA AQUI'!E372=FALSE(),0,'2 - PREENCHA AQUI'!E372)</f>
        <v>0</v>
      </c>
      <c r="B368" s="31">
        <f>'2 - PREENCHA AQUI'!J372</f>
        <v>0</v>
      </c>
      <c r="C368" s="31">
        <f>'2 - PREENCHA AQUI'!K372</f>
        <v>0</v>
      </c>
      <c r="D368" s="26">
        <f>'2 - PREENCHA AQUI'!L372</f>
        <v>0</v>
      </c>
      <c r="E368" s="26">
        <f>'2 - PREENCHA AQUI'!M372</f>
        <v>0</v>
      </c>
    </row>
    <row r="369" spans="1:5" x14ac:dyDescent="0.25">
      <c r="A369" s="26">
        <f>IF('2 - PREENCHA AQUI'!E373=FALSE(),0,'2 - PREENCHA AQUI'!E373)</f>
        <v>0</v>
      </c>
      <c r="B369" s="31">
        <f>'2 - PREENCHA AQUI'!J373</f>
        <v>0</v>
      </c>
      <c r="C369" s="31">
        <f>'2 - PREENCHA AQUI'!K373</f>
        <v>0</v>
      </c>
      <c r="D369" s="26">
        <f>'2 - PREENCHA AQUI'!L373</f>
        <v>0</v>
      </c>
      <c r="E369" s="26">
        <f>'2 - PREENCHA AQUI'!M373</f>
        <v>0</v>
      </c>
    </row>
    <row r="370" spans="1:5" x14ac:dyDescent="0.25">
      <c r="A370" s="26">
        <f>IF('2 - PREENCHA AQUI'!E374=FALSE(),0,'2 - PREENCHA AQUI'!E374)</f>
        <v>0</v>
      </c>
      <c r="B370" s="31">
        <f>'2 - PREENCHA AQUI'!J374</f>
        <v>0</v>
      </c>
      <c r="C370" s="31">
        <f>'2 - PREENCHA AQUI'!K374</f>
        <v>0</v>
      </c>
      <c r="D370" s="26">
        <f>'2 - PREENCHA AQUI'!L374</f>
        <v>0</v>
      </c>
      <c r="E370" s="26">
        <f>'2 - PREENCHA AQUI'!M374</f>
        <v>0</v>
      </c>
    </row>
    <row r="371" spans="1:5" x14ac:dyDescent="0.25">
      <c r="A371" s="26">
        <f>IF('2 - PREENCHA AQUI'!E375=FALSE(),0,'2 - PREENCHA AQUI'!E375)</f>
        <v>0</v>
      </c>
      <c r="B371" s="31">
        <f>'2 - PREENCHA AQUI'!J375</f>
        <v>0</v>
      </c>
      <c r="C371" s="31">
        <f>'2 - PREENCHA AQUI'!K375</f>
        <v>0</v>
      </c>
      <c r="D371" s="26">
        <f>'2 - PREENCHA AQUI'!L375</f>
        <v>0</v>
      </c>
      <c r="E371" s="26">
        <f>'2 - PREENCHA AQUI'!M375</f>
        <v>0</v>
      </c>
    </row>
    <row r="372" spans="1:5" x14ac:dyDescent="0.25">
      <c r="A372" s="26">
        <f>IF('2 - PREENCHA AQUI'!E376=FALSE(),0,'2 - PREENCHA AQUI'!E376)</f>
        <v>0</v>
      </c>
      <c r="B372" s="31">
        <f>'2 - PREENCHA AQUI'!J376</f>
        <v>0</v>
      </c>
      <c r="C372" s="31">
        <f>'2 - PREENCHA AQUI'!K376</f>
        <v>0</v>
      </c>
      <c r="D372" s="26">
        <f>'2 - PREENCHA AQUI'!L376</f>
        <v>0</v>
      </c>
      <c r="E372" s="26">
        <f>'2 - PREENCHA AQUI'!M376</f>
        <v>0</v>
      </c>
    </row>
    <row r="373" spans="1:5" x14ac:dyDescent="0.25">
      <c r="A373" s="26">
        <f>IF('2 - PREENCHA AQUI'!E377=FALSE(),0,'2 - PREENCHA AQUI'!E377)</f>
        <v>0</v>
      </c>
      <c r="B373" s="31">
        <f>'2 - PREENCHA AQUI'!J377</f>
        <v>0</v>
      </c>
      <c r="C373" s="31">
        <f>'2 - PREENCHA AQUI'!K377</f>
        <v>0</v>
      </c>
      <c r="D373" s="26">
        <f>'2 - PREENCHA AQUI'!L377</f>
        <v>0</v>
      </c>
      <c r="E373" s="26">
        <f>'2 - PREENCHA AQUI'!M377</f>
        <v>0</v>
      </c>
    </row>
    <row r="374" spans="1:5" x14ac:dyDescent="0.25">
      <c r="A374" s="26">
        <f>IF('2 - PREENCHA AQUI'!E378=FALSE(),0,'2 - PREENCHA AQUI'!E378)</f>
        <v>0</v>
      </c>
      <c r="B374" s="31">
        <f>'2 - PREENCHA AQUI'!J378</f>
        <v>0</v>
      </c>
      <c r="C374" s="31">
        <f>'2 - PREENCHA AQUI'!K378</f>
        <v>0</v>
      </c>
      <c r="D374" s="26">
        <f>'2 - PREENCHA AQUI'!L378</f>
        <v>0</v>
      </c>
      <c r="E374" s="26">
        <f>'2 - PREENCHA AQUI'!M378</f>
        <v>0</v>
      </c>
    </row>
    <row r="375" spans="1:5" x14ac:dyDescent="0.25">
      <c r="A375" s="26">
        <f>IF('2 - PREENCHA AQUI'!E379=FALSE(),0,'2 - PREENCHA AQUI'!E379)</f>
        <v>0</v>
      </c>
      <c r="B375" s="31">
        <f>'2 - PREENCHA AQUI'!J379</f>
        <v>0</v>
      </c>
      <c r="C375" s="31">
        <f>'2 - PREENCHA AQUI'!K379</f>
        <v>0</v>
      </c>
      <c r="D375" s="26">
        <f>'2 - PREENCHA AQUI'!L379</f>
        <v>0</v>
      </c>
      <c r="E375" s="26">
        <f>'2 - PREENCHA AQUI'!M379</f>
        <v>0</v>
      </c>
    </row>
    <row r="376" spans="1:5" x14ac:dyDescent="0.25">
      <c r="A376" s="26">
        <f>IF('2 - PREENCHA AQUI'!E380=FALSE(),0,'2 - PREENCHA AQUI'!E380)</f>
        <v>0</v>
      </c>
      <c r="B376" s="31">
        <f>'2 - PREENCHA AQUI'!J380</f>
        <v>0</v>
      </c>
      <c r="C376" s="31">
        <f>'2 - PREENCHA AQUI'!K380</f>
        <v>0</v>
      </c>
      <c r="D376" s="26">
        <f>'2 - PREENCHA AQUI'!L380</f>
        <v>0</v>
      </c>
      <c r="E376" s="26">
        <f>'2 - PREENCHA AQUI'!M380</f>
        <v>0</v>
      </c>
    </row>
    <row r="377" spans="1:5" x14ac:dyDescent="0.25">
      <c r="A377" s="26">
        <f>IF('2 - PREENCHA AQUI'!E381=FALSE(),0,'2 - PREENCHA AQUI'!E381)</f>
        <v>0</v>
      </c>
      <c r="B377" s="31">
        <f>'2 - PREENCHA AQUI'!J381</f>
        <v>0</v>
      </c>
      <c r="C377" s="31">
        <f>'2 - PREENCHA AQUI'!K381</f>
        <v>0</v>
      </c>
      <c r="D377" s="26">
        <f>'2 - PREENCHA AQUI'!L381</f>
        <v>0</v>
      </c>
      <c r="E377" s="26">
        <f>'2 - PREENCHA AQUI'!M381</f>
        <v>0</v>
      </c>
    </row>
    <row r="378" spans="1:5" x14ac:dyDescent="0.25">
      <c r="A378" s="26">
        <f>IF('2 - PREENCHA AQUI'!E382=FALSE(),0,'2 - PREENCHA AQUI'!E382)</f>
        <v>0</v>
      </c>
      <c r="B378" s="31">
        <f>'2 - PREENCHA AQUI'!J382</f>
        <v>0</v>
      </c>
      <c r="C378" s="31">
        <f>'2 - PREENCHA AQUI'!K382</f>
        <v>0</v>
      </c>
      <c r="D378" s="26">
        <f>'2 - PREENCHA AQUI'!L382</f>
        <v>0</v>
      </c>
      <c r="E378" s="26">
        <f>'2 - PREENCHA AQUI'!M382</f>
        <v>0</v>
      </c>
    </row>
    <row r="379" spans="1:5" x14ac:dyDescent="0.25">
      <c r="A379" s="26">
        <f>IF('2 - PREENCHA AQUI'!E383=FALSE(),0,'2 - PREENCHA AQUI'!E383)</f>
        <v>0</v>
      </c>
      <c r="B379" s="31">
        <f>'2 - PREENCHA AQUI'!J383</f>
        <v>0</v>
      </c>
      <c r="C379" s="31">
        <f>'2 - PREENCHA AQUI'!K383</f>
        <v>0</v>
      </c>
      <c r="D379" s="26">
        <f>'2 - PREENCHA AQUI'!L383</f>
        <v>0</v>
      </c>
      <c r="E379" s="26">
        <f>'2 - PREENCHA AQUI'!M383</f>
        <v>0</v>
      </c>
    </row>
    <row r="380" spans="1:5" x14ac:dyDescent="0.25">
      <c r="A380" s="26">
        <f>IF('2 - PREENCHA AQUI'!E384=FALSE(),0,'2 - PREENCHA AQUI'!E384)</f>
        <v>0</v>
      </c>
      <c r="B380" s="31">
        <f>'2 - PREENCHA AQUI'!J384</f>
        <v>0</v>
      </c>
      <c r="C380" s="31">
        <f>'2 - PREENCHA AQUI'!K384</f>
        <v>0</v>
      </c>
      <c r="D380" s="26">
        <f>'2 - PREENCHA AQUI'!L384</f>
        <v>0</v>
      </c>
      <c r="E380" s="26">
        <f>'2 - PREENCHA AQUI'!M384</f>
        <v>0</v>
      </c>
    </row>
    <row r="381" spans="1:5" x14ac:dyDescent="0.25">
      <c r="A381" s="26">
        <f>IF('2 - PREENCHA AQUI'!E385=FALSE(),0,'2 - PREENCHA AQUI'!E385)</f>
        <v>0</v>
      </c>
      <c r="B381" s="31">
        <f>'2 - PREENCHA AQUI'!J385</f>
        <v>0</v>
      </c>
      <c r="C381" s="31">
        <f>'2 - PREENCHA AQUI'!K385</f>
        <v>0</v>
      </c>
      <c r="D381" s="26">
        <f>'2 - PREENCHA AQUI'!L385</f>
        <v>0</v>
      </c>
      <c r="E381" s="26">
        <f>'2 - PREENCHA AQUI'!M385</f>
        <v>0</v>
      </c>
    </row>
    <row r="382" spans="1:5" x14ac:dyDescent="0.25">
      <c r="A382" s="26">
        <f>IF('2 - PREENCHA AQUI'!E386=FALSE(),0,'2 - PREENCHA AQUI'!E386)</f>
        <v>0</v>
      </c>
      <c r="B382" s="31">
        <f>'2 - PREENCHA AQUI'!J386</f>
        <v>0</v>
      </c>
      <c r="C382" s="31">
        <f>'2 - PREENCHA AQUI'!K386</f>
        <v>0</v>
      </c>
      <c r="D382" s="26">
        <f>'2 - PREENCHA AQUI'!L386</f>
        <v>0</v>
      </c>
      <c r="E382" s="26">
        <f>'2 - PREENCHA AQUI'!M386</f>
        <v>0</v>
      </c>
    </row>
    <row r="383" spans="1:5" x14ac:dyDescent="0.25">
      <c r="A383" s="26">
        <f>IF('2 - PREENCHA AQUI'!E387=FALSE(),0,'2 - PREENCHA AQUI'!E387)</f>
        <v>0</v>
      </c>
      <c r="B383" s="31">
        <f>'2 - PREENCHA AQUI'!J387</f>
        <v>0</v>
      </c>
      <c r="C383" s="31">
        <f>'2 - PREENCHA AQUI'!K387</f>
        <v>0</v>
      </c>
      <c r="D383" s="26">
        <f>'2 - PREENCHA AQUI'!L387</f>
        <v>0</v>
      </c>
      <c r="E383" s="26">
        <f>'2 - PREENCHA AQUI'!M387</f>
        <v>0</v>
      </c>
    </row>
    <row r="384" spans="1:5" x14ac:dyDescent="0.25">
      <c r="A384" s="26">
        <f>IF('2 - PREENCHA AQUI'!E388=FALSE(),0,'2 - PREENCHA AQUI'!E388)</f>
        <v>0</v>
      </c>
      <c r="B384" s="31">
        <f>'2 - PREENCHA AQUI'!J388</f>
        <v>0</v>
      </c>
      <c r="C384" s="31">
        <f>'2 - PREENCHA AQUI'!K388</f>
        <v>0</v>
      </c>
      <c r="D384" s="26">
        <f>'2 - PREENCHA AQUI'!L388</f>
        <v>0</v>
      </c>
      <c r="E384" s="26">
        <f>'2 - PREENCHA AQUI'!M388</f>
        <v>0</v>
      </c>
    </row>
    <row r="385" spans="1:5" x14ac:dyDescent="0.25">
      <c r="A385" s="26">
        <f>IF('2 - PREENCHA AQUI'!E389=FALSE(),0,'2 - PREENCHA AQUI'!E389)</f>
        <v>0</v>
      </c>
      <c r="B385" s="31">
        <f>'2 - PREENCHA AQUI'!J389</f>
        <v>0</v>
      </c>
      <c r="C385" s="31">
        <f>'2 - PREENCHA AQUI'!K389</f>
        <v>0</v>
      </c>
      <c r="D385" s="26">
        <f>'2 - PREENCHA AQUI'!L389</f>
        <v>0</v>
      </c>
      <c r="E385" s="26">
        <f>'2 - PREENCHA AQUI'!M389</f>
        <v>0</v>
      </c>
    </row>
    <row r="386" spans="1:5" x14ac:dyDescent="0.25">
      <c r="A386" s="26">
        <f>IF('2 - PREENCHA AQUI'!E390=FALSE(),0,'2 - PREENCHA AQUI'!E390)</f>
        <v>0</v>
      </c>
      <c r="B386" s="31">
        <f>'2 - PREENCHA AQUI'!J390</f>
        <v>0</v>
      </c>
      <c r="C386" s="31">
        <f>'2 - PREENCHA AQUI'!K390</f>
        <v>0</v>
      </c>
      <c r="D386" s="26">
        <f>'2 - PREENCHA AQUI'!L390</f>
        <v>0</v>
      </c>
      <c r="E386" s="26">
        <f>'2 - PREENCHA AQUI'!M390</f>
        <v>0</v>
      </c>
    </row>
    <row r="387" spans="1:5" x14ac:dyDescent="0.25">
      <c r="A387" s="26">
        <f>IF('2 - PREENCHA AQUI'!E391=FALSE(),0,'2 - PREENCHA AQUI'!E391)</f>
        <v>0</v>
      </c>
      <c r="B387" s="31">
        <f>'2 - PREENCHA AQUI'!J391</f>
        <v>0</v>
      </c>
      <c r="C387" s="31">
        <f>'2 - PREENCHA AQUI'!K391</f>
        <v>0</v>
      </c>
      <c r="D387" s="26">
        <f>'2 - PREENCHA AQUI'!L391</f>
        <v>0</v>
      </c>
      <c r="E387" s="26">
        <f>'2 - PREENCHA AQUI'!M391</f>
        <v>0</v>
      </c>
    </row>
    <row r="388" spans="1:5" x14ac:dyDescent="0.25">
      <c r="A388" s="26">
        <f>IF('2 - PREENCHA AQUI'!E392=FALSE(),0,'2 - PREENCHA AQUI'!E392)</f>
        <v>0</v>
      </c>
      <c r="B388" s="31">
        <f>'2 - PREENCHA AQUI'!J392</f>
        <v>0</v>
      </c>
      <c r="C388" s="31">
        <f>'2 - PREENCHA AQUI'!K392</f>
        <v>0</v>
      </c>
      <c r="D388" s="26">
        <f>'2 - PREENCHA AQUI'!L392</f>
        <v>0</v>
      </c>
      <c r="E388" s="26">
        <f>'2 - PREENCHA AQUI'!M392</f>
        <v>0</v>
      </c>
    </row>
    <row r="389" spans="1:5" x14ac:dyDescent="0.25">
      <c r="A389" s="26">
        <f>IF('2 - PREENCHA AQUI'!E393=FALSE(),0,'2 - PREENCHA AQUI'!E393)</f>
        <v>0</v>
      </c>
      <c r="B389" s="31">
        <f>'2 - PREENCHA AQUI'!J393</f>
        <v>0</v>
      </c>
      <c r="C389" s="31">
        <f>'2 - PREENCHA AQUI'!K393</f>
        <v>0</v>
      </c>
      <c r="D389" s="26">
        <f>'2 - PREENCHA AQUI'!L393</f>
        <v>0</v>
      </c>
      <c r="E389" s="26">
        <f>'2 - PREENCHA AQUI'!M393</f>
        <v>0</v>
      </c>
    </row>
    <row r="390" spans="1:5" x14ac:dyDescent="0.25">
      <c r="A390" s="26">
        <f>IF('2 - PREENCHA AQUI'!E394=FALSE(),0,'2 - PREENCHA AQUI'!E394)</f>
        <v>0</v>
      </c>
      <c r="B390" s="31">
        <f>'2 - PREENCHA AQUI'!J394</f>
        <v>0</v>
      </c>
      <c r="C390" s="31">
        <f>'2 - PREENCHA AQUI'!K394</f>
        <v>0</v>
      </c>
      <c r="D390" s="26">
        <f>'2 - PREENCHA AQUI'!L394</f>
        <v>0</v>
      </c>
      <c r="E390" s="26">
        <f>'2 - PREENCHA AQUI'!M394</f>
        <v>0</v>
      </c>
    </row>
    <row r="391" spans="1:5" x14ac:dyDescent="0.25">
      <c r="A391" s="26">
        <f>IF('2 - PREENCHA AQUI'!E395=FALSE(),0,'2 - PREENCHA AQUI'!E395)</f>
        <v>0</v>
      </c>
      <c r="B391" s="31">
        <f>'2 - PREENCHA AQUI'!J395</f>
        <v>0</v>
      </c>
      <c r="C391" s="31">
        <f>'2 - PREENCHA AQUI'!K395</f>
        <v>0</v>
      </c>
      <c r="D391" s="26">
        <f>'2 - PREENCHA AQUI'!L395</f>
        <v>0</v>
      </c>
      <c r="E391" s="26">
        <f>'2 - PREENCHA AQUI'!M395</f>
        <v>0</v>
      </c>
    </row>
    <row r="392" spans="1:5" x14ac:dyDescent="0.25">
      <c r="A392" s="26">
        <f>IF('2 - PREENCHA AQUI'!E396=FALSE(),0,'2 - PREENCHA AQUI'!E396)</f>
        <v>0</v>
      </c>
      <c r="B392" s="31">
        <f>'2 - PREENCHA AQUI'!J396</f>
        <v>0</v>
      </c>
      <c r="C392" s="31">
        <f>'2 - PREENCHA AQUI'!K396</f>
        <v>0</v>
      </c>
      <c r="D392" s="26">
        <f>'2 - PREENCHA AQUI'!L396</f>
        <v>0</v>
      </c>
      <c r="E392" s="26">
        <f>'2 - PREENCHA AQUI'!M396</f>
        <v>0</v>
      </c>
    </row>
    <row r="393" spans="1:5" x14ac:dyDescent="0.25">
      <c r="A393" s="26">
        <f>IF('2 - PREENCHA AQUI'!E397=FALSE(),0,'2 - PREENCHA AQUI'!E397)</f>
        <v>0</v>
      </c>
      <c r="B393" s="31">
        <f>'2 - PREENCHA AQUI'!J397</f>
        <v>0</v>
      </c>
      <c r="C393" s="31">
        <f>'2 - PREENCHA AQUI'!K397</f>
        <v>0</v>
      </c>
      <c r="D393" s="26">
        <f>'2 - PREENCHA AQUI'!L397</f>
        <v>0</v>
      </c>
      <c r="E393" s="26">
        <f>'2 - PREENCHA AQUI'!M397</f>
        <v>0</v>
      </c>
    </row>
    <row r="394" spans="1:5" x14ac:dyDescent="0.25">
      <c r="A394" s="26">
        <f>IF('2 - PREENCHA AQUI'!E398=FALSE(),0,'2 - PREENCHA AQUI'!E398)</f>
        <v>0</v>
      </c>
      <c r="B394" s="31">
        <f>'2 - PREENCHA AQUI'!J398</f>
        <v>0</v>
      </c>
      <c r="C394" s="31">
        <f>'2 - PREENCHA AQUI'!K398</f>
        <v>0</v>
      </c>
      <c r="D394" s="26">
        <f>'2 - PREENCHA AQUI'!L398</f>
        <v>0</v>
      </c>
      <c r="E394" s="26">
        <f>'2 - PREENCHA AQUI'!M398</f>
        <v>0</v>
      </c>
    </row>
    <row r="395" spans="1:5" x14ac:dyDescent="0.25">
      <c r="A395" s="26">
        <f>IF('2 - PREENCHA AQUI'!E399=FALSE(),0,'2 - PREENCHA AQUI'!E399)</f>
        <v>0</v>
      </c>
      <c r="B395" s="31">
        <f>'2 - PREENCHA AQUI'!J399</f>
        <v>0</v>
      </c>
      <c r="C395" s="31">
        <f>'2 - PREENCHA AQUI'!K399</f>
        <v>0</v>
      </c>
      <c r="D395" s="26">
        <f>'2 - PREENCHA AQUI'!L399</f>
        <v>0</v>
      </c>
      <c r="E395" s="26">
        <f>'2 - PREENCHA AQUI'!M399</f>
        <v>0</v>
      </c>
    </row>
    <row r="396" spans="1:5" x14ac:dyDescent="0.25">
      <c r="A396" s="26">
        <f>IF('2 - PREENCHA AQUI'!E400=FALSE(),0,'2 - PREENCHA AQUI'!E400)</f>
        <v>0</v>
      </c>
      <c r="B396" s="31">
        <f>'2 - PREENCHA AQUI'!J400</f>
        <v>0</v>
      </c>
      <c r="C396" s="31">
        <f>'2 - PREENCHA AQUI'!K400</f>
        <v>0</v>
      </c>
      <c r="D396" s="26">
        <f>'2 - PREENCHA AQUI'!L400</f>
        <v>0</v>
      </c>
      <c r="E396" s="26">
        <f>'2 - PREENCHA AQUI'!M400</f>
        <v>0</v>
      </c>
    </row>
    <row r="397" spans="1:5" x14ac:dyDescent="0.25">
      <c r="A397" s="26">
        <f>IF('2 - PREENCHA AQUI'!E401=FALSE(),0,'2 - PREENCHA AQUI'!E401)</f>
        <v>0</v>
      </c>
      <c r="B397" s="31">
        <f>'2 - PREENCHA AQUI'!J401</f>
        <v>0</v>
      </c>
      <c r="C397" s="31">
        <f>'2 - PREENCHA AQUI'!K401</f>
        <v>0</v>
      </c>
      <c r="D397" s="26">
        <f>'2 - PREENCHA AQUI'!L401</f>
        <v>0</v>
      </c>
      <c r="E397" s="26">
        <f>'2 - PREENCHA AQUI'!M401</f>
        <v>0</v>
      </c>
    </row>
    <row r="398" spans="1:5" x14ac:dyDescent="0.25">
      <c r="A398" s="26">
        <f>IF('2 - PREENCHA AQUI'!E402=FALSE(),0,'2 - PREENCHA AQUI'!E402)</f>
        <v>0</v>
      </c>
      <c r="B398" s="31">
        <f>'2 - PREENCHA AQUI'!J402</f>
        <v>0</v>
      </c>
      <c r="C398" s="31">
        <f>'2 - PREENCHA AQUI'!K402</f>
        <v>0</v>
      </c>
      <c r="D398" s="26">
        <f>'2 - PREENCHA AQUI'!L402</f>
        <v>0</v>
      </c>
      <c r="E398" s="26">
        <f>'2 - PREENCHA AQUI'!M402</f>
        <v>0</v>
      </c>
    </row>
    <row r="399" spans="1:5" x14ac:dyDescent="0.25">
      <c r="A399" s="26">
        <f>IF('2 - PREENCHA AQUI'!E403=FALSE(),0,'2 - PREENCHA AQUI'!E403)</f>
        <v>0</v>
      </c>
      <c r="B399" s="31">
        <f>'2 - PREENCHA AQUI'!J403</f>
        <v>0</v>
      </c>
      <c r="C399" s="31">
        <f>'2 - PREENCHA AQUI'!K403</f>
        <v>0</v>
      </c>
      <c r="D399" s="26">
        <f>'2 - PREENCHA AQUI'!L403</f>
        <v>0</v>
      </c>
      <c r="E399" s="26">
        <f>'2 - PREENCHA AQUI'!M403</f>
        <v>0</v>
      </c>
    </row>
    <row r="400" spans="1:5" x14ac:dyDescent="0.25">
      <c r="A400" s="26">
        <f>IF('2 - PREENCHA AQUI'!E404=FALSE(),0,'2 - PREENCHA AQUI'!E404)</f>
        <v>0</v>
      </c>
      <c r="B400" s="31">
        <f>'2 - PREENCHA AQUI'!J404</f>
        <v>0</v>
      </c>
      <c r="C400" s="31">
        <f>'2 - PREENCHA AQUI'!K404</f>
        <v>0</v>
      </c>
      <c r="D400" s="26">
        <f>'2 - PREENCHA AQUI'!L404</f>
        <v>0</v>
      </c>
      <c r="E400" s="26">
        <f>'2 - PREENCHA AQUI'!M404</f>
        <v>0</v>
      </c>
    </row>
    <row r="401" spans="1:5" x14ac:dyDescent="0.25">
      <c r="A401" s="26">
        <f>IF('2 - PREENCHA AQUI'!E405=FALSE(),0,'2 - PREENCHA AQUI'!E405)</f>
        <v>0</v>
      </c>
      <c r="B401" s="31">
        <f>'2 - PREENCHA AQUI'!J405</f>
        <v>0</v>
      </c>
      <c r="C401" s="31">
        <f>'2 - PREENCHA AQUI'!K405</f>
        <v>0</v>
      </c>
      <c r="D401" s="26">
        <f>'2 - PREENCHA AQUI'!L405</f>
        <v>0</v>
      </c>
      <c r="E401" s="26">
        <f>'2 - PREENCHA AQUI'!M405</f>
        <v>0</v>
      </c>
    </row>
    <row r="402" spans="1:5" x14ac:dyDescent="0.25">
      <c r="A402" s="26">
        <f>IF('2 - PREENCHA AQUI'!E406=FALSE(),0,'2 - PREENCHA AQUI'!E406)</f>
        <v>0</v>
      </c>
      <c r="B402" s="31">
        <f>'2 - PREENCHA AQUI'!J406</f>
        <v>0</v>
      </c>
      <c r="C402" s="31">
        <f>'2 - PREENCHA AQUI'!K406</f>
        <v>0</v>
      </c>
      <c r="D402" s="26">
        <f>'2 - PREENCHA AQUI'!L406</f>
        <v>0</v>
      </c>
      <c r="E402" s="26">
        <f>'2 - PREENCHA AQUI'!M406</f>
        <v>0</v>
      </c>
    </row>
    <row r="403" spans="1:5" x14ac:dyDescent="0.25">
      <c r="A403" s="26">
        <f>IF('2 - PREENCHA AQUI'!E407=FALSE(),0,'2 - PREENCHA AQUI'!E407)</f>
        <v>0</v>
      </c>
      <c r="B403" s="31">
        <f>'2 - PREENCHA AQUI'!J407</f>
        <v>0</v>
      </c>
      <c r="C403" s="31">
        <f>'2 - PREENCHA AQUI'!K407</f>
        <v>0</v>
      </c>
      <c r="D403" s="26">
        <f>'2 - PREENCHA AQUI'!L407</f>
        <v>0</v>
      </c>
      <c r="E403" s="26">
        <f>'2 - PREENCHA AQUI'!M407</f>
        <v>0</v>
      </c>
    </row>
    <row r="404" spans="1:5" x14ac:dyDescent="0.25">
      <c r="A404" s="26">
        <f>IF('2 - PREENCHA AQUI'!E408=FALSE(),0,'2 - PREENCHA AQUI'!E408)</f>
        <v>0</v>
      </c>
      <c r="B404" s="31">
        <f>'2 - PREENCHA AQUI'!J408</f>
        <v>0</v>
      </c>
      <c r="C404" s="31">
        <f>'2 - PREENCHA AQUI'!K408</f>
        <v>0</v>
      </c>
      <c r="D404" s="26">
        <f>'2 - PREENCHA AQUI'!L408</f>
        <v>0</v>
      </c>
      <c r="E404" s="26">
        <f>'2 - PREENCHA AQUI'!M408</f>
        <v>0</v>
      </c>
    </row>
    <row r="405" spans="1:5" x14ac:dyDescent="0.25">
      <c r="A405" s="26">
        <f>IF('2 - PREENCHA AQUI'!E409=FALSE(),0,'2 - PREENCHA AQUI'!E409)</f>
        <v>0</v>
      </c>
      <c r="B405" s="31">
        <f>'2 - PREENCHA AQUI'!J409</f>
        <v>0</v>
      </c>
      <c r="C405" s="31">
        <f>'2 - PREENCHA AQUI'!K409</f>
        <v>0</v>
      </c>
      <c r="D405" s="26">
        <f>'2 - PREENCHA AQUI'!L409</f>
        <v>0</v>
      </c>
      <c r="E405" s="26">
        <f>'2 - PREENCHA AQUI'!M409</f>
        <v>0</v>
      </c>
    </row>
    <row r="406" spans="1:5" x14ac:dyDescent="0.25">
      <c r="A406" s="26">
        <f>IF('2 - PREENCHA AQUI'!E410=FALSE(),0,'2 - PREENCHA AQUI'!E410)</f>
        <v>0</v>
      </c>
      <c r="B406" s="31">
        <f>'2 - PREENCHA AQUI'!J410</f>
        <v>0</v>
      </c>
      <c r="C406" s="31">
        <f>'2 - PREENCHA AQUI'!K410</f>
        <v>0</v>
      </c>
      <c r="D406" s="26">
        <f>'2 - PREENCHA AQUI'!L410</f>
        <v>0</v>
      </c>
      <c r="E406" s="26">
        <f>'2 - PREENCHA AQUI'!M410</f>
        <v>0</v>
      </c>
    </row>
    <row r="407" spans="1:5" x14ac:dyDescent="0.25">
      <c r="A407" s="26">
        <f>IF('2 - PREENCHA AQUI'!E411=FALSE(),0,'2 - PREENCHA AQUI'!E411)</f>
        <v>0</v>
      </c>
      <c r="B407" s="31">
        <f>'2 - PREENCHA AQUI'!J411</f>
        <v>0</v>
      </c>
      <c r="C407" s="31">
        <f>'2 - PREENCHA AQUI'!K411</f>
        <v>0</v>
      </c>
      <c r="D407" s="26">
        <f>'2 - PREENCHA AQUI'!L411</f>
        <v>0</v>
      </c>
      <c r="E407" s="26">
        <f>'2 - PREENCHA AQUI'!M411</f>
        <v>0</v>
      </c>
    </row>
    <row r="408" spans="1:5" x14ac:dyDescent="0.25">
      <c r="A408" s="26">
        <f>IF('2 - PREENCHA AQUI'!E412=FALSE(),0,'2 - PREENCHA AQUI'!E412)</f>
        <v>0</v>
      </c>
      <c r="B408" s="31">
        <f>'2 - PREENCHA AQUI'!J412</f>
        <v>0</v>
      </c>
      <c r="C408" s="31">
        <f>'2 - PREENCHA AQUI'!K412</f>
        <v>0</v>
      </c>
      <c r="D408" s="26">
        <f>'2 - PREENCHA AQUI'!L412</f>
        <v>0</v>
      </c>
      <c r="E408" s="26">
        <f>'2 - PREENCHA AQUI'!M412</f>
        <v>0</v>
      </c>
    </row>
    <row r="409" spans="1:5" x14ac:dyDescent="0.25">
      <c r="A409" s="26">
        <f>IF('2 - PREENCHA AQUI'!E413=FALSE(),0,'2 - PREENCHA AQUI'!E413)</f>
        <v>0</v>
      </c>
      <c r="B409" s="31">
        <f>'2 - PREENCHA AQUI'!J413</f>
        <v>0</v>
      </c>
      <c r="C409" s="31">
        <f>'2 - PREENCHA AQUI'!K413</f>
        <v>0</v>
      </c>
      <c r="D409" s="26">
        <f>'2 - PREENCHA AQUI'!L413</f>
        <v>0</v>
      </c>
      <c r="E409" s="26">
        <f>'2 - PREENCHA AQUI'!M413</f>
        <v>0</v>
      </c>
    </row>
    <row r="410" spans="1:5" x14ac:dyDescent="0.25">
      <c r="A410" s="26">
        <f>IF('2 - PREENCHA AQUI'!E414=FALSE(),0,'2 - PREENCHA AQUI'!E414)</f>
        <v>0</v>
      </c>
      <c r="B410" s="31">
        <f>'2 - PREENCHA AQUI'!J414</f>
        <v>0</v>
      </c>
      <c r="C410" s="31">
        <f>'2 - PREENCHA AQUI'!K414</f>
        <v>0</v>
      </c>
      <c r="D410" s="26">
        <f>'2 - PREENCHA AQUI'!L414</f>
        <v>0</v>
      </c>
      <c r="E410" s="26">
        <f>'2 - PREENCHA AQUI'!M414</f>
        <v>0</v>
      </c>
    </row>
    <row r="411" spans="1:5" x14ac:dyDescent="0.25">
      <c r="A411" s="26">
        <f>IF('2 - PREENCHA AQUI'!E415=FALSE(),0,'2 - PREENCHA AQUI'!E415)</f>
        <v>0</v>
      </c>
      <c r="B411" s="31">
        <f>'2 - PREENCHA AQUI'!J415</f>
        <v>0</v>
      </c>
      <c r="C411" s="31">
        <f>'2 - PREENCHA AQUI'!K415</f>
        <v>0</v>
      </c>
      <c r="D411" s="26">
        <f>'2 - PREENCHA AQUI'!L415</f>
        <v>0</v>
      </c>
      <c r="E411" s="26">
        <f>'2 - PREENCHA AQUI'!M415</f>
        <v>0</v>
      </c>
    </row>
    <row r="412" spans="1:5" x14ac:dyDescent="0.25">
      <c r="A412" s="26">
        <f>IF('2 - PREENCHA AQUI'!E416=FALSE(),0,'2 - PREENCHA AQUI'!E416)</f>
        <v>0</v>
      </c>
      <c r="B412" s="31">
        <f>'2 - PREENCHA AQUI'!J416</f>
        <v>0</v>
      </c>
      <c r="C412" s="31">
        <f>'2 - PREENCHA AQUI'!K416</f>
        <v>0</v>
      </c>
      <c r="D412" s="26">
        <f>'2 - PREENCHA AQUI'!L416</f>
        <v>0</v>
      </c>
      <c r="E412" s="26">
        <f>'2 - PREENCHA AQUI'!M416</f>
        <v>0</v>
      </c>
    </row>
    <row r="413" spans="1:5" x14ac:dyDescent="0.25">
      <c r="A413" s="26">
        <f>IF('2 - PREENCHA AQUI'!E417=FALSE(),0,'2 - PREENCHA AQUI'!E417)</f>
        <v>0</v>
      </c>
      <c r="B413" s="31">
        <f>'2 - PREENCHA AQUI'!J417</f>
        <v>0</v>
      </c>
      <c r="C413" s="31">
        <f>'2 - PREENCHA AQUI'!K417</f>
        <v>0</v>
      </c>
      <c r="D413" s="26">
        <f>'2 - PREENCHA AQUI'!L417</f>
        <v>0</v>
      </c>
      <c r="E413" s="26">
        <f>'2 - PREENCHA AQUI'!M417</f>
        <v>0</v>
      </c>
    </row>
    <row r="414" spans="1:5" x14ac:dyDescent="0.25">
      <c r="A414" s="26">
        <f>IF('2 - PREENCHA AQUI'!E418=FALSE(),0,'2 - PREENCHA AQUI'!E418)</f>
        <v>0</v>
      </c>
      <c r="B414" s="31">
        <f>'2 - PREENCHA AQUI'!J418</f>
        <v>0</v>
      </c>
      <c r="C414" s="31">
        <f>'2 - PREENCHA AQUI'!K418</f>
        <v>0</v>
      </c>
      <c r="D414" s="26">
        <f>'2 - PREENCHA AQUI'!L418</f>
        <v>0</v>
      </c>
      <c r="E414" s="26">
        <f>'2 - PREENCHA AQUI'!M418</f>
        <v>0</v>
      </c>
    </row>
    <row r="415" spans="1:5" x14ac:dyDescent="0.25">
      <c r="A415" s="26">
        <f>IF('2 - PREENCHA AQUI'!E419=FALSE(),0,'2 - PREENCHA AQUI'!E419)</f>
        <v>0</v>
      </c>
      <c r="B415" s="31">
        <f>'2 - PREENCHA AQUI'!J419</f>
        <v>0</v>
      </c>
      <c r="C415" s="31">
        <f>'2 - PREENCHA AQUI'!K419</f>
        <v>0</v>
      </c>
      <c r="D415" s="26">
        <f>'2 - PREENCHA AQUI'!L419</f>
        <v>0</v>
      </c>
      <c r="E415" s="26">
        <f>'2 - PREENCHA AQUI'!M419</f>
        <v>0</v>
      </c>
    </row>
    <row r="416" spans="1:5" x14ac:dyDescent="0.25">
      <c r="A416" s="26">
        <f>IF('2 - PREENCHA AQUI'!E420=FALSE(),0,'2 - PREENCHA AQUI'!E420)</f>
        <v>0</v>
      </c>
      <c r="B416" s="31">
        <f>'2 - PREENCHA AQUI'!J420</f>
        <v>0</v>
      </c>
      <c r="C416" s="31">
        <f>'2 - PREENCHA AQUI'!K420</f>
        <v>0</v>
      </c>
      <c r="D416" s="26">
        <f>'2 - PREENCHA AQUI'!L420</f>
        <v>0</v>
      </c>
      <c r="E416" s="26">
        <f>'2 - PREENCHA AQUI'!M420</f>
        <v>0</v>
      </c>
    </row>
    <row r="417" spans="1:5" x14ac:dyDescent="0.25">
      <c r="A417" s="26">
        <f>IF('2 - PREENCHA AQUI'!E421=FALSE(),0,'2 - PREENCHA AQUI'!E421)</f>
        <v>0</v>
      </c>
      <c r="B417" s="31">
        <f>'2 - PREENCHA AQUI'!J421</f>
        <v>0</v>
      </c>
      <c r="C417" s="31">
        <f>'2 - PREENCHA AQUI'!K421</f>
        <v>0</v>
      </c>
      <c r="D417" s="26">
        <f>'2 - PREENCHA AQUI'!L421</f>
        <v>0</v>
      </c>
      <c r="E417" s="26">
        <f>'2 - PREENCHA AQUI'!M421</f>
        <v>0</v>
      </c>
    </row>
    <row r="418" spans="1:5" x14ac:dyDescent="0.25">
      <c r="A418" s="26">
        <f>IF('2 - PREENCHA AQUI'!E422=FALSE(),0,'2 - PREENCHA AQUI'!E422)</f>
        <v>0</v>
      </c>
      <c r="B418" s="31">
        <f>'2 - PREENCHA AQUI'!J422</f>
        <v>0</v>
      </c>
      <c r="C418" s="31">
        <f>'2 - PREENCHA AQUI'!K422</f>
        <v>0</v>
      </c>
      <c r="D418" s="26">
        <f>'2 - PREENCHA AQUI'!L422</f>
        <v>0</v>
      </c>
      <c r="E418" s="26">
        <f>'2 - PREENCHA AQUI'!M422</f>
        <v>0</v>
      </c>
    </row>
    <row r="419" spans="1:5" x14ac:dyDescent="0.25">
      <c r="A419" s="26">
        <f>IF('2 - PREENCHA AQUI'!E423=FALSE(),0,'2 - PREENCHA AQUI'!E423)</f>
        <v>0</v>
      </c>
      <c r="B419" s="31">
        <f>'2 - PREENCHA AQUI'!J423</f>
        <v>0</v>
      </c>
      <c r="C419" s="31">
        <f>'2 - PREENCHA AQUI'!K423</f>
        <v>0</v>
      </c>
      <c r="D419" s="26">
        <f>'2 - PREENCHA AQUI'!L423</f>
        <v>0</v>
      </c>
      <c r="E419" s="26">
        <f>'2 - PREENCHA AQUI'!M423</f>
        <v>0</v>
      </c>
    </row>
    <row r="420" spans="1:5" x14ac:dyDescent="0.25">
      <c r="A420" s="26">
        <f>IF('2 - PREENCHA AQUI'!E424=FALSE(),0,'2 - PREENCHA AQUI'!E424)</f>
        <v>0</v>
      </c>
      <c r="B420" s="31">
        <f>'2 - PREENCHA AQUI'!J424</f>
        <v>0</v>
      </c>
      <c r="C420" s="31">
        <f>'2 - PREENCHA AQUI'!K424</f>
        <v>0</v>
      </c>
      <c r="D420" s="26">
        <f>'2 - PREENCHA AQUI'!L424</f>
        <v>0</v>
      </c>
      <c r="E420" s="26">
        <f>'2 - PREENCHA AQUI'!M424</f>
        <v>0</v>
      </c>
    </row>
    <row r="421" spans="1:5" x14ac:dyDescent="0.25">
      <c r="A421" s="26">
        <f>IF('2 - PREENCHA AQUI'!E425=FALSE(),0,'2 - PREENCHA AQUI'!E425)</f>
        <v>0</v>
      </c>
      <c r="B421" s="31">
        <f>'2 - PREENCHA AQUI'!J425</f>
        <v>0</v>
      </c>
      <c r="C421" s="31">
        <f>'2 - PREENCHA AQUI'!K425</f>
        <v>0</v>
      </c>
      <c r="D421" s="26">
        <f>'2 - PREENCHA AQUI'!L425</f>
        <v>0</v>
      </c>
      <c r="E421" s="26">
        <f>'2 - PREENCHA AQUI'!M425</f>
        <v>0</v>
      </c>
    </row>
    <row r="422" spans="1:5" x14ac:dyDescent="0.25">
      <c r="A422" s="26">
        <f>IF('2 - PREENCHA AQUI'!E426=FALSE(),0,'2 - PREENCHA AQUI'!E426)</f>
        <v>0</v>
      </c>
      <c r="B422" s="31">
        <f>'2 - PREENCHA AQUI'!J426</f>
        <v>0</v>
      </c>
      <c r="C422" s="31">
        <f>'2 - PREENCHA AQUI'!K426</f>
        <v>0</v>
      </c>
      <c r="D422" s="26">
        <f>'2 - PREENCHA AQUI'!L426</f>
        <v>0</v>
      </c>
      <c r="E422" s="26">
        <f>'2 - PREENCHA AQUI'!M426</f>
        <v>0</v>
      </c>
    </row>
    <row r="423" spans="1:5" x14ac:dyDescent="0.25">
      <c r="A423" s="26">
        <f>IF('2 - PREENCHA AQUI'!E427=FALSE(),0,'2 - PREENCHA AQUI'!E427)</f>
        <v>0</v>
      </c>
      <c r="B423" s="31">
        <f>'2 - PREENCHA AQUI'!J427</f>
        <v>0</v>
      </c>
      <c r="C423" s="31">
        <f>'2 - PREENCHA AQUI'!K427</f>
        <v>0</v>
      </c>
      <c r="D423" s="26">
        <f>'2 - PREENCHA AQUI'!L427</f>
        <v>0</v>
      </c>
      <c r="E423" s="26">
        <f>'2 - PREENCHA AQUI'!M427</f>
        <v>0</v>
      </c>
    </row>
    <row r="424" spans="1:5" x14ac:dyDescent="0.25">
      <c r="A424" s="26">
        <f>IF('2 - PREENCHA AQUI'!E428=FALSE(),0,'2 - PREENCHA AQUI'!E428)</f>
        <v>0</v>
      </c>
      <c r="B424" s="31">
        <f>'2 - PREENCHA AQUI'!J428</f>
        <v>0</v>
      </c>
      <c r="C424" s="31">
        <f>'2 - PREENCHA AQUI'!K428</f>
        <v>0</v>
      </c>
      <c r="D424" s="26">
        <f>'2 - PREENCHA AQUI'!L428</f>
        <v>0</v>
      </c>
      <c r="E424" s="26">
        <f>'2 - PREENCHA AQUI'!M428</f>
        <v>0</v>
      </c>
    </row>
    <row r="425" spans="1:5" x14ac:dyDescent="0.25">
      <c r="A425" s="26">
        <f>IF('2 - PREENCHA AQUI'!E429=FALSE(),0,'2 - PREENCHA AQUI'!E429)</f>
        <v>0</v>
      </c>
      <c r="B425" s="31">
        <f>'2 - PREENCHA AQUI'!J429</f>
        <v>0</v>
      </c>
      <c r="C425" s="31">
        <f>'2 - PREENCHA AQUI'!K429</f>
        <v>0</v>
      </c>
      <c r="D425" s="26">
        <f>'2 - PREENCHA AQUI'!L429</f>
        <v>0</v>
      </c>
      <c r="E425" s="26">
        <f>'2 - PREENCHA AQUI'!M429</f>
        <v>0</v>
      </c>
    </row>
    <row r="426" spans="1:5" x14ac:dyDescent="0.25">
      <c r="A426" s="26">
        <f>IF('2 - PREENCHA AQUI'!E430=FALSE(),0,'2 - PREENCHA AQUI'!E430)</f>
        <v>0</v>
      </c>
      <c r="B426" s="31">
        <f>'2 - PREENCHA AQUI'!J430</f>
        <v>0</v>
      </c>
      <c r="C426" s="31">
        <f>'2 - PREENCHA AQUI'!K430</f>
        <v>0</v>
      </c>
      <c r="D426" s="26">
        <f>'2 - PREENCHA AQUI'!L430</f>
        <v>0</v>
      </c>
      <c r="E426" s="26">
        <f>'2 - PREENCHA AQUI'!M430</f>
        <v>0</v>
      </c>
    </row>
    <row r="427" spans="1:5" x14ac:dyDescent="0.25">
      <c r="A427" s="26">
        <f>IF('2 - PREENCHA AQUI'!E431=FALSE(),0,'2 - PREENCHA AQUI'!E431)</f>
        <v>0</v>
      </c>
      <c r="B427" s="31">
        <f>'2 - PREENCHA AQUI'!J431</f>
        <v>0</v>
      </c>
      <c r="C427" s="31">
        <f>'2 - PREENCHA AQUI'!K431</f>
        <v>0</v>
      </c>
      <c r="D427" s="26">
        <f>'2 - PREENCHA AQUI'!L431</f>
        <v>0</v>
      </c>
      <c r="E427" s="26">
        <f>'2 - PREENCHA AQUI'!M431</f>
        <v>0</v>
      </c>
    </row>
    <row r="428" spans="1:5" x14ac:dyDescent="0.25">
      <c r="A428" s="26">
        <f>IF('2 - PREENCHA AQUI'!E432=FALSE(),0,'2 - PREENCHA AQUI'!E432)</f>
        <v>0</v>
      </c>
      <c r="B428" s="31">
        <f>'2 - PREENCHA AQUI'!J432</f>
        <v>0</v>
      </c>
      <c r="C428" s="31">
        <f>'2 - PREENCHA AQUI'!K432</f>
        <v>0</v>
      </c>
      <c r="D428" s="26">
        <f>'2 - PREENCHA AQUI'!L432</f>
        <v>0</v>
      </c>
      <c r="E428" s="26">
        <f>'2 - PREENCHA AQUI'!M432</f>
        <v>0</v>
      </c>
    </row>
    <row r="429" spans="1:5" x14ac:dyDescent="0.25">
      <c r="A429" s="26">
        <f>IF('2 - PREENCHA AQUI'!E433=FALSE(),0,'2 - PREENCHA AQUI'!E433)</f>
        <v>0</v>
      </c>
      <c r="B429" s="31">
        <f>'2 - PREENCHA AQUI'!J433</f>
        <v>0</v>
      </c>
      <c r="C429" s="31">
        <f>'2 - PREENCHA AQUI'!K433</f>
        <v>0</v>
      </c>
      <c r="D429" s="26">
        <f>'2 - PREENCHA AQUI'!L433</f>
        <v>0</v>
      </c>
      <c r="E429" s="26">
        <f>'2 - PREENCHA AQUI'!M433</f>
        <v>0</v>
      </c>
    </row>
    <row r="430" spans="1:5" x14ac:dyDescent="0.25">
      <c r="A430" s="26">
        <f>IF('2 - PREENCHA AQUI'!E434=FALSE(),0,'2 - PREENCHA AQUI'!E434)</f>
        <v>0</v>
      </c>
      <c r="B430" s="31">
        <f>'2 - PREENCHA AQUI'!J434</f>
        <v>0</v>
      </c>
      <c r="C430" s="31">
        <f>'2 - PREENCHA AQUI'!K434</f>
        <v>0</v>
      </c>
      <c r="D430" s="26">
        <f>'2 - PREENCHA AQUI'!L434</f>
        <v>0</v>
      </c>
      <c r="E430" s="26">
        <f>'2 - PREENCHA AQUI'!M434</f>
        <v>0</v>
      </c>
    </row>
    <row r="431" spans="1:5" x14ac:dyDescent="0.25">
      <c r="A431" s="26">
        <f>IF('2 - PREENCHA AQUI'!E435=FALSE(),0,'2 - PREENCHA AQUI'!E435)</f>
        <v>0</v>
      </c>
      <c r="B431" s="31">
        <f>'2 - PREENCHA AQUI'!J435</f>
        <v>0</v>
      </c>
      <c r="C431" s="31">
        <f>'2 - PREENCHA AQUI'!K435</f>
        <v>0</v>
      </c>
      <c r="D431" s="26">
        <f>'2 - PREENCHA AQUI'!L435</f>
        <v>0</v>
      </c>
      <c r="E431" s="26">
        <f>'2 - PREENCHA AQUI'!M435</f>
        <v>0</v>
      </c>
    </row>
    <row r="432" spans="1:5" x14ac:dyDescent="0.25">
      <c r="A432" s="26">
        <f>IF('2 - PREENCHA AQUI'!E436=FALSE(),0,'2 - PREENCHA AQUI'!E436)</f>
        <v>0</v>
      </c>
      <c r="B432" s="31">
        <f>'2 - PREENCHA AQUI'!J436</f>
        <v>0</v>
      </c>
      <c r="C432" s="31">
        <f>'2 - PREENCHA AQUI'!K436</f>
        <v>0</v>
      </c>
      <c r="D432" s="26">
        <f>'2 - PREENCHA AQUI'!L436</f>
        <v>0</v>
      </c>
      <c r="E432" s="26">
        <f>'2 - PREENCHA AQUI'!M436</f>
        <v>0</v>
      </c>
    </row>
    <row r="433" spans="1:5" x14ac:dyDescent="0.25">
      <c r="A433" s="26">
        <f>IF('2 - PREENCHA AQUI'!E437=FALSE(),0,'2 - PREENCHA AQUI'!E437)</f>
        <v>0</v>
      </c>
      <c r="B433" s="31">
        <f>'2 - PREENCHA AQUI'!J437</f>
        <v>0</v>
      </c>
      <c r="C433" s="31">
        <f>'2 - PREENCHA AQUI'!K437</f>
        <v>0</v>
      </c>
      <c r="D433" s="26">
        <f>'2 - PREENCHA AQUI'!L437</f>
        <v>0</v>
      </c>
      <c r="E433" s="26">
        <f>'2 - PREENCHA AQUI'!M437</f>
        <v>0</v>
      </c>
    </row>
    <row r="434" spans="1:5" x14ac:dyDescent="0.25">
      <c r="A434" s="26">
        <f>IF('2 - PREENCHA AQUI'!E438=FALSE(),0,'2 - PREENCHA AQUI'!E438)</f>
        <v>0</v>
      </c>
      <c r="B434" s="31">
        <f>'2 - PREENCHA AQUI'!J438</f>
        <v>0</v>
      </c>
      <c r="C434" s="31">
        <f>'2 - PREENCHA AQUI'!K438</f>
        <v>0</v>
      </c>
      <c r="D434" s="26">
        <f>'2 - PREENCHA AQUI'!L438</f>
        <v>0</v>
      </c>
      <c r="E434" s="26">
        <f>'2 - PREENCHA AQUI'!M438</f>
        <v>0</v>
      </c>
    </row>
    <row r="435" spans="1:5" x14ac:dyDescent="0.25">
      <c r="A435" s="26">
        <f>IF('2 - PREENCHA AQUI'!E439=FALSE(),0,'2 - PREENCHA AQUI'!E439)</f>
        <v>0</v>
      </c>
      <c r="B435" s="31">
        <f>'2 - PREENCHA AQUI'!J439</f>
        <v>0</v>
      </c>
      <c r="C435" s="31">
        <f>'2 - PREENCHA AQUI'!K439</f>
        <v>0</v>
      </c>
      <c r="D435" s="26">
        <f>'2 - PREENCHA AQUI'!L439</f>
        <v>0</v>
      </c>
      <c r="E435" s="26">
        <f>'2 - PREENCHA AQUI'!M439</f>
        <v>0</v>
      </c>
    </row>
    <row r="436" spans="1:5" x14ac:dyDescent="0.25">
      <c r="A436" s="26">
        <f>IF('2 - PREENCHA AQUI'!E440=FALSE(),0,'2 - PREENCHA AQUI'!E440)</f>
        <v>0</v>
      </c>
      <c r="B436" s="31">
        <f>'2 - PREENCHA AQUI'!J440</f>
        <v>0</v>
      </c>
      <c r="C436" s="31">
        <f>'2 - PREENCHA AQUI'!K440</f>
        <v>0</v>
      </c>
      <c r="D436" s="26">
        <f>'2 - PREENCHA AQUI'!L440</f>
        <v>0</v>
      </c>
      <c r="E436" s="26">
        <f>'2 - PREENCHA AQUI'!M440</f>
        <v>0</v>
      </c>
    </row>
    <row r="437" spans="1:5" x14ac:dyDescent="0.25">
      <c r="A437" s="26">
        <f>IF('2 - PREENCHA AQUI'!E441=FALSE(),0,'2 - PREENCHA AQUI'!E441)</f>
        <v>0</v>
      </c>
      <c r="B437" s="31">
        <f>'2 - PREENCHA AQUI'!J441</f>
        <v>0</v>
      </c>
      <c r="C437" s="31">
        <f>'2 - PREENCHA AQUI'!K441</f>
        <v>0</v>
      </c>
      <c r="D437" s="26">
        <f>'2 - PREENCHA AQUI'!L441</f>
        <v>0</v>
      </c>
      <c r="E437" s="26">
        <f>'2 - PREENCHA AQUI'!M441</f>
        <v>0</v>
      </c>
    </row>
    <row r="438" spans="1:5" x14ac:dyDescent="0.25">
      <c r="A438" s="26">
        <f>IF('2 - PREENCHA AQUI'!E442=FALSE(),0,'2 - PREENCHA AQUI'!E442)</f>
        <v>0</v>
      </c>
      <c r="B438" s="31">
        <f>'2 - PREENCHA AQUI'!J442</f>
        <v>0</v>
      </c>
      <c r="C438" s="31">
        <f>'2 - PREENCHA AQUI'!K442</f>
        <v>0</v>
      </c>
      <c r="D438" s="26">
        <f>'2 - PREENCHA AQUI'!L442</f>
        <v>0</v>
      </c>
      <c r="E438" s="26">
        <f>'2 - PREENCHA AQUI'!M442</f>
        <v>0</v>
      </c>
    </row>
    <row r="439" spans="1:5" x14ac:dyDescent="0.25">
      <c r="A439" s="26">
        <f>IF('2 - PREENCHA AQUI'!E443=FALSE(),0,'2 - PREENCHA AQUI'!E443)</f>
        <v>0</v>
      </c>
      <c r="B439" s="31">
        <f>'2 - PREENCHA AQUI'!J443</f>
        <v>0</v>
      </c>
      <c r="C439" s="31">
        <f>'2 - PREENCHA AQUI'!K443</f>
        <v>0</v>
      </c>
      <c r="D439" s="26">
        <f>'2 - PREENCHA AQUI'!L443</f>
        <v>0</v>
      </c>
      <c r="E439" s="26">
        <f>'2 - PREENCHA AQUI'!M443</f>
        <v>0</v>
      </c>
    </row>
    <row r="440" spans="1:5" x14ac:dyDescent="0.25">
      <c r="A440" s="26">
        <f>IF('2 - PREENCHA AQUI'!E444=FALSE(),0,'2 - PREENCHA AQUI'!E444)</f>
        <v>0</v>
      </c>
      <c r="B440" s="31">
        <f>'2 - PREENCHA AQUI'!J444</f>
        <v>0</v>
      </c>
      <c r="C440" s="31">
        <f>'2 - PREENCHA AQUI'!K444</f>
        <v>0</v>
      </c>
      <c r="D440" s="26">
        <f>'2 - PREENCHA AQUI'!L444</f>
        <v>0</v>
      </c>
      <c r="E440" s="26">
        <f>'2 - PREENCHA AQUI'!M444</f>
        <v>0</v>
      </c>
    </row>
    <row r="441" spans="1:5" x14ac:dyDescent="0.25">
      <c r="A441" s="26">
        <f>IF('2 - PREENCHA AQUI'!E445=FALSE(),0,'2 - PREENCHA AQUI'!E445)</f>
        <v>0</v>
      </c>
      <c r="B441" s="31">
        <f>'2 - PREENCHA AQUI'!J445</f>
        <v>0</v>
      </c>
      <c r="C441" s="31">
        <f>'2 - PREENCHA AQUI'!K445</f>
        <v>0</v>
      </c>
      <c r="D441" s="26">
        <f>'2 - PREENCHA AQUI'!L445</f>
        <v>0</v>
      </c>
      <c r="E441" s="26">
        <f>'2 - PREENCHA AQUI'!M445</f>
        <v>0</v>
      </c>
    </row>
    <row r="442" spans="1:5" x14ac:dyDescent="0.25">
      <c r="A442" s="26">
        <f>IF('2 - PREENCHA AQUI'!E446=FALSE(),0,'2 - PREENCHA AQUI'!E446)</f>
        <v>0</v>
      </c>
      <c r="B442" s="31">
        <f>'2 - PREENCHA AQUI'!J446</f>
        <v>0</v>
      </c>
      <c r="C442" s="31">
        <f>'2 - PREENCHA AQUI'!K446</f>
        <v>0</v>
      </c>
      <c r="D442" s="26">
        <f>'2 - PREENCHA AQUI'!L446</f>
        <v>0</v>
      </c>
      <c r="E442" s="26">
        <f>'2 - PREENCHA AQUI'!M446</f>
        <v>0</v>
      </c>
    </row>
    <row r="443" spans="1:5" x14ac:dyDescent="0.25">
      <c r="A443" s="26">
        <f>IF('2 - PREENCHA AQUI'!E447=FALSE(),0,'2 - PREENCHA AQUI'!E447)</f>
        <v>0</v>
      </c>
      <c r="B443" s="31">
        <f>'2 - PREENCHA AQUI'!J447</f>
        <v>0</v>
      </c>
      <c r="C443" s="31">
        <f>'2 - PREENCHA AQUI'!K447</f>
        <v>0</v>
      </c>
      <c r="D443" s="26">
        <f>'2 - PREENCHA AQUI'!L447</f>
        <v>0</v>
      </c>
      <c r="E443" s="26">
        <f>'2 - PREENCHA AQUI'!M447</f>
        <v>0</v>
      </c>
    </row>
    <row r="444" spans="1:5" x14ac:dyDescent="0.25">
      <c r="A444" s="26">
        <f>IF('2 - PREENCHA AQUI'!E448=FALSE(),0,'2 - PREENCHA AQUI'!E448)</f>
        <v>0</v>
      </c>
      <c r="B444" s="31">
        <f>'2 - PREENCHA AQUI'!J448</f>
        <v>0</v>
      </c>
      <c r="C444" s="31">
        <f>'2 - PREENCHA AQUI'!K448</f>
        <v>0</v>
      </c>
      <c r="D444" s="26">
        <f>'2 - PREENCHA AQUI'!L448</f>
        <v>0</v>
      </c>
      <c r="E444" s="26">
        <f>'2 - PREENCHA AQUI'!M448</f>
        <v>0</v>
      </c>
    </row>
    <row r="445" spans="1:5" x14ac:dyDescent="0.25">
      <c r="A445" s="26">
        <f>IF('2 - PREENCHA AQUI'!E449=FALSE(),0,'2 - PREENCHA AQUI'!E449)</f>
        <v>0</v>
      </c>
      <c r="B445" s="31">
        <f>'2 - PREENCHA AQUI'!J449</f>
        <v>0</v>
      </c>
      <c r="C445" s="31">
        <f>'2 - PREENCHA AQUI'!K449</f>
        <v>0</v>
      </c>
      <c r="D445" s="26">
        <f>'2 - PREENCHA AQUI'!L449</f>
        <v>0</v>
      </c>
      <c r="E445" s="26">
        <f>'2 - PREENCHA AQUI'!M449</f>
        <v>0</v>
      </c>
    </row>
    <row r="446" spans="1:5" x14ac:dyDescent="0.25">
      <c r="A446" s="26">
        <f>IF('2 - PREENCHA AQUI'!E450=FALSE(),0,'2 - PREENCHA AQUI'!E450)</f>
        <v>0</v>
      </c>
      <c r="B446" s="31">
        <f>'2 - PREENCHA AQUI'!J450</f>
        <v>0</v>
      </c>
      <c r="C446" s="31">
        <f>'2 - PREENCHA AQUI'!K450</f>
        <v>0</v>
      </c>
      <c r="D446" s="26">
        <f>'2 - PREENCHA AQUI'!L450</f>
        <v>0</v>
      </c>
      <c r="E446" s="26">
        <f>'2 - PREENCHA AQUI'!M450</f>
        <v>0</v>
      </c>
    </row>
    <row r="447" spans="1:5" x14ac:dyDescent="0.25">
      <c r="A447" s="26">
        <f>IF('2 - PREENCHA AQUI'!E451=FALSE(),0,'2 - PREENCHA AQUI'!E451)</f>
        <v>0</v>
      </c>
      <c r="B447" s="31">
        <f>'2 - PREENCHA AQUI'!J451</f>
        <v>0</v>
      </c>
      <c r="C447" s="31">
        <f>'2 - PREENCHA AQUI'!K451</f>
        <v>0</v>
      </c>
      <c r="D447" s="26">
        <f>'2 - PREENCHA AQUI'!L451</f>
        <v>0</v>
      </c>
      <c r="E447" s="26">
        <f>'2 - PREENCHA AQUI'!M451</f>
        <v>0</v>
      </c>
    </row>
    <row r="448" spans="1:5" x14ac:dyDescent="0.25">
      <c r="A448" s="26">
        <f>IF('2 - PREENCHA AQUI'!E452=FALSE(),0,'2 - PREENCHA AQUI'!E452)</f>
        <v>0</v>
      </c>
      <c r="B448" s="31">
        <f>'2 - PREENCHA AQUI'!J452</f>
        <v>0</v>
      </c>
      <c r="C448" s="31">
        <f>'2 - PREENCHA AQUI'!K452</f>
        <v>0</v>
      </c>
      <c r="D448" s="26">
        <f>'2 - PREENCHA AQUI'!L452</f>
        <v>0</v>
      </c>
      <c r="E448" s="26">
        <f>'2 - PREENCHA AQUI'!M452</f>
        <v>0</v>
      </c>
    </row>
    <row r="449" spans="1:5" x14ac:dyDescent="0.25">
      <c r="A449" s="26">
        <f>IF('2 - PREENCHA AQUI'!E453=FALSE(),0,'2 - PREENCHA AQUI'!E453)</f>
        <v>0</v>
      </c>
      <c r="B449" s="31">
        <f>'2 - PREENCHA AQUI'!J453</f>
        <v>0</v>
      </c>
      <c r="C449" s="31">
        <f>'2 - PREENCHA AQUI'!K453</f>
        <v>0</v>
      </c>
      <c r="D449" s="26">
        <f>'2 - PREENCHA AQUI'!L453</f>
        <v>0</v>
      </c>
      <c r="E449" s="26">
        <f>'2 - PREENCHA AQUI'!M453</f>
        <v>0</v>
      </c>
    </row>
    <row r="450" spans="1:5" x14ac:dyDescent="0.25">
      <c r="A450" s="26">
        <f>IF('2 - PREENCHA AQUI'!E454=FALSE(),0,'2 - PREENCHA AQUI'!E454)</f>
        <v>0</v>
      </c>
      <c r="B450" s="31">
        <f>'2 - PREENCHA AQUI'!J454</f>
        <v>0</v>
      </c>
      <c r="C450" s="31">
        <f>'2 - PREENCHA AQUI'!K454</f>
        <v>0</v>
      </c>
      <c r="D450" s="26">
        <f>'2 - PREENCHA AQUI'!L454</f>
        <v>0</v>
      </c>
      <c r="E450" s="26">
        <f>'2 - PREENCHA AQUI'!M454</f>
        <v>0</v>
      </c>
    </row>
    <row r="451" spans="1:5" x14ac:dyDescent="0.25">
      <c r="A451" s="26">
        <f>IF('2 - PREENCHA AQUI'!E455=FALSE(),0,'2 - PREENCHA AQUI'!E455)</f>
        <v>0</v>
      </c>
      <c r="B451" s="31">
        <f>'2 - PREENCHA AQUI'!J455</f>
        <v>0</v>
      </c>
      <c r="C451" s="31">
        <f>'2 - PREENCHA AQUI'!K455</f>
        <v>0</v>
      </c>
      <c r="D451" s="26">
        <f>'2 - PREENCHA AQUI'!L455</f>
        <v>0</v>
      </c>
      <c r="E451" s="26">
        <f>'2 - PREENCHA AQUI'!M455</f>
        <v>0</v>
      </c>
    </row>
    <row r="452" spans="1:5" x14ac:dyDescent="0.25">
      <c r="A452" s="26">
        <f>IF('2 - PREENCHA AQUI'!E456=FALSE(),0,'2 - PREENCHA AQUI'!E456)</f>
        <v>0</v>
      </c>
      <c r="B452" s="31">
        <f>'2 - PREENCHA AQUI'!J456</f>
        <v>0</v>
      </c>
      <c r="C452" s="31">
        <f>'2 - PREENCHA AQUI'!K456</f>
        <v>0</v>
      </c>
      <c r="D452" s="26">
        <f>'2 - PREENCHA AQUI'!L456</f>
        <v>0</v>
      </c>
      <c r="E452" s="26">
        <f>'2 - PREENCHA AQUI'!M456</f>
        <v>0</v>
      </c>
    </row>
    <row r="453" spans="1:5" x14ac:dyDescent="0.25">
      <c r="A453" s="26">
        <f>IF('2 - PREENCHA AQUI'!E457=FALSE(),0,'2 - PREENCHA AQUI'!E457)</f>
        <v>0</v>
      </c>
      <c r="B453" s="31">
        <f>'2 - PREENCHA AQUI'!J457</f>
        <v>0</v>
      </c>
      <c r="C453" s="31">
        <f>'2 - PREENCHA AQUI'!K457</f>
        <v>0</v>
      </c>
      <c r="D453" s="26">
        <f>'2 - PREENCHA AQUI'!L457</f>
        <v>0</v>
      </c>
      <c r="E453" s="26">
        <f>'2 - PREENCHA AQUI'!M457</f>
        <v>0</v>
      </c>
    </row>
    <row r="454" spans="1:5" x14ac:dyDescent="0.25">
      <c r="A454" s="26">
        <f>IF('2 - PREENCHA AQUI'!E458=FALSE(),0,'2 - PREENCHA AQUI'!E458)</f>
        <v>0</v>
      </c>
      <c r="B454" s="31">
        <f>'2 - PREENCHA AQUI'!J458</f>
        <v>0</v>
      </c>
      <c r="C454" s="31">
        <f>'2 - PREENCHA AQUI'!K458</f>
        <v>0</v>
      </c>
      <c r="D454" s="26">
        <f>'2 - PREENCHA AQUI'!L458</f>
        <v>0</v>
      </c>
      <c r="E454" s="26">
        <f>'2 - PREENCHA AQUI'!M458</f>
        <v>0</v>
      </c>
    </row>
    <row r="455" spans="1:5" x14ac:dyDescent="0.25">
      <c r="A455" s="26">
        <f>IF('2 - PREENCHA AQUI'!E459=FALSE(),0,'2 - PREENCHA AQUI'!E459)</f>
        <v>0</v>
      </c>
      <c r="B455" s="31">
        <f>'2 - PREENCHA AQUI'!J459</f>
        <v>0</v>
      </c>
      <c r="C455" s="31">
        <f>'2 - PREENCHA AQUI'!K459</f>
        <v>0</v>
      </c>
      <c r="D455" s="26">
        <f>'2 - PREENCHA AQUI'!L459</f>
        <v>0</v>
      </c>
      <c r="E455" s="26">
        <f>'2 - PREENCHA AQUI'!M459</f>
        <v>0</v>
      </c>
    </row>
    <row r="456" spans="1:5" x14ac:dyDescent="0.25">
      <c r="A456" s="26">
        <f>IF('2 - PREENCHA AQUI'!E460=FALSE(),0,'2 - PREENCHA AQUI'!E460)</f>
        <v>0</v>
      </c>
      <c r="B456" s="31">
        <f>'2 - PREENCHA AQUI'!J460</f>
        <v>0</v>
      </c>
      <c r="C456" s="31">
        <f>'2 - PREENCHA AQUI'!K460</f>
        <v>0</v>
      </c>
      <c r="D456" s="26">
        <f>'2 - PREENCHA AQUI'!L460</f>
        <v>0</v>
      </c>
      <c r="E456" s="26">
        <f>'2 - PREENCHA AQUI'!M460</f>
        <v>0</v>
      </c>
    </row>
    <row r="457" spans="1:5" x14ac:dyDescent="0.25">
      <c r="A457" s="26">
        <f>IF('2 - PREENCHA AQUI'!E461=FALSE(),0,'2 - PREENCHA AQUI'!E461)</f>
        <v>0</v>
      </c>
      <c r="B457" s="31">
        <f>'2 - PREENCHA AQUI'!J461</f>
        <v>0</v>
      </c>
      <c r="C457" s="31">
        <f>'2 - PREENCHA AQUI'!K461</f>
        <v>0</v>
      </c>
      <c r="D457" s="26">
        <f>'2 - PREENCHA AQUI'!L461</f>
        <v>0</v>
      </c>
      <c r="E457" s="26">
        <f>'2 - PREENCHA AQUI'!M461</f>
        <v>0</v>
      </c>
    </row>
    <row r="458" spans="1:5" x14ac:dyDescent="0.25">
      <c r="A458" s="26">
        <f>IF('2 - PREENCHA AQUI'!E462=FALSE(),0,'2 - PREENCHA AQUI'!E462)</f>
        <v>0</v>
      </c>
      <c r="B458" s="31">
        <f>'2 - PREENCHA AQUI'!J462</f>
        <v>0</v>
      </c>
      <c r="C458" s="31">
        <f>'2 - PREENCHA AQUI'!K462</f>
        <v>0</v>
      </c>
      <c r="D458" s="26">
        <f>'2 - PREENCHA AQUI'!L462</f>
        <v>0</v>
      </c>
      <c r="E458" s="26">
        <f>'2 - PREENCHA AQUI'!M462</f>
        <v>0</v>
      </c>
    </row>
    <row r="459" spans="1:5" x14ac:dyDescent="0.25">
      <c r="A459" s="26">
        <f>IF('2 - PREENCHA AQUI'!E463=FALSE(),0,'2 - PREENCHA AQUI'!E463)</f>
        <v>0</v>
      </c>
      <c r="B459" s="31">
        <f>'2 - PREENCHA AQUI'!J463</f>
        <v>0</v>
      </c>
      <c r="C459" s="31">
        <f>'2 - PREENCHA AQUI'!K463</f>
        <v>0</v>
      </c>
      <c r="D459" s="26">
        <f>'2 - PREENCHA AQUI'!L463</f>
        <v>0</v>
      </c>
      <c r="E459" s="26">
        <f>'2 - PREENCHA AQUI'!M463</f>
        <v>0</v>
      </c>
    </row>
    <row r="460" spans="1:5" x14ac:dyDescent="0.25">
      <c r="A460" s="26">
        <f>IF('2 - PREENCHA AQUI'!E464=FALSE(),0,'2 - PREENCHA AQUI'!E464)</f>
        <v>0</v>
      </c>
      <c r="B460" s="31">
        <f>'2 - PREENCHA AQUI'!J464</f>
        <v>0</v>
      </c>
      <c r="C460" s="31">
        <f>'2 - PREENCHA AQUI'!K464</f>
        <v>0</v>
      </c>
      <c r="D460" s="26">
        <f>'2 - PREENCHA AQUI'!L464</f>
        <v>0</v>
      </c>
      <c r="E460" s="26">
        <f>'2 - PREENCHA AQUI'!M464</f>
        <v>0</v>
      </c>
    </row>
    <row r="461" spans="1:5" x14ac:dyDescent="0.25">
      <c r="A461" s="26">
        <f>IF('2 - PREENCHA AQUI'!E465=FALSE(),0,'2 - PREENCHA AQUI'!E465)</f>
        <v>0</v>
      </c>
      <c r="B461" s="31">
        <f>'2 - PREENCHA AQUI'!J465</f>
        <v>0</v>
      </c>
      <c r="C461" s="31">
        <f>'2 - PREENCHA AQUI'!K465</f>
        <v>0</v>
      </c>
      <c r="D461" s="26">
        <f>'2 - PREENCHA AQUI'!L465</f>
        <v>0</v>
      </c>
      <c r="E461" s="26">
        <f>'2 - PREENCHA AQUI'!M465</f>
        <v>0</v>
      </c>
    </row>
    <row r="462" spans="1:5" x14ac:dyDescent="0.25">
      <c r="A462" s="26">
        <f>IF('2 - PREENCHA AQUI'!E466=FALSE(),0,'2 - PREENCHA AQUI'!E466)</f>
        <v>0</v>
      </c>
      <c r="B462" s="31">
        <f>'2 - PREENCHA AQUI'!J466</f>
        <v>0</v>
      </c>
      <c r="C462" s="31">
        <f>'2 - PREENCHA AQUI'!K466</f>
        <v>0</v>
      </c>
      <c r="D462" s="26">
        <f>'2 - PREENCHA AQUI'!L466</f>
        <v>0</v>
      </c>
      <c r="E462" s="26">
        <f>'2 - PREENCHA AQUI'!M466</f>
        <v>0</v>
      </c>
    </row>
    <row r="463" spans="1:5" x14ac:dyDescent="0.25">
      <c r="A463" s="26">
        <f>IF('2 - PREENCHA AQUI'!E467=FALSE(),0,'2 - PREENCHA AQUI'!E467)</f>
        <v>0</v>
      </c>
      <c r="B463" s="31">
        <f>'2 - PREENCHA AQUI'!J467</f>
        <v>0</v>
      </c>
      <c r="C463" s="31">
        <f>'2 - PREENCHA AQUI'!K467</f>
        <v>0</v>
      </c>
      <c r="D463" s="26">
        <f>'2 - PREENCHA AQUI'!L467</f>
        <v>0</v>
      </c>
      <c r="E463" s="26">
        <f>'2 - PREENCHA AQUI'!M467</f>
        <v>0</v>
      </c>
    </row>
    <row r="464" spans="1:5" x14ac:dyDescent="0.25">
      <c r="A464" s="26">
        <f>IF('2 - PREENCHA AQUI'!E468=FALSE(),0,'2 - PREENCHA AQUI'!E468)</f>
        <v>0</v>
      </c>
      <c r="B464" s="31">
        <f>'2 - PREENCHA AQUI'!J468</f>
        <v>0</v>
      </c>
      <c r="C464" s="31">
        <f>'2 - PREENCHA AQUI'!K468</f>
        <v>0</v>
      </c>
      <c r="D464" s="26">
        <f>'2 - PREENCHA AQUI'!L468</f>
        <v>0</v>
      </c>
      <c r="E464" s="26">
        <f>'2 - PREENCHA AQUI'!M468</f>
        <v>0</v>
      </c>
    </row>
    <row r="465" spans="1:5" x14ac:dyDescent="0.25">
      <c r="A465" s="26">
        <f>IF('2 - PREENCHA AQUI'!E469=FALSE(),0,'2 - PREENCHA AQUI'!E469)</f>
        <v>0</v>
      </c>
      <c r="B465" s="31">
        <f>'2 - PREENCHA AQUI'!J469</f>
        <v>0</v>
      </c>
      <c r="C465" s="31">
        <f>'2 - PREENCHA AQUI'!K469</f>
        <v>0</v>
      </c>
      <c r="D465" s="26">
        <f>'2 - PREENCHA AQUI'!L469</f>
        <v>0</v>
      </c>
      <c r="E465" s="26">
        <f>'2 - PREENCHA AQUI'!M469</f>
        <v>0</v>
      </c>
    </row>
    <row r="466" spans="1:5" x14ac:dyDescent="0.25">
      <c r="A466" s="26">
        <f>IF('2 - PREENCHA AQUI'!E470=FALSE(),0,'2 - PREENCHA AQUI'!E470)</f>
        <v>0</v>
      </c>
      <c r="B466" s="31">
        <f>'2 - PREENCHA AQUI'!J470</f>
        <v>0</v>
      </c>
      <c r="C466" s="31">
        <f>'2 - PREENCHA AQUI'!K470</f>
        <v>0</v>
      </c>
      <c r="D466" s="26">
        <f>'2 - PREENCHA AQUI'!L470</f>
        <v>0</v>
      </c>
      <c r="E466" s="26">
        <f>'2 - PREENCHA AQUI'!M470</f>
        <v>0</v>
      </c>
    </row>
    <row r="467" spans="1:5" x14ac:dyDescent="0.25">
      <c r="A467" s="26">
        <f>IF('2 - PREENCHA AQUI'!E471=FALSE(),0,'2 - PREENCHA AQUI'!E471)</f>
        <v>0</v>
      </c>
      <c r="B467" s="31">
        <f>'2 - PREENCHA AQUI'!J471</f>
        <v>0</v>
      </c>
      <c r="C467" s="31">
        <f>'2 - PREENCHA AQUI'!K471</f>
        <v>0</v>
      </c>
      <c r="D467" s="26">
        <f>'2 - PREENCHA AQUI'!L471</f>
        <v>0</v>
      </c>
      <c r="E467" s="26">
        <f>'2 - PREENCHA AQUI'!M471</f>
        <v>0</v>
      </c>
    </row>
    <row r="468" spans="1:5" x14ac:dyDescent="0.25">
      <c r="A468" s="26">
        <f>IF('2 - PREENCHA AQUI'!E472=FALSE(),0,'2 - PREENCHA AQUI'!E472)</f>
        <v>0</v>
      </c>
      <c r="B468" s="31">
        <f>'2 - PREENCHA AQUI'!J472</f>
        <v>0</v>
      </c>
      <c r="C468" s="31">
        <f>'2 - PREENCHA AQUI'!K472</f>
        <v>0</v>
      </c>
      <c r="D468" s="26">
        <f>'2 - PREENCHA AQUI'!L472</f>
        <v>0</v>
      </c>
      <c r="E468" s="26">
        <f>'2 - PREENCHA AQUI'!M472</f>
        <v>0</v>
      </c>
    </row>
    <row r="469" spans="1:5" x14ac:dyDescent="0.25">
      <c r="A469" s="26">
        <f>IF('2 - PREENCHA AQUI'!E473=FALSE(),0,'2 - PREENCHA AQUI'!E473)</f>
        <v>0</v>
      </c>
      <c r="B469" s="31">
        <f>'2 - PREENCHA AQUI'!J473</f>
        <v>0</v>
      </c>
      <c r="C469" s="31">
        <f>'2 - PREENCHA AQUI'!K473</f>
        <v>0</v>
      </c>
      <c r="D469" s="26">
        <f>'2 - PREENCHA AQUI'!L473</f>
        <v>0</v>
      </c>
      <c r="E469" s="26">
        <f>'2 - PREENCHA AQUI'!M473</f>
        <v>0</v>
      </c>
    </row>
    <row r="470" spans="1:5" x14ac:dyDescent="0.25">
      <c r="A470" s="26">
        <f>IF('2 - PREENCHA AQUI'!E474=FALSE(),0,'2 - PREENCHA AQUI'!E474)</f>
        <v>0</v>
      </c>
      <c r="B470" s="31">
        <f>'2 - PREENCHA AQUI'!J474</f>
        <v>0</v>
      </c>
      <c r="C470" s="31">
        <f>'2 - PREENCHA AQUI'!K474</f>
        <v>0</v>
      </c>
      <c r="D470" s="26">
        <f>'2 - PREENCHA AQUI'!L474</f>
        <v>0</v>
      </c>
      <c r="E470" s="26">
        <f>'2 - PREENCHA AQUI'!M474</f>
        <v>0</v>
      </c>
    </row>
    <row r="471" spans="1:5" x14ac:dyDescent="0.25">
      <c r="A471" s="26">
        <f>IF('2 - PREENCHA AQUI'!E475=FALSE(),0,'2 - PREENCHA AQUI'!E475)</f>
        <v>0</v>
      </c>
      <c r="B471" s="31">
        <f>'2 - PREENCHA AQUI'!J475</f>
        <v>0</v>
      </c>
      <c r="C471" s="31">
        <f>'2 - PREENCHA AQUI'!K475</f>
        <v>0</v>
      </c>
      <c r="D471" s="26">
        <f>'2 - PREENCHA AQUI'!L475</f>
        <v>0</v>
      </c>
      <c r="E471" s="26">
        <f>'2 - PREENCHA AQUI'!M475</f>
        <v>0</v>
      </c>
    </row>
    <row r="472" spans="1:5" x14ac:dyDescent="0.25">
      <c r="A472" s="26">
        <f>IF('2 - PREENCHA AQUI'!E476=FALSE(),0,'2 - PREENCHA AQUI'!E476)</f>
        <v>0</v>
      </c>
      <c r="B472" s="31">
        <f>'2 - PREENCHA AQUI'!J476</f>
        <v>0</v>
      </c>
      <c r="C472" s="31">
        <f>'2 - PREENCHA AQUI'!K476</f>
        <v>0</v>
      </c>
      <c r="D472" s="26">
        <f>'2 - PREENCHA AQUI'!L476</f>
        <v>0</v>
      </c>
      <c r="E472" s="26">
        <f>'2 - PREENCHA AQUI'!M476</f>
        <v>0</v>
      </c>
    </row>
    <row r="473" spans="1:5" x14ac:dyDescent="0.25">
      <c r="A473" s="26">
        <f>IF('2 - PREENCHA AQUI'!E477=FALSE(),0,'2 - PREENCHA AQUI'!E477)</f>
        <v>0</v>
      </c>
      <c r="B473" s="31">
        <f>'2 - PREENCHA AQUI'!J477</f>
        <v>0</v>
      </c>
      <c r="C473" s="31">
        <f>'2 - PREENCHA AQUI'!K477</f>
        <v>0</v>
      </c>
      <c r="D473" s="26">
        <f>'2 - PREENCHA AQUI'!L477</f>
        <v>0</v>
      </c>
      <c r="E473" s="26">
        <f>'2 - PREENCHA AQUI'!M477</f>
        <v>0</v>
      </c>
    </row>
    <row r="474" spans="1:5" x14ac:dyDescent="0.25">
      <c r="A474" s="26">
        <f>IF('2 - PREENCHA AQUI'!E478=FALSE(),0,'2 - PREENCHA AQUI'!E478)</f>
        <v>0</v>
      </c>
      <c r="B474" s="31">
        <f>'2 - PREENCHA AQUI'!J478</f>
        <v>0</v>
      </c>
      <c r="C474" s="31">
        <f>'2 - PREENCHA AQUI'!K478</f>
        <v>0</v>
      </c>
      <c r="D474" s="26">
        <f>'2 - PREENCHA AQUI'!L478</f>
        <v>0</v>
      </c>
      <c r="E474" s="26">
        <f>'2 - PREENCHA AQUI'!M478</f>
        <v>0</v>
      </c>
    </row>
    <row r="475" spans="1:5" x14ac:dyDescent="0.25">
      <c r="A475" s="26">
        <f>IF('2 - PREENCHA AQUI'!E479=FALSE(),0,'2 - PREENCHA AQUI'!E479)</f>
        <v>0</v>
      </c>
      <c r="B475" s="31">
        <f>'2 - PREENCHA AQUI'!J479</f>
        <v>0</v>
      </c>
      <c r="C475" s="31">
        <f>'2 - PREENCHA AQUI'!K479</f>
        <v>0</v>
      </c>
      <c r="D475" s="26">
        <f>'2 - PREENCHA AQUI'!L479</f>
        <v>0</v>
      </c>
      <c r="E475" s="26">
        <f>'2 - PREENCHA AQUI'!M479</f>
        <v>0</v>
      </c>
    </row>
    <row r="476" spans="1:5" x14ac:dyDescent="0.25">
      <c r="A476" s="26">
        <f>IF('2 - PREENCHA AQUI'!E480=FALSE(),0,'2 - PREENCHA AQUI'!E480)</f>
        <v>0</v>
      </c>
      <c r="B476" s="31">
        <f>'2 - PREENCHA AQUI'!J480</f>
        <v>0</v>
      </c>
      <c r="C476" s="31">
        <f>'2 - PREENCHA AQUI'!K480</f>
        <v>0</v>
      </c>
      <c r="D476" s="26">
        <f>'2 - PREENCHA AQUI'!L480</f>
        <v>0</v>
      </c>
      <c r="E476" s="26">
        <f>'2 - PREENCHA AQUI'!M480</f>
        <v>0</v>
      </c>
    </row>
    <row r="477" spans="1:5" x14ac:dyDescent="0.25">
      <c r="A477" s="26">
        <f>IF('2 - PREENCHA AQUI'!E481=FALSE(),0,'2 - PREENCHA AQUI'!E481)</f>
        <v>0</v>
      </c>
      <c r="B477" s="31">
        <f>'2 - PREENCHA AQUI'!J481</f>
        <v>0</v>
      </c>
      <c r="C477" s="31">
        <f>'2 - PREENCHA AQUI'!K481</f>
        <v>0</v>
      </c>
      <c r="D477" s="26">
        <f>'2 - PREENCHA AQUI'!L481</f>
        <v>0</v>
      </c>
      <c r="E477" s="26">
        <f>'2 - PREENCHA AQUI'!M481</f>
        <v>0</v>
      </c>
    </row>
    <row r="478" spans="1:5" x14ac:dyDescent="0.25">
      <c r="A478" s="26">
        <f>IF('2 - PREENCHA AQUI'!E482=FALSE(),0,'2 - PREENCHA AQUI'!E482)</f>
        <v>0</v>
      </c>
      <c r="B478" s="31">
        <f>'2 - PREENCHA AQUI'!J482</f>
        <v>0</v>
      </c>
      <c r="C478" s="31">
        <f>'2 - PREENCHA AQUI'!K482</f>
        <v>0</v>
      </c>
      <c r="D478" s="26">
        <f>'2 - PREENCHA AQUI'!L482</f>
        <v>0</v>
      </c>
      <c r="E478" s="26">
        <f>'2 - PREENCHA AQUI'!M482</f>
        <v>0</v>
      </c>
    </row>
    <row r="479" spans="1:5" x14ac:dyDescent="0.25">
      <c r="A479" s="26">
        <f>IF('2 - PREENCHA AQUI'!E483=FALSE(),0,'2 - PREENCHA AQUI'!E483)</f>
        <v>0</v>
      </c>
      <c r="B479" s="31">
        <f>'2 - PREENCHA AQUI'!J483</f>
        <v>0</v>
      </c>
      <c r="C479" s="31">
        <f>'2 - PREENCHA AQUI'!K483</f>
        <v>0</v>
      </c>
      <c r="D479" s="26">
        <f>'2 - PREENCHA AQUI'!L483</f>
        <v>0</v>
      </c>
      <c r="E479" s="26">
        <f>'2 - PREENCHA AQUI'!M483</f>
        <v>0</v>
      </c>
    </row>
    <row r="480" spans="1:5" x14ac:dyDescent="0.25">
      <c r="A480" s="26">
        <f>IF('2 - PREENCHA AQUI'!E484=FALSE(),0,'2 - PREENCHA AQUI'!E484)</f>
        <v>0</v>
      </c>
      <c r="B480" s="31">
        <f>'2 - PREENCHA AQUI'!J484</f>
        <v>0</v>
      </c>
      <c r="C480" s="31">
        <f>'2 - PREENCHA AQUI'!K484</f>
        <v>0</v>
      </c>
      <c r="D480" s="26">
        <f>'2 - PREENCHA AQUI'!L484</f>
        <v>0</v>
      </c>
      <c r="E480" s="26">
        <f>'2 - PREENCHA AQUI'!M484</f>
        <v>0</v>
      </c>
    </row>
    <row r="481" spans="1:5" x14ac:dyDescent="0.25">
      <c r="A481" s="26">
        <f>IF('2 - PREENCHA AQUI'!E485=FALSE(),0,'2 - PREENCHA AQUI'!E485)</f>
        <v>0</v>
      </c>
      <c r="B481" s="31">
        <f>'2 - PREENCHA AQUI'!J485</f>
        <v>0</v>
      </c>
      <c r="C481" s="31">
        <f>'2 - PREENCHA AQUI'!K485</f>
        <v>0</v>
      </c>
      <c r="D481" s="26">
        <f>'2 - PREENCHA AQUI'!L485</f>
        <v>0</v>
      </c>
      <c r="E481" s="26">
        <f>'2 - PREENCHA AQUI'!M485</f>
        <v>0</v>
      </c>
    </row>
    <row r="482" spans="1:5" x14ac:dyDescent="0.25">
      <c r="A482" s="26">
        <f>IF('2 - PREENCHA AQUI'!E486=FALSE(),0,'2 - PREENCHA AQUI'!E486)</f>
        <v>0</v>
      </c>
      <c r="B482" s="31">
        <f>'2 - PREENCHA AQUI'!J486</f>
        <v>0</v>
      </c>
      <c r="C482" s="31">
        <f>'2 - PREENCHA AQUI'!K486</f>
        <v>0</v>
      </c>
      <c r="D482" s="26">
        <f>'2 - PREENCHA AQUI'!L486</f>
        <v>0</v>
      </c>
      <c r="E482" s="26">
        <f>'2 - PREENCHA AQUI'!M486</f>
        <v>0</v>
      </c>
    </row>
    <row r="483" spans="1:5" x14ac:dyDescent="0.25">
      <c r="A483" s="26">
        <f>IF('2 - PREENCHA AQUI'!E487=FALSE(),0,'2 - PREENCHA AQUI'!E487)</f>
        <v>0</v>
      </c>
      <c r="B483" s="31">
        <f>'2 - PREENCHA AQUI'!J487</f>
        <v>0</v>
      </c>
      <c r="C483" s="31">
        <f>'2 - PREENCHA AQUI'!K487</f>
        <v>0</v>
      </c>
      <c r="D483" s="26">
        <f>'2 - PREENCHA AQUI'!L487</f>
        <v>0</v>
      </c>
      <c r="E483" s="26">
        <f>'2 - PREENCHA AQUI'!M487</f>
        <v>0</v>
      </c>
    </row>
    <row r="484" spans="1:5" x14ac:dyDescent="0.25">
      <c r="A484" s="26">
        <f>IF('2 - PREENCHA AQUI'!E488=FALSE(),0,'2 - PREENCHA AQUI'!E488)</f>
        <v>0</v>
      </c>
      <c r="B484" s="31">
        <f>'2 - PREENCHA AQUI'!J488</f>
        <v>0</v>
      </c>
      <c r="C484" s="31">
        <f>'2 - PREENCHA AQUI'!K488</f>
        <v>0</v>
      </c>
      <c r="D484" s="26">
        <f>'2 - PREENCHA AQUI'!L488</f>
        <v>0</v>
      </c>
      <c r="E484" s="26">
        <f>'2 - PREENCHA AQUI'!M488</f>
        <v>0</v>
      </c>
    </row>
    <row r="485" spans="1:5" x14ac:dyDescent="0.25">
      <c r="A485" s="26">
        <f>IF('2 - PREENCHA AQUI'!E489=FALSE(),0,'2 - PREENCHA AQUI'!E489)</f>
        <v>0</v>
      </c>
      <c r="B485" s="31">
        <f>'2 - PREENCHA AQUI'!J489</f>
        <v>0</v>
      </c>
      <c r="C485" s="31">
        <f>'2 - PREENCHA AQUI'!K489</f>
        <v>0</v>
      </c>
      <c r="D485" s="26">
        <f>'2 - PREENCHA AQUI'!L489</f>
        <v>0</v>
      </c>
      <c r="E485" s="26">
        <f>'2 - PREENCHA AQUI'!M489</f>
        <v>0</v>
      </c>
    </row>
    <row r="486" spans="1:5" x14ac:dyDescent="0.25">
      <c r="A486" s="26">
        <f>IF('2 - PREENCHA AQUI'!E490=FALSE(),0,'2 - PREENCHA AQUI'!E490)</f>
        <v>0</v>
      </c>
      <c r="B486" s="31">
        <f>'2 - PREENCHA AQUI'!J490</f>
        <v>0</v>
      </c>
      <c r="C486" s="31">
        <f>'2 - PREENCHA AQUI'!K490</f>
        <v>0</v>
      </c>
      <c r="D486" s="26">
        <f>'2 - PREENCHA AQUI'!L490</f>
        <v>0</v>
      </c>
      <c r="E486" s="26">
        <f>'2 - PREENCHA AQUI'!M490</f>
        <v>0</v>
      </c>
    </row>
    <row r="487" spans="1:5" x14ac:dyDescent="0.25">
      <c r="A487" s="26">
        <f>IF('2 - PREENCHA AQUI'!E491=FALSE(),0,'2 - PREENCHA AQUI'!E491)</f>
        <v>0</v>
      </c>
      <c r="B487" s="31">
        <f>'2 - PREENCHA AQUI'!J491</f>
        <v>0</v>
      </c>
      <c r="C487" s="31">
        <f>'2 - PREENCHA AQUI'!K491</f>
        <v>0</v>
      </c>
      <c r="D487" s="26">
        <f>'2 - PREENCHA AQUI'!L491</f>
        <v>0</v>
      </c>
      <c r="E487" s="26">
        <f>'2 - PREENCHA AQUI'!M491</f>
        <v>0</v>
      </c>
    </row>
    <row r="488" spans="1:5" x14ac:dyDescent="0.25">
      <c r="A488" s="26">
        <f>IF('2 - PREENCHA AQUI'!E492=FALSE(),0,'2 - PREENCHA AQUI'!E492)</f>
        <v>0</v>
      </c>
      <c r="B488" s="31">
        <f>'2 - PREENCHA AQUI'!J492</f>
        <v>0</v>
      </c>
      <c r="C488" s="31">
        <f>'2 - PREENCHA AQUI'!K492</f>
        <v>0</v>
      </c>
      <c r="D488" s="26">
        <f>'2 - PREENCHA AQUI'!L492</f>
        <v>0</v>
      </c>
      <c r="E488" s="26">
        <f>'2 - PREENCHA AQUI'!M492</f>
        <v>0</v>
      </c>
    </row>
    <row r="489" spans="1:5" x14ac:dyDescent="0.25">
      <c r="A489" s="26">
        <f>IF('2 - PREENCHA AQUI'!E493=FALSE(),0,'2 - PREENCHA AQUI'!E493)</f>
        <v>0</v>
      </c>
      <c r="B489" s="31">
        <f>'2 - PREENCHA AQUI'!J493</f>
        <v>0</v>
      </c>
      <c r="C489" s="31">
        <f>'2 - PREENCHA AQUI'!K493</f>
        <v>0</v>
      </c>
      <c r="D489" s="26">
        <f>'2 - PREENCHA AQUI'!L493</f>
        <v>0</v>
      </c>
      <c r="E489" s="26">
        <f>'2 - PREENCHA AQUI'!M493</f>
        <v>0</v>
      </c>
    </row>
    <row r="490" spans="1:5" x14ac:dyDescent="0.25">
      <c r="A490" s="26">
        <f>IF('2 - PREENCHA AQUI'!E494=FALSE(),0,'2 - PREENCHA AQUI'!E494)</f>
        <v>0</v>
      </c>
      <c r="B490" s="31">
        <f>'2 - PREENCHA AQUI'!J494</f>
        <v>0</v>
      </c>
      <c r="C490" s="31">
        <f>'2 - PREENCHA AQUI'!K494</f>
        <v>0</v>
      </c>
      <c r="D490" s="26">
        <f>'2 - PREENCHA AQUI'!L494</f>
        <v>0</v>
      </c>
      <c r="E490" s="26">
        <f>'2 - PREENCHA AQUI'!M494</f>
        <v>0</v>
      </c>
    </row>
    <row r="491" spans="1:5" x14ac:dyDescent="0.25">
      <c r="A491" s="26">
        <f>IF('2 - PREENCHA AQUI'!E495=FALSE(),0,'2 - PREENCHA AQUI'!E495)</f>
        <v>0</v>
      </c>
      <c r="B491" s="31">
        <f>'2 - PREENCHA AQUI'!J495</f>
        <v>0</v>
      </c>
      <c r="C491" s="31">
        <f>'2 - PREENCHA AQUI'!K495</f>
        <v>0</v>
      </c>
      <c r="D491" s="26">
        <f>'2 - PREENCHA AQUI'!L495</f>
        <v>0</v>
      </c>
      <c r="E491" s="26">
        <f>'2 - PREENCHA AQUI'!M495</f>
        <v>0</v>
      </c>
    </row>
    <row r="492" spans="1:5" x14ac:dyDescent="0.25">
      <c r="A492" s="26">
        <f>IF('2 - PREENCHA AQUI'!E496=FALSE(),0,'2 - PREENCHA AQUI'!E496)</f>
        <v>0</v>
      </c>
      <c r="B492" s="31">
        <f>'2 - PREENCHA AQUI'!J496</f>
        <v>0</v>
      </c>
      <c r="C492" s="31">
        <f>'2 - PREENCHA AQUI'!K496</f>
        <v>0</v>
      </c>
      <c r="D492" s="26">
        <f>'2 - PREENCHA AQUI'!L496</f>
        <v>0</v>
      </c>
      <c r="E492" s="26">
        <f>'2 - PREENCHA AQUI'!M496</f>
        <v>0</v>
      </c>
    </row>
    <row r="493" spans="1:5" x14ac:dyDescent="0.25">
      <c r="A493" s="26">
        <f>IF('2 - PREENCHA AQUI'!E497=FALSE(),0,'2 - PREENCHA AQUI'!E497)</f>
        <v>0</v>
      </c>
      <c r="B493" s="31">
        <f>'2 - PREENCHA AQUI'!J497</f>
        <v>0</v>
      </c>
      <c r="C493" s="31">
        <f>'2 - PREENCHA AQUI'!K497</f>
        <v>0</v>
      </c>
      <c r="D493" s="26">
        <f>'2 - PREENCHA AQUI'!L497</f>
        <v>0</v>
      </c>
      <c r="E493" s="26">
        <f>'2 - PREENCHA AQUI'!M497</f>
        <v>0</v>
      </c>
    </row>
    <row r="494" spans="1:5" x14ac:dyDescent="0.25">
      <c r="A494" s="26">
        <f>IF('2 - PREENCHA AQUI'!E498=FALSE(),0,'2 - PREENCHA AQUI'!E498)</f>
        <v>0</v>
      </c>
      <c r="B494" s="31">
        <f>'2 - PREENCHA AQUI'!J498</f>
        <v>0</v>
      </c>
      <c r="C494" s="31">
        <f>'2 - PREENCHA AQUI'!K498</f>
        <v>0</v>
      </c>
      <c r="D494" s="26">
        <f>'2 - PREENCHA AQUI'!L498</f>
        <v>0</v>
      </c>
      <c r="E494" s="26">
        <f>'2 - PREENCHA AQUI'!M498</f>
        <v>0</v>
      </c>
    </row>
    <row r="495" spans="1:5" x14ac:dyDescent="0.25">
      <c r="A495" s="26">
        <f>IF('2 - PREENCHA AQUI'!E499=FALSE(),0,'2 - PREENCHA AQUI'!E499)</f>
        <v>0</v>
      </c>
      <c r="B495" s="31">
        <f>'2 - PREENCHA AQUI'!J499</f>
        <v>0</v>
      </c>
      <c r="C495" s="31">
        <f>'2 - PREENCHA AQUI'!K499</f>
        <v>0</v>
      </c>
      <c r="D495" s="26">
        <f>'2 - PREENCHA AQUI'!L499</f>
        <v>0</v>
      </c>
      <c r="E495" s="26">
        <f>'2 - PREENCHA AQUI'!M499</f>
        <v>0</v>
      </c>
    </row>
    <row r="496" spans="1:5" x14ac:dyDescent="0.25">
      <c r="A496" s="26">
        <f>IF('2 - PREENCHA AQUI'!E500=FALSE(),0,'2 - PREENCHA AQUI'!E500)</f>
        <v>0</v>
      </c>
      <c r="B496" s="31">
        <f>'2 - PREENCHA AQUI'!J500</f>
        <v>0</v>
      </c>
      <c r="C496" s="31">
        <f>'2 - PREENCHA AQUI'!K500</f>
        <v>0</v>
      </c>
      <c r="D496" s="26">
        <f>'2 - PREENCHA AQUI'!L500</f>
        <v>0</v>
      </c>
      <c r="E496" s="26">
        <f>'2 - PREENCHA AQUI'!M500</f>
        <v>0</v>
      </c>
    </row>
    <row r="497" spans="1:5" x14ac:dyDescent="0.25">
      <c r="A497" s="26">
        <f>IF('2 - PREENCHA AQUI'!E501=FALSE(),0,'2 - PREENCHA AQUI'!E501)</f>
        <v>0</v>
      </c>
      <c r="B497" s="31">
        <f>'2 - PREENCHA AQUI'!J501</f>
        <v>0</v>
      </c>
      <c r="C497" s="31">
        <f>'2 - PREENCHA AQUI'!K501</f>
        <v>0</v>
      </c>
      <c r="D497" s="26">
        <f>'2 - PREENCHA AQUI'!L501</f>
        <v>0</v>
      </c>
      <c r="E497" s="26">
        <f>'2 - PREENCHA AQUI'!M501</f>
        <v>0</v>
      </c>
    </row>
    <row r="498" spans="1:5" x14ac:dyDescent="0.25">
      <c r="A498" s="26">
        <f>IF('2 - PREENCHA AQUI'!E502=FALSE(),0,'2 - PREENCHA AQUI'!E502)</f>
        <v>0</v>
      </c>
      <c r="B498" s="31">
        <f>'2 - PREENCHA AQUI'!J502</f>
        <v>0</v>
      </c>
      <c r="C498" s="31">
        <f>'2 - PREENCHA AQUI'!K502</f>
        <v>0</v>
      </c>
      <c r="D498" s="26">
        <f>'2 - PREENCHA AQUI'!L502</f>
        <v>0</v>
      </c>
      <c r="E498" s="26">
        <f>'2 - PREENCHA AQUI'!M502</f>
        <v>0</v>
      </c>
    </row>
    <row r="499" spans="1:5" x14ac:dyDescent="0.25">
      <c r="A499" s="26">
        <f>IF('2 - PREENCHA AQUI'!E503=FALSE(),0,'2 - PREENCHA AQUI'!E503)</f>
        <v>0</v>
      </c>
      <c r="B499" s="31">
        <f>'2 - PREENCHA AQUI'!J503</f>
        <v>0</v>
      </c>
      <c r="C499" s="31">
        <f>'2 - PREENCHA AQUI'!K503</f>
        <v>0</v>
      </c>
      <c r="D499" s="26">
        <f>'2 - PREENCHA AQUI'!L503</f>
        <v>0</v>
      </c>
      <c r="E499" s="26">
        <f>'2 - PREENCHA AQUI'!M503</f>
        <v>0</v>
      </c>
    </row>
    <row r="500" spans="1:5" x14ac:dyDescent="0.25">
      <c r="A500" s="26">
        <f>IF('2 - PREENCHA AQUI'!E504=FALSE(),0,'2 - PREENCHA AQUI'!E504)</f>
        <v>0</v>
      </c>
      <c r="B500" s="31">
        <f>'2 - PREENCHA AQUI'!J504</f>
        <v>0</v>
      </c>
      <c r="C500" s="31">
        <f>'2 - PREENCHA AQUI'!K504</f>
        <v>0</v>
      </c>
      <c r="D500" s="26">
        <f>'2 - PREENCHA AQUI'!L504</f>
        <v>0</v>
      </c>
      <c r="E500" s="26">
        <f>'2 - PREENCHA AQUI'!M504</f>
        <v>0</v>
      </c>
    </row>
    <row r="501" spans="1:5" x14ac:dyDescent="0.25">
      <c r="A501" s="26">
        <f>IF('2 - PREENCHA AQUI'!E505=FALSE(),0,'2 - PREENCHA AQUI'!E505)</f>
        <v>0</v>
      </c>
      <c r="B501" s="31">
        <f>'2 - PREENCHA AQUI'!J505</f>
        <v>0</v>
      </c>
      <c r="C501" s="31">
        <f>'2 - PREENCHA AQUI'!K505</f>
        <v>0</v>
      </c>
      <c r="D501" s="26">
        <f>'2 - PREENCHA AQUI'!L505</f>
        <v>0</v>
      </c>
      <c r="E501" s="26">
        <f>'2 - PREENCHA AQUI'!M505</f>
        <v>0</v>
      </c>
    </row>
    <row r="502" spans="1:5" x14ac:dyDescent="0.25">
      <c r="A502" s="26">
        <f>IF('2 - PREENCHA AQUI'!E506=FALSE(),0,'2 - PREENCHA AQUI'!E506)</f>
        <v>0</v>
      </c>
      <c r="B502" s="31">
        <f>'2 - PREENCHA AQUI'!J506</f>
        <v>0</v>
      </c>
      <c r="C502" s="31">
        <f>'2 - PREENCHA AQUI'!K506</f>
        <v>0</v>
      </c>
      <c r="D502" s="26">
        <f>'2 - PREENCHA AQUI'!L506</f>
        <v>0</v>
      </c>
      <c r="E502" s="26">
        <f>'2 - PREENCHA AQUI'!M506</f>
        <v>0</v>
      </c>
    </row>
    <row r="503" spans="1:5" x14ac:dyDescent="0.25">
      <c r="A503" s="26">
        <f>IF('2 - PREENCHA AQUI'!E507=FALSE(),0,'2 - PREENCHA AQUI'!E507)</f>
        <v>0</v>
      </c>
      <c r="B503" s="31">
        <f>'2 - PREENCHA AQUI'!J507</f>
        <v>0</v>
      </c>
      <c r="C503" s="31">
        <f>'2 - PREENCHA AQUI'!K507</f>
        <v>0</v>
      </c>
      <c r="D503" s="26">
        <f>'2 - PREENCHA AQUI'!L507</f>
        <v>0</v>
      </c>
      <c r="E503" s="26">
        <f>'2 - PREENCHA AQUI'!M507</f>
        <v>0</v>
      </c>
    </row>
    <row r="504" spans="1:5" x14ac:dyDescent="0.25">
      <c r="A504" s="26">
        <f>IF('2 - PREENCHA AQUI'!E508=FALSE(),0,'2 - PREENCHA AQUI'!E508)</f>
        <v>0</v>
      </c>
      <c r="B504" s="31">
        <f>'2 - PREENCHA AQUI'!J508</f>
        <v>0</v>
      </c>
      <c r="C504" s="31">
        <f>'2 - PREENCHA AQUI'!K508</f>
        <v>0</v>
      </c>
      <c r="D504" s="26">
        <f>'2 - PREENCHA AQUI'!L508</f>
        <v>0</v>
      </c>
      <c r="E504" s="26">
        <f>'2 - PREENCHA AQUI'!M508</f>
        <v>0</v>
      </c>
    </row>
    <row r="505" spans="1:5" x14ac:dyDescent="0.25">
      <c r="A505" s="26">
        <f>IF('2 - PREENCHA AQUI'!E509=FALSE(),0,'2 - PREENCHA AQUI'!E509)</f>
        <v>0</v>
      </c>
      <c r="B505" s="31">
        <f>'2 - PREENCHA AQUI'!J509</f>
        <v>0</v>
      </c>
      <c r="C505" s="31">
        <f>'2 - PREENCHA AQUI'!K509</f>
        <v>0</v>
      </c>
      <c r="D505" s="26">
        <f>'2 - PREENCHA AQUI'!L509</f>
        <v>0</v>
      </c>
      <c r="E505" s="26">
        <f>'2 - PREENCHA AQUI'!M509</f>
        <v>0</v>
      </c>
    </row>
    <row r="506" spans="1:5" x14ac:dyDescent="0.25">
      <c r="A506" s="26">
        <f>IF('2 - PREENCHA AQUI'!E510=FALSE(),0,'2 - PREENCHA AQUI'!E510)</f>
        <v>0</v>
      </c>
      <c r="B506" s="31">
        <f>'2 - PREENCHA AQUI'!J510</f>
        <v>0</v>
      </c>
      <c r="C506" s="31">
        <f>'2 - PREENCHA AQUI'!K510</f>
        <v>0</v>
      </c>
      <c r="D506" s="26">
        <f>'2 - PREENCHA AQUI'!L510</f>
        <v>0</v>
      </c>
      <c r="E506" s="26">
        <f>'2 - PREENCHA AQUI'!M510</f>
        <v>0</v>
      </c>
    </row>
    <row r="507" spans="1:5" x14ac:dyDescent="0.25">
      <c r="A507" s="26">
        <f>IF('2 - PREENCHA AQUI'!E511=FALSE(),0,'2 - PREENCHA AQUI'!E511)</f>
        <v>0</v>
      </c>
      <c r="B507" s="31">
        <f>'2 - PREENCHA AQUI'!J511</f>
        <v>0</v>
      </c>
      <c r="C507" s="31">
        <f>'2 - PREENCHA AQUI'!K511</f>
        <v>0</v>
      </c>
      <c r="D507" s="26">
        <f>'2 - PREENCHA AQUI'!L511</f>
        <v>0</v>
      </c>
      <c r="E507" s="26">
        <f>'2 - PREENCHA AQUI'!M511</f>
        <v>0</v>
      </c>
    </row>
    <row r="508" spans="1:5" x14ac:dyDescent="0.25">
      <c r="A508" s="26">
        <f>IF('2 - PREENCHA AQUI'!E512=FALSE(),0,'2 - PREENCHA AQUI'!E512)</f>
        <v>0</v>
      </c>
      <c r="B508" s="31">
        <f>'2 - PREENCHA AQUI'!J512</f>
        <v>0</v>
      </c>
      <c r="C508" s="31">
        <f>'2 - PREENCHA AQUI'!K512</f>
        <v>0</v>
      </c>
      <c r="D508" s="26">
        <f>'2 - PREENCHA AQUI'!L512</f>
        <v>0</v>
      </c>
      <c r="E508" s="26">
        <f>'2 - PREENCHA AQUI'!M512</f>
        <v>0</v>
      </c>
    </row>
    <row r="509" spans="1:5" x14ac:dyDescent="0.25">
      <c r="A509" s="26">
        <f>IF('2 - PREENCHA AQUI'!E513=FALSE(),0,'2 - PREENCHA AQUI'!E513)</f>
        <v>0</v>
      </c>
      <c r="B509" s="31">
        <f>'2 - PREENCHA AQUI'!J513</f>
        <v>0</v>
      </c>
      <c r="C509" s="31">
        <f>'2 - PREENCHA AQUI'!K513</f>
        <v>0</v>
      </c>
      <c r="D509" s="26">
        <f>'2 - PREENCHA AQUI'!L513</f>
        <v>0</v>
      </c>
      <c r="E509" s="26">
        <f>'2 - PREENCHA AQUI'!M513</f>
        <v>0</v>
      </c>
    </row>
    <row r="510" spans="1:5" x14ac:dyDescent="0.25">
      <c r="A510" s="26">
        <f>IF('2 - PREENCHA AQUI'!E514=FALSE(),0,'2 - PREENCHA AQUI'!E514)</f>
        <v>0</v>
      </c>
      <c r="B510" s="31">
        <f>'2 - PREENCHA AQUI'!J514</f>
        <v>0</v>
      </c>
      <c r="C510" s="31">
        <f>'2 - PREENCHA AQUI'!K514</f>
        <v>0</v>
      </c>
      <c r="D510" s="26">
        <f>'2 - PREENCHA AQUI'!L514</f>
        <v>0</v>
      </c>
      <c r="E510" s="26">
        <f>'2 - PREENCHA AQUI'!M514</f>
        <v>0</v>
      </c>
    </row>
    <row r="511" spans="1:5" x14ac:dyDescent="0.25">
      <c r="A511" s="26">
        <f>IF('2 - PREENCHA AQUI'!E515=FALSE(),0,'2 - PREENCHA AQUI'!E515)</f>
        <v>0</v>
      </c>
      <c r="B511" s="31">
        <f>'2 - PREENCHA AQUI'!J515</f>
        <v>0</v>
      </c>
      <c r="C511" s="31">
        <f>'2 - PREENCHA AQUI'!K515</f>
        <v>0</v>
      </c>
      <c r="D511" s="26">
        <f>'2 - PREENCHA AQUI'!L515</f>
        <v>0</v>
      </c>
      <c r="E511" s="26">
        <f>'2 - PREENCHA AQUI'!M515</f>
        <v>0</v>
      </c>
    </row>
    <row r="512" spans="1:5" x14ac:dyDescent="0.25">
      <c r="A512" s="26">
        <f>IF('2 - PREENCHA AQUI'!E516=FALSE(),0,'2 - PREENCHA AQUI'!E516)</f>
        <v>0</v>
      </c>
      <c r="B512" s="31">
        <f>'2 - PREENCHA AQUI'!J516</f>
        <v>0</v>
      </c>
      <c r="C512" s="31">
        <f>'2 - PREENCHA AQUI'!K516</f>
        <v>0</v>
      </c>
      <c r="D512" s="26">
        <f>'2 - PREENCHA AQUI'!L516</f>
        <v>0</v>
      </c>
      <c r="E512" s="26">
        <f>'2 - PREENCHA AQUI'!M516</f>
        <v>0</v>
      </c>
    </row>
    <row r="513" spans="1:5" x14ac:dyDescent="0.25">
      <c r="A513" s="26">
        <f>IF('2 - PREENCHA AQUI'!E517=FALSE(),0,'2 - PREENCHA AQUI'!E517)</f>
        <v>0</v>
      </c>
      <c r="B513" s="31">
        <f>'2 - PREENCHA AQUI'!J517</f>
        <v>0</v>
      </c>
      <c r="C513" s="31">
        <f>'2 - PREENCHA AQUI'!K517</f>
        <v>0</v>
      </c>
      <c r="D513" s="26">
        <f>'2 - PREENCHA AQUI'!L517</f>
        <v>0</v>
      </c>
      <c r="E513" s="26">
        <f>'2 - PREENCHA AQUI'!M517</f>
        <v>0</v>
      </c>
    </row>
    <row r="514" spans="1:5" x14ac:dyDescent="0.25">
      <c r="A514" s="26">
        <f>IF('2 - PREENCHA AQUI'!E518=FALSE(),0,'2 - PREENCHA AQUI'!E518)</f>
        <v>0</v>
      </c>
      <c r="B514" s="31">
        <f>'2 - PREENCHA AQUI'!J518</f>
        <v>0</v>
      </c>
      <c r="C514" s="31">
        <f>'2 - PREENCHA AQUI'!K518</f>
        <v>0</v>
      </c>
      <c r="D514" s="26">
        <f>'2 - PREENCHA AQUI'!L518</f>
        <v>0</v>
      </c>
      <c r="E514" s="26">
        <f>'2 - PREENCHA AQUI'!M518</f>
        <v>0</v>
      </c>
    </row>
    <row r="515" spans="1:5" x14ac:dyDescent="0.25">
      <c r="A515" s="26">
        <f>IF('2 - PREENCHA AQUI'!E519=FALSE(),0,'2 - PREENCHA AQUI'!E519)</f>
        <v>0</v>
      </c>
      <c r="B515" s="31">
        <f>'2 - PREENCHA AQUI'!J519</f>
        <v>0</v>
      </c>
      <c r="C515" s="31">
        <f>'2 - PREENCHA AQUI'!K519</f>
        <v>0</v>
      </c>
      <c r="D515" s="26">
        <f>'2 - PREENCHA AQUI'!L519</f>
        <v>0</v>
      </c>
      <c r="E515" s="26">
        <f>'2 - PREENCHA AQUI'!M519</f>
        <v>0</v>
      </c>
    </row>
    <row r="516" spans="1:5" x14ac:dyDescent="0.25">
      <c r="A516" s="26">
        <f>IF('2 - PREENCHA AQUI'!E520=FALSE(),0,'2 - PREENCHA AQUI'!E520)</f>
        <v>0</v>
      </c>
      <c r="B516" s="31">
        <f>'2 - PREENCHA AQUI'!J520</f>
        <v>0</v>
      </c>
      <c r="C516" s="31">
        <f>'2 - PREENCHA AQUI'!K520</f>
        <v>0</v>
      </c>
      <c r="D516" s="26">
        <f>'2 - PREENCHA AQUI'!L520</f>
        <v>0</v>
      </c>
      <c r="E516" s="26">
        <f>'2 - PREENCHA AQUI'!M520</f>
        <v>0</v>
      </c>
    </row>
    <row r="517" spans="1:5" x14ac:dyDescent="0.25">
      <c r="A517" s="26">
        <f>IF('2 - PREENCHA AQUI'!E521=FALSE(),0,'2 - PREENCHA AQUI'!E521)</f>
        <v>0</v>
      </c>
      <c r="B517" s="31">
        <f>'2 - PREENCHA AQUI'!J521</f>
        <v>0</v>
      </c>
      <c r="C517" s="31">
        <f>'2 - PREENCHA AQUI'!K521</f>
        <v>0</v>
      </c>
      <c r="D517" s="26">
        <f>'2 - PREENCHA AQUI'!L521</f>
        <v>0</v>
      </c>
      <c r="E517" s="26">
        <f>'2 - PREENCHA AQUI'!M521</f>
        <v>0</v>
      </c>
    </row>
    <row r="518" spans="1:5" x14ac:dyDescent="0.25">
      <c r="A518" s="26">
        <f>IF('2 - PREENCHA AQUI'!E522=FALSE(),0,'2 - PREENCHA AQUI'!E522)</f>
        <v>0</v>
      </c>
      <c r="B518" s="31">
        <f>'2 - PREENCHA AQUI'!J522</f>
        <v>0</v>
      </c>
      <c r="C518" s="31">
        <f>'2 - PREENCHA AQUI'!K522</f>
        <v>0</v>
      </c>
      <c r="D518" s="26">
        <f>'2 - PREENCHA AQUI'!L522</f>
        <v>0</v>
      </c>
      <c r="E518" s="26">
        <f>'2 - PREENCHA AQUI'!M522</f>
        <v>0</v>
      </c>
    </row>
    <row r="519" spans="1:5" x14ac:dyDescent="0.25">
      <c r="A519" s="26">
        <f>IF('2 - PREENCHA AQUI'!E523=FALSE(),0,'2 - PREENCHA AQUI'!E523)</f>
        <v>0</v>
      </c>
      <c r="B519" s="31">
        <f>'2 - PREENCHA AQUI'!J523</f>
        <v>0</v>
      </c>
      <c r="C519" s="31">
        <f>'2 - PREENCHA AQUI'!K523</f>
        <v>0</v>
      </c>
      <c r="D519" s="26">
        <f>'2 - PREENCHA AQUI'!L523</f>
        <v>0</v>
      </c>
      <c r="E519" s="26">
        <f>'2 - PREENCHA AQUI'!M523</f>
        <v>0</v>
      </c>
    </row>
    <row r="520" spans="1:5" x14ac:dyDescent="0.25">
      <c r="A520" s="26">
        <f>IF('2 - PREENCHA AQUI'!E524=FALSE(),0,'2 - PREENCHA AQUI'!E524)</f>
        <v>0</v>
      </c>
      <c r="B520" s="31">
        <f>'2 - PREENCHA AQUI'!J524</f>
        <v>0</v>
      </c>
      <c r="C520" s="31">
        <f>'2 - PREENCHA AQUI'!K524</f>
        <v>0</v>
      </c>
      <c r="D520" s="26">
        <f>'2 - PREENCHA AQUI'!L524</f>
        <v>0</v>
      </c>
      <c r="E520" s="26">
        <f>'2 - PREENCHA AQUI'!M524</f>
        <v>0</v>
      </c>
    </row>
    <row r="521" spans="1:5" x14ac:dyDescent="0.25">
      <c r="A521" s="26">
        <f>IF('2 - PREENCHA AQUI'!E525=FALSE(),0,'2 - PREENCHA AQUI'!E525)</f>
        <v>0</v>
      </c>
      <c r="B521" s="31">
        <f>'2 - PREENCHA AQUI'!J525</f>
        <v>0</v>
      </c>
      <c r="C521" s="31">
        <f>'2 - PREENCHA AQUI'!K525</f>
        <v>0</v>
      </c>
      <c r="D521" s="26">
        <f>'2 - PREENCHA AQUI'!L525</f>
        <v>0</v>
      </c>
      <c r="E521" s="26">
        <f>'2 - PREENCHA AQUI'!M525</f>
        <v>0</v>
      </c>
    </row>
    <row r="522" spans="1:5" x14ac:dyDescent="0.25">
      <c r="A522" s="26">
        <f>IF('2 - PREENCHA AQUI'!E526=FALSE(),0,'2 - PREENCHA AQUI'!E526)</f>
        <v>0</v>
      </c>
      <c r="B522" s="31">
        <f>'2 - PREENCHA AQUI'!J526</f>
        <v>0</v>
      </c>
      <c r="C522" s="31">
        <f>'2 - PREENCHA AQUI'!K526</f>
        <v>0</v>
      </c>
      <c r="D522" s="26">
        <f>'2 - PREENCHA AQUI'!L526</f>
        <v>0</v>
      </c>
      <c r="E522" s="26">
        <f>'2 - PREENCHA AQUI'!M526</f>
        <v>0</v>
      </c>
    </row>
    <row r="523" spans="1:5" x14ac:dyDescent="0.25">
      <c r="A523" s="26">
        <f>IF('2 - PREENCHA AQUI'!E527=FALSE(),0,'2 - PREENCHA AQUI'!E527)</f>
        <v>0</v>
      </c>
      <c r="B523" s="31">
        <f>'2 - PREENCHA AQUI'!J527</f>
        <v>0</v>
      </c>
      <c r="C523" s="31">
        <f>'2 - PREENCHA AQUI'!K527</f>
        <v>0</v>
      </c>
      <c r="D523" s="26">
        <f>'2 - PREENCHA AQUI'!L527</f>
        <v>0</v>
      </c>
      <c r="E523" s="26">
        <f>'2 - PREENCHA AQUI'!M527</f>
        <v>0</v>
      </c>
    </row>
    <row r="524" spans="1:5" x14ac:dyDescent="0.25">
      <c r="A524" s="26">
        <f>IF('2 - PREENCHA AQUI'!E528=FALSE(),0,'2 - PREENCHA AQUI'!E528)</f>
        <v>0</v>
      </c>
      <c r="B524" s="31">
        <f>'2 - PREENCHA AQUI'!J528</f>
        <v>0</v>
      </c>
      <c r="C524" s="31">
        <f>'2 - PREENCHA AQUI'!K528</f>
        <v>0</v>
      </c>
      <c r="D524" s="26">
        <f>'2 - PREENCHA AQUI'!L528</f>
        <v>0</v>
      </c>
      <c r="E524" s="26">
        <f>'2 - PREENCHA AQUI'!M528</f>
        <v>0</v>
      </c>
    </row>
    <row r="525" spans="1:5" x14ac:dyDescent="0.25">
      <c r="A525" s="26">
        <f>IF('2 - PREENCHA AQUI'!E529=FALSE(),0,'2 - PREENCHA AQUI'!E529)</f>
        <v>0</v>
      </c>
      <c r="B525" s="31">
        <f>'2 - PREENCHA AQUI'!J529</f>
        <v>0</v>
      </c>
      <c r="C525" s="31">
        <f>'2 - PREENCHA AQUI'!K529</f>
        <v>0</v>
      </c>
      <c r="D525" s="26">
        <f>'2 - PREENCHA AQUI'!L529</f>
        <v>0</v>
      </c>
      <c r="E525" s="26">
        <f>'2 - PREENCHA AQUI'!M529</f>
        <v>0</v>
      </c>
    </row>
    <row r="526" spans="1:5" x14ac:dyDescent="0.25">
      <c r="A526" s="26">
        <f>IF('2 - PREENCHA AQUI'!E530=FALSE(),0,'2 - PREENCHA AQUI'!E530)</f>
        <v>0</v>
      </c>
      <c r="B526" s="31">
        <f>'2 - PREENCHA AQUI'!J530</f>
        <v>0</v>
      </c>
      <c r="C526" s="31">
        <f>'2 - PREENCHA AQUI'!K530</f>
        <v>0</v>
      </c>
      <c r="D526" s="26">
        <f>'2 - PREENCHA AQUI'!L530</f>
        <v>0</v>
      </c>
      <c r="E526" s="26">
        <f>'2 - PREENCHA AQUI'!M530</f>
        <v>0</v>
      </c>
    </row>
    <row r="527" spans="1:5" x14ac:dyDescent="0.25">
      <c r="A527" s="26">
        <f>IF('2 - PREENCHA AQUI'!E531=FALSE(),0,'2 - PREENCHA AQUI'!E531)</f>
        <v>0</v>
      </c>
      <c r="B527" s="31">
        <f>'2 - PREENCHA AQUI'!J531</f>
        <v>0</v>
      </c>
      <c r="C527" s="31">
        <f>'2 - PREENCHA AQUI'!K531</f>
        <v>0</v>
      </c>
      <c r="D527" s="26">
        <f>'2 - PREENCHA AQUI'!L531</f>
        <v>0</v>
      </c>
      <c r="E527" s="26">
        <f>'2 - PREENCHA AQUI'!M531</f>
        <v>0</v>
      </c>
    </row>
    <row r="528" spans="1:5" x14ac:dyDescent="0.25">
      <c r="A528" s="26">
        <f>IF('2 - PREENCHA AQUI'!E532=FALSE(),0,'2 - PREENCHA AQUI'!E532)</f>
        <v>0</v>
      </c>
      <c r="B528" s="31">
        <f>'2 - PREENCHA AQUI'!J532</f>
        <v>0</v>
      </c>
      <c r="C528" s="31">
        <f>'2 - PREENCHA AQUI'!K532</f>
        <v>0</v>
      </c>
      <c r="D528" s="26">
        <f>'2 - PREENCHA AQUI'!L532</f>
        <v>0</v>
      </c>
      <c r="E528" s="26">
        <f>'2 - PREENCHA AQUI'!M532</f>
        <v>0</v>
      </c>
    </row>
    <row r="529" spans="1:5" x14ac:dyDescent="0.25">
      <c r="A529" s="26">
        <f>IF('2 - PREENCHA AQUI'!E533=FALSE(),0,'2 - PREENCHA AQUI'!E533)</f>
        <v>0</v>
      </c>
      <c r="B529" s="31">
        <f>'2 - PREENCHA AQUI'!J533</f>
        <v>0</v>
      </c>
      <c r="C529" s="31">
        <f>'2 - PREENCHA AQUI'!K533</f>
        <v>0</v>
      </c>
      <c r="D529" s="26">
        <f>'2 - PREENCHA AQUI'!L533</f>
        <v>0</v>
      </c>
      <c r="E529" s="26">
        <f>'2 - PREENCHA AQUI'!M533</f>
        <v>0</v>
      </c>
    </row>
    <row r="530" spans="1:5" x14ac:dyDescent="0.25">
      <c r="A530" s="26">
        <f>IF('2 - PREENCHA AQUI'!E534=FALSE(),0,'2 - PREENCHA AQUI'!E534)</f>
        <v>0</v>
      </c>
      <c r="B530" s="31">
        <f>'2 - PREENCHA AQUI'!J534</f>
        <v>0</v>
      </c>
      <c r="C530" s="31">
        <f>'2 - PREENCHA AQUI'!K534</f>
        <v>0</v>
      </c>
      <c r="D530" s="26">
        <f>'2 - PREENCHA AQUI'!L534</f>
        <v>0</v>
      </c>
      <c r="E530" s="26">
        <f>'2 - PREENCHA AQUI'!M534</f>
        <v>0</v>
      </c>
    </row>
    <row r="531" spans="1:5" x14ac:dyDescent="0.25">
      <c r="A531" s="26">
        <f>IF('2 - PREENCHA AQUI'!E535=FALSE(),0,'2 - PREENCHA AQUI'!E535)</f>
        <v>0</v>
      </c>
      <c r="B531" s="31">
        <f>'2 - PREENCHA AQUI'!J535</f>
        <v>0</v>
      </c>
      <c r="C531" s="31">
        <f>'2 - PREENCHA AQUI'!K535</f>
        <v>0</v>
      </c>
      <c r="D531" s="26">
        <f>'2 - PREENCHA AQUI'!L535</f>
        <v>0</v>
      </c>
      <c r="E531" s="26">
        <f>'2 - PREENCHA AQUI'!M535</f>
        <v>0</v>
      </c>
    </row>
    <row r="532" spans="1:5" x14ac:dyDescent="0.25">
      <c r="A532" s="26">
        <f>IF('2 - PREENCHA AQUI'!E536=FALSE(),0,'2 - PREENCHA AQUI'!E536)</f>
        <v>0</v>
      </c>
      <c r="B532" s="31">
        <f>'2 - PREENCHA AQUI'!J536</f>
        <v>0</v>
      </c>
      <c r="C532" s="31">
        <f>'2 - PREENCHA AQUI'!K536</f>
        <v>0</v>
      </c>
      <c r="D532" s="26">
        <f>'2 - PREENCHA AQUI'!L536</f>
        <v>0</v>
      </c>
      <c r="E532" s="26">
        <f>'2 - PREENCHA AQUI'!M536</f>
        <v>0</v>
      </c>
    </row>
    <row r="533" spans="1:5" x14ac:dyDescent="0.25">
      <c r="A533" s="26">
        <f>IF('2 - PREENCHA AQUI'!E537=FALSE(),0,'2 - PREENCHA AQUI'!E537)</f>
        <v>0</v>
      </c>
      <c r="B533" s="31">
        <f>'2 - PREENCHA AQUI'!J537</f>
        <v>0</v>
      </c>
      <c r="C533" s="31">
        <f>'2 - PREENCHA AQUI'!K537</f>
        <v>0</v>
      </c>
      <c r="D533" s="26">
        <f>'2 - PREENCHA AQUI'!L537</f>
        <v>0</v>
      </c>
      <c r="E533" s="26">
        <f>'2 - PREENCHA AQUI'!M537</f>
        <v>0</v>
      </c>
    </row>
    <row r="534" spans="1:5" x14ac:dyDescent="0.25">
      <c r="A534" s="26">
        <f>IF('2 - PREENCHA AQUI'!E538=FALSE(),0,'2 - PREENCHA AQUI'!E538)</f>
        <v>0</v>
      </c>
      <c r="B534" s="31">
        <f>'2 - PREENCHA AQUI'!J538</f>
        <v>0</v>
      </c>
      <c r="C534" s="31">
        <f>'2 - PREENCHA AQUI'!K538</f>
        <v>0</v>
      </c>
      <c r="D534" s="26">
        <f>'2 - PREENCHA AQUI'!L538</f>
        <v>0</v>
      </c>
      <c r="E534" s="26">
        <f>'2 - PREENCHA AQUI'!M538</f>
        <v>0</v>
      </c>
    </row>
    <row r="535" spans="1:5" x14ac:dyDescent="0.25">
      <c r="A535" s="26">
        <f>IF('2 - PREENCHA AQUI'!E539=FALSE(),0,'2 - PREENCHA AQUI'!E539)</f>
        <v>0</v>
      </c>
      <c r="B535" s="31">
        <f>'2 - PREENCHA AQUI'!J539</f>
        <v>0</v>
      </c>
      <c r="C535" s="31">
        <f>'2 - PREENCHA AQUI'!K539</f>
        <v>0</v>
      </c>
      <c r="D535" s="26">
        <f>'2 - PREENCHA AQUI'!L539</f>
        <v>0</v>
      </c>
      <c r="E535" s="26">
        <f>'2 - PREENCHA AQUI'!M539</f>
        <v>0</v>
      </c>
    </row>
    <row r="536" spans="1:5" x14ac:dyDescent="0.25">
      <c r="A536" s="26">
        <f>IF('2 - PREENCHA AQUI'!E540=FALSE(),0,'2 - PREENCHA AQUI'!E540)</f>
        <v>0</v>
      </c>
      <c r="B536" s="31">
        <f>'2 - PREENCHA AQUI'!J540</f>
        <v>0</v>
      </c>
      <c r="C536" s="31">
        <f>'2 - PREENCHA AQUI'!K540</f>
        <v>0</v>
      </c>
      <c r="D536" s="26">
        <f>'2 - PREENCHA AQUI'!L540</f>
        <v>0</v>
      </c>
      <c r="E536" s="26">
        <f>'2 - PREENCHA AQUI'!M540</f>
        <v>0</v>
      </c>
    </row>
    <row r="537" spans="1:5" x14ac:dyDescent="0.25">
      <c r="A537" s="26">
        <f>IF('2 - PREENCHA AQUI'!E541=FALSE(),0,'2 - PREENCHA AQUI'!E541)</f>
        <v>0</v>
      </c>
      <c r="B537" s="31">
        <f>'2 - PREENCHA AQUI'!J541</f>
        <v>0</v>
      </c>
      <c r="C537" s="31">
        <f>'2 - PREENCHA AQUI'!K541</f>
        <v>0</v>
      </c>
      <c r="D537" s="26">
        <f>'2 - PREENCHA AQUI'!L541</f>
        <v>0</v>
      </c>
      <c r="E537" s="26">
        <f>'2 - PREENCHA AQUI'!M541</f>
        <v>0</v>
      </c>
    </row>
    <row r="538" spans="1:5" x14ac:dyDescent="0.25">
      <c r="A538" s="26">
        <f>IF('2 - PREENCHA AQUI'!E542=FALSE(),0,'2 - PREENCHA AQUI'!E542)</f>
        <v>0</v>
      </c>
      <c r="B538" s="31">
        <f>'2 - PREENCHA AQUI'!J542</f>
        <v>0</v>
      </c>
      <c r="C538" s="31">
        <f>'2 - PREENCHA AQUI'!K542</f>
        <v>0</v>
      </c>
      <c r="D538" s="26">
        <f>'2 - PREENCHA AQUI'!L542</f>
        <v>0</v>
      </c>
      <c r="E538" s="26">
        <f>'2 - PREENCHA AQUI'!M542</f>
        <v>0</v>
      </c>
    </row>
    <row r="539" spans="1:5" x14ac:dyDescent="0.25">
      <c r="A539" s="26">
        <f>IF('2 - PREENCHA AQUI'!E543=FALSE(),0,'2 - PREENCHA AQUI'!E543)</f>
        <v>0</v>
      </c>
      <c r="B539" s="31">
        <f>'2 - PREENCHA AQUI'!J543</f>
        <v>0</v>
      </c>
      <c r="C539" s="31">
        <f>'2 - PREENCHA AQUI'!K543</f>
        <v>0</v>
      </c>
      <c r="D539" s="26">
        <f>'2 - PREENCHA AQUI'!L543</f>
        <v>0</v>
      </c>
      <c r="E539" s="26">
        <f>'2 - PREENCHA AQUI'!M543</f>
        <v>0</v>
      </c>
    </row>
    <row r="540" spans="1:5" x14ac:dyDescent="0.25">
      <c r="A540" s="26">
        <f>IF('2 - PREENCHA AQUI'!E544=FALSE(),0,'2 - PREENCHA AQUI'!E544)</f>
        <v>0</v>
      </c>
      <c r="B540" s="31">
        <f>'2 - PREENCHA AQUI'!J544</f>
        <v>0</v>
      </c>
      <c r="C540" s="31">
        <f>'2 - PREENCHA AQUI'!K544</f>
        <v>0</v>
      </c>
      <c r="D540" s="26">
        <f>'2 - PREENCHA AQUI'!L544</f>
        <v>0</v>
      </c>
      <c r="E540" s="26">
        <f>'2 - PREENCHA AQUI'!M544</f>
        <v>0</v>
      </c>
    </row>
    <row r="541" spans="1:5" x14ac:dyDescent="0.25">
      <c r="A541" s="26">
        <f>IF('2 - PREENCHA AQUI'!E545=FALSE(),0,'2 - PREENCHA AQUI'!E545)</f>
        <v>0</v>
      </c>
      <c r="B541" s="31">
        <f>'2 - PREENCHA AQUI'!J545</f>
        <v>0</v>
      </c>
      <c r="C541" s="31">
        <f>'2 - PREENCHA AQUI'!K545</f>
        <v>0</v>
      </c>
      <c r="D541" s="26">
        <f>'2 - PREENCHA AQUI'!L545</f>
        <v>0</v>
      </c>
      <c r="E541" s="26">
        <f>'2 - PREENCHA AQUI'!M545</f>
        <v>0</v>
      </c>
    </row>
    <row r="542" spans="1:5" x14ac:dyDescent="0.25">
      <c r="A542" s="26">
        <f>IF('2 - PREENCHA AQUI'!E546=FALSE(),0,'2 - PREENCHA AQUI'!E546)</f>
        <v>0</v>
      </c>
      <c r="B542" s="31">
        <f>'2 - PREENCHA AQUI'!J546</f>
        <v>0</v>
      </c>
      <c r="C542" s="31">
        <f>'2 - PREENCHA AQUI'!K546</f>
        <v>0</v>
      </c>
      <c r="D542" s="26">
        <f>'2 - PREENCHA AQUI'!L546</f>
        <v>0</v>
      </c>
      <c r="E542" s="26">
        <f>'2 - PREENCHA AQUI'!M546</f>
        <v>0</v>
      </c>
    </row>
    <row r="543" spans="1:5" x14ac:dyDescent="0.25">
      <c r="A543" s="26">
        <f>IF('2 - PREENCHA AQUI'!E547=FALSE(),0,'2 - PREENCHA AQUI'!E547)</f>
        <v>0</v>
      </c>
      <c r="B543" s="31">
        <f>'2 - PREENCHA AQUI'!J547</f>
        <v>0</v>
      </c>
      <c r="C543" s="31">
        <f>'2 - PREENCHA AQUI'!K547</f>
        <v>0</v>
      </c>
      <c r="D543" s="26">
        <f>'2 - PREENCHA AQUI'!L547</f>
        <v>0</v>
      </c>
      <c r="E543" s="26">
        <f>'2 - PREENCHA AQUI'!M547</f>
        <v>0</v>
      </c>
    </row>
    <row r="544" spans="1:5" x14ac:dyDescent="0.25">
      <c r="A544" s="26">
        <f>IF('2 - PREENCHA AQUI'!E548=FALSE(),0,'2 - PREENCHA AQUI'!E548)</f>
        <v>0</v>
      </c>
      <c r="B544" s="31">
        <f>'2 - PREENCHA AQUI'!J548</f>
        <v>0</v>
      </c>
      <c r="C544" s="31">
        <f>'2 - PREENCHA AQUI'!K548</f>
        <v>0</v>
      </c>
      <c r="D544" s="26">
        <f>'2 - PREENCHA AQUI'!L548</f>
        <v>0</v>
      </c>
      <c r="E544" s="26">
        <f>'2 - PREENCHA AQUI'!M548</f>
        <v>0</v>
      </c>
    </row>
    <row r="545" spans="1:5" x14ac:dyDescent="0.25">
      <c r="A545" s="26">
        <f>IF('2 - PREENCHA AQUI'!E549=FALSE(),0,'2 - PREENCHA AQUI'!E549)</f>
        <v>0</v>
      </c>
      <c r="B545" s="31">
        <f>'2 - PREENCHA AQUI'!J549</f>
        <v>0</v>
      </c>
      <c r="C545" s="31">
        <f>'2 - PREENCHA AQUI'!K549</f>
        <v>0</v>
      </c>
      <c r="D545" s="26">
        <f>'2 - PREENCHA AQUI'!L549</f>
        <v>0</v>
      </c>
      <c r="E545" s="26">
        <f>'2 - PREENCHA AQUI'!M549</f>
        <v>0</v>
      </c>
    </row>
    <row r="546" spans="1:5" x14ac:dyDescent="0.25">
      <c r="A546" s="26">
        <f>IF('2 - PREENCHA AQUI'!E550=FALSE(),0,'2 - PREENCHA AQUI'!E550)</f>
        <v>0</v>
      </c>
      <c r="B546" s="31">
        <f>'2 - PREENCHA AQUI'!J550</f>
        <v>0</v>
      </c>
      <c r="C546" s="31">
        <f>'2 - PREENCHA AQUI'!K550</f>
        <v>0</v>
      </c>
      <c r="D546" s="26">
        <f>'2 - PREENCHA AQUI'!L550</f>
        <v>0</v>
      </c>
      <c r="E546" s="26">
        <f>'2 - PREENCHA AQUI'!M550</f>
        <v>0</v>
      </c>
    </row>
    <row r="547" spans="1:5" x14ac:dyDescent="0.25">
      <c r="A547" s="26">
        <f>IF('2 - PREENCHA AQUI'!E551=FALSE(),0,'2 - PREENCHA AQUI'!E551)</f>
        <v>0</v>
      </c>
      <c r="B547" s="31">
        <f>'2 - PREENCHA AQUI'!J551</f>
        <v>0</v>
      </c>
      <c r="C547" s="31">
        <f>'2 - PREENCHA AQUI'!K551</f>
        <v>0</v>
      </c>
      <c r="D547" s="26">
        <f>'2 - PREENCHA AQUI'!L551</f>
        <v>0</v>
      </c>
      <c r="E547" s="26">
        <f>'2 - PREENCHA AQUI'!M551</f>
        <v>0</v>
      </c>
    </row>
    <row r="548" spans="1:5" x14ac:dyDescent="0.25">
      <c r="A548" s="26">
        <f>IF('2 - PREENCHA AQUI'!E552=FALSE(),0,'2 - PREENCHA AQUI'!E552)</f>
        <v>0</v>
      </c>
      <c r="B548" s="31">
        <f>'2 - PREENCHA AQUI'!J552</f>
        <v>0</v>
      </c>
      <c r="C548" s="31">
        <f>'2 - PREENCHA AQUI'!K552</f>
        <v>0</v>
      </c>
      <c r="D548" s="26">
        <f>'2 - PREENCHA AQUI'!L552</f>
        <v>0</v>
      </c>
      <c r="E548" s="26">
        <f>'2 - PREENCHA AQUI'!M552</f>
        <v>0</v>
      </c>
    </row>
    <row r="549" spans="1:5" x14ac:dyDescent="0.25">
      <c r="A549" s="26">
        <f>IF('2 - PREENCHA AQUI'!E553=FALSE(),0,'2 - PREENCHA AQUI'!E553)</f>
        <v>0</v>
      </c>
      <c r="B549" s="31">
        <f>'2 - PREENCHA AQUI'!J553</f>
        <v>0</v>
      </c>
      <c r="C549" s="31">
        <f>'2 - PREENCHA AQUI'!K553</f>
        <v>0</v>
      </c>
      <c r="D549" s="26">
        <f>'2 - PREENCHA AQUI'!L553</f>
        <v>0</v>
      </c>
      <c r="E549" s="26">
        <f>'2 - PREENCHA AQUI'!M553</f>
        <v>0</v>
      </c>
    </row>
    <row r="550" spans="1:5" x14ac:dyDescent="0.25">
      <c r="A550" s="26">
        <f>IF('2 - PREENCHA AQUI'!E554=FALSE(),0,'2 - PREENCHA AQUI'!E554)</f>
        <v>0</v>
      </c>
      <c r="B550" s="31">
        <f>'2 - PREENCHA AQUI'!J554</f>
        <v>0</v>
      </c>
      <c r="C550" s="31">
        <f>'2 - PREENCHA AQUI'!K554</f>
        <v>0</v>
      </c>
      <c r="D550" s="26">
        <f>'2 - PREENCHA AQUI'!L554</f>
        <v>0</v>
      </c>
      <c r="E550" s="26">
        <f>'2 - PREENCHA AQUI'!M554</f>
        <v>0</v>
      </c>
    </row>
    <row r="551" spans="1:5" x14ac:dyDescent="0.25">
      <c r="A551" s="26">
        <f>IF('2 - PREENCHA AQUI'!E555=FALSE(),0,'2 - PREENCHA AQUI'!E555)</f>
        <v>0</v>
      </c>
      <c r="B551" s="31">
        <f>'2 - PREENCHA AQUI'!J555</f>
        <v>0</v>
      </c>
      <c r="C551" s="31">
        <f>'2 - PREENCHA AQUI'!K555</f>
        <v>0</v>
      </c>
      <c r="D551" s="26">
        <f>'2 - PREENCHA AQUI'!L555</f>
        <v>0</v>
      </c>
      <c r="E551" s="26">
        <f>'2 - PREENCHA AQUI'!M555</f>
        <v>0</v>
      </c>
    </row>
    <row r="552" spans="1:5" x14ac:dyDescent="0.25">
      <c r="A552" s="26">
        <f>IF('2 - PREENCHA AQUI'!E556=FALSE(),0,'2 - PREENCHA AQUI'!E556)</f>
        <v>0</v>
      </c>
      <c r="B552" s="31">
        <f>'2 - PREENCHA AQUI'!J556</f>
        <v>0</v>
      </c>
      <c r="C552" s="31">
        <f>'2 - PREENCHA AQUI'!K556</f>
        <v>0</v>
      </c>
      <c r="D552" s="26">
        <f>'2 - PREENCHA AQUI'!L556</f>
        <v>0</v>
      </c>
      <c r="E552" s="26">
        <f>'2 - PREENCHA AQUI'!M556</f>
        <v>0</v>
      </c>
    </row>
    <row r="553" spans="1:5" x14ac:dyDescent="0.25">
      <c r="A553" s="26">
        <f>IF('2 - PREENCHA AQUI'!E557=FALSE(),0,'2 - PREENCHA AQUI'!E557)</f>
        <v>0</v>
      </c>
      <c r="B553" s="31">
        <f>'2 - PREENCHA AQUI'!J557</f>
        <v>0</v>
      </c>
      <c r="C553" s="31">
        <f>'2 - PREENCHA AQUI'!K557</f>
        <v>0</v>
      </c>
      <c r="D553" s="26">
        <f>'2 - PREENCHA AQUI'!L557</f>
        <v>0</v>
      </c>
      <c r="E553" s="26">
        <f>'2 - PREENCHA AQUI'!M557</f>
        <v>0</v>
      </c>
    </row>
    <row r="554" spans="1:5" x14ac:dyDescent="0.25">
      <c r="A554" s="26">
        <f>IF('2 - PREENCHA AQUI'!E558=FALSE(),0,'2 - PREENCHA AQUI'!E558)</f>
        <v>0</v>
      </c>
      <c r="B554" s="31">
        <f>'2 - PREENCHA AQUI'!J558</f>
        <v>0</v>
      </c>
      <c r="C554" s="31">
        <f>'2 - PREENCHA AQUI'!K558</f>
        <v>0</v>
      </c>
      <c r="D554" s="26">
        <f>'2 - PREENCHA AQUI'!L558</f>
        <v>0</v>
      </c>
      <c r="E554" s="26">
        <f>'2 - PREENCHA AQUI'!M558</f>
        <v>0</v>
      </c>
    </row>
    <row r="555" spans="1:5" x14ac:dyDescent="0.25">
      <c r="A555" s="26">
        <f>IF('2 - PREENCHA AQUI'!E559=FALSE(),0,'2 - PREENCHA AQUI'!E559)</f>
        <v>0</v>
      </c>
      <c r="B555" s="31">
        <f>'2 - PREENCHA AQUI'!J559</f>
        <v>0</v>
      </c>
      <c r="C555" s="31">
        <f>'2 - PREENCHA AQUI'!K559</f>
        <v>0</v>
      </c>
      <c r="D555" s="26">
        <f>'2 - PREENCHA AQUI'!L559</f>
        <v>0</v>
      </c>
      <c r="E555" s="26">
        <f>'2 - PREENCHA AQUI'!M559</f>
        <v>0</v>
      </c>
    </row>
    <row r="556" spans="1:5" x14ac:dyDescent="0.25">
      <c r="A556" s="26">
        <f>IF('2 - PREENCHA AQUI'!E560=FALSE(),0,'2 - PREENCHA AQUI'!E560)</f>
        <v>0</v>
      </c>
      <c r="B556" s="31">
        <f>'2 - PREENCHA AQUI'!J560</f>
        <v>0</v>
      </c>
      <c r="C556" s="31">
        <f>'2 - PREENCHA AQUI'!K560</f>
        <v>0</v>
      </c>
      <c r="D556" s="26">
        <f>'2 - PREENCHA AQUI'!L560</f>
        <v>0</v>
      </c>
      <c r="E556" s="26">
        <f>'2 - PREENCHA AQUI'!M560</f>
        <v>0</v>
      </c>
    </row>
    <row r="557" spans="1:5" x14ac:dyDescent="0.25">
      <c r="A557" s="26">
        <f>IF('2 - PREENCHA AQUI'!E561=FALSE(),0,'2 - PREENCHA AQUI'!E561)</f>
        <v>0</v>
      </c>
      <c r="B557" s="31">
        <f>'2 - PREENCHA AQUI'!J561</f>
        <v>0</v>
      </c>
      <c r="C557" s="31">
        <f>'2 - PREENCHA AQUI'!K561</f>
        <v>0</v>
      </c>
      <c r="D557" s="26">
        <f>'2 - PREENCHA AQUI'!L561</f>
        <v>0</v>
      </c>
      <c r="E557" s="26">
        <f>'2 - PREENCHA AQUI'!M561</f>
        <v>0</v>
      </c>
    </row>
    <row r="558" spans="1:5" x14ac:dyDescent="0.25">
      <c r="A558" s="26">
        <f>IF('2 - PREENCHA AQUI'!E562=FALSE(),0,'2 - PREENCHA AQUI'!E562)</f>
        <v>0</v>
      </c>
      <c r="B558" s="31">
        <f>'2 - PREENCHA AQUI'!J562</f>
        <v>0</v>
      </c>
      <c r="C558" s="31">
        <f>'2 - PREENCHA AQUI'!K562</f>
        <v>0</v>
      </c>
      <c r="D558" s="26">
        <f>'2 - PREENCHA AQUI'!L562</f>
        <v>0</v>
      </c>
      <c r="E558" s="26">
        <f>'2 - PREENCHA AQUI'!M562</f>
        <v>0</v>
      </c>
    </row>
    <row r="559" spans="1:5" x14ac:dyDescent="0.25">
      <c r="A559" s="26">
        <f>IF('2 - PREENCHA AQUI'!E563=FALSE(),0,'2 - PREENCHA AQUI'!E563)</f>
        <v>0</v>
      </c>
      <c r="B559" s="31">
        <f>'2 - PREENCHA AQUI'!J563</f>
        <v>0</v>
      </c>
      <c r="C559" s="31">
        <f>'2 - PREENCHA AQUI'!K563</f>
        <v>0</v>
      </c>
      <c r="D559" s="26">
        <f>'2 - PREENCHA AQUI'!L563</f>
        <v>0</v>
      </c>
      <c r="E559" s="26">
        <f>'2 - PREENCHA AQUI'!M563</f>
        <v>0</v>
      </c>
    </row>
    <row r="560" spans="1:5" x14ac:dyDescent="0.25">
      <c r="A560" s="26">
        <f>IF('2 - PREENCHA AQUI'!E564=FALSE(),0,'2 - PREENCHA AQUI'!E564)</f>
        <v>0</v>
      </c>
      <c r="B560" s="31">
        <f>'2 - PREENCHA AQUI'!J564</f>
        <v>0</v>
      </c>
      <c r="C560" s="31">
        <f>'2 - PREENCHA AQUI'!K564</f>
        <v>0</v>
      </c>
      <c r="D560" s="26">
        <f>'2 - PREENCHA AQUI'!L564</f>
        <v>0</v>
      </c>
      <c r="E560" s="26">
        <f>'2 - PREENCHA AQUI'!M564</f>
        <v>0</v>
      </c>
    </row>
    <row r="561" spans="1:5" x14ac:dyDescent="0.25">
      <c r="A561" s="26">
        <f>IF('2 - PREENCHA AQUI'!E565=FALSE(),0,'2 - PREENCHA AQUI'!E565)</f>
        <v>0</v>
      </c>
      <c r="B561" s="31">
        <f>'2 - PREENCHA AQUI'!J565</f>
        <v>0</v>
      </c>
      <c r="C561" s="31">
        <f>'2 - PREENCHA AQUI'!K565</f>
        <v>0</v>
      </c>
      <c r="D561" s="26">
        <f>'2 - PREENCHA AQUI'!L565</f>
        <v>0</v>
      </c>
      <c r="E561" s="26">
        <f>'2 - PREENCHA AQUI'!M565</f>
        <v>0</v>
      </c>
    </row>
    <row r="562" spans="1:5" x14ac:dyDescent="0.25">
      <c r="A562" s="26">
        <f>IF('2 - PREENCHA AQUI'!E566=FALSE(),0,'2 - PREENCHA AQUI'!E566)</f>
        <v>0</v>
      </c>
      <c r="B562" s="31">
        <f>'2 - PREENCHA AQUI'!J566</f>
        <v>0</v>
      </c>
      <c r="C562" s="31">
        <f>'2 - PREENCHA AQUI'!K566</f>
        <v>0</v>
      </c>
      <c r="D562" s="26">
        <f>'2 - PREENCHA AQUI'!L566</f>
        <v>0</v>
      </c>
      <c r="E562" s="26">
        <f>'2 - PREENCHA AQUI'!M566</f>
        <v>0</v>
      </c>
    </row>
    <row r="563" spans="1:5" x14ac:dyDescent="0.25">
      <c r="A563" s="26">
        <f>IF('2 - PREENCHA AQUI'!E567=FALSE(),0,'2 - PREENCHA AQUI'!E567)</f>
        <v>0</v>
      </c>
      <c r="B563" s="31">
        <f>'2 - PREENCHA AQUI'!J567</f>
        <v>0</v>
      </c>
      <c r="C563" s="31">
        <f>'2 - PREENCHA AQUI'!K567</f>
        <v>0</v>
      </c>
      <c r="D563" s="26">
        <f>'2 - PREENCHA AQUI'!L567</f>
        <v>0</v>
      </c>
      <c r="E563" s="26">
        <f>'2 - PREENCHA AQUI'!M567</f>
        <v>0</v>
      </c>
    </row>
    <row r="564" spans="1:5" x14ac:dyDescent="0.25">
      <c r="A564" s="26">
        <f>IF('2 - PREENCHA AQUI'!E568=FALSE(),0,'2 - PREENCHA AQUI'!E568)</f>
        <v>0</v>
      </c>
      <c r="B564" s="31">
        <f>'2 - PREENCHA AQUI'!J568</f>
        <v>0</v>
      </c>
      <c r="C564" s="31">
        <f>'2 - PREENCHA AQUI'!K568</f>
        <v>0</v>
      </c>
      <c r="D564" s="26">
        <f>'2 - PREENCHA AQUI'!L568</f>
        <v>0</v>
      </c>
      <c r="E564" s="26">
        <f>'2 - PREENCHA AQUI'!M568</f>
        <v>0</v>
      </c>
    </row>
    <row r="565" spans="1:5" x14ac:dyDescent="0.25">
      <c r="A565" s="26">
        <f>IF('2 - PREENCHA AQUI'!E569=FALSE(),0,'2 - PREENCHA AQUI'!E569)</f>
        <v>0</v>
      </c>
      <c r="B565" s="31">
        <f>'2 - PREENCHA AQUI'!J569</f>
        <v>0</v>
      </c>
      <c r="C565" s="31">
        <f>'2 - PREENCHA AQUI'!K569</f>
        <v>0</v>
      </c>
      <c r="D565" s="26">
        <f>'2 - PREENCHA AQUI'!L569</f>
        <v>0</v>
      </c>
      <c r="E565" s="26">
        <f>'2 - PREENCHA AQUI'!M569</f>
        <v>0</v>
      </c>
    </row>
    <row r="566" spans="1:5" x14ac:dyDescent="0.25">
      <c r="A566" s="26">
        <f>IF('2 - PREENCHA AQUI'!E570=FALSE(),0,'2 - PREENCHA AQUI'!E570)</f>
        <v>0</v>
      </c>
      <c r="B566" s="31">
        <f>'2 - PREENCHA AQUI'!J570</f>
        <v>0</v>
      </c>
      <c r="C566" s="31">
        <f>'2 - PREENCHA AQUI'!K570</f>
        <v>0</v>
      </c>
      <c r="D566" s="26">
        <f>'2 - PREENCHA AQUI'!L570</f>
        <v>0</v>
      </c>
      <c r="E566" s="26">
        <f>'2 - PREENCHA AQUI'!M570</f>
        <v>0</v>
      </c>
    </row>
    <row r="567" spans="1:5" x14ac:dyDescent="0.25">
      <c r="A567" s="26">
        <f>IF('2 - PREENCHA AQUI'!E571=FALSE(),0,'2 - PREENCHA AQUI'!E571)</f>
        <v>0</v>
      </c>
      <c r="B567" s="31">
        <f>'2 - PREENCHA AQUI'!J571</f>
        <v>0</v>
      </c>
      <c r="C567" s="31">
        <f>'2 - PREENCHA AQUI'!K571</f>
        <v>0</v>
      </c>
      <c r="D567" s="26">
        <f>'2 - PREENCHA AQUI'!L571</f>
        <v>0</v>
      </c>
      <c r="E567" s="26">
        <f>'2 - PREENCHA AQUI'!M571</f>
        <v>0</v>
      </c>
    </row>
    <row r="568" spans="1:5" x14ac:dyDescent="0.25">
      <c r="A568" s="26">
        <f>IF('2 - PREENCHA AQUI'!E572=FALSE(),0,'2 - PREENCHA AQUI'!E572)</f>
        <v>0</v>
      </c>
      <c r="B568" s="31">
        <f>'2 - PREENCHA AQUI'!J572</f>
        <v>0</v>
      </c>
      <c r="C568" s="31">
        <f>'2 - PREENCHA AQUI'!K572</f>
        <v>0</v>
      </c>
      <c r="D568" s="26">
        <f>'2 - PREENCHA AQUI'!L572</f>
        <v>0</v>
      </c>
      <c r="E568" s="26">
        <f>'2 - PREENCHA AQUI'!M572</f>
        <v>0</v>
      </c>
    </row>
    <row r="569" spans="1:5" x14ac:dyDescent="0.25">
      <c r="A569" s="26">
        <f>IF('2 - PREENCHA AQUI'!E573=FALSE(),0,'2 - PREENCHA AQUI'!E573)</f>
        <v>0</v>
      </c>
      <c r="B569" s="31">
        <f>'2 - PREENCHA AQUI'!J573</f>
        <v>0</v>
      </c>
      <c r="C569" s="31">
        <f>'2 - PREENCHA AQUI'!K573</f>
        <v>0</v>
      </c>
      <c r="D569" s="26">
        <f>'2 - PREENCHA AQUI'!L573</f>
        <v>0</v>
      </c>
      <c r="E569" s="26">
        <f>'2 - PREENCHA AQUI'!M573</f>
        <v>0</v>
      </c>
    </row>
    <row r="570" spans="1:5" x14ac:dyDescent="0.25">
      <c r="A570" s="26">
        <f>IF('2 - PREENCHA AQUI'!E574=FALSE(),0,'2 - PREENCHA AQUI'!E574)</f>
        <v>0</v>
      </c>
      <c r="B570" s="31">
        <f>'2 - PREENCHA AQUI'!J574</f>
        <v>0</v>
      </c>
      <c r="C570" s="31">
        <f>'2 - PREENCHA AQUI'!K574</f>
        <v>0</v>
      </c>
      <c r="D570" s="26">
        <f>'2 - PREENCHA AQUI'!L574</f>
        <v>0</v>
      </c>
      <c r="E570" s="26">
        <f>'2 - PREENCHA AQUI'!M574</f>
        <v>0</v>
      </c>
    </row>
    <row r="571" spans="1:5" x14ac:dyDescent="0.25">
      <c r="A571" s="26">
        <f>IF('2 - PREENCHA AQUI'!E575=FALSE(),0,'2 - PREENCHA AQUI'!E575)</f>
        <v>0</v>
      </c>
      <c r="B571" s="31">
        <f>'2 - PREENCHA AQUI'!J575</f>
        <v>0</v>
      </c>
      <c r="C571" s="31">
        <f>'2 - PREENCHA AQUI'!K575</f>
        <v>0</v>
      </c>
      <c r="D571" s="26">
        <f>'2 - PREENCHA AQUI'!L575</f>
        <v>0</v>
      </c>
      <c r="E571" s="26">
        <f>'2 - PREENCHA AQUI'!M575</f>
        <v>0</v>
      </c>
    </row>
    <row r="572" spans="1:5" x14ac:dyDescent="0.25">
      <c r="A572" s="26">
        <f>IF('2 - PREENCHA AQUI'!E576=FALSE(),0,'2 - PREENCHA AQUI'!E576)</f>
        <v>0</v>
      </c>
      <c r="B572" s="31">
        <f>'2 - PREENCHA AQUI'!J576</f>
        <v>0</v>
      </c>
      <c r="C572" s="31">
        <f>'2 - PREENCHA AQUI'!K576</f>
        <v>0</v>
      </c>
      <c r="D572" s="26">
        <f>'2 - PREENCHA AQUI'!L576</f>
        <v>0</v>
      </c>
      <c r="E572" s="26">
        <f>'2 - PREENCHA AQUI'!M576</f>
        <v>0</v>
      </c>
    </row>
    <row r="573" spans="1:5" x14ac:dyDescent="0.25">
      <c r="A573" s="26">
        <f>IF('2 - PREENCHA AQUI'!E577=FALSE(),0,'2 - PREENCHA AQUI'!E577)</f>
        <v>0</v>
      </c>
      <c r="B573" s="31">
        <f>'2 - PREENCHA AQUI'!J577</f>
        <v>0</v>
      </c>
      <c r="C573" s="31">
        <f>'2 - PREENCHA AQUI'!K577</f>
        <v>0</v>
      </c>
      <c r="D573" s="26">
        <f>'2 - PREENCHA AQUI'!L577</f>
        <v>0</v>
      </c>
      <c r="E573" s="26">
        <f>'2 - PREENCHA AQUI'!M577</f>
        <v>0</v>
      </c>
    </row>
    <row r="574" spans="1:5" x14ac:dyDescent="0.25">
      <c r="A574" s="26">
        <f>IF('2 - PREENCHA AQUI'!E578=FALSE(),0,'2 - PREENCHA AQUI'!E578)</f>
        <v>0</v>
      </c>
      <c r="B574" s="31">
        <f>'2 - PREENCHA AQUI'!J578</f>
        <v>0</v>
      </c>
      <c r="C574" s="31">
        <f>'2 - PREENCHA AQUI'!K578</f>
        <v>0</v>
      </c>
      <c r="D574" s="26">
        <f>'2 - PREENCHA AQUI'!L578</f>
        <v>0</v>
      </c>
      <c r="E574" s="26">
        <f>'2 - PREENCHA AQUI'!M578</f>
        <v>0</v>
      </c>
    </row>
    <row r="575" spans="1:5" x14ac:dyDescent="0.25">
      <c r="A575" s="26">
        <f>IF('2 - PREENCHA AQUI'!E579=FALSE(),0,'2 - PREENCHA AQUI'!E579)</f>
        <v>0</v>
      </c>
      <c r="B575" s="31">
        <f>'2 - PREENCHA AQUI'!J579</f>
        <v>0</v>
      </c>
      <c r="C575" s="31">
        <f>'2 - PREENCHA AQUI'!K579</f>
        <v>0</v>
      </c>
      <c r="D575" s="26">
        <f>'2 - PREENCHA AQUI'!L579</f>
        <v>0</v>
      </c>
      <c r="E575" s="26">
        <f>'2 - PREENCHA AQUI'!M579</f>
        <v>0</v>
      </c>
    </row>
    <row r="576" spans="1:5" x14ac:dyDescent="0.25">
      <c r="A576" s="26">
        <f>IF('2 - PREENCHA AQUI'!E580=FALSE(),0,'2 - PREENCHA AQUI'!E580)</f>
        <v>0</v>
      </c>
      <c r="B576" s="31">
        <f>'2 - PREENCHA AQUI'!J580</f>
        <v>0</v>
      </c>
      <c r="C576" s="31">
        <f>'2 - PREENCHA AQUI'!K580</f>
        <v>0</v>
      </c>
      <c r="D576" s="26">
        <f>'2 - PREENCHA AQUI'!L580</f>
        <v>0</v>
      </c>
      <c r="E576" s="26">
        <f>'2 - PREENCHA AQUI'!M580</f>
        <v>0</v>
      </c>
    </row>
    <row r="577" spans="1:5" x14ac:dyDescent="0.25">
      <c r="A577" s="26">
        <f>IF('2 - PREENCHA AQUI'!E581=FALSE(),0,'2 - PREENCHA AQUI'!E581)</f>
        <v>0</v>
      </c>
      <c r="B577" s="31">
        <f>'2 - PREENCHA AQUI'!J581</f>
        <v>0</v>
      </c>
      <c r="C577" s="31">
        <f>'2 - PREENCHA AQUI'!K581</f>
        <v>0</v>
      </c>
      <c r="D577" s="26">
        <f>'2 - PREENCHA AQUI'!L581</f>
        <v>0</v>
      </c>
      <c r="E577" s="26">
        <f>'2 - PREENCHA AQUI'!M581</f>
        <v>0</v>
      </c>
    </row>
    <row r="578" spans="1:5" x14ac:dyDescent="0.25">
      <c r="A578" s="26">
        <f>IF('2 - PREENCHA AQUI'!E582=FALSE(),0,'2 - PREENCHA AQUI'!E582)</f>
        <v>0</v>
      </c>
      <c r="B578" s="31">
        <f>'2 - PREENCHA AQUI'!J582</f>
        <v>0</v>
      </c>
      <c r="C578" s="31">
        <f>'2 - PREENCHA AQUI'!K582</f>
        <v>0</v>
      </c>
      <c r="D578" s="26">
        <f>'2 - PREENCHA AQUI'!L582</f>
        <v>0</v>
      </c>
      <c r="E578" s="26">
        <f>'2 - PREENCHA AQUI'!M582</f>
        <v>0</v>
      </c>
    </row>
    <row r="579" spans="1:5" x14ac:dyDescent="0.25">
      <c r="A579" s="26">
        <f>IF('2 - PREENCHA AQUI'!E583=FALSE(),0,'2 - PREENCHA AQUI'!E583)</f>
        <v>0</v>
      </c>
      <c r="B579" s="31">
        <f>'2 - PREENCHA AQUI'!J583</f>
        <v>0</v>
      </c>
      <c r="C579" s="31">
        <f>'2 - PREENCHA AQUI'!K583</f>
        <v>0</v>
      </c>
      <c r="D579" s="26">
        <f>'2 - PREENCHA AQUI'!L583</f>
        <v>0</v>
      </c>
      <c r="E579" s="26">
        <f>'2 - PREENCHA AQUI'!M583</f>
        <v>0</v>
      </c>
    </row>
    <row r="580" spans="1:5" x14ac:dyDescent="0.25">
      <c r="A580" s="26">
        <f>IF('2 - PREENCHA AQUI'!E584=FALSE(),0,'2 - PREENCHA AQUI'!E584)</f>
        <v>0</v>
      </c>
      <c r="B580" s="31">
        <f>'2 - PREENCHA AQUI'!J584</f>
        <v>0</v>
      </c>
      <c r="C580" s="31">
        <f>'2 - PREENCHA AQUI'!K584</f>
        <v>0</v>
      </c>
      <c r="D580" s="26">
        <f>'2 - PREENCHA AQUI'!L584</f>
        <v>0</v>
      </c>
      <c r="E580" s="26">
        <f>'2 - PREENCHA AQUI'!M584</f>
        <v>0</v>
      </c>
    </row>
    <row r="581" spans="1:5" x14ac:dyDescent="0.25">
      <c r="A581" s="26">
        <f>IF('2 - PREENCHA AQUI'!E585=FALSE(),0,'2 - PREENCHA AQUI'!E585)</f>
        <v>0</v>
      </c>
      <c r="B581" s="31">
        <f>'2 - PREENCHA AQUI'!J585</f>
        <v>0</v>
      </c>
      <c r="C581" s="31">
        <f>'2 - PREENCHA AQUI'!K585</f>
        <v>0</v>
      </c>
      <c r="D581" s="26">
        <f>'2 - PREENCHA AQUI'!L585</f>
        <v>0</v>
      </c>
      <c r="E581" s="26">
        <f>'2 - PREENCHA AQUI'!M585</f>
        <v>0</v>
      </c>
    </row>
    <row r="582" spans="1:5" x14ac:dyDescent="0.25">
      <c r="A582" s="26">
        <f>IF('2 - PREENCHA AQUI'!E586=FALSE(),0,'2 - PREENCHA AQUI'!E586)</f>
        <v>0</v>
      </c>
      <c r="B582" s="31">
        <f>'2 - PREENCHA AQUI'!J586</f>
        <v>0</v>
      </c>
      <c r="C582" s="31">
        <f>'2 - PREENCHA AQUI'!K586</f>
        <v>0</v>
      </c>
      <c r="D582" s="26">
        <f>'2 - PREENCHA AQUI'!L586</f>
        <v>0</v>
      </c>
      <c r="E582" s="26">
        <f>'2 - PREENCHA AQUI'!M586</f>
        <v>0</v>
      </c>
    </row>
    <row r="583" spans="1:5" x14ac:dyDescent="0.25">
      <c r="A583" s="26">
        <f>IF('2 - PREENCHA AQUI'!E587=FALSE(),0,'2 - PREENCHA AQUI'!E587)</f>
        <v>0</v>
      </c>
      <c r="B583" s="31">
        <f>'2 - PREENCHA AQUI'!J587</f>
        <v>0</v>
      </c>
      <c r="C583" s="31">
        <f>'2 - PREENCHA AQUI'!K587</f>
        <v>0</v>
      </c>
      <c r="D583" s="26">
        <f>'2 - PREENCHA AQUI'!L587</f>
        <v>0</v>
      </c>
      <c r="E583" s="26">
        <f>'2 - PREENCHA AQUI'!M587</f>
        <v>0</v>
      </c>
    </row>
    <row r="584" spans="1:5" x14ac:dyDescent="0.25">
      <c r="A584" s="26">
        <f>IF('2 - PREENCHA AQUI'!E588=FALSE(),0,'2 - PREENCHA AQUI'!E588)</f>
        <v>0</v>
      </c>
      <c r="B584" s="31">
        <f>'2 - PREENCHA AQUI'!J588</f>
        <v>0</v>
      </c>
      <c r="C584" s="31">
        <f>'2 - PREENCHA AQUI'!K588</f>
        <v>0</v>
      </c>
      <c r="D584" s="26">
        <f>'2 - PREENCHA AQUI'!L588</f>
        <v>0</v>
      </c>
      <c r="E584" s="26">
        <f>'2 - PREENCHA AQUI'!M588</f>
        <v>0</v>
      </c>
    </row>
    <row r="585" spans="1:5" x14ac:dyDescent="0.25">
      <c r="A585" s="26">
        <f>IF('2 - PREENCHA AQUI'!E589=FALSE(),0,'2 - PREENCHA AQUI'!E589)</f>
        <v>0</v>
      </c>
      <c r="B585" s="31">
        <f>'2 - PREENCHA AQUI'!J589</f>
        <v>0</v>
      </c>
      <c r="C585" s="31">
        <f>'2 - PREENCHA AQUI'!K589</f>
        <v>0</v>
      </c>
      <c r="D585" s="26">
        <f>'2 - PREENCHA AQUI'!L589</f>
        <v>0</v>
      </c>
      <c r="E585" s="26">
        <f>'2 - PREENCHA AQUI'!M589</f>
        <v>0</v>
      </c>
    </row>
    <row r="586" spans="1:5" x14ac:dyDescent="0.25">
      <c r="A586" s="26">
        <f>IF('2 - PREENCHA AQUI'!E590=FALSE(),0,'2 - PREENCHA AQUI'!E590)</f>
        <v>0</v>
      </c>
      <c r="B586" s="31">
        <f>'2 - PREENCHA AQUI'!J590</f>
        <v>0</v>
      </c>
      <c r="C586" s="31">
        <f>'2 - PREENCHA AQUI'!K590</f>
        <v>0</v>
      </c>
      <c r="D586" s="26">
        <f>'2 - PREENCHA AQUI'!L590</f>
        <v>0</v>
      </c>
      <c r="E586" s="26">
        <f>'2 - PREENCHA AQUI'!M590</f>
        <v>0</v>
      </c>
    </row>
    <row r="587" spans="1:5" x14ac:dyDescent="0.25">
      <c r="A587" s="26">
        <f>IF('2 - PREENCHA AQUI'!E591=FALSE(),0,'2 - PREENCHA AQUI'!E591)</f>
        <v>0</v>
      </c>
      <c r="B587" s="31">
        <f>'2 - PREENCHA AQUI'!J591</f>
        <v>0</v>
      </c>
      <c r="C587" s="31">
        <f>'2 - PREENCHA AQUI'!K591</f>
        <v>0</v>
      </c>
      <c r="D587" s="26">
        <f>'2 - PREENCHA AQUI'!L591</f>
        <v>0</v>
      </c>
      <c r="E587" s="26">
        <f>'2 - PREENCHA AQUI'!M591</f>
        <v>0</v>
      </c>
    </row>
    <row r="588" spans="1:5" x14ac:dyDescent="0.25">
      <c r="A588" s="26">
        <f>IF('2 - PREENCHA AQUI'!E592=FALSE(),0,'2 - PREENCHA AQUI'!E592)</f>
        <v>0</v>
      </c>
      <c r="B588" s="31">
        <f>'2 - PREENCHA AQUI'!J592</f>
        <v>0</v>
      </c>
      <c r="C588" s="31">
        <f>'2 - PREENCHA AQUI'!K592</f>
        <v>0</v>
      </c>
      <c r="D588" s="26">
        <f>'2 - PREENCHA AQUI'!L592</f>
        <v>0</v>
      </c>
      <c r="E588" s="26">
        <f>'2 - PREENCHA AQUI'!M592</f>
        <v>0</v>
      </c>
    </row>
    <row r="589" spans="1:5" x14ac:dyDescent="0.25">
      <c r="A589" s="26">
        <f>IF('2 - PREENCHA AQUI'!E593=FALSE(),0,'2 - PREENCHA AQUI'!E593)</f>
        <v>0</v>
      </c>
      <c r="B589" s="31">
        <f>'2 - PREENCHA AQUI'!J593</f>
        <v>0</v>
      </c>
      <c r="C589" s="31">
        <f>'2 - PREENCHA AQUI'!K593</f>
        <v>0</v>
      </c>
      <c r="D589" s="26">
        <f>'2 - PREENCHA AQUI'!L593</f>
        <v>0</v>
      </c>
      <c r="E589" s="26">
        <f>'2 - PREENCHA AQUI'!M593</f>
        <v>0</v>
      </c>
    </row>
    <row r="590" spans="1:5" x14ac:dyDescent="0.25">
      <c r="A590" s="26">
        <f>IF('2 - PREENCHA AQUI'!E594=FALSE(),0,'2 - PREENCHA AQUI'!E594)</f>
        <v>0</v>
      </c>
      <c r="B590" s="31">
        <f>'2 - PREENCHA AQUI'!J594</f>
        <v>0</v>
      </c>
      <c r="C590" s="31">
        <f>'2 - PREENCHA AQUI'!K594</f>
        <v>0</v>
      </c>
      <c r="D590" s="26">
        <f>'2 - PREENCHA AQUI'!L594</f>
        <v>0</v>
      </c>
      <c r="E590" s="26">
        <f>'2 - PREENCHA AQUI'!M594</f>
        <v>0</v>
      </c>
    </row>
    <row r="591" spans="1:5" x14ac:dyDescent="0.25">
      <c r="A591" s="26">
        <f>IF('2 - PREENCHA AQUI'!E595=FALSE(),0,'2 - PREENCHA AQUI'!E595)</f>
        <v>0</v>
      </c>
      <c r="B591" s="31">
        <f>'2 - PREENCHA AQUI'!J595</f>
        <v>0</v>
      </c>
      <c r="C591" s="31">
        <f>'2 - PREENCHA AQUI'!K595</f>
        <v>0</v>
      </c>
      <c r="D591" s="26">
        <f>'2 - PREENCHA AQUI'!L595</f>
        <v>0</v>
      </c>
      <c r="E591" s="26">
        <f>'2 - PREENCHA AQUI'!M595</f>
        <v>0</v>
      </c>
    </row>
    <row r="592" spans="1:5" x14ac:dyDescent="0.25">
      <c r="A592" s="26">
        <f>IF('2 - PREENCHA AQUI'!E596=FALSE(),0,'2 - PREENCHA AQUI'!E596)</f>
        <v>0</v>
      </c>
      <c r="B592" s="31">
        <f>'2 - PREENCHA AQUI'!J596</f>
        <v>0</v>
      </c>
      <c r="C592" s="31">
        <f>'2 - PREENCHA AQUI'!K596</f>
        <v>0</v>
      </c>
      <c r="D592" s="26">
        <f>'2 - PREENCHA AQUI'!L596</f>
        <v>0</v>
      </c>
      <c r="E592" s="26">
        <f>'2 - PREENCHA AQUI'!M596</f>
        <v>0</v>
      </c>
    </row>
    <row r="593" spans="1:5" x14ac:dyDescent="0.25">
      <c r="A593" s="26">
        <f>IF('2 - PREENCHA AQUI'!E597=FALSE(),0,'2 - PREENCHA AQUI'!E597)</f>
        <v>0</v>
      </c>
      <c r="B593" s="31">
        <f>'2 - PREENCHA AQUI'!J597</f>
        <v>0</v>
      </c>
      <c r="C593" s="31">
        <f>'2 - PREENCHA AQUI'!K597</f>
        <v>0</v>
      </c>
      <c r="D593" s="26">
        <f>'2 - PREENCHA AQUI'!L597</f>
        <v>0</v>
      </c>
      <c r="E593" s="26">
        <f>'2 - PREENCHA AQUI'!M597</f>
        <v>0</v>
      </c>
    </row>
    <row r="594" spans="1:5" x14ac:dyDescent="0.25">
      <c r="A594" s="26">
        <f>IF('2 - PREENCHA AQUI'!E598=FALSE(),0,'2 - PREENCHA AQUI'!E598)</f>
        <v>0</v>
      </c>
      <c r="B594" s="31">
        <f>'2 - PREENCHA AQUI'!J598</f>
        <v>0</v>
      </c>
      <c r="C594" s="31">
        <f>'2 - PREENCHA AQUI'!K598</f>
        <v>0</v>
      </c>
      <c r="D594" s="26">
        <f>'2 - PREENCHA AQUI'!L598</f>
        <v>0</v>
      </c>
      <c r="E594" s="26">
        <f>'2 - PREENCHA AQUI'!M598</f>
        <v>0</v>
      </c>
    </row>
    <row r="595" spans="1:5" x14ac:dyDescent="0.25">
      <c r="A595" s="26">
        <f>IF('2 - PREENCHA AQUI'!E599=FALSE(),0,'2 - PREENCHA AQUI'!E599)</f>
        <v>0</v>
      </c>
      <c r="B595" s="31">
        <f>'2 - PREENCHA AQUI'!J599</f>
        <v>0</v>
      </c>
      <c r="C595" s="31">
        <f>'2 - PREENCHA AQUI'!K599</f>
        <v>0</v>
      </c>
      <c r="D595" s="26">
        <f>'2 - PREENCHA AQUI'!L599</f>
        <v>0</v>
      </c>
      <c r="E595" s="26">
        <f>'2 - PREENCHA AQUI'!M599</f>
        <v>0</v>
      </c>
    </row>
    <row r="596" spans="1:5" x14ac:dyDescent="0.25">
      <c r="A596" s="26">
        <f>IF('2 - PREENCHA AQUI'!E600=FALSE(),0,'2 - PREENCHA AQUI'!E600)</f>
        <v>0</v>
      </c>
      <c r="B596" s="31">
        <f>'2 - PREENCHA AQUI'!J600</f>
        <v>0</v>
      </c>
      <c r="C596" s="31">
        <f>'2 - PREENCHA AQUI'!K600</f>
        <v>0</v>
      </c>
      <c r="D596" s="26">
        <f>'2 - PREENCHA AQUI'!L600</f>
        <v>0</v>
      </c>
      <c r="E596" s="26">
        <f>'2 - PREENCHA AQUI'!M600</f>
        <v>0</v>
      </c>
    </row>
    <row r="597" spans="1:5" x14ac:dyDescent="0.25">
      <c r="A597" s="26">
        <f>IF('2 - PREENCHA AQUI'!E601=FALSE(),0,'2 - PREENCHA AQUI'!E601)</f>
        <v>0</v>
      </c>
      <c r="B597" s="31">
        <f>'2 - PREENCHA AQUI'!J601</f>
        <v>0</v>
      </c>
      <c r="C597" s="31">
        <f>'2 - PREENCHA AQUI'!K601</f>
        <v>0</v>
      </c>
      <c r="D597" s="26">
        <f>'2 - PREENCHA AQUI'!L601</f>
        <v>0</v>
      </c>
      <c r="E597" s="26">
        <f>'2 - PREENCHA AQUI'!M601</f>
        <v>0</v>
      </c>
    </row>
    <row r="598" spans="1:5" x14ac:dyDescent="0.25">
      <c r="A598" s="26">
        <f>IF('2 - PREENCHA AQUI'!E602=FALSE(),0,'2 - PREENCHA AQUI'!E602)</f>
        <v>0</v>
      </c>
      <c r="B598" s="31">
        <f>'2 - PREENCHA AQUI'!J602</f>
        <v>0</v>
      </c>
      <c r="C598" s="31">
        <f>'2 - PREENCHA AQUI'!K602</f>
        <v>0</v>
      </c>
      <c r="D598" s="26">
        <f>'2 - PREENCHA AQUI'!L602</f>
        <v>0</v>
      </c>
      <c r="E598" s="26">
        <f>'2 - PREENCHA AQUI'!M602</f>
        <v>0</v>
      </c>
    </row>
    <row r="599" spans="1:5" x14ac:dyDescent="0.25">
      <c r="A599" s="26">
        <f>IF('2 - PREENCHA AQUI'!E603=FALSE(),0,'2 - PREENCHA AQUI'!E603)</f>
        <v>0</v>
      </c>
      <c r="B599" s="31">
        <f>'2 - PREENCHA AQUI'!J603</f>
        <v>0</v>
      </c>
      <c r="C599" s="31">
        <f>'2 - PREENCHA AQUI'!K603</f>
        <v>0</v>
      </c>
      <c r="D599" s="26">
        <f>'2 - PREENCHA AQUI'!L603</f>
        <v>0</v>
      </c>
      <c r="E599" s="26">
        <f>'2 - PREENCHA AQUI'!M603</f>
        <v>0</v>
      </c>
    </row>
    <row r="600" spans="1:5" x14ac:dyDescent="0.25">
      <c r="A600" s="26">
        <f>IF('2 - PREENCHA AQUI'!E604=FALSE(),0,'2 - PREENCHA AQUI'!E604)</f>
        <v>0</v>
      </c>
      <c r="B600" s="31">
        <f>'2 - PREENCHA AQUI'!J604</f>
        <v>0</v>
      </c>
      <c r="C600" s="31">
        <f>'2 - PREENCHA AQUI'!K604</f>
        <v>0</v>
      </c>
      <c r="D600" s="26">
        <f>'2 - PREENCHA AQUI'!L604</f>
        <v>0</v>
      </c>
      <c r="E600" s="26">
        <f>'2 - PREENCHA AQUI'!M604</f>
        <v>0</v>
      </c>
    </row>
    <row r="601" spans="1:5" x14ac:dyDescent="0.25">
      <c r="A601" s="26">
        <f>IF('2 - PREENCHA AQUI'!E605=FALSE(),0,'2 - PREENCHA AQUI'!E605)</f>
        <v>0</v>
      </c>
      <c r="B601" s="31">
        <f>'2 - PREENCHA AQUI'!J605</f>
        <v>0</v>
      </c>
      <c r="C601" s="31">
        <f>'2 - PREENCHA AQUI'!K605</f>
        <v>0</v>
      </c>
      <c r="D601" s="26">
        <f>'2 - PREENCHA AQUI'!L605</f>
        <v>0</v>
      </c>
      <c r="E601" s="26">
        <f>'2 - PREENCHA AQUI'!M605</f>
        <v>0</v>
      </c>
    </row>
    <row r="602" spans="1:5" x14ac:dyDescent="0.25">
      <c r="A602" s="26">
        <f>IF('2 - PREENCHA AQUI'!E606=FALSE(),0,'2 - PREENCHA AQUI'!E606)</f>
        <v>0</v>
      </c>
      <c r="B602" s="31">
        <f>'2 - PREENCHA AQUI'!J606</f>
        <v>0</v>
      </c>
      <c r="C602" s="31">
        <f>'2 - PREENCHA AQUI'!K606</f>
        <v>0</v>
      </c>
      <c r="D602" s="26">
        <f>'2 - PREENCHA AQUI'!L606</f>
        <v>0</v>
      </c>
      <c r="E602" s="26">
        <f>'2 - PREENCHA AQUI'!M606</f>
        <v>0</v>
      </c>
    </row>
    <row r="603" spans="1:5" x14ac:dyDescent="0.25">
      <c r="A603" s="26">
        <f>IF('2 - PREENCHA AQUI'!E607=FALSE(),0,'2 - PREENCHA AQUI'!E607)</f>
        <v>0</v>
      </c>
      <c r="B603" s="31">
        <f>'2 - PREENCHA AQUI'!J607</f>
        <v>0</v>
      </c>
      <c r="C603" s="31">
        <f>'2 - PREENCHA AQUI'!K607</f>
        <v>0</v>
      </c>
      <c r="D603" s="26">
        <f>'2 - PREENCHA AQUI'!L607</f>
        <v>0</v>
      </c>
      <c r="E603" s="26">
        <f>'2 - PREENCHA AQUI'!M607</f>
        <v>0</v>
      </c>
    </row>
    <row r="604" spans="1:5" x14ac:dyDescent="0.25">
      <c r="A604" s="26">
        <f>IF('2 - PREENCHA AQUI'!E608=FALSE(),0,'2 - PREENCHA AQUI'!E608)</f>
        <v>0</v>
      </c>
      <c r="B604" s="31">
        <f>'2 - PREENCHA AQUI'!J608</f>
        <v>0</v>
      </c>
      <c r="C604" s="31">
        <f>'2 - PREENCHA AQUI'!K608</f>
        <v>0</v>
      </c>
      <c r="D604" s="26">
        <f>'2 - PREENCHA AQUI'!L608</f>
        <v>0</v>
      </c>
      <c r="E604" s="26">
        <f>'2 - PREENCHA AQUI'!M608</f>
        <v>0</v>
      </c>
    </row>
    <row r="605" spans="1:5" x14ac:dyDescent="0.25">
      <c r="A605" s="26">
        <f>IF('2 - PREENCHA AQUI'!E609=FALSE(),0,'2 - PREENCHA AQUI'!E609)</f>
        <v>0</v>
      </c>
      <c r="B605" s="31">
        <f>'2 - PREENCHA AQUI'!J609</f>
        <v>0</v>
      </c>
      <c r="C605" s="31">
        <f>'2 - PREENCHA AQUI'!K609</f>
        <v>0</v>
      </c>
      <c r="D605" s="26">
        <f>'2 - PREENCHA AQUI'!L609</f>
        <v>0</v>
      </c>
      <c r="E605" s="26">
        <f>'2 - PREENCHA AQUI'!M609</f>
        <v>0</v>
      </c>
    </row>
    <row r="606" spans="1:5" x14ac:dyDescent="0.25">
      <c r="A606" s="26">
        <f>IF('2 - PREENCHA AQUI'!E610=FALSE(),0,'2 - PREENCHA AQUI'!E610)</f>
        <v>0</v>
      </c>
      <c r="B606" s="31">
        <f>'2 - PREENCHA AQUI'!J610</f>
        <v>0</v>
      </c>
      <c r="C606" s="31">
        <f>'2 - PREENCHA AQUI'!K610</f>
        <v>0</v>
      </c>
      <c r="D606" s="26">
        <f>'2 - PREENCHA AQUI'!L610</f>
        <v>0</v>
      </c>
      <c r="E606" s="26">
        <f>'2 - PREENCHA AQUI'!M610</f>
        <v>0</v>
      </c>
    </row>
    <row r="607" spans="1:5" x14ac:dyDescent="0.25">
      <c r="A607" s="26">
        <f>IF('2 - PREENCHA AQUI'!E611=FALSE(),0,'2 - PREENCHA AQUI'!E611)</f>
        <v>0</v>
      </c>
      <c r="B607" s="31">
        <f>'2 - PREENCHA AQUI'!J611</f>
        <v>0</v>
      </c>
      <c r="C607" s="31">
        <f>'2 - PREENCHA AQUI'!K611</f>
        <v>0</v>
      </c>
      <c r="D607" s="26">
        <f>'2 - PREENCHA AQUI'!L611</f>
        <v>0</v>
      </c>
      <c r="E607" s="26">
        <f>'2 - PREENCHA AQUI'!M611</f>
        <v>0</v>
      </c>
    </row>
    <row r="608" spans="1:5" x14ac:dyDescent="0.25">
      <c r="A608" s="26">
        <f>IF('2 - PREENCHA AQUI'!E612=FALSE(),0,'2 - PREENCHA AQUI'!E612)</f>
        <v>0</v>
      </c>
      <c r="B608" s="31">
        <f>'2 - PREENCHA AQUI'!J612</f>
        <v>0</v>
      </c>
      <c r="C608" s="31">
        <f>'2 - PREENCHA AQUI'!K612</f>
        <v>0</v>
      </c>
      <c r="D608" s="26">
        <f>'2 - PREENCHA AQUI'!L612</f>
        <v>0</v>
      </c>
      <c r="E608" s="26">
        <f>'2 - PREENCHA AQUI'!M612</f>
        <v>0</v>
      </c>
    </row>
    <row r="609" spans="1:5" x14ac:dyDescent="0.25">
      <c r="A609" s="26">
        <f>IF('2 - PREENCHA AQUI'!E613=FALSE(),0,'2 - PREENCHA AQUI'!E613)</f>
        <v>0</v>
      </c>
      <c r="B609" s="31">
        <f>'2 - PREENCHA AQUI'!J613</f>
        <v>0</v>
      </c>
      <c r="C609" s="31">
        <f>'2 - PREENCHA AQUI'!K613</f>
        <v>0</v>
      </c>
      <c r="D609" s="26">
        <f>'2 - PREENCHA AQUI'!L613</f>
        <v>0</v>
      </c>
      <c r="E609" s="26">
        <f>'2 - PREENCHA AQUI'!M613</f>
        <v>0</v>
      </c>
    </row>
    <row r="610" spans="1:5" x14ac:dyDescent="0.25">
      <c r="A610" s="26">
        <f>IF('2 - PREENCHA AQUI'!E614=FALSE(),0,'2 - PREENCHA AQUI'!E614)</f>
        <v>0</v>
      </c>
      <c r="B610" s="31">
        <f>'2 - PREENCHA AQUI'!J614</f>
        <v>0</v>
      </c>
      <c r="C610" s="31">
        <f>'2 - PREENCHA AQUI'!K614</f>
        <v>0</v>
      </c>
      <c r="D610" s="26">
        <f>'2 - PREENCHA AQUI'!L614</f>
        <v>0</v>
      </c>
      <c r="E610" s="26">
        <f>'2 - PREENCHA AQUI'!M614</f>
        <v>0</v>
      </c>
    </row>
    <row r="611" spans="1:5" x14ac:dyDescent="0.25">
      <c r="A611" s="26">
        <f>IF('2 - PREENCHA AQUI'!E615=FALSE(),0,'2 - PREENCHA AQUI'!E615)</f>
        <v>0</v>
      </c>
      <c r="B611" s="31">
        <f>'2 - PREENCHA AQUI'!J615</f>
        <v>0</v>
      </c>
      <c r="C611" s="31">
        <f>'2 - PREENCHA AQUI'!K615</f>
        <v>0</v>
      </c>
      <c r="D611" s="26">
        <f>'2 - PREENCHA AQUI'!L615</f>
        <v>0</v>
      </c>
      <c r="E611" s="26">
        <f>'2 - PREENCHA AQUI'!M615</f>
        <v>0</v>
      </c>
    </row>
    <row r="612" spans="1:5" x14ac:dyDescent="0.25">
      <c r="A612" s="26">
        <f>IF('2 - PREENCHA AQUI'!E616=FALSE(),0,'2 - PREENCHA AQUI'!E616)</f>
        <v>0</v>
      </c>
      <c r="B612" s="31">
        <f>'2 - PREENCHA AQUI'!J616</f>
        <v>0</v>
      </c>
      <c r="C612" s="31">
        <f>'2 - PREENCHA AQUI'!K616</f>
        <v>0</v>
      </c>
      <c r="D612" s="26">
        <f>'2 - PREENCHA AQUI'!L616</f>
        <v>0</v>
      </c>
      <c r="E612" s="26">
        <f>'2 - PREENCHA AQUI'!M616</f>
        <v>0</v>
      </c>
    </row>
    <row r="613" spans="1:5" x14ac:dyDescent="0.25">
      <c r="A613" s="26">
        <f>IF('2 - PREENCHA AQUI'!E617=FALSE(),0,'2 - PREENCHA AQUI'!E617)</f>
        <v>0</v>
      </c>
      <c r="B613" s="31">
        <f>'2 - PREENCHA AQUI'!J617</f>
        <v>0</v>
      </c>
      <c r="C613" s="31">
        <f>'2 - PREENCHA AQUI'!K617</f>
        <v>0</v>
      </c>
      <c r="D613" s="26">
        <f>'2 - PREENCHA AQUI'!L617</f>
        <v>0</v>
      </c>
      <c r="E613" s="26">
        <f>'2 - PREENCHA AQUI'!M617</f>
        <v>0</v>
      </c>
    </row>
    <row r="614" spans="1:5" x14ac:dyDescent="0.25">
      <c r="A614" s="26">
        <f>IF('2 - PREENCHA AQUI'!E618=FALSE(),0,'2 - PREENCHA AQUI'!E618)</f>
        <v>0</v>
      </c>
      <c r="B614" s="31">
        <f>'2 - PREENCHA AQUI'!J618</f>
        <v>0</v>
      </c>
      <c r="C614" s="31">
        <f>'2 - PREENCHA AQUI'!K618</f>
        <v>0</v>
      </c>
      <c r="D614" s="26">
        <f>'2 - PREENCHA AQUI'!L618</f>
        <v>0</v>
      </c>
      <c r="E614" s="26">
        <f>'2 - PREENCHA AQUI'!M618</f>
        <v>0</v>
      </c>
    </row>
    <row r="615" spans="1:5" x14ac:dyDescent="0.25">
      <c r="A615" s="26">
        <f>IF('2 - PREENCHA AQUI'!E619=FALSE(),0,'2 - PREENCHA AQUI'!E619)</f>
        <v>0</v>
      </c>
      <c r="B615" s="31">
        <f>'2 - PREENCHA AQUI'!J619</f>
        <v>0</v>
      </c>
      <c r="C615" s="31">
        <f>'2 - PREENCHA AQUI'!K619</f>
        <v>0</v>
      </c>
      <c r="D615" s="26">
        <f>'2 - PREENCHA AQUI'!L619</f>
        <v>0</v>
      </c>
      <c r="E615" s="26">
        <f>'2 - PREENCHA AQUI'!M619</f>
        <v>0</v>
      </c>
    </row>
    <row r="616" spans="1:5" x14ac:dyDescent="0.25">
      <c r="A616" s="26">
        <f>IF('2 - PREENCHA AQUI'!E620=FALSE(),0,'2 - PREENCHA AQUI'!E620)</f>
        <v>0</v>
      </c>
      <c r="B616" s="31">
        <f>'2 - PREENCHA AQUI'!J620</f>
        <v>0</v>
      </c>
      <c r="C616" s="31">
        <f>'2 - PREENCHA AQUI'!K620</f>
        <v>0</v>
      </c>
      <c r="D616" s="26">
        <f>'2 - PREENCHA AQUI'!L620</f>
        <v>0</v>
      </c>
      <c r="E616" s="26">
        <f>'2 - PREENCHA AQUI'!M620</f>
        <v>0</v>
      </c>
    </row>
    <row r="617" spans="1:5" x14ac:dyDescent="0.25">
      <c r="A617" s="26">
        <f>IF('2 - PREENCHA AQUI'!E621=FALSE(),0,'2 - PREENCHA AQUI'!E621)</f>
        <v>0</v>
      </c>
      <c r="B617" s="31">
        <f>'2 - PREENCHA AQUI'!J621</f>
        <v>0</v>
      </c>
      <c r="C617" s="31">
        <f>'2 - PREENCHA AQUI'!K621</f>
        <v>0</v>
      </c>
      <c r="D617" s="26">
        <f>'2 - PREENCHA AQUI'!L621</f>
        <v>0</v>
      </c>
      <c r="E617" s="26">
        <f>'2 - PREENCHA AQUI'!M621</f>
        <v>0</v>
      </c>
    </row>
    <row r="618" spans="1:5" x14ac:dyDescent="0.25">
      <c r="A618" s="26">
        <f>IF('2 - PREENCHA AQUI'!E622=FALSE(),0,'2 - PREENCHA AQUI'!E622)</f>
        <v>0</v>
      </c>
      <c r="B618" s="31">
        <f>'2 - PREENCHA AQUI'!J622</f>
        <v>0</v>
      </c>
      <c r="C618" s="31">
        <f>'2 - PREENCHA AQUI'!K622</f>
        <v>0</v>
      </c>
      <c r="D618" s="26">
        <f>'2 - PREENCHA AQUI'!L622</f>
        <v>0</v>
      </c>
      <c r="E618" s="26">
        <f>'2 - PREENCHA AQUI'!M622</f>
        <v>0</v>
      </c>
    </row>
    <row r="619" spans="1:5" x14ac:dyDescent="0.25">
      <c r="A619" s="26">
        <f>IF('2 - PREENCHA AQUI'!E623=FALSE(),0,'2 - PREENCHA AQUI'!E623)</f>
        <v>0</v>
      </c>
      <c r="B619" s="31">
        <f>'2 - PREENCHA AQUI'!J623</f>
        <v>0</v>
      </c>
      <c r="C619" s="31">
        <f>'2 - PREENCHA AQUI'!K623</f>
        <v>0</v>
      </c>
      <c r="D619" s="26">
        <f>'2 - PREENCHA AQUI'!L623</f>
        <v>0</v>
      </c>
      <c r="E619" s="26">
        <f>'2 - PREENCHA AQUI'!M623</f>
        <v>0</v>
      </c>
    </row>
    <row r="620" spans="1:5" x14ac:dyDescent="0.25">
      <c r="A620" s="26">
        <f>IF('2 - PREENCHA AQUI'!E624=FALSE(),0,'2 - PREENCHA AQUI'!E624)</f>
        <v>0</v>
      </c>
      <c r="B620" s="31">
        <f>'2 - PREENCHA AQUI'!J624</f>
        <v>0</v>
      </c>
      <c r="C620" s="31">
        <f>'2 - PREENCHA AQUI'!K624</f>
        <v>0</v>
      </c>
      <c r="D620" s="26">
        <f>'2 - PREENCHA AQUI'!L624</f>
        <v>0</v>
      </c>
      <c r="E620" s="26">
        <f>'2 - PREENCHA AQUI'!M624</f>
        <v>0</v>
      </c>
    </row>
    <row r="621" spans="1:5" x14ac:dyDescent="0.25">
      <c r="A621" s="26">
        <f>IF('2 - PREENCHA AQUI'!E625=FALSE(),0,'2 - PREENCHA AQUI'!E625)</f>
        <v>0</v>
      </c>
      <c r="B621" s="31">
        <f>'2 - PREENCHA AQUI'!J625</f>
        <v>0</v>
      </c>
      <c r="C621" s="31">
        <f>'2 - PREENCHA AQUI'!K625</f>
        <v>0</v>
      </c>
      <c r="D621" s="26">
        <f>'2 - PREENCHA AQUI'!L625</f>
        <v>0</v>
      </c>
      <c r="E621" s="26">
        <f>'2 - PREENCHA AQUI'!M625</f>
        <v>0</v>
      </c>
    </row>
    <row r="622" spans="1:5" x14ac:dyDescent="0.25">
      <c r="A622" s="26">
        <f>IF('2 - PREENCHA AQUI'!E626=FALSE(),0,'2 - PREENCHA AQUI'!E626)</f>
        <v>0</v>
      </c>
      <c r="B622" s="31">
        <f>'2 - PREENCHA AQUI'!J626</f>
        <v>0</v>
      </c>
      <c r="C622" s="31">
        <f>'2 - PREENCHA AQUI'!K626</f>
        <v>0</v>
      </c>
      <c r="D622" s="26">
        <f>'2 - PREENCHA AQUI'!L626</f>
        <v>0</v>
      </c>
      <c r="E622" s="26">
        <f>'2 - PREENCHA AQUI'!M626</f>
        <v>0</v>
      </c>
    </row>
    <row r="623" spans="1:5" x14ac:dyDescent="0.25">
      <c r="A623" s="26">
        <f>IF('2 - PREENCHA AQUI'!E627=FALSE(),0,'2 - PREENCHA AQUI'!E627)</f>
        <v>0</v>
      </c>
      <c r="B623" s="31">
        <f>'2 - PREENCHA AQUI'!J627</f>
        <v>0</v>
      </c>
      <c r="C623" s="31">
        <f>'2 - PREENCHA AQUI'!K627</f>
        <v>0</v>
      </c>
      <c r="D623" s="26">
        <f>'2 - PREENCHA AQUI'!L627</f>
        <v>0</v>
      </c>
      <c r="E623" s="26">
        <f>'2 - PREENCHA AQUI'!M627</f>
        <v>0</v>
      </c>
    </row>
    <row r="624" spans="1:5" x14ac:dyDescent="0.25">
      <c r="A624" s="26">
        <f>IF('2 - PREENCHA AQUI'!E628=FALSE(),0,'2 - PREENCHA AQUI'!E628)</f>
        <v>0</v>
      </c>
      <c r="B624" s="31">
        <f>'2 - PREENCHA AQUI'!J628</f>
        <v>0</v>
      </c>
      <c r="C624" s="31">
        <f>'2 - PREENCHA AQUI'!K628</f>
        <v>0</v>
      </c>
      <c r="D624" s="26">
        <f>'2 - PREENCHA AQUI'!L628</f>
        <v>0</v>
      </c>
      <c r="E624" s="26">
        <f>'2 - PREENCHA AQUI'!M628</f>
        <v>0</v>
      </c>
    </row>
    <row r="625" spans="1:5" x14ac:dyDescent="0.25">
      <c r="A625" s="26">
        <f>IF('2 - PREENCHA AQUI'!E629=FALSE(),0,'2 - PREENCHA AQUI'!E629)</f>
        <v>0</v>
      </c>
      <c r="B625" s="31">
        <f>'2 - PREENCHA AQUI'!J629</f>
        <v>0</v>
      </c>
      <c r="C625" s="31">
        <f>'2 - PREENCHA AQUI'!K629</f>
        <v>0</v>
      </c>
      <c r="D625" s="26">
        <f>'2 - PREENCHA AQUI'!L629</f>
        <v>0</v>
      </c>
      <c r="E625" s="26">
        <f>'2 - PREENCHA AQUI'!M629</f>
        <v>0</v>
      </c>
    </row>
    <row r="626" spans="1:5" x14ac:dyDescent="0.25">
      <c r="A626" s="26">
        <f>IF('2 - PREENCHA AQUI'!E630=FALSE(),0,'2 - PREENCHA AQUI'!E630)</f>
        <v>0</v>
      </c>
      <c r="B626" s="31">
        <f>'2 - PREENCHA AQUI'!J630</f>
        <v>0</v>
      </c>
      <c r="C626" s="31">
        <f>'2 - PREENCHA AQUI'!K630</f>
        <v>0</v>
      </c>
      <c r="D626" s="26">
        <f>'2 - PREENCHA AQUI'!L630</f>
        <v>0</v>
      </c>
      <c r="E626" s="26">
        <f>'2 - PREENCHA AQUI'!M630</f>
        <v>0</v>
      </c>
    </row>
    <row r="627" spans="1:5" x14ac:dyDescent="0.25">
      <c r="A627" s="26">
        <f>IF('2 - PREENCHA AQUI'!E631=FALSE(),0,'2 - PREENCHA AQUI'!E631)</f>
        <v>0</v>
      </c>
      <c r="B627" s="31">
        <f>'2 - PREENCHA AQUI'!J631</f>
        <v>0</v>
      </c>
      <c r="C627" s="31">
        <f>'2 - PREENCHA AQUI'!K631</f>
        <v>0</v>
      </c>
      <c r="D627" s="26">
        <f>'2 - PREENCHA AQUI'!L631</f>
        <v>0</v>
      </c>
      <c r="E627" s="26">
        <f>'2 - PREENCHA AQUI'!M631</f>
        <v>0</v>
      </c>
    </row>
    <row r="628" spans="1:5" x14ac:dyDescent="0.25">
      <c r="A628" s="26">
        <f>IF('2 - PREENCHA AQUI'!E632=FALSE(),0,'2 - PREENCHA AQUI'!E632)</f>
        <v>0</v>
      </c>
      <c r="B628" s="31">
        <f>'2 - PREENCHA AQUI'!J632</f>
        <v>0</v>
      </c>
      <c r="C628" s="31">
        <f>'2 - PREENCHA AQUI'!K632</f>
        <v>0</v>
      </c>
      <c r="D628" s="26">
        <f>'2 - PREENCHA AQUI'!L632</f>
        <v>0</v>
      </c>
      <c r="E628" s="26">
        <f>'2 - PREENCHA AQUI'!M632</f>
        <v>0</v>
      </c>
    </row>
    <row r="629" spans="1:5" x14ac:dyDescent="0.25">
      <c r="A629" s="26">
        <f>IF('2 - PREENCHA AQUI'!E633=FALSE(),0,'2 - PREENCHA AQUI'!E633)</f>
        <v>0</v>
      </c>
      <c r="B629" s="31">
        <f>'2 - PREENCHA AQUI'!J633</f>
        <v>0</v>
      </c>
      <c r="C629" s="31">
        <f>'2 - PREENCHA AQUI'!K633</f>
        <v>0</v>
      </c>
      <c r="D629" s="26">
        <f>'2 - PREENCHA AQUI'!L633</f>
        <v>0</v>
      </c>
      <c r="E629" s="26">
        <f>'2 - PREENCHA AQUI'!M633</f>
        <v>0</v>
      </c>
    </row>
    <row r="630" spans="1:5" x14ac:dyDescent="0.25">
      <c r="A630" s="26">
        <f>IF('2 - PREENCHA AQUI'!E634=FALSE(),0,'2 - PREENCHA AQUI'!E634)</f>
        <v>0</v>
      </c>
      <c r="B630" s="31">
        <f>'2 - PREENCHA AQUI'!J634</f>
        <v>0</v>
      </c>
      <c r="C630" s="31">
        <f>'2 - PREENCHA AQUI'!K634</f>
        <v>0</v>
      </c>
      <c r="D630" s="26">
        <f>'2 - PREENCHA AQUI'!L634</f>
        <v>0</v>
      </c>
      <c r="E630" s="26">
        <f>'2 - PREENCHA AQUI'!M634</f>
        <v>0</v>
      </c>
    </row>
    <row r="631" spans="1:5" x14ac:dyDescent="0.25">
      <c r="A631" s="26">
        <f>IF('2 - PREENCHA AQUI'!E635=FALSE(),0,'2 - PREENCHA AQUI'!E635)</f>
        <v>0</v>
      </c>
      <c r="B631" s="31">
        <f>'2 - PREENCHA AQUI'!J635</f>
        <v>0</v>
      </c>
      <c r="C631" s="31">
        <f>'2 - PREENCHA AQUI'!K635</f>
        <v>0</v>
      </c>
      <c r="D631" s="26">
        <f>'2 - PREENCHA AQUI'!L635</f>
        <v>0</v>
      </c>
      <c r="E631" s="26">
        <f>'2 - PREENCHA AQUI'!M635</f>
        <v>0</v>
      </c>
    </row>
    <row r="632" spans="1:5" x14ac:dyDescent="0.25">
      <c r="A632" s="26">
        <f>IF('2 - PREENCHA AQUI'!E636=FALSE(),0,'2 - PREENCHA AQUI'!E636)</f>
        <v>0</v>
      </c>
      <c r="B632" s="31">
        <f>'2 - PREENCHA AQUI'!J636</f>
        <v>0</v>
      </c>
      <c r="C632" s="31">
        <f>'2 - PREENCHA AQUI'!K636</f>
        <v>0</v>
      </c>
      <c r="D632" s="26">
        <f>'2 - PREENCHA AQUI'!L636</f>
        <v>0</v>
      </c>
      <c r="E632" s="26">
        <f>'2 - PREENCHA AQUI'!M636</f>
        <v>0</v>
      </c>
    </row>
    <row r="633" spans="1:5" x14ac:dyDescent="0.25">
      <c r="A633" s="26">
        <f>IF('2 - PREENCHA AQUI'!E637=FALSE(),0,'2 - PREENCHA AQUI'!E637)</f>
        <v>0</v>
      </c>
      <c r="B633" s="31">
        <f>'2 - PREENCHA AQUI'!J637</f>
        <v>0</v>
      </c>
      <c r="C633" s="31">
        <f>'2 - PREENCHA AQUI'!K637</f>
        <v>0</v>
      </c>
      <c r="D633" s="26">
        <f>'2 - PREENCHA AQUI'!L637</f>
        <v>0</v>
      </c>
      <c r="E633" s="26">
        <f>'2 - PREENCHA AQUI'!M637</f>
        <v>0</v>
      </c>
    </row>
    <row r="634" spans="1:5" x14ac:dyDescent="0.25">
      <c r="A634" s="26">
        <f>IF('2 - PREENCHA AQUI'!E638=FALSE(),0,'2 - PREENCHA AQUI'!E638)</f>
        <v>0</v>
      </c>
      <c r="B634" s="31">
        <f>'2 - PREENCHA AQUI'!J638</f>
        <v>0</v>
      </c>
      <c r="C634" s="31">
        <f>'2 - PREENCHA AQUI'!K638</f>
        <v>0</v>
      </c>
      <c r="D634" s="26">
        <f>'2 - PREENCHA AQUI'!L638</f>
        <v>0</v>
      </c>
      <c r="E634" s="26">
        <f>'2 - PREENCHA AQUI'!M638</f>
        <v>0</v>
      </c>
    </row>
    <row r="635" spans="1:5" x14ac:dyDescent="0.25">
      <c r="A635" s="26">
        <f>IF('2 - PREENCHA AQUI'!E639=FALSE(),0,'2 - PREENCHA AQUI'!E639)</f>
        <v>0</v>
      </c>
      <c r="B635" s="31">
        <f>'2 - PREENCHA AQUI'!J639</f>
        <v>0</v>
      </c>
      <c r="C635" s="31">
        <f>'2 - PREENCHA AQUI'!K639</f>
        <v>0</v>
      </c>
      <c r="D635" s="26">
        <f>'2 - PREENCHA AQUI'!L639</f>
        <v>0</v>
      </c>
      <c r="E635" s="26">
        <f>'2 - PREENCHA AQUI'!M639</f>
        <v>0</v>
      </c>
    </row>
    <row r="636" spans="1:5" x14ac:dyDescent="0.25">
      <c r="A636" s="26">
        <f>IF('2 - PREENCHA AQUI'!E640=FALSE(),0,'2 - PREENCHA AQUI'!E640)</f>
        <v>0</v>
      </c>
      <c r="B636" s="31">
        <f>'2 - PREENCHA AQUI'!J640</f>
        <v>0</v>
      </c>
      <c r="C636" s="31">
        <f>'2 - PREENCHA AQUI'!K640</f>
        <v>0</v>
      </c>
      <c r="D636" s="26">
        <f>'2 - PREENCHA AQUI'!L640</f>
        <v>0</v>
      </c>
      <c r="E636" s="26">
        <f>'2 - PREENCHA AQUI'!M640</f>
        <v>0</v>
      </c>
    </row>
    <row r="637" spans="1:5" x14ac:dyDescent="0.25">
      <c r="A637" s="26">
        <f>IF('2 - PREENCHA AQUI'!E641=FALSE(),0,'2 - PREENCHA AQUI'!E641)</f>
        <v>0</v>
      </c>
      <c r="B637" s="31">
        <f>'2 - PREENCHA AQUI'!J641</f>
        <v>0</v>
      </c>
      <c r="C637" s="31">
        <f>'2 - PREENCHA AQUI'!K641</f>
        <v>0</v>
      </c>
      <c r="D637" s="26">
        <f>'2 - PREENCHA AQUI'!L641</f>
        <v>0</v>
      </c>
      <c r="E637" s="26">
        <f>'2 - PREENCHA AQUI'!M641</f>
        <v>0</v>
      </c>
    </row>
    <row r="638" spans="1:5" x14ac:dyDescent="0.25">
      <c r="A638" s="26">
        <f>IF('2 - PREENCHA AQUI'!E642=FALSE(),0,'2 - PREENCHA AQUI'!E642)</f>
        <v>0</v>
      </c>
      <c r="B638" s="31">
        <f>'2 - PREENCHA AQUI'!J642</f>
        <v>0</v>
      </c>
      <c r="C638" s="31">
        <f>'2 - PREENCHA AQUI'!K642</f>
        <v>0</v>
      </c>
      <c r="D638" s="26">
        <f>'2 - PREENCHA AQUI'!L642</f>
        <v>0</v>
      </c>
      <c r="E638" s="26">
        <f>'2 - PREENCHA AQUI'!M642</f>
        <v>0</v>
      </c>
    </row>
    <row r="639" spans="1:5" x14ac:dyDescent="0.25">
      <c r="A639" s="26">
        <f>IF('2 - PREENCHA AQUI'!E643=FALSE(),0,'2 - PREENCHA AQUI'!E643)</f>
        <v>0</v>
      </c>
      <c r="B639" s="31">
        <f>'2 - PREENCHA AQUI'!J643</f>
        <v>0</v>
      </c>
      <c r="C639" s="31">
        <f>'2 - PREENCHA AQUI'!K643</f>
        <v>0</v>
      </c>
      <c r="D639" s="26">
        <f>'2 - PREENCHA AQUI'!L643</f>
        <v>0</v>
      </c>
      <c r="E639" s="26">
        <f>'2 - PREENCHA AQUI'!M643</f>
        <v>0</v>
      </c>
    </row>
    <row r="640" spans="1:5" x14ac:dyDescent="0.25">
      <c r="A640" s="26">
        <f>IF('2 - PREENCHA AQUI'!E644=FALSE(),0,'2 - PREENCHA AQUI'!E644)</f>
        <v>0</v>
      </c>
      <c r="B640" s="31">
        <f>'2 - PREENCHA AQUI'!J644</f>
        <v>0</v>
      </c>
      <c r="C640" s="31">
        <f>'2 - PREENCHA AQUI'!K644</f>
        <v>0</v>
      </c>
      <c r="D640" s="26">
        <f>'2 - PREENCHA AQUI'!L644</f>
        <v>0</v>
      </c>
      <c r="E640" s="26">
        <f>'2 - PREENCHA AQUI'!M644</f>
        <v>0</v>
      </c>
    </row>
    <row r="641" spans="1:5" x14ac:dyDescent="0.25">
      <c r="A641" s="26">
        <f>IF('2 - PREENCHA AQUI'!E645=FALSE(),0,'2 - PREENCHA AQUI'!E645)</f>
        <v>0</v>
      </c>
      <c r="B641" s="31">
        <f>'2 - PREENCHA AQUI'!J645</f>
        <v>0</v>
      </c>
      <c r="C641" s="31">
        <f>'2 - PREENCHA AQUI'!K645</f>
        <v>0</v>
      </c>
      <c r="D641" s="26">
        <f>'2 - PREENCHA AQUI'!L645</f>
        <v>0</v>
      </c>
      <c r="E641" s="26">
        <f>'2 - PREENCHA AQUI'!M645</f>
        <v>0</v>
      </c>
    </row>
    <row r="642" spans="1:5" x14ac:dyDescent="0.25">
      <c r="A642" s="26">
        <f>IF('2 - PREENCHA AQUI'!E646=FALSE(),0,'2 - PREENCHA AQUI'!E646)</f>
        <v>0</v>
      </c>
      <c r="B642" s="31">
        <f>'2 - PREENCHA AQUI'!J646</f>
        <v>0</v>
      </c>
      <c r="C642" s="31">
        <f>'2 - PREENCHA AQUI'!K646</f>
        <v>0</v>
      </c>
      <c r="D642" s="26">
        <f>'2 - PREENCHA AQUI'!L646</f>
        <v>0</v>
      </c>
      <c r="E642" s="26">
        <f>'2 - PREENCHA AQUI'!M646</f>
        <v>0</v>
      </c>
    </row>
    <row r="643" spans="1:5" x14ac:dyDescent="0.25">
      <c r="A643" s="26">
        <f>IF('2 - PREENCHA AQUI'!E647=FALSE(),0,'2 - PREENCHA AQUI'!E647)</f>
        <v>0</v>
      </c>
      <c r="B643" s="31">
        <f>'2 - PREENCHA AQUI'!J647</f>
        <v>0</v>
      </c>
      <c r="C643" s="31">
        <f>'2 - PREENCHA AQUI'!K647</f>
        <v>0</v>
      </c>
      <c r="D643" s="26">
        <f>'2 - PREENCHA AQUI'!L647</f>
        <v>0</v>
      </c>
      <c r="E643" s="26">
        <f>'2 - PREENCHA AQUI'!M647</f>
        <v>0</v>
      </c>
    </row>
    <row r="644" spans="1:5" x14ac:dyDescent="0.25">
      <c r="A644" s="26">
        <f>IF('2 - PREENCHA AQUI'!E648=FALSE(),0,'2 - PREENCHA AQUI'!E648)</f>
        <v>0</v>
      </c>
      <c r="B644" s="31">
        <f>'2 - PREENCHA AQUI'!J648</f>
        <v>0</v>
      </c>
      <c r="C644" s="31">
        <f>'2 - PREENCHA AQUI'!K648</f>
        <v>0</v>
      </c>
      <c r="D644" s="26">
        <f>'2 - PREENCHA AQUI'!L648</f>
        <v>0</v>
      </c>
      <c r="E644" s="26">
        <f>'2 - PREENCHA AQUI'!M648</f>
        <v>0</v>
      </c>
    </row>
    <row r="645" spans="1:5" x14ac:dyDescent="0.25">
      <c r="A645" s="26">
        <f>IF('2 - PREENCHA AQUI'!E649=FALSE(),0,'2 - PREENCHA AQUI'!E649)</f>
        <v>0</v>
      </c>
      <c r="B645" s="31">
        <f>'2 - PREENCHA AQUI'!J649</f>
        <v>0</v>
      </c>
      <c r="C645" s="31">
        <f>'2 - PREENCHA AQUI'!K649</f>
        <v>0</v>
      </c>
      <c r="D645" s="26">
        <f>'2 - PREENCHA AQUI'!L649</f>
        <v>0</v>
      </c>
      <c r="E645" s="26">
        <f>'2 - PREENCHA AQUI'!M649</f>
        <v>0</v>
      </c>
    </row>
    <row r="646" spans="1:5" x14ac:dyDescent="0.25">
      <c r="A646" s="26">
        <f>IF('2 - PREENCHA AQUI'!E650=FALSE(),0,'2 - PREENCHA AQUI'!E650)</f>
        <v>0</v>
      </c>
      <c r="B646" s="31">
        <f>'2 - PREENCHA AQUI'!J650</f>
        <v>0</v>
      </c>
      <c r="C646" s="31">
        <f>'2 - PREENCHA AQUI'!K650</f>
        <v>0</v>
      </c>
      <c r="D646" s="26">
        <f>'2 - PREENCHA AQUI'!L650</f>
        <v>0</v>
      </c>
      <c r="E646" s="26">
        <f>'2 - PREENCHA AQUI'!M650</f>
        <v>0</v>
      </c>
    </row>
    <row r="647" spans="1:5" x14ac:dyDescent="0.25">
      <c r="A647" s="26">
        <f>IF('2 - PREENCHA AQUI'!E651=FALSE(),0,'2 - PREENCHA AQUI'!E651)</f>
        <v>0</v>
      </c>
      <c r="B647" s="31">
        <f>'2 - PREENCHA AQUI'!J651</f>
        <v>0</v>
      </c>
      <c r="C647" s="31">
        <f>'2 - PREENCHA AQUI'!K651</f>
        <v>0</v>
      </c>
      <c r="D647" s="26">
        <f>'2 - PREENCHA AQUI'!L651</f>
        <v>0</v>
      </c>
      <c r="E647" s="26">
        <f>'2 - PREENCHA AQUI'!M651</f>
        <v>0</v>
      </c>
    </row>
    <row r="648" spans="1:5" x14ac:dyDescent="0.25">
      <c r="A648" s="26">
        <f>IF('2 - PREENCHA AQUI'!E652=FALSE(),0,'2 - PREENCHA AQUI'!E652)</f>
        <v>0</v>
      </c>
      <c r="B648" s="31">
        <f>'2 - PREENCHA AQUI'!J652</f>
        <v>0</v>
      </c>
      <c r="C648" s="31">
        <f>'2 - PREENCHA AQUI'!K652</f>
        <v>0</v>
      </c>
      <c r="D648" s="26">
        <f>'2 - PREENCHA AQUI'!L652</f>
        <v>0</v>
      </c>
      <c r="E648" s="26">
        <f>'2 - PREENCHA AQUI'!M652</f>
        <v>0</v>
      </c>
    </row>
    <row r="649" spans="1:5" x14ac:dyDescent="0.25">
      <c r="A649" s="26">
        <f>IF('2 - PREENCHA AQUI'!E653=FALSE(),0,'2 - PREENCHA AQUI'!E653)</f>
        <v>0</v>
      </c>
      <c r="B649" s="31">
        <f>'2 - PREENCHA AQUI'!J653</f>
        <v>0</v>
      </c>
      <c r="C649" s="31">
        <f>'2 - PREENCHA AQUI'!K653</f>
        <v>0</v>
      </c>
      <c r="D649" s="26">
        <f>'2 - PREENCHA AQUI'!L653</f>
        <v>0</v>
      </c>
      <c r="E649" s="26">
        <f>'2 - PREENCHA AQUI'!M653</f>
        <v>0</v>
      </c>
    </row>
    <row r="650" spans="1:5" x14ac:dyDescent="0.25">
      <c r="A650" s="26">
        <f>IF('2 - PREENCHA AQUI'!E654=FALSE(),0,'2 - PREENCHA AQUI'!E654)</f>
        <v>0</v>
      </c>
      <c r="B650" s="31">
        <f>'2 - PREENCHA AQUI'!J654</f>
        <v>0</v>
      </c>
      <c r="C650" s="31">
        <f>'2 - PREENCHA AQUI'!K654</f>
        <v>0</v>
      </c>
      <c r="D650" s="26">
        <f>'2 - PREENCHA AQUI'!L654</f>
        <v>0</v>
      </c>
      <c r="E650" s="26">
        <f>'2 - PREENCHA AQUI'!M654</f>
        <v>0</v>
      </c>
    </row>
    <row r="651" spans="1:5" x14ac:dyDescent="0.25">
      <c r="A651" s="26">
        <f>IF('2 - PREENCHA AQUI'!E655=FALSE(),0,'2 - PREENCHA AQUI'!E655)</f>
        <v>0</v>
      </c>
      <c r="B651" s="31">
        <f>'2 - PREENCHA AQUI'!J655</f>
        <v>0</v>
      </c>
      <c r="C651" s="31">
        <f>'2 - PREENCHA AQUI'!K655</f>
        <v>0</v>
      </c>
      <c r="D651" s="26">
        <f>'2 - PREENCHA AQUI'!L655</f>
        <v>0</v>
      </c>
      <c r="E651" s="26">
        <f>'2 - PREENCHA AQUI'!M655</f>
        <v>0</v>
      </c>
    </row>
    <row r="652" spans="1:5" x14ac:dyDescent="0.25">
      <c r="A652" s="26">
        <f>IF('2 - PREENCHA AQUI'!E656=FALSE(),0,'2 - PREENCHA AQUI'!E656)</f>
        <v>0</v>
      </c>
      <c r="B652" s="31">
        <f>'2 - PREENCHA AQUI'!J656</f>
        <v>0</v>
      </c>
      <c r="C652" s="31">
        <f>'2 - PREENCHA AQUI'!K656</f>
        <v>0</v>
      </c>
      <c r="D652" s="26">
        <f>'2 - PREENCHA AQUI'!L656</f>
        <v>0</v>
      </c>
      <c r="E652" s="26">
        <f>'2 - PREENCHA AQUI'!M656</f>
        <v>0</v>
      </c>
    </row>
    <row r="653" spans="1:5" x14ac:dyDescent="0.25">
      <c r="A653" s="26">
        <f>IF('2 - PREENCHA AQUI'!E657=FALSE(),0,'2 - PREENCHA AQUI'!E657)</f>
        <v>0</v>
      </c>
      <c r="B653" s="31">
        <f>'2 - PREENCHA AQUI'!J657</f>
        <v>0</v>
      </c>
      <c r="C653" s="31">
        <f>'2 - PREENCHA AQUI'!K657</f>
        <v>0</v>
      </c>
      <c r="D653" s="26">
        <f>'2 - PREENCHA AQUI'!L657</f>
        <v>0</v>
      </c>
      <c r="E653" s="26">
        <f>'2 - PREENCHA AQUI'!M657</f>
        <v>0</v>
      </c>
    </row>
    <row r="654" spans="1:5" x14ac:dyDescent="0.25">
      <c r="A654" s="26">
        <f>IF('2 - PREENCHA AQUI'!E658=FALSE(),0,'2 - PREENCHA AQUI'!E658)</f>
        <v>0</v>
      </c>
      <c r="B654" s="31">
        <f>'2 - PREENCHA AQUI'!J658</f>
        <v>0</v>
      </c>
      <c r="C654" s="31">
        <f>'2 - PREENCHA AQUI'!K658</f>
        <v>0</v>
      </c>
      <c r="D654" s="26">
        <f>'2 - PREENCHA AQUI'!L658</f>
        <v>0</v>
      </c>
      <c r="E654" s="26">
        <f>'2 - PREENCHA AQUI'!M658</f>
        <v>0</v>
      </c>
    </row>
    <row r="655" spans="1:5" x14ac:dyDescent="0.25">
      <c r="A655" s="26">
        <f>IF('2 - PREENCHA AQUI'!E659=FALSE(),0,'2 - PREENCHA AQUI'!E659)</f>
        <v>0</v>
      </c>
      <c r="B655" s="31">
        <f>'2 - PREENCHA AQUI'!J659</f>
        <v>0</v>
      </c>
      <c r="C655" s="31">
        <f>'2 - PREENCHA AQUI'!K659</f>
        <v>0</v>
      </c>
      <c r="D655" s="26">
        <f>'2 - PREENCHA AQUI'!L659</f>
        <v>0</v>
      </c>
      <c r="E655" s="26">
        <f>'2 - PREENCHA AQUI'!M659</f>
        <v>0</v>
      </c>
    </row>
    <row r="656" spans="1:5" x14ac:dyDescent="0.25">
      <c r="A656" s="26">
        <f>IF('2 - PREENCHA AQUI'!E660=FALSE(),0,'2 - PREENCHA AQUI'!E660)</f>
        <v>0</v>
      </c>
      <c r="B656" s="31">
        <f>'2 - PREENCHA AQUI'!J660</f>
        <v>0</v>
      </c>
      <c r="C656" s="31">
        <f>'2 - PREENCHA AQUI'!K660</f>
        <v>0</v>
      </c>
      <c r="D656" s="26">
        <f>'2 - PREENCHA AQUI'!L660</f>
        <v>0</v>
      </c>
      <c r="E656" s="26">
        <f>'2 - PREENCHA AQUI'!M660</f>
        <v>0</v>
      </c>
    </row>
    <row r="657" spans="1:5" x14ac:dyDescent="0.25">
      <c r="A657" s="26">
        <f>IF('2 - PREENCHA AQUI'!E661=FALSE(),0,'2 - PREENCHA AQUI'!E661)</f>
        <v>0</v>
      </c>
      <c r="B657" s="31">
        <f>'2 - PREENCHA AQUI'!J661</f>
        <v>0</v>
      </c>
      <c r="C657" s="31">
        <f>'2 - PREENCHA AQUI'!K661</f>
        <v>0</v>
      </c>
      <c r="D657" s="26">
        <f>'2 - PREENCHA AQUI'!L661</f>
        <v>0</v>
      </c>
      <c r="E657" s="26">
        <f>'2 - PREENCHA AQUI'!M661</f>
        <v>0</v>
      </c>
    </row>
    <row r="658" spans="1:5" x14ac:dyDescent="0.25">
      <c r="A658" s="26">
        <f>IF('2 - PREENCHA AQUI'!E662=FALSE(),0,'2 - PREENCHA AQUI'!E662)</f>
        <v>0</v>
      </c>
      <c r="B658" s="31">
        <f>'2 - PREENCHA AQUI'!J662</f>
        <v>0</v>
      </c>
      <c r="C658" s="31">
        <f>'2 - PREENCHA AQUI'!K662</f>
        <v>0</v>
      </c>
      <c r="D658" s="26">
        <f>'2 - PREENCHA AQUI'!L662</f>
        <v>0</v>
      </c>
      <c r="E658" s="26">
        <f>'2 - PREENCHA AQUI'!M662</f>
        <v>0</v>
      </c>
    </row>
    <row r="659" spans="1:5" x14ac:dyDescent="0.25">
      <c r="A659" s="26">
        <f>IF('2 - PREENCHA AQUI'!E663=FALSE(),0,'2 - PREENCHA AQUI'!E663)</f>
        <v>0</v>
      </c>
      <c r="B659" s="31">
        <f>'2 - PREENCHA AQUI'!J663</f>
        <v>0</v>
      </c>
      <c r="C659" s="31">
        <f>'2 - PREENCHA AQUI'!K663</f>
        <v>0</v>
      </c>
      <c r="D659" s="26">
        <f>'2 - PREENCHA AQUI'!L663</f>
        <v>0</v>
      </c>
      <c r="E659" s="26">
        <f>'2 - PREENCHA AQUI'!M663</f>
        <v>0</v>
      </c>
    </row>
    <row r="660" spans="1:5" x14ac:dyDescent="0.25">
      <c r="A660" s="26">
        <f>IF('2 - PREENCHA AQUI'!E664=FALSE(),0,'2 - PREENCHA AQUI'!E664)</f>
        <v>0</v>
      </c>
      <c r="B660" s="31">
        <f>'2 - PREENCHA AQUI'!J664</f>
        <v>0</v>
      </c>
      <c r="C660" s="31">
        <f>'2 - PREENCHA AQUI'!K664</f>
        <v>0</v>
      </c>
      <c r="D660" s="26">
        <f>'2 - PREENCHA AQUI'!L664</f>
        <v>0</v>
      </c>
      <c r="E660" s="26">
        <f>'2 - PREENCHA AQUI'!M664</f>
        <v>0</v>
      </c>
    </row>
    <row r="661" spans="1:5" x14ac:dyDescent="0.25">
      <c r="A661" s="26">
        <f>IF('2 - PREENCHA AQUI'!E665=FALSE(),0,'2 - PREENCHA AQUI'!E665)</f>
        <v>0</v>
      </c>
      <c r="B661" s="31">
        <f>'2 - PREENCHA AQUI'!J665</f>
        <v>0</v>
      </c>
      <c r="C661" s="31">
        <f>'2 - PREENCHA AQUI'!K665</f>
        <v>0</v>
      </c>
      <c r="D661" s="26">
        <f>'2 - PREENCHA AQUI'!L665</f>
        <v>0</v>
      </c>
      <c r="E661" s="26">
        <f>'2 - PREENCHA AQUI'!M665</f>
        <v>0</v>
      </c>
    </row>
    <row r="662" spans="1:5" x14ac:dyDescent="0.25">
      <c r="A662" s="26">
        <f>IF('2 - PREENCHA AQUI'!E666=FALSE(),0,'2 - PREENCHA AQUI'!E666)</f>
        <v>0</v>
      </c>
      <c r="B662" s="31">
        <f>'2 - PREENCHA AQUI'!J666</f>
        <v>0</v>
      </c>
      <c r="C662" s="31">
        <f>'2 - PREENCHA AQUI'!K666</f>
        <v>0</v>
      </c>
      <c r="D662" s="26">
        <f>'2 - PREENCHA AQUI'!L666</f>
        <v>0</v>
      </c>
      <c r="E662" s="26">
        <f>'2 - PREENCHA AQUI'!M666</f>
        <v>0</v>
      </c>
    </row>
    <row r="663" spans="1:5" x14ac:dyDescent="0.25">
      <c r="A663" s="26">
        <f>IF('2 - PREENCHA AQUI'!E667=FALSE(),0,'2 - PREENCHA AQUI'!E667)</f>
        <v>0</v>
      </c>
      <c r="B663" s="31">
        <f>'2 - PREENCHA AQUI'!J667</f>
        <v>0</v>
      </c>
      <c r="C663" s="31">
        <f>'2 - PREENCHA AQUI'!K667</f>
        <v>0</v>
      </c>
      <c r="D663" s="26">
        <f>'2 - PREENCHA AQUI'!L667</f>
        <v>0</v>
      </c>
      <c r="E663" s="26">
        <f>'2 - PREENCHA AQUI'!M667</f>
        <v>0</v>
      </c>
    </row>
    <row r="664" spans="1:5" x14ac:dyDescent="0.25">
      <c r="A664" s="26">
        <f>IF('2 - PREENCHA AQUI'!E668=FALSE(),0,'2 - PREENCHA AQUI'!E668)</f>
        <v>0</v>
      </c>
      <c r="B664" s="31">
        <f>'2 - PREENCHA AQUI'!J668</f>
        <v>0</v>
      </c>
      <c r="C664" s="31">
        <f>'2 - PREENCHA AQUI'!K668</f>
        <v>0</v>
      </c>
      <c r="D664" s="26">
        <f>'2 - PREENCHA AQUI'!L668</f>
        <v>0</v>
      </c>
      <c r="E664" s="26">
        <f>'2 - PREENCHA AQUI'!M668</f>
        <v>0</v>
      </c>
    </row>
    <row r="665" spans="1:5" x14ac:dyDescent="0.25">
      <c r="A665" s="26">
        <f>IF('2 - PREENCHA AQUI'!E669=FALSE(),0,'2 - PREENCHA AQUI'!E669)</f>
        <v>0</v>
      </c>
      <c r="B665" s="31">
        <f>'2 - PREENCHA AQUI'!J669</f>
        <v>0</v>
      </c>
      <c r="C665" s="31">
        <f>'2 - PREENCHA AQUI'!K669</f>
        <v>0</v>
      </c>
      <c r="D665" s="26">
        <f>'2 - PREENCHA AQUI'!L669</f>
        <v>0</v>
      </c>
      <c r="E665" s="26">
        <f>'2 - PREENCHA AQUI'!M669</f>
        <v>0</v>
      </c>
    </row>
    <row r="666" spans="1:5" x14ac:dyDescent="0.25">
      <c r="A666" s="26">
        <f>IF('2 - PREENCHA AQUI'!E670=FALSE(),0,'2 - PREENCHA AQUI'!E670)</f>
        <v>0</v>
      </c>
      <c r="B666" s="31">
        <f>'2 - PREENCHA AQUI'!J670</f>
        <v>0</v>
      </c>
      <c r="C666" s="31">
        <f>'2 - PREENCHA AQUI'!K670</f>
        <v>0</v>
      </c>
      <c r="D666" s="26">
        <f>'2 - PREENCHA AQUI'!L670</f>
        <v>0</v>
      </c>
      <c r="E666" s="26">
        <f>'2 - PREENCHA AQUI'!M670</f>
        <v>0</v>
      </c>
    </row>
    <row r="667" spans="1:5" x14ac:dyDescent="0.25">
      <c r="A667" s="26">
        <f>IF('2 - PREENCHA AQUI'!E671=FALSE(),0,'2 - PREENCHA AQUI'!E671)</f>
        <v>0</v>
      </c>
      <c r="B667" s="31">
        <f>'2 - PREENCHA AQUI'!J671</f>
        <v>0</v>
      </c>
      <c r="C667" s="31">
        <f>'2 - PREENCHA AQUI'!K671</f>
        <v>0</v>
      </c>
      <c r="D667" s="26">
        <f>'2 - PREENCHA AQUI'!L671</f>
        <v>0</v>
      </c>
      <c r="E667" s="26">
        <f>'2 - PREENCHA AQUI'!M671</f>
        <v>0</v>
      </c>
    </row>
    <row r="668" spans="1:5" x14ac:dyDescent="0.25">
      <c r="A668" s="26">
        <f>IF('2 - PREENCHA AQUI'!E672=FALSE(),0,'2 - PREENCHA AQUI'!E672)</f>
        <v>0</v>
      </c>
      <c r="B668" s="31">
        <f>'2 - PREENCHA AQUI'!J672</f>
        <v>0</v>
      </c>
      <c r="C668" s="31">
        <f>'2 - PREENCHA AQUI'!K672</f>
        <v>0</v>
      </c>
      <c r="D668" s="26">
        <f>'2 - PREENCHA AQUI'!L672</f>
        <v>0</v>
      </c>
      <c r="E668" s="26">
        <f>'2 - PREENCHA AQUI'!M672</f>
        <v>0</v>
      </c>
    </row>
    <row r="669" spans="1:5" x14ac:dyDescent="0.25">
      <c r="A669" s="26">
        <f>IF('2 - PREENCHA AQUI'!E673=FALSE(),0,'2 - PREENCHA AQUI'!E673)</f>
        <v>0</v>
      </c>
      <c r="B669" s="31">
        <f>'2 - PREENCHA AQUI'!J673</f>
        <v>0</v>
      </c>
      <c r="C669" s="31">
        <f>'2 - PREENCHA AQUI'!K673</f>
        <v>0</v>
      </c>
      <c r="D669" s="26">
        <f>'2 - PREENCHA AQUI'!L673</f>
        <v>0</v>
      </c>
      <c r="E669" s="26">
        <f>'2 - PREENCHA AQUI'!M673</f>
        <v>0</v>
      </c>
    </row>
    <row r="670" spans="1:5" x14ac:dyDescent="0.25">
      <c r="A670" s="26">
        <f>IF('2 - PREENCHA AQUI'!E674=FALSE(),0,'2 - PREENCHA AQUI'!E674)</f>
        <v>0</v>
      </c>
      <c r="B670" s="31">
        <f>'2 - PREENCHA AQUI'!J674</f>
        <v>0</v>
      </c>
      <c r="C670" s="31">
        <f>'2 - PREENCHA AQUI'!K674</f>
        <v>0</v>
      </c>
      <c r="D670" s="26">
        <f>'2 - PREENCHA AQUI'!L674</f>
        <v>0</v>
      </c>
      <c r="E670" s="26">
        <f>'2 - PREENCHA AQUI'!M674</f>
        <v>0</v>
      </c>
    </row>
    <row r="671" spans="1:5" x14ac:dyDescent="0.25">
      <c r="A671" s="26">
        <f>IF('2 - PREENCHA AQUI'!E675=FALSE(),0,'2 - PREENCHA AQUI'!E675)</f>
        <v>0</v>
      </c>
      <c r="B671" s="31">
        <f>'2 - PREENCHA AQUI'!J675</f>
        <v>0</v>
      </c>
      <c r="C671" s="31">
        <f>'2 - PREENCHA AQUI'!K675</f>
        <v>0</v>
      </c>
      <c r="D671" s="26">
        <f>'2 - PREENCHA AQUI'!L675</f>
        <v>0</v>
      </c>
      <c r="E671" s="26">
        <f>'2 - PREENCHA AQUI'!M675</f>
        <v>0</v>
      </c>
    </row>
    <row r="672" spans="1:5" x14ac:dyDescent="0.25">
      <c r="A672" s="26">
        <f>IF('2 - PREENCHA AQUI'!E676=FALSE(),0,'2 - PREENCHA AQUI'!E676)</f>
        <v>0</v>
      </c>
      <c r="B672" s="31">
        <f>'2 - PREENCHA AQUI'!J676</f>
        <v>0</v>
      </c>
      <c r="C672" s="31">
        <f>'2 - PREENCHA AQUI'!K676</f>
        <v>0</v>
      </c>
      <c r="D672" s="26">
        <f>'2 - PREENCHA AQUI'!L676</f>
        <v>0</v>
      </c>
      <c r="E672" s="26">
        <f>'2 - PREENCHA AQUI'!M676</f>
        <v>0</v>
      </c>
    </row>
    <row r="673" spans="1:5" x14ac:dyDescent="0.25">
      <c r="A673" s="26">
        <f>IF('2 - PREENCHA AQUI'!E677=FALSE(),0,'2 - PREENCHA AQUI'!E677)</f>
        <v>0</v>
      </c>
      <c r="B673" s="31">
        <f>'2 - PREENCHA AQUI'!J677</f>
        <v>0</v>
      </c>
      <c r="C673" s="31">
        <f>'2 - PREENCHA AQUI'!K677</f>
        <v>0</v>
      </c>
      <c r="D673" s="26">
        <f>'2 - PREENCHA AQUI'!L677</f>
        <v>0</v>
      </c>
      <c r="E673" s="26">
        <f>'2 - PREENCHA AQUI'!M677</f>
        <v>0</v>
      </c>
    </row>
    <row r="674" spans="1:5" x14ac:dyDescent="0.25">
      <c r="A674" s="26">
        <f>IF('2 - PREENCHA AQUI'!E678=FALSE(),0,'2 - PREENCHA AQUI'!E678)</f>
        <v>0</v>
      </c>
      <c r="B674" s="31">
        <f>'2 - PREENCHA AQUI'!J678</f>
        <v>0</v>
      </c>
      <c r="C674" s="31">
        <f>'2 - PREENCHA AQUI'!K678</f>
        <v>0</v>
      </c>
      <c r="D674" s="26">
        <f>'2 - PREENCHA AQUI'!L678</f>
        <v>0</v>
      </c>
      <c r="E674" s="26">
        <f>'2 - PREENCHA AQUI'!M678</f>
        <v>0</v>
      </c>
    </row>
    <row r="675" spans="1:5" x14ac:dyDescent="0.25">
      <c r="A675" s="26">
        <f>IF('2 - PREENCHA AQUI'!E679=FALSE(),0,'2 - PREENCHA AQUI'!E679)</f>
        <v>0</v>
      </c>
      <c r="B675" s="31">
        <f>'2 - PREENCHA AQUI'!J679</f>
        <v>0</v>
      </c>
      <c r="C675" s="31">
        <f>'2 - PREENCHA AQUI'!K679</f>
        <v>0</v>
      </c>
      <c r="D675" s="26">
        <f>'2 - PREENCHA AQUI'!L679</f>
        <v>0</v>
      </c>
      <c r="E675" s="26">
        <f>'2 - PREENCHA AQUI'!M679</f>
        <v>0</v>
      </c>
    </row>
    <row r="676" spans="1:5" x14ac:dyDescent="0.25">
      <c r="A676" s="26">
        <f>IF('2 - PREENCHA AQUI'!E680=FALSE(),0,'2 - PREENCHA AQUI'!E680)</f>
        <v>0</v>
      </c>
      <c r="B676" s="31">
        <f>'2 - PREENCHA AQUI'!J680</f>
        <v>0</v>
      </c>
      <c r="C676" s="31">
        <f>'2 - PREENCHA AQUI'!K680</f>
        <v>0</v>
      </c>
      <c r="D676" s="26">
        <f>'2 - PREENCHA AQUI'!L680</f>
        <v>0</v>
      </c>
      <c r="E676" s="26">
        <f>'2 - PREENCHA AQUI'!M680</f>
        <v>0</v>
      </c>
    </row>
    <row r="677" spans="1:5" x14ac:dyDescent="0.25">
      <c r="A677" s="26">
        <f>IF('2 - PREENCHA AQUI'!E681=FALSE(),0,'2 - PREENCHA AQUI'!E681)</f>
        <v>0</v>
      </c>
      <c r="B677" s="31">
        <f>'2 - PREENCHA AQUI'!J681</f>
        <v>0</v>
      </c>
      <c r="C677" s="31">
        <f>'2 - PREENCHA AQUI'!K681</f>
        <v>0</v>
      </c>
      <c r="D677" s="26">
        <f>'2 - PREENCHA AQUI'!L681</f>
        <v>0</v>
      </c>
      <c r="E677" s="26">
        <f>'2 - PREENCHA AQUI'!M681</f>
        <v>0</v>
      </c>
    </row>
    <row r="678" spans="1:5" x14ac:dyDescent="0.25">
      <c r="A678" s="26">
        <f>IF('2 - PREENCHA AQUI'!E682=FALSE(),0,'2 - PREENCHA AQUI'!E682)</f>
        <v>0</v>
      </c>
      <c r="B678" s="31">
        <f>'2 - PREENCHA AQUI'!J682</f>
        <v>0</v>
      </c>
      <c r="C678" s="31">
        <f>'2 - PREENCHA AQUI'!K682</f>
        <v>0</v>
      </c>
      <c r="D678" s="26">
        <f>'2 - PREENCHA AQUI'!L682</f>
        <v>0</v>
      </c>
      <c r="E678" s="26">
        <f>'2 - PREENCHA AQUI'!M682</f>
        <v>0</v>
      </c>
    </row>
    <row r="679" spans="1:5" x14ac:dyDescent="0.25">
      <c r="A679" s="26">
        <f>IF('2 - PREENCHA AQUI'!E683=FALSE(),0,'2 - PREENCHA AQUI'!E683)</f>
        <v>0</v>
      </c>
      <c r="B679" s="31">
        <f>'2 - PREENCHA AQUI'!J683</f>
        <v>0</v>
      </c>
      <c r="C679" s="31">
        <f>'2 - PREENCHA AQUI'!K683</f>
        <v>0</v>
      </c>
      <c r="D679" s="26">
        <f>'2 - PREENCHA AQUI'!L683</f>
        <v>0</v>
      </c>
      <c r="E679" s="26">
        <f>'2 - PREENCHA AQUI'!M683</f>
        <v>0</v>
      </c>
    </row>
    <row r="680" spans="1:5" x14ac:dyDescent="0.25">
      <c r="A680" s="26">
        <f>IF('2 - PREENCHA AQUI'!E684=FALSE(),0,'2 - PREENCHA AQUI'!E684)</f>
        <v>0</v>
      </c>
      <c r="B680" s="31">
        <f>'2 - PREENCHA AQUI'!J684</f>
        <v>0</v>
      </c>
      <c r="C680" s="31">
        <f>'2 - PREENCHA AQUI'!K684</f>
        <v>0</v>
      </c>
      <c r="D680" s="26">
        <f>'2 - PREENCHA AQUI'!L684</f>
        <v>0</v>
      </c>
      <c r="E680" s="26">
        <f>'2 - PREENCHA AQUI'!M684</f>
        <v>0</v>
      </c>
    </row>
    <row r="681" spans="1:5" x14ac:dyDescent="0.25">
      <c r="A681" s="26">
        <f>IF('2 - PREENCHA AQUI'!E685=FALSE(),0,'2 - PREENCHA AQUI'!E685)</f>
        <v>0</v>
      </c>
      <c r="B681" s="31">
        <f>'2 - PREENCHA AQUI'!J685</f>
        <v>0</v>
      </c>
      <c r="C681" s="31">
        <f>'2 - PREENCHA AQUI'!K685</f>
        <v>0</v>
      </c>
      <c r="D681" s="26">
        <f>'2 - PREENCHA AQUI'!L685</f>
        <v>0</v>
      </c>
      <c r="E681" s="26">
        <f>'2 - PREENCHA AQUI'!M685</f>
        <v>0</v>
      </c>
    </row>
    <row r="682" spans="1:5" x14ac:dyDescent="0.25">
      <c r="A682" s="26">
        <f>IF('2 - PREENCHA AQUI'!E686=FALSE(),0,'2 - PREENCHA AQUI'!E686)</f>
        <v>0</v>
      </c>
      <c r="B682" s="31">
        <f>'2 - PREENCHA AQUI'!J686</f>
        <v>0</v>
      </c>
      <c r="C682" s="31">
        <f>'2 - PREENCHA AQUI'!K686</f>
        <v>0</v>
      </c>
      <c r="D682" s="26">
        <f>'2 - PREENCHA AQUI'!L686</f>
        <v>0</v>
      </c>
      <c r="E682" s="26">
        <f>'2 - PREENCHA AQUI'!M686</f>
        <v>0</v>
      </c>
    </row>
    <row r="683" spans="1:5" x14ac:dyDescent="0.25">
      <c r="A683" s="26">
        <f>IF('2 - PREENCHA AQUI'!E687=FALSE(),0,'2 - PREENCHA AQUI'!E687)</f>
        <v>0</v>
      </c>
      <c r="B683" s="31">
        <f>'2 - PREENCHA AQUI'!J687</f>
        <v>0</v>
      </c>
      <c r="C683" s="31">
        <f>'2 - PREENCHA AQUI'!K687</f>
        <v>0</v>
      </c>
      <c r="D683" s="26">
        <f>'2 - PREENCHA AQUI'!L687</f>
        <v>0</v>
      </c>
      <c r="E683" s="26">
        <f>'2 - PREENCHA AQUI'!M687</f>
        <v>0</v>
      </c>
    </row>
    <row r="684" spans="1:5" x14ac:dyDescent="0.25">
      <c r="A684" s="26">
        <f>IF('2 - PREENCHA AQUI'!E688=FALSE(),0,'2 - PREENCHA AQUI'!E688)</f>
        <v>0</v>
      </c>
      <c r="B684" s="31">
        <f>'2 - PREENCHA AQUI'!J688</f>
        <v>0</v>
      </c>
      <c r="C684" s="31">
        <f>'2 - PREENCHA AQUI'!K688</f>
        <v>0</v>
      </c>
      <c r="D684" s="26">
        <f>'2 - PREENCHA AQUI'!L688</f>
        <v>0</v>
      </c>
      <c r="E684" s="26">
        <f>'2 - PREENCHA AQUI'!M688</f>
        <v>0</v>
      </c>
    </row>
    <row r="685" spans="1:5" x14ac:dyDescent="0.25">
      <c r="A685" s="26">
        <f>IF('2 - PREENCHA AQUI'!E689=FALSE(),0,'2 - PREENCHA AQUI'!E689)</f>
        <v>0</v>
      </c>
      <c r="B685" s="31">
        <f>'2 - PREENCHA AQUI'!J689</f>
        <v>0</v>
      </c>
      <c r="C685" s="31">
        <f>'2 - PREENCHA AQUI'!K689</f>
        <v>0</v>
      </c>
      <c r="D685" s="26">
        <f>'2 - PREENCHA AQUI'!L689</f>
        <v>0</v>
      </c>
      <c r="E685" s="26">
        <f>'2 - PREENCHA AQUI'!M689</f>
        <v>0</v>
      </c>
    </row>
    <row r="686" spans="1:5" x14ac:dyDescent="0.25">
      <c r="A686" s="26">
        <f>IF('2 - PREENCHA AQUI'!E690=FALSE(),0,'2 - PREENCHA AQUI'!E690)</f>
        <v>0</v>
      </c>
      <c r="B686" s="31">
        <f>'2 - PREENCHA AQUI'!J690</f>
        <v>0</v>
      </c>
      <c r="C686" s="31">
        <f>'2 - PREENCHA AQUI'!K690</f>
        <v>0</v>
      </c>
      <c r="D686" s="26">
        <f>'2 - PREENCHA AQUI'!L690</f>
        <v>0</v>
      </c>
      <c r="E686" s="26">
        <f>'2 - PREENCHA AQUI'!M690</f>
        <v>0</v>
      </c>
    </row>
    <row r="687" spans="1:5" x14ac:dyDescent="0.25">
      <c r="A687" s="26">
        <f>IF('2 - PREENCHA AQUI'!E691=FALSE(),0,'2 - PREENCHA AQUI'!E691)</f>
        <v>0</v>
      </c>
      <c r="B687" s="31">
        <f>'2 - PREENCHA AQUI'!J691</f>
        <v>0</v>
      </c>
      <c r="C687" s="31">
        <f>'2 - PREENCHA AQUI'!K691</f>
        <v>0</v>
      </c>
      <c r="D687" s="26">
        <f>'2 - PREENCHA AQUI'!L691</f>
        <v>0</v>
      </c>
      <c r="E687" s="26">
        <f>'2 - PREENCHA AQUI'!M691</f>
        <v>0</v>
      </c>
    </row>
    <row r="688" spans="1:5" x14ac:dyDescent="0.25">
      <c r="A688" s="26">
        <f>IF('2 - PREENCHA AQUI'!E692=FALSE(),0,'2 - PREENCHA AQUI'!E692)</f>
        <v>0</v>
      </c>
      <c r="B688" s="31">
        <f>'2 - PREENCHA AQUI'!J692</f>
        <v>0</v>
      </c>
      <c r="C688" s="31">
        <f>'2 - PREENCHA AQUI'!K692</f>
        <v>0</v>
      </c>
      <c r="D688" s="26">
        <f>'2 - PREENCHA AQUI'!L692</f>
        <v>0</v>
      </c>
      <c r="E688" s="26">
        <f>'2 - PREENCHA AQUI'!M692</f>
        <v>0</v>
      </c>
    </row>
    <row r="689" spans="1:5" x14ac:dyDescent="0.25">
      <c r="A689" s="26">
        <f>IF('2 - PREENCHA AQUI'!E693=FALSE(),0,'2 - PREENCHA AQUI'!E693)</f>
        <v>0</v>
      </c>
      <c r="B689" s="31">
        <f>'2 - PREENCHA AQUI'!J693</f>
        <v>0</v>
      </c>
      <c r="C689" s="31">
        <f>'2 - PREENCHA AQUI'!K693</f>
        <v>0</v>
      </c>
      <c r="D689" s="26">
        <f>'2 - PREENCHA AQUI'!L693</f>
        <v>0</v>
      </c>
      <c r="E689" s="26">
        <f>'2 - PREENCHA AQUI'!M693</f>
        <v>0</v>
      </c>
    </row>
    <row r="690" spans="1:5" x14ac:dyDescent="0.25">
      <c r="A690" s="26">
        <f>IF('2 - PREENCHA AQUI'!E694=FALSE(),0,'2 - PREENCHA AQUI'!E694)</f>
        <v>0</v>
      </c>
      <c r="B690" s="31">
        <f>'2 - PREENCHA AQUI'!J694</f>
        <v>0</v>
      </c>
      <c r="C690" s="31">
        <f>'2 - PREENCHA AQUI'!K694</f>
        <v>0</v>
      </c>
      <c r="D690" s="26">
        <f>'2 - PREENCHA AQUI'!L694</f>
        <v>0</v>
      </c>
      <c r="E690" s="26">
        <f>'2 - PREENCHA AQUI'!M694</f>
        <v>0</v>
      </c>
    </row>
    <row r="691" spans="1:5" x14ac:dyDescent="0.25">
      <c r="A691" s="26">
        <f>IF('2 - PREENCHA AQUI'!E695=FALSE(),0,'2 - PREENCHA AQUI'!E695)</f>
        <v>0</v>
      </c>
      <c r="B691" s="31">
        <f>'2 - PREENCHA AQUI'!J695</f>
        <v>0</v>
      </c>
      <c r="C691" s="31">
        <f>'2 - PREENCHA AQUI'!K695</f>
        <v>0</v>
      </c>
      <c r="D691" s="26">
        <f>'2 - PREENCHA AQUI'!L695</f>
        <v>0</v>
      </c>
      <c r="E691" s="26">
        <f>'2 - PREENCHA AQUI'!M695</f>
        <v>0</v>
      </c>
    </row>
    <row r="692" spans="1:5" x14ac:dyDescent="0.25">
      <c r="A692" s="26">
        <f>IF('2 - PREENCHA AQUI'!E696=FALSE(),0,'2 - PREENCHA AQUI'!E696)</f>
        <v>0</v>
      </c>
      <c r="B692" s="31">
        <f>'2 - PREENCHA AQUI'!J696</f>
        <v>0</v>
      </c>
      <c r="C692" s="31">
        <f>'2 - PREENCHA AQUI'!K696</f>
        <v>0</v>
      </c>
      <c r="D692" s="26">
        <f>'2 - PREENCHA AQUI'!L696</f>
        <v>0</v>
      </c>
      <c r="E692" s="26">
        <f>'2 - PREENCHA AQUI'!M696</f>
        <v>0</v>
      </c>
    </row>
    <row r="693" spans="1:5" x14ac:dyDescent="0.25">
      <c r="A693" s="26">
        <f>IF('2 - PREENCHA AQUI'!E697=FALSE(),0,'2 - PREENCHA AQUI'!E697)</f>
        <v>0</v>
      </c>
      <c r="B693" s="31">
        <f>'2 - PREENCHA AQUI'!J697</f>
        <v>0</v>
      </c>
      <c r="C693" s="31">
        <f>'2 - PREENCHA AQUI'!K697</f>
        <v>0</v>
      </c>
      <c r="D693" s="26">
        <f>'2 - PREENCHA AQUI'!L697</f>
        <v>0</v>
      </c>
      <c r="E693" s="26">
        <f>'2 - PREENCHA AQUI'!M697</f>
        <v>0</v>
      </c>
    </row>
    <row r="694" spans="1:5" x14ac:dyDescent="0.25">
      <c r="A694" s="26">
        <f>IF('2 - PREENCHA AQUI'!E698=FALSE(),0,'2 - PREENCHA AQUI'!E698)</f>
        <v>0</v>
      </c>
      <c r="B694" s="31">
        <f>'2 - PREENCHA AQUI'!J698</f>
        <v>0</v>
      </c>
      <c r="C694" s="31">
        <f>'2 - PREENCHA AQUI'!K698</f>
        <v>0</v>
      </c>
      <c r="D694" s="26">
        <f>'2 - PREENCHA AQUI'!L698</f>
        <v>0</v>
      </c>
      <c r="E694" s="26">
        <f>'2 - PREENCHA AQUI'!M698</f>
        <v>0</v>
      </c>
    </row>
    <row r="695" spans="1:5" x14ac:dyDescent="0.25">
      <c r="A695" s="26">
        <f>IF('2 - PREENCHA AQUI'!E699=FALSE(),0,'2 - PREENCHA AQUI'!E699)</f>
        <v>0</v>
      </c>
      <c r="B695" s="31">
        <f>'2 - PREENCHA AQUI'!J699</f>
        <v>0</v>
      </c>
      <c r="C695" s="31">
        <f>'2 - PREENCHA AQUI'!K699</f>
        <v>0</v>
      </c>
      <c r="D695" s="26">
        <f>'2 - PREENCHA AQUI'!L699</f>
        <v>0</v>
      </c>
      <c r="E695" s="26">
        <f>'2 - PREENCHA AQUI'!M699</f>
        <v>0</v>
      </c>
    </row>
    <row r="696" spans="1:5" x14ac:dyDescent="0.25">
      <c r="A696" s="26">
        <f>IF('2 - PREENCHA AQUI'!E700=FALSE(),0,'2 - PREENCHA AQUI'!E700)</f>
        <v>0</v>
      </c>
      <c r="B696" s="31">
        <f>'2 - PREENCHA AQUI'!J700</f>
        <v>0</v>
      </c>
      <c r="C696" s="31">
        <f>'2 - PREENCHA AQUI'!K700</f>
        <v>0</v>
      </c>
      <c r="D696" s="26">
        <f>'2 - PREENCHA AQUI'!L700</f>
        <v>0</v>
      </c>
      <c r="E696" s="26">
        <f>'2 - PREENCHA AQUI'!M700</f>
        <v>0</v>
      </c>
    </row>
    <row r="697" spans="1:5" x14ac:dyDescent="0.25">
      <c r="A697" s="26">
        <f>IF('2 - PREENCHA AQUI'!E701=FALSE(),0,'2 - PREENCHA AQUI'!E701)</f>
        <v>0</v>
      </c>
      <c r="B697" s="31">
        <f>'2 - PREENCHA AQUI'!J701</f>
        <v>0</v>
      </c>
      <c r="C697" s="31">
        <f>'2 - PREENCHA AQUI'!K701</f>
        <v>0</v>
      </c>
      <c r="D697" s="26">
        <f>'2 - PREENCHA AQUI'!L701</f>
        <v>0</v>
      </c>
      <c r="E697" s="26">
        <f>'2 - PREENCHA AQUI'!M701</f>
        <v>0</v>
      </c>
    </row>
    <row r="698" spans="1:5" x14ac:dyDescent="0.25">
      <c r="A698" s="26">
        <f>IF('2 - PREENCHA AQUI'!E702=FALSE(),0,'2 - PREENCHA AQUI'!E702)</f>
        <v>0</v>
      </c>
      <c r="B698" s="31">
        <f>'2 - PREENCHA AQUI'!J702</f>
        <v>0</v>
      </c>
      <c r="C698" s="31">
        <f>'2 - PREENCHA AQUI'!K702</f>
        <v>0</v>
      </c>
      <c r="D698" s="26">
        <f>'2 - PREENCHA AQUI'!L702</f>
        <v>0</v>
      </c>
      <c r="E698" s="26">
        <f>'2 - PREENCHA AQUI'!M702</f>
        <v>0</v>
      </c>
    </row>
    <row r="699" spans="1:5" x14ac:dyDescent="0.25">
      <c r="A699" s="26">
        <f>IF('2 - PREENCHA AQUI'!E703=FALSE(),0,'2 - PREENCHA AQUI'!E703)</f>
        <v>0</v>
      </c>
      <c r="B699" s="31">
        <f>'2 - PREENCHA AQUI'!J703</f>
        <v>0</v>
      </c>
      <c r="C699" s="31">
        <f>'2 - PREENCHA AQUI'!K703</f>
        <v>0</v>
      </c>
      <c r="D699" s="26">
        <f>'2 - PREENCHA AQUI'!L703</f>
        <v>0</v>
      </c>
      <c r="E699" s="26">
        <f>'2 - PREENCHA AQUI'!M703</f>
        <v>0</v>
      </c>
    </row>
    <row r="700" spans="1:5" x14ac:dyDescent="0.25">
      <c r="A700" s="26">
        <f>IF('2 - PREENCHA AQUI'!E704=FALSE(),0,'2 - PREENCHA AQUI'!E704)</f>
        <v>0</v>
      </c>
      <c r="B700" s="31">
        <f>'2 - PREENCHA AQUI'!J704</f>
        <v>0</v>
      </c>
      <c r="C700" s="31">
        <f>'2 - PREENCHA AQUI'!K704</f>
        <v>0</v>
      </c>
      <c r="D700" s="26">
        <f>'2 - PREENCHA AQUI'!L704</f>
        <v>0</v>
      </c>
      <c r="E700" s="26">
        <f>'2 - PREENCHA AQUI'!M704</f>
        <v>0</v>
      </c>
    </row>
    <row r="701" spans="1:5" x14ac:dyDescent="0.25">
      <c r="A701" s="26">
        <f>IF('2 - PREENCHA AQUI'!E705=FALSE(),0,'2 - PREENCHA AQUI'!E705)</f>
        <v>0</v>
      </c>
      <c r="B701" s="31">
        <f>'2 - PREENCHA AQUI'!J705</f>
        <v>0</v>
      </c>
      <c r="C701" s="31">
        <f>'2 - PREENCHA AQUI'!K705</f>
        <v>0</v>
      </c>
      <c r="D701" s="26">
        <f>'2 - PREENCHA AQUI'!L705</f>
        <v>0</v>
      </c>
      <c r="E701" s="26">
        <f>'2 - PREENCHA AQUI'!M705</f>
        <v>0</v>
      </c>
    </row>
    <row r="702" spans="1:5" x14ac:dyDescent="0.25">
      <c r="A702" s="26">
        <f>IF('2 - PREENCHA AQUI'!E706=FALSE(),0,'2 - PREENCHA AQUI'!E706)</f>
        <v>0</v>
      </c>
      <c r="B702" s="31">
        <f>'2 - PREENCHA AQUI'!J706</f>
        <v>0</v>
      </c>
      <c r="C702" s="31">
        <f>'2 - PREENCHA AQUI'!K706</f>
        <v>0</v>
      </c>
      <c r="D702" s="26">
        <f>'2 - PREENCHA AQUI'!L706</f>
        <v>0</v>
      </c>
      <c r="E702" s="26">
        <f>'2 - PREENCHA AQUI'!M706</f>
        <v>0</v>
      </c>
    </row>
    <row r="703" spans="1:5" x14ac:dyDescent="0.25">
      <c r="A703" s="26">
        <f>IF('2 - PREENCHA AQUI'!E707=FALSE(),0,'2 - PREENCHA AQUI'!E707)</f>
        <v>0</v>
      </c>
      <c r="B703" s="31">
        <f>'2 - PREENCHA AQUI'!J707</f>
        <v>0</v>
      </c>
      <c r="C703" s="31">
        <f>'2 - PREENCHA AQUI'!K707</f>
        <v>0</v>
      </c>
      <c r="D703" s="26">
        <f>'2 - PREENCHA AQUI'!L707</f>
        <v>0</v>
      </c>
      <c r="E703" s="26">
        <f>'2 - PREENCHA AQUI'!M707</f>
        <v>0</v>
      </c>
    </row>
    <row r="704" spans="1:5" x14ac:dyDescent="0.25">
      <c r="A704" s="26">
        <f>IF('2 - PREENCHA AQUI'!E708=FALSE(),0,'2 - PREENCHA AQUI'!E708)</f>
        <v>0</v>
      </c>
      <c r="B704" s="31">
        <f>'2 - PREENCHA AQUI'!J708</f>
        <v>0</v>
      </c>
      <c r="C704" s="31">
        <f>'2 - PREENCHA AQUI'!K708</f>
        <v>0</v>
      </c>
      <c r="D704" s="26">
        <f>'2 - PREENCHA AQUI'!L708</f>
        <v>0</v>
      </c>
      <c r="E704" s="26">
        <f>'2 - PREENCHA AQUI'!M708</f>
        <v>0</v>
      </c>
    </row>
    <row r="705" spans="1:5" x14ac:dyDescent="0.25">
      <c r="A705" s="26">
        <f>IF('2 - PREENCHA AQUI'!E709=FALSE(),0,'2 - PREENCHA AQUI'!E709)</f>
        <v>0</v>
      </c>
      <c r="B705" s="31">
        <f>'2 - PREENCHA AQUI'!J709</f>
        <v>0</v>
      </c>
      <c r="C705" s="31">
        <f>'2 - PREENCHA AQUI'!K709</f>
        <v>0</v>
      </c>
      <c r="D705" s="26">
        <f>'2 - PREENCHA AQUI'!L709</f>
        <v>0</v>
      </c>
      <c r="E705" s="26">
        <f>'2 - PREENCHA AQUI'!M709</f>
        <v>0</v>
      </c>
    </row>
    <row r="706" spans="1:5" x14ac:dyDescent="0.25">
      <c r="A706" s="26">
        <f>IF('2 - PREENCHA AQUI'!E710=FALSE(),0,'2 - PREENCHA AQUI'!E710)</f>
        <v>0</v>
      </c>
      <c r="B706" s="31">
        <f>'2 - PREENCHA AQUI'!J710</f>
        <v>0</v>
      </c>
      <c r="C706" s="31">
        <f>'2 - PREENCHA AQUI'!K710</f>
        <v>0</v>
      </c>
      <c r="D706" s="26">
        <f>'2 - PREENCHA AQUI'!L710</f>
        <v>0</v>
      </c>
      <c r="E706" s="26">
        <f>'2 - PREENCHA AQUI'!M710</f>
        <v>0</v>
      </c>
    </row>
    <row r="707" spans="1:5" x14ac:dyDescent="0.25">
      <c r="A707" s="26">
        <f>IF('2 - PREENCHA AQUI'!E711=FALSE(),0,'2 - PREENCHA AQUI'!E711)</f>
        <v>0</v>
      </c>
      <c r="B707" s="31">
        <f>'2 - PREENCHA AQUI'!J711</f>
        <v>0</v>
      </c>
      <c r="C707" s="31">
        <f>'2 - PREENCHA AQUI'!K711</f>
        <v>0</v>
      </c>
      <c r="D707" s="26">
        <f>'2 - PREENCHA AQUI'!L711</f>
        <v>0</v>
      </c>
      <c r="E707" s="26">
        <f>'2 - PREENCHA AQUI'!M711</f>
        <v>0</v>
      </c>
    </row>
    <row r="708" spans="1:5" x14ac:dyDescent="0.25">
      <c r="A708" s="26">
        <f>IF('2 - PREENCHA AQUI'!E712=FALSE(),0,'2 - PREENCHA AQUI'!E712)</f>
        <v>0</v>
      </c>
      <c r="B708" s="31">
        <f>'2 - PREENCHA AQUI'!J712</f>
        <v>0</v>
      </c>
      <c r="C708" s="31">
        <f>'2 - PREENCHA AQUI'!K712</f>
        <v>0</v>
      </c>
      <c r="D708" s="26">
        <f>'2 - PREENCHA AQUI'!L712</f>
        <v>0</v>
      </c>
      <c r="E708" s="26">
        <f>'2 - PREENCHA AQUI'!M712</f>
        <v>0</v>
      </c>
    </row>
    <row r="709" spans="1:5" x14ac:dyDescent="0.25">
      <c r="A709" s="26">
        <f>IF('2 - PREENCHA AQUI'!E713=FALSE(),0,'2 - PREENCHA AQUI'!E713)</f>
        <v>0</v>
      </c>
      <c r="B709" s="31">
        <f>'2 - PREENCHA AQUI'!J713</f>
        <v>0</v>
      </c>
      <c r="C709" s="31">
        <f>'2 - PREENCHA AQUI'!K713</f>
        <v>0</v>
      </c>
      <c r="D709" s="26">
        <f>'2 - PREENCHA AQUI'!L713</f>
        <v>0</v>
      </c>
      <c r="E709" s="26">
        <f>'2 - PREENCHA AQUI'!M713</f>
        <v>0</v>
      </c>
    </row>
    <row r="710" spans="1:5" x14ac:dyDescent="0.25">
      <c r="A710" s="26">
        <f>IF('2 - PREENCHA AQUI'!E714=FALSE(),0,'2 - PREENCHA AQUI'!E714)</f>
        <v>0</v>
      </c>
      <c r="B710" s="31">
        <f>'2 - PREENCHA AQUI'!J714</f>
        <v>0</v>
      </c>
      <c r="C710" s="31">
        <f>'2 - PREENCHA AQUI'!K714</f>
        <v>0</v>
      </c>
      <c r="D710" s="26">
        <f>'2 - PREENCHA AQUI'!L714</f>
        <v>0</v>
      </c>
      <c r="E710" s="26">
        <f>'2 - PREENCHA AQUI'!M714</f>
        <v>0</v>
      </c>
    </row>
    <row r="711" spans="1:5" x14ac:dyDescent="0.25">
      <c r="A711" s="26">
        <f>IF('2 - PREENCHA AQUI'!E715=FALSE(),0,'2 - PREENCHA AQUI'!E715)</f>
        <v>0</v>
      </c>
      <c r="B711" s="31">
        <f>'2 - PREENCHA AQUI'!J715</f>
        <v>0</v>
      </c>
      <c r="C711" s="31">
        <f>'2 - PREENCHA AQUI'!K715</f>
        <v>0</v>
      </c>
      <c r="D711" s="26">
        <f>'2 - PREENCHA AQUI'!L715</f>
        <v>0</v>
      </c>
      <c r="E711" s="26">
        <f>'2 - PREENCHA AQUI'!M715</f>
        <v>0</v>
      </c>
    </row>
    <row r="712" spans="1:5" x14ac:dyDescent="0.25">
      <c r="A712" s="26">
        <f>IF('2 - PREENCHA AQUI'!E716=FALSE(),0,'2 - PREENCHA AQUI'!E716)</f>
        <v>0</v>
      </c>
      <c r="B712" s="31">
        <f>'2 - PREENCHA AQUI'!J716</f>
        <v>0</v>
      </c>
      <c r="C712" s="31">
        <f>'2 - PREENCHA AQUI'!K716</f>
        <v>0</v>
      </c>
      <c r="D712" s="26">
        <f>'2 - PREENCHA AQUI'!L716</f>
        <v>0</v>
      </c>
      <c r="E712" s="26">
        <f>'2 - PREENCHA AQUI'!M716</f>
        <v>0</v>
      </c>
    </row>
    <row r="713" spans="1:5" x14ac:dyDescent="0.25">
      <c r="A713" s="26">
        <f>IF('2 - PREENCHA AQUI'!E717=FALSE(),0,'2 - PREENCHA AQUI'!E717)</f>
        <v>0</v>
      </c>
      <c r="B713" s="31">
        <f>'2 - PREENCHA AQUI'!J717</f>
        <v>0</v>
      </c>
      <c r="C713" s="31">
        <f>'2 - PREENCHA AQUI'!K717</f>
        <v>0</v>
      </c>
      <c r="D713" s="26">
        <f>'2 - PREENCHA AQUI'!L717</f>
        <v>0</v>
      </c>
      <c r="E713" s="26">
        <f>'2 - PREENCHA AQUI'!M717</f>
        <v>0</v>
      </c>
    </row>
    <row r="714" spans="1:5" x14ac:dyDescent="0.25">
      <c r="A714" s="26">
        <f>IF('2 - PREENCHA AQUI'!E718=FALSE(),0,'2 - PREENCHA AQUI'!E718)</f>
        <v>0</v>
      </c>
      <c r="B714" s="31">
        <f>'2 - PREENCHA AQUI'!J718</f>
        <v>0</v>
      </c>
      <c r="C714" s="31">
        <f>'2 - PREENCHA AQUI'!K718</f>
        <v>0</v>
      </c>
      <c r="D714" s="26">
        <f>'2 - PREENCHA AQUI'!L718</f>
        <v>0</v>
      </c>
      <c r="E714" s="26">
        <f>'2 - PREENCHA AQUI'!M718</f>
        <v>0</v>
      </c>
    </row>
    <row r="715" spans="1:5" x14ac:dyDescent="0.25">
      <c r="A715" s="26">
        <f>IF('2 - PREENCHA AQUI'!E719=FALSE(),0,'2 - PREENCHA AQUI'!E719)</f>
        <v>0</v>
      </c>
      <c r="B715" s="31">
        <f>'2 - PREENCHA AQUI'!J719</f>
        <v>0</v>
      </c>
      <c r="C715" s="31">
        <f>'2 - PREENCHA AQUI'!K719</f>
        <v>0</v>
      </c>
      <c r="D715" s="26">
        <f>'2 - PREENCHA AQUI'!L719</f>
        <v>0</v>
      </c>
      <c r="E715" s="26">
        <f>'2 - PREENCHA AQUI'!M719</f>
        <v>0</v>
      </c>
    </row>
    <row r="716" spans="1:5" x14ac:dyDescent="0.25">
      <c r="A716" s="26">
        <f>IF('2 - PREENCHA AQUI'!E720=FALSE(),0,'2 - PREENCHA AQUI'!E720)</f>
        <v>0</v>
      </c>
      <c r="B716" s="31">
        <f>'2 - PREENCHA AQUI'!J720</f>
        <v>0</v>
      </c>
      <c r="C716" s="31">
        <f>'2 - PREENCHA AQUI'!K720</f>
        <v>0</v>
      </c>
      <c r="D716" s="26">
        <f>'2 - PREENCHA AQUI'!L720</f>
        <v>0</v>
      </c>
      <c r="E716" s="26">
        <f>'2 - PREENCHA AQUI'!M720</f>
        <v>0</v>
      </c>
    </row>
    <row r="717" spans="1:5" x14ac:dyDescent="0.25">
      <c r="A717" s="26">
        <f>IF('2 - PREENCHA AQUI'!E721=FALSE(),0,'2 - PREENCHA AQUI'!E721)</f>
        <v>0</v>
      </c>
      <c r="B717" s="31">
        <f>'2 - PREENCHA AQUI'!J721</f>
        <v>0</v>
      </c>
      <c r="C717" s="31">
        <f>'2 - PREENCHA AQUI'!K721</f>
        <v>0</v>
      </c>
      <c r="D717" s="26">
        <f>'2 - PREENCHA AQUI'!L721</f>
        <v>0</v>
      </c>
      <c r="E717" s="26">
        <f>'2 - PREENCHA AQUI'!M721</f>
        <v>0</v>
      </c>
    </row>
    <row r="718" spans="1:5" x14ac:dyDescent="0.25">
      <c r="A718" s="26">
        <f>IF('2 - PREENCHA AQUI'!E722=FALSE(),0,'2 - PREENCHA AQUI'!E722)</f>
        <v>0</v>
      </c>
      <c r="B718" s="31">
        <f>'2 - PREENCHA AQUI'!J722</f>
        <v>0</v>
      </c>
      <c r="C718" s="31">
        <f>'2 - PREENCHA AQUI'!K722</f>
        <v>0</v>
      </c>
      <c r="D718" s="26">
        <f>'2 - PREENCHA AQUI'!L722</f>
        <v>0</v>
      </c>
      <c r="E718" s="26">
        <f>'2 - PREENCHA AQUI'!M722</f>
        <v>0</v>
      </c>
    </row>
    <row r="719" spans="1:5" x14ac:dyDescent="0.25">
      <c r="A719" s="26">
        <f>IF('2 - PREENCHA AQUI'!E723=FALSE(),0,'2 - PREENCHA AQUI'!E723)</f>
        <v>0</v>
      </c>
      <c r="B719" s="31">
        <f>'2 - PREENCHA AQUI'!J723</f>
        <v>0</v>
      </c>
      <c r="C719" s="31">
        <f>'2 - PREENCHA AQUI'!K723</f>
        <v>0</v>
      </c>
      <c r="D719" s="26">
        <f>'2 - PREENCHA AQUI'!L723</f>
        <v>0</v>
      </c>
      <c r="E719" s="26">
        <f>'2 - PREENCHA AQUI'!M723</f>
        <v>0</v>
      </c>
    </row>
    <row r="720" spans="1:5" x14ac:dyDescent="0.25">
      <c r="A720" s="26">
        <f>IF('2 - PREENCHA AQUI'!E724=FALSE(),0,'2 - PREENCHA AQUI'!E724)</f>
        <v>0</v>
      </c>
      <c r="B720" s="31">
        <f>'2 - PREENCHA AQUI'!J724</f>
        <v>0</v>
      </c>
      <c r="C720" s="31">
        <f>'2 - PREENCHA AQUI'!K724</f>
        <v>0</v>
      </c>
      <c r="D720" s="26">
        <f>'2 - PREENCHA AQUI'!L724</f>
        <v>0</v>
      </c>
      <c r="E720" s="26">
        <f>'2 - PREENCHA AQUI'!M724</f>
        <v>0</v>
      </c>
    </row>
    <row r="721" spans="1:5" x14ac:dyDescent="0.25">
      <c r="A721" s="26">
        <f>IF('2 - PREENCHA AQUI'!E725=FALSE(),0,'2 - PREENCHA AQUI'!E725)</f>
        <v>0</v>
      </c>
      <c r="B721" s="31">
        <f>'2 - PREENCHA AQUI'!J725</f>
        <v>0</v>
      </c>
      <c r="C721" s="31">
        <f>'2 - PREENCHA AQUI'!K725</f>
        <v>0</v>
      </c>
      <c r="D721" s="26">
        <f>'2 - PREENCHA AQUI'!L725</f>
        <v>0</v>
      </c>
      <c r="E721" s="26">
        <f>'2 - PREENCHA AQUI'!M725</f>
        <v>0</v>
      </c>
    </row>
    <row r="722" spans="1:5" x14ac:dyDescent="0.25">
      <c r="A722" s="26">
        <f>IF('2 - PREENCHA AQUI'!E726=FALSE(),0,'2 - PREENCHA AQUI'!E726)</f>
        <v>0</v>
      </c>
      <c r="B722" s="31">
        <f>'2 - PREENCHA AQUI'!J726</f>
        <v>0</v>
      </c>
      <c r="C722" s="31">
        <f>'2 - PREENCHA AQUI'!K726</f>
        <v>0</v>
      </c>
      <c r="D722" s="26">
        <f>'2 - PREENCHA AQUI'!L726</f>
        <v>0</v>
      </c>
      <c r="E722" s="26">
        <f>'2 - PREENCHA AQUI'!M726</f>
        <v>0</v>
      </c>
    </row>
    <row r="723" spans="1:5" x14ac:dyDescent="0.25">
      <c r="A723" s="26">
        <f>IF('2 - PREENCHA AQUI'!E727=FALSE(),0,'2 - PREENCHA AQUI'!E727)</f>
        <v>0</v>
      </c>
      <c r="B723" s="31">
        <f>'2 - PREENCHA AQUI'!J727</f>
        <v>0</v>
      </c>
      <c r="C723" s="31">
        <f>'2 - PREENCHA AQUI'!K727</f>
        <v>0</v>
      </c>
      <c r="D723" s="26">
        <f>'2 - PREENCHA AQUI'!L727</f>
        <v>0</v>
      </c>
      <c r="E723" s="26">
        <f>'2 - PREENCHA AQUI'!M727</f>
        <v>0</v>
      </c>
    </row>
    <row r="724" spans="1:5" x14ac:dyDescent="0.25">
      <c r="A724" s="26">
        <f>IF('2 - PREENCHA AQUI'!E728=FALSE(),0,'2 - PREENCHA AQUI'!E728)</f>
        <v>0</v>
      </c>
      <c r="B724" s="31">
        <f>'2 - PREENCHA AQUI'!J728</f>
        <v>0</v>
      </c>
      <c r="C724" s="31">
        <f>'2 - PREENCHA AQUI'!K728</f>
        <v>0</v>
      </c>
      <c r="D724" s="26">
        <f>'2 - PREENCHA AQUI'!L728</f>
        <v>0</v>
      </c>
      <c r="E724" s="26">
        <f>'2 - PREENCHA AQUI'!M728</f>
        <v>0</v>
      </c>
    </row>
    <row r="725" spans="1:5" x14ac:dyDescent="0.25">
      <c r="A725" s="26">
        <f>IF('2 - PREENCHA AQUI'!E729=FALSE(),0,'2 - PREENCHA AQUI'!E729)</f>
        <v>0</v>
      </c>
      <c r="B725" s="31">
        <f>'2 - PREENCHA AQUI'!J729</f>
        <v>0</v>
      </c>
      <c r="C725" s="31">
        <f>'2 - PREENCHA AQUI'!K729</f>
        <v>0</v>
      </c>
      <c r="D725" s="26">
        <f>'2 - PREENCHA AQUI'!L729</f>
        <v>0</v>
      </c>
      <c r="E725" s="26">
        <f>'2 - PREENCHA AQUI'!M729</f>
        <v>0</v>
      </c>
    </row>
    <row r="726" spans="1:5" x14ac:dyDescent="0.25">
      <c r="A726" s="26">
        <f>IF('2 - PREENCHA AQUI'!E730=FALSE(),0,'2 - PREENCHA AQUI'!E730)</f>
        <v>0</v>
      </c>
      <c r="B726" s="31">
        <f>'2 - PREENCHA AQUI'!J730</f>
        <v>0</v>
      </c>
      <c r="C726" s="31">
        <f>'2 - PREENCHA AQUI'!K730</f>
        <v>0</v>
      </c>
      <c r="D726" s="26">
        <f>'2 - PREENCHA AQUI'!L730</f>
        <v>0</v>
      </c>
      <c r="E726" s="26">
        <f>'2 - PREENCHA AQUI'!M730</f>
        <v>0</v>
      </c>
    </row>
    <row r="727" spans="1:5" x14ac:dyDescent="0.25">
      <c r="A727" s="26">
        <f>IF('2 - PREENCHA AQUI'!E731=FALSE(),0,'2 - PREENCHA AQUI'!E731)</f>
        <v>0</v>
      </c>
      <c r="B727" s="31">
        <f>'2 - PREENCHA AQUI'!J731</f>
        <v>0</v>
      </c>
      <c r="C727" s="31">
        <f>'2 - PREENCHA AQUI'!K731</f>
        <v>0</v>
      </c>
      <c r="D727" s="26">
        <f>'2 - PREENCHA AQUI'!L731</f>
        <v>0</v>
      </c>
      <c r="E727" s="26">
        <f>'2 - PREENCHA AQUI'!M731</f>
        <v>0</v>
      </c>
    </row>
    <row r="728" spans="1:5" x14ac:dyDescent="0.25">
      <c r="A728" s="26">
        <f>IF('2 - PREENCHA AQUI'!E732=FALSE(),0,'2 - PREENCHA AQUI'!E732)</f>
        <v>0</v>
      </c>
      <c r="B728" s="31">
        <f>'2 - PREENCHA AQUI'!J732</f>
        <v>0</v>
      </c>
      <c r="C728" s="31">
        <f>'2 - PREENCHA AQUI'!K732</f>
        <v>0</v>
      </c>
      <c r="D728" s="26">
        <f>'2 - PREENCHA AQUI'!L732</f>
        <v>0</v>
      </c>
      <c r="E728" s="26">
        <f>'2 - PREENCHA AQUI'!M732</f>
        <v>0</v>
      </c>
    </row>
    <row r="729" spans="1:5" x14ac:dyDescent="0.25">
      <c r="A729" s="26">
        <f>IF('2 - PREENCHA AQUI'!E733=FALSE(),0,'2 - PREENCHA AQUI'!E733)</f>
        <v>0</v>
      </c>
      <c r="B729" s="31">
        <f>'2 - PREENCHA AQUI'!J733</f>
        <v>0</v>
      </c>
      <c r="C729" s="31">
        <f>'2 - PREENCHA AQUI'!K733</f>
        <v>0</v>
      </c>
      <c r="D729" s="26">
        <f>'2 - PREENCHA AQUI'!L733</f>
        <v>0</v>
      </c>
      <c r="E729" s="26">
        <f>'2 - PREENCHA AQUI'!M733</f>
        <v>0</v>
      </c>
    </row>
    <row r="730" spans="1:5" x14ac:dyDescent="0.25">
      <c r="A730" s="26">
        <f>IF('2 - PREENCHA AQUI'!E734=FALSE(),0,'2 - PREENCHA AQUI'!E734)</f>
        <v>0</v>
      </c>
      <c r="B730" s="31">
        <f>'2 - PREENCHA AQUI'!J734</f>
        <v>0</v>
      </c>
      <c r="C730" s="31">
        <f>'2 - PREENCHA AQUI'!K734</f>
        <v>0</v>
      </c>
      <c r="D730" s="26">
        <f>'2 - PREENCHA AQUI'!L734</f>
        <v>0</v>
      </c>
      <c r="E730" s="26">
        <f>'2 - PREENCHA AQUI'!M734</f>
        <v>0</v>
      </c>
    </row>
    <row r="731" spans="1:5" x14ac:dyDescent="0.25">
      <c r="A731" s="26">
        <f>IF('2 - PREENCHA AQUI'!E735=FALSE(),0,'2 - PREENCHA AQUI'!E735)</f>
        <v>0</v>
      </c>
      <c r="B731" s="31">
        <f>'2 - PREENCHA AQUI'!J735</f>
        <v>0</v>
      </c>
      <c r="C731" s="31">
        <f>'2 - PREENCHA AQUI'!K735</f>
        <v>0</v>
      </c>
      <c r="D731" s="26">
        <f>'2 - PREENCHA AQUI'!L735</f>
        <v>0</v>
      </c>
      <c r="E731" s="26">
        <f>'2 - PREENCHA AQUI'!M735</f>
        <v>0</v>
      </c>
    </row>
    <row r="732" spans="1:5" x14ac:dyDescent="0.25">
      <c r="A732" s="26">
        <f>IF('2 - PREENCHA AQUI'!E736=FALSE(),0,'2 - PREENCHA AQUI'!E736)</f>
        <v>0</v>
      </c>
      <c r="B732" s="31">
        <f>'2 - PREENCHA AQUI'!J736</f>
        <v>0</v>
      </c>
      <c r="C732" s="31">
        <f>'2 - PREENCHA AQUI'!K736</f>
        <v>0</v>
      </c>
      <c r="D732" s="26">
        <f>'2 - PREENCHA AQUI'!L736</f>
        <v>0</v>
      </c>
      <c r="E732" s="26">
        <f>'2 - PREENCHA AQUI'!M736</f>
        <v>0</v>
      </c>
    </row>
    <row r="733" spans="1:5" x14ac:dyDescent="0.25">
      <c r="A733" s="26">
        <f>IF('2 - PREENCHA AQUI'!E737=FALSE(),0,'2 - PREENCHA AQUI'!E737)</f>
        <v>0</v>
      </c>
      <c r="B733" s="31">
        <f>'2 - PREENCHA AQUI'!J737</f>
        <v>0</v>
      </c>
      <c r="C733" s="31">
        <f>'2 - PREENCHA AQUI'!K737</f>
        <v>0</v>
      </c>
      <c r="D733" s="26">
        <f>'2 - PREENCHA AQUI'!L737</f>
        <v>0</v>
      </c>
      <c r="E733" s="26">
        <f>'2 - PREENCHA AQUI'!M737</f>
        <v>0</v>
      </c>
    </row>
    <row r="734" spans="1:5" x14ac:dyDescent="0.25">
      <c r="A734" s="26">
        <f>IF('2 - PREENCHA AQUI'!E738=FALSE(),0,'2 - PREENCHA AQUI'!E738)</f>
        <v>0</v>
      </c>
      <c r="B734" s="31">
        <f>'2 - PREENCHA AQUI'!J738</f>
        <v>0</v>
      </c>
      <c r="C734" s="31">
        <f>'2 - PREENCHA AQUI'!K738</f>
        <v>0</v>
      </c>
      <c r="D734" s="26">
        <f>'2 - PREENCHA AQUI'!L738</f>
        <v>0</v>
      </c>
      <c r="E734" s="26">
        <f>'2 - PREENCHA AQUI'!M738</f>
        <v>0</v>
      </c>
    </row>
    <row r="735" spans="1:5" x14ac:dyDescent="0.25">
      <c r="A735" s="26">
        <f>IF('2 - PREENCHA AQUI'!E739=FALSE(),0,'2 - PREENCHA AQUI'!E739)</f>
        <v>0</v>
      </c>
      <c r="B735" s="31">
        <f>'2 - PREENCHA AQUI'!J739</f>
        <v>0</v>
      </c>
      <c r="C735" s="31">
        <f>'2 - PREENCHA AQUI'!K739</f>
        <v>0</v>
      </c>
      <c r="D735" s="26">
        <f>'2 - PREENCHA AQUI'!L739</f>
        <v>0</v>
      </c>
      <c r="E735" s="26">
        <f>'2 - PREENCHA AQUI'!M739</f>
        <v>0</v>
      </c>
    </row>
    <row r="736" spans="1:5" x14ac:dyDescent="0.25">
      <c r="A736" s="26">
        <f>IF('2 - PREENCHA AQUI'!E740=FALSE(),0,'2 - PREENCHA AQUI'!E740)</f>
        <v>0</v>
      </c>
      <c r="B736" s="31">
        <f>'2 - PREENCHA AQUI'!J740</f>
        <v>0</v>
      </c>
      <c r="C736" s="31">
        <f>'2 - PREENCHA AQUI'!K740</f>
        <v>0</v>
      </c>
      <c r="D736" s="26">
        <f>'2 - PREENCHA AQUI'!L740</f>
        <v>0</v>
      </c>
      <c r="E736" s="26">
        <f>'2 - PREENCHA AQUI'!M740</f>
        <v>0</v>
      </c>
    </row>
    <row r="737" spans="1:5" x14ac:dyDescent="0.25">
      <c r="A737" s="26">
        <f>IF('2 - PREENCHA AQUI'!E741=FALSE(),0,'2 - PREENCHA AQUI'!E741)</f>
        <v>0</v>
      </c>
      <c r="B737" s="31">
        <f>'2 - PREENCHA AQUI'!J741</f>
        <v>0</v>
      </c>
      <c r="C737" s="31">
        <f>'2 - PREENCHA AQUI'!K741</f>
        <v>0</v>
      </c>
      <c r="D737" s="26">
        <f>'2 - PREENCHA AQUI'!L741</f>
        <v>0</v>
      </c>
      <c r="E737" s="26">
        <f>'2 - PREENCHA AQUI'!M741</f>
        <v>0</v>
      </c>
    </row>
    <row r="738" spans="1:5" x14ac:dyDescent="0.25">
      <c r="A738" s="26">
        <f>IF('2 - PREENCHA AQUI'!E742=FALSE(),0,'2 - PREENCHA AQUI'!E742)</f>
        <v>0</v>
      </c>
      <c r="B738" s="31">
        <f>'2 - PREENCHA AQUI'!J742</f>
        <v>0</v>
      </c>
      <c r="C738" s="31">
        <f>'2 - PREENCHA AQUI'!K742</f>
        <v>0</v>
      </c>
      <c r="D738" s="26">
        <f>'2 - PREENCHA AQUI'!L742</f>
        <v>0</v>
      </c>
      <c r="E738" s="26">
        <f>'2 - PREENCHA AQUI'!M742</f>
        <v>0</v>
      </c>
    </row>
    <row r="739" spans="1:5" x14ac:dyDescent="0.25">
      <c r="A739" s="26">
        <f>IF('2 - PREENCHA AQUI'!E743=FALSE(),0,'2 - PREENCHA AQUI'!E743)</f>
        <v>0</v>
      </c>
      <c r="B739" s="31">
        <f>'2 - PREENCHA AQUI'!J743</f>
        <v>0</v>
      </c>
      <c r="C739" s="31">
        <f>'2 - PREENCHA AQUI'!K743</f>
        <v>0</v>
      </c>
      <c r="D739" s="26">
        <f>'2 - PREENCHA AQUI'!L743</f>
        <v>0</v>
      </c>
      <c r="E739" s="26">
        <f>'2 - PREENCHA AQUI'!M743</f>
        <v>0</v>
      </c>
    </row>
    <row r="740" spans="1:5" x14ac:dyDescent="0.25">
      <c r="A740" s="26">
        <f>IF('2 - PREENCHA AQUI'!E744=FALSE(),0,'2 - PREENCHA AQUI'!E744)</f>
        <v>0</v>
      </c>
      <c r="B740" s="31">
        <f>'2 - PREENCHA AQUI'!J744</f>
        <v>0</v>
      </c>
      <c r="C740" s="31">
        <f>'2 - PREENCHA AQUI'!K744</f>
        <v>0</v>
      </c>
      <c r="D740" s="26">
        <f>'2 - PREENCHA AQUI'!L744</f>
        <v>0</v>
      </c>
      <c r="E740" s="26">
        <f>'2 - PREENCHA AQUI'!M744</f>
        <v>0</v>
      </c>
    </row>
    <row r="741" spans="1:5" x14ac:dyDescent="0.25">
      <c r="A741" s="26">
        <f>IF('2 - PREENCHA AQUI'!E745=FALSE(),0,'2 - PREENCHA AQUI'!E745)</f>
        <v>0</v>
      </c>
      <c r="B741" s="31">
        <f>'2 - PREENCHA AQUI'!J745</f>
        <v>0</v>
      </c>
      <c r="C741" s="31">
        <f>'2 - PREENCHA AQUI'!K745</f>
        <v>0</v>
      </c>
      <c r="D741" s="26">
        <f>'2 - PREENCHA AQUI'!L745</f>
        <v>0</v>
      </c>
      <c r="E741" s="26">
        <f>'2 - PREENCHA AQUI'!M745</f>
        <v>0</v>
      </c>
    </row>
    <row r="742" spans="1:5" x14ac:dyDescent="0.25">
      <c r="A742" s="26">
        <f>IF('2 - PREENCHA AQUI'!E746=FALSE(),0,'2 - PREENCHA AQUI'!E746)</f>
        <v>0</v>
      </c>
      <c r="B742" s="31">
        <f>'2 - PREENCHA AQUI'!J746</f>
        <v>0</v>
      </c>
      <c r="C742" s="31">
        <f>'2 - PREENCHA AQUI'!K746</f>
        <v>0</v>
      </c>
      <c r="D742" s="26">
        <f>'2 - PREENCHA AQUI'!L746</f>
        <v>0</v>
      </c>
      <c r="E742" s="26">
        <f>'2 - PREENCHA AQUI'!M746</f>
        <v>0</v>
      </c>
    </row>
    <row r="743" spans="1:5" x14ac:dyDescent="0.25">
      <c r="A743" s="26">
        <f>IF('2 - PREENCHA AQUI'!E747=FALSE(),0,'2 - PREENCHA AQUI'!E747)</f>
        <v>0</v>
      </c>
      <c r="B743" s="31">
        <f>'2 - PREENCHA AQUI'!J747</f>
        <v>0</v>
      </c>
      <c r="C743" s="31">
        <f>'2 - PREENCHA AQUI'!K747</f>
        <v>0</v>
      </c>
      <c r="D743" s="26">
        <f>'2 - PREENCHA AQUI'!L747</f>
        <v>0</v>
      </c>
      <c r="E743" s="26">
        <f>'2 - PREENCHA AQUI'!M747</f>
        <v>0</v>
      </c>
    </row>
    <row r="744" spans="1:5" x14ac:dyDescent="0.25">
      <c r="A744" s="26">
        <f>IF('2 - PREENCHA AQUI'!E748=FALSE(),0,'2 - PREENCHA AQUI'!E748)</f>
        <v>0</v>
      </c>
      <c r="B744" s="31">
        <f>'2 - PREENCHA AQUI'!J748</f>
        <v>0</v>
      </c>
      <c r="C744" s="31">
        <f>'2 - PREENCHA AQUI'!K748</f>
        <v>0</v>
      </c>
      <c r="D744" s="26">
        <f>'2 - PREENCHA AQUI'!L748</f>
        <v>0</v>
      </c>
      <c r="E744" s="26">
        <f>'2 - PREENCHA AQUI'!M748</f>
        <v>0</v>
      </c>
    </row>
    <row r="745" spans="1:5" x14ac:dyDescent="0.25">
      <c r="A745" s="26">
        <f>IF('2 - PREENCHA AQUI'!E749=FALSE(),0,'2 - PREENCHA AQUI'!E749)</f>
        <v>0</v>
      </c>
      <c r="B745" s="31">
        <f>'2 - PREENCHA AQUI'!J749</f>
        <v>0</v>
      </c>
      <c r="C745" s="31">
        <f>'2 - PREENCHA AQUI'!K749</f>
        <v>0</v>
      </c>
      <c r="D745" s="26">
        <f>'2 - PREENCHA AQUI'!L749</f>
        <v>0</v>
      </c>
      <c r="E745" s="26">
        <f>'2 - PREENCHA AQUI'!M749</f>
        <v>0</v>
      </c>
    </row>
    <row r="746" spans="1:5" x14ac:dyDescent="0.25">
      <c r="A746" s="26">
        <f>IF('2 - PREENCHA AQUI'!E750=FALSE(),0,'2 - PREENCHA AQUI'!E750)</f>
        <v>0</v>
      </c>
      <c r="B746" s="31">
        <f>'2 - PREENCHA AQUI'!J750</f>
        <v>0</v>
      </c>
      <c r="C746" s="31">
        <f>'2 - PREENCHA AQUI'!K750</f>
        <v>0</v>
      </c>
      <c r="D746" s="26">
        <f>'2 - PREENCHA AQUI'!L750</f>
        <v>0</v>
      </c>
      <c r="E746" s="26">
        <f>'2 - PREENCHA AQUI'!M750</f>
        <v>0</v>
      </c>
    </row>
    <row r="747" spans="1:5" x14ac:dyDescent="0.25">
      <c r="A747" s="26">
        <f>IF('2 - PREENCHA AQUI'!E751=FALSE(),0,'2 - PREENCHA AQUI'!E751)</f>
        <v>0</v>
      </c>
      <c r="B747" s="31">
        <f>'2 - PREENCHA AQUI'!J751</f>
        <v>0</v>
      </c>
      <c r="C747" s="31">
        <f>'2 - PREENCHA AQUI'!K751</f>
        <v>0</v>
      </c>
      <c r="D747" s="26">
        <f>'2 - PREENCHA AQUI'!L751</f>
        <v>0</v>
      </c>
      <c r="E747" s="26">
        <f>'2 - PREENCHA AQUI'!M751</f>
        <v>0</v>
      </c>
    </row>
    <row r="748" spans="1:5" x14ac:dyDescent="0.25">
      <c r="A748" s="26">
        <f>IF('2 - PREENCHA AQUI'!E752=FALSE(),0,'2 - PREENCHA AQUI'!E752)</f>
        <v>0</v>
      </c>
      <c r="B748" s="31">
        <f>'2 - PREENCHA AQUI'!J752</f>
        <v>0</v>
      </c>
      <c r="C748" s="31">
        <f>'2 - PREENCHA AQUI'!K752</f>
        <v>0</v>
      </c>
      <c r="D748" s="26">
        <f>'2 - PREENCHA AQUI'!L752</f>
        <v>0</v>
      </c>
      <c r="E748" s="26">
        <f>'2 - PREENCHA AQUI'!M752</f>
        <v>0</v>
      </c>
    </row>
    <row r="749" spans="1:5" x14ac:dyDescent="0.25">
      <c r="A749" s="26">
        <f>IF('2 - PREENCHA AQUI'!E753=FALSE(),0,'2 - PREENCHA AQUI'!E753)</f>
        <v>0</v>
      </c>
      <c r="B749" s="31">
        <f>'2 - PREENCHA AQUI'!J753</f>
        <v>0</v>
      </c>
      <c r="C749" s="31">
        <f>'2 - PREENCHA AQUI'!K753</f>
        <v>0</v>
      </c>
      <c r="D749" s="26">
        <f>'2 - PREENCHA AQUI'!L753</f>
        <v>0</v>
      </c>
      <c r="E749" s="26">
        <f>'2 - PREENCHA AQUI'!M753</f>
        <v>0</v>
      </c>
    </row>
    <row r="750" spans="1:5" x14ac:dyDescent="0.25">
      <c r="A750" s="26">
        <f>IF('2 - PREENCHA AQUI'!E754=FALSE(),0,'2 - PREENCHA AQUI'!E754)</f>
        <v>0</v>
      </c>
      <c r="B750" s="31">
        <f>'2 - PREENCHA AQUI'!J754</f>
        <v>0</v>
      </c>
      <c r="C750" s="31">
        <f>'2 - PREENCHA AQUI'!K754</f>
        <v>0</v>
      </c>
      <c r="D750" s="26">
        <f>'2 - PREENCHA AQUI'!L754</f>
        <v>0</v>
      </c>
      <c r="E750" s="26">
        <f>'2 - PREENCHA AQUI'!M754</f>
        <v>0</v>
      </c>
    </row>
    <row r="751" spans="1:5" x14ac:dyDescent="0.25">
      <c r="A751" s="26">
        <f>IF('2 - PREENCHA AQUI'!E755=FALSE(),0,'2 - PREENCHA AQUI'!E755)</f>
        <v>0</v>
      </c>
      <c r="B751" s="31">
        <f>'2 - PREENCHA AQUI'!J755</f>
        <v>0</v>
      </c>
      <c r="C751" s="31">
        <f>'2 - PREENCHA AQUI'!K755</f>
        <v>0</v>
      </c>
      <c r="D751" s="26">
        <f>'2 - PREENCHA AQUI'!L755</f>
        <v>0</v>
      </c>
      <c r="E751" s="26">
        <f>'2 - PREENCHA AQUI'!M755</f>
        <v>0</v>
      </c>
    </row>
    <row r="752" spans="1:5" x14ac:dyDescent="0.25">
      <c r="A752" s="26">
        <f>IF('2 - PREENCHA AQUI'!E756=FALSE(),0,'2 - PREENCHA AQUI'!E756)</f>
        <v>0</v>
      </c>
      <c r="B752" s="31">
        <f>'2 - PREENCHA AQUI'!J756</f>
        <v>0</v>
      </c>
      <c r="C752" s="31">
        <f>'2 - PREENCHA AQUI'!K756</f>
        <v>0</v>
      </c>
      <c r="D752" s="26">
        <f>'2 - PREENCHA AQUI'!L756</f>
        <v>0</v>
      </c>
      <c r="E752" s="26">
        <f>'2 - PREENCHA AQUI'!M756</f>
        <v>0</v>
      </c>
    </row>
    <row r="753" spans="1:5" x14ac:dyDescent="0.25">
      <c r="A753" s="26">
        <f>IF('2 - PREENCHA AQUI'!E757=FALSE(),0,'2 - PREENCHA AQUI'!E757)</f>
        <v>0</v>
      </c>
      <c r="B753" s="31">
        <f>'2 - PREENCHA AQUI'!J757</f>
        <v>0</v>
      </c>
      <c r="C753" s="31">
        <f>'2 - PREENCHA AQUI'!K757</f>
        <v>0</v>
      </c>
      <c r="D753" s="26">
        <f>'2 - PREENCHA AQUI'!L757</f>
        <v>0</v>
      </c>
      <c r="E753" s="26">
        <f>'2 - PREENCHA AQUI'!M757</f>
        <v>0</v>
      </c>
    </row>
    <row r="754" spans="1:5" x14ac:dyDescent="0.25">
      <c r="A754" s="26">
        <f>IF('2 - PREENCHA AQUI'!E758=FALSE(),0,'2 - PREENCHA AQUI'!E758)</f>
        <v>0</v>
      </c>
      <c r="B754" s="31">
        <f>'2 - PREENCHA AQUI'!J758</f>
        <v>0</v>
      </c>
      <c r="C754" s="31">
        <f>'2 - PREENCHA AQUI'!K758</f>
        <v>0</v>
      </c>
      <c r="D754" s="26">
        <f>'2 - PREENCHA AQUI'!L758</f>
        <v>0</v>
      </c>
      <c r="E754" s="26">
        <f>'2 - PREENCHA AQUI'!M758</f>
        <v>0</v>
      </c>
    </row>
    <row r="755" spans="1:5" x14ac:dyDescent="0.25">
      <c r="A755" s="26">
        <f>IF('2 - PREENCHA AQUI'!E759=FALSE(),0,'2 - PREENCHA AQUI'!E759)</f>
        <v>0</v>
      </c>
      <c r="B755" s="31">
        <f>'2 - PREENCHA AQUI'!J759</f>
        <v>0</v>
      </c>
      <c r="C755" s="31">
        <f>'2 - PREENCHA AQUI'!K759</f>
        <v>0</v>
      </c>
      <c r="D755" s="26">
        <f>'2 - PREENCHA AQUI'!L759</f>
        <v>0</v>
      </c>
      <c r="E755" s="26">
        <f>'2 - PREENCHA AQUI'!M759</f>
        <v>0</v>
      </c>
    </row>
    <row r="756" spans="1:5" x14ac:dyDescent="0.25">
      <c r="A756" s="26">
        <f>IF('2 - PREENCHA AQUI'!E760=FALSE(),0,'2 - PREENCHA AQUI'!E760)</f>
        <v>0</v>
      </c>
      <c r="B756" s="31">
        <f>'2 - PREENCHA AQUI'!J760</f>
        <v>0</v>
      </c>
      <c r="C756" s="31">
        <f>'2 - PREENCHA AQUI'!K760</f>
        <v>0</v>
      </c>
      <c r="D756" s="26">
        <f>'2 - PREENCHA AQUI'!L760</f>
        <v>0</v>
      </c>
      <c r="E756" s="26">
        <f>'2 - PREENCHA AQUI'!M760</f>
        <v>0</v>
      </c>
    </row>
    <row r="757" spans="1:5" x14ac:dyDescent="0.25">
      <c r="A757" s="26">
        <f>IF('2 - PREENCHA AQUI'!E761=FALSE(),0,'2 - PREENCHA AQUI'!E761)</f>
        <v>0</v>
      </c>
      <c r="B757" s="31">
        <f>'2 - PREENCHA AQUI'!J761</f>
        <v>0</v>
      </c>
      <c r="C757" s="31">
        <f>'2 - PREENCHA AQUI'!K761</f>
        <v>0</v>
      </c>
      <c r="D757" s="26">
        <f>'2 - PREENCHA AQUI'!L761</f>
        <v>0</v>
      </c>
      <c r="E757" s="26">
        <f>'2 - PREENCHA AQUI'!M761</f>
        <v>0</v>
      </c>
    </row>
    <row r="758" spans="1:5" x14ac:dyDescent="0.25">
      <c r="A758" s="26">
        <f>IF('2 - PREENCHA AQUI'!E762=FALSE(),0,'2 - PREENCHA AQUI'!E762)</f>
        <v>0</v>
      </c>
      <c r="B758" s="31">
        <f>'2 - PREENCHA AQUI'!J762</f>
        <v>0</v>
      </c>
      <c r="C758" s="31">
        <f>'2 - PREENCHA AQUI'!K762</f>
        <v>0</v>
      </c>
      <c r="D758" s="26">
        <f>'2 - PREENCHA AQUI'!L762</f>
        <v>0</v>
      </c>
      <c r="E758" s="26">
        <f>'2 - PREENCHA AQUI'!M762</f>
        <v>0</v>
      </c>
    </row>
    <row r="759" spans="1:5" x14ac:dyDescent="0.25">
      <c r="A759" s="26">
        <f>IF('2 - PREENCHA AQUI'!E763=FALSE(),0,'2 - PREENCHA AQUI'!E763)</f>
        <v>0</v>
      </c>
      <c r="B759" s="31">
        <f>'2 - PREENCHA AQUI'!J763</f>
        <v>0</v>
      </c>
      <c r="C759" s="31">
        <f>'2 - PREENCHA AQUI'!K763</f>
        <v>0</v>
      </c>
      <c r="D759" s="26">
        <f>'2 - PREENCHA AQUI'!L763</f>
        <v>0</v>
      </c>
      <c r="E759" s="26">
        <f>'2 - PREENCHA AQUI'!M763</f>
        <v>0</v>
      </c>
    </row>
    <row r="760" spans="1:5" x14ac:dyDescent="0.25">
      <c r="A760" s="26">
        <f>IF('2 - PREENCHA AQUI'!E764=FALSE(),0,'2 - PREENCHA AQUI'!E764)</f>
        <v>0</v>
      </c>
      <c r="B760" s="31">
        <f>'2 - PREENCHA AQUI'!J764</f>
        <v>0</v>
      </c>
      <c r="C760" s="31">
        <f>'2 - PREENCHA AQUI'!K764</f>
        <v>0</v>
      </c>
      <c r="D760" s="26">
        <f>'2 - PREENCHA AQUI'!L764</f>
        <v>0</v>
      </c>
      <c r="E760" s="26">
        <f>'2 - PREENCHA AQUI'!M764</f>
        <v>0</v>
      </c>
    </row>
    <row r="761" spans="1:5" x14ac:dyDescent="0.25">
      <c r="A761" s="26">
        <f>IF('2 - PREENCHA AQUI'!E765=FALSE(),0,'2 - PREENCHA AQUI'!E765)</f>
        <v>0</v>
      </c>
      <c r="B761" s="31">
        <f>'2 - PREENCHA AQUI'!J765</f>
        <v>0</v>
      </c>
      <c r="C761" s="31">
        <f>'2 - PREENCHA AQUI'!K765</f>
        <v>0</v>
      </c>
      <c r="D761" s="26">
        <f>'2 - PREENCHA AQUI'!L765</f>
        <v>0</v>
      </c>
      <c r="E761" s="26">
        <f>'2 - PREENCHA AQUI'!M765</f>
        <v>0</v>
      </c>
    </row>
    <row r="762" spans="1:5" x14ac:dyDescent="0.25">
      <c r="A762" s="26">
        <f>IF('2 - PREENCHA AQUI'!E766=FALSE(),0,'2 - PREENCHA AQUI'!E766)</f>
        <v>0</v>
      </c>
      <c r="B762" s="31">
        <f>'2 - PREENCHA AQUI'!J766</f>
        <v>0</v>
      </c>
      <c r="C762" s="31">
        <f>'2 - PREENCHA AQUI'!K766</f>
        <v>0</v>
      </c>
      <c r="D762" s="26">
        <f>'2 - PREENCHA AQUI'!L766</f>
        <v>0</v>
      </c>
      <c r="E762" s="26">
        <f>'2 - PREENCHA AQUI'!M766</f>
        <v>0</v>
      </c>
    </row>
    <row r="763" spans="1:5" x14ac:dyDescent="0.25">
      <c r="A763" s="26">
        <f>IF('2 - PREENCHA AQUI'!E767=FALSE(),0,'2 - PREENCHA AQUI'!E767)</f>
        <v>0</v>
      </c>
      <c r="B763" s="31">
        <f>'2 - PREENCHA AQUI'!J767</f>
        <v>0</v>
      </c>
      <c r="C763" s="31">
        <f>'2 - PREENCHA AQUI'!K767</f>
        <v>0</v>
      </c>
      <c r="D763" s="26">
        <f>'2 - PREENCHA AQUI'!L767</f>
        <v>0</v>
      </c>
      <c r="E763" s="26">
        <f>'2 - PREENCHA AQUI'!M767</f>
        <v>0</v>
      </c>
    </row>
    <row r="764" spans="1:5" x14ac:dyDescent="0.25">
      <c r="A764" s="26">
        <f>IF('2 - PREENCHA AQUI'!E768=FALSE(),0,'2 - PREENCHA AQUI'!E768)</f>
        <v>0</v>
      </c>
      <c r="B764" s="31">
        <f>'2 - PREENCHA AQUI'!J768</f>
        <v>0</v>
      </c>
      <c r="C764" s="31">
        <f>'2 - PREENCHA AQUI'!K768</f>
        <v>0</v>
      </c>
      <c r="D764" s="26">
        <f>'2 - PREENCHA AQUI'!L768</f>
        <v>0</v>
      </c>
      <c r="E764" s="26">
        <f>'2 - PREENCHA AQUI'!M768</f>
        <v>0</v>
      </c>
    </row>
    <row r="765" spans="1:5" x14ac:dyDescent="0.25">
      <c r="A765" s="26">
        <f>IF('2 - PREENCHA AQUI'!E769=FALSE(),0,'2 - PREENCHA AQUI'!E769)</f>
        <v>0</v>
      </c>
      <c r="B765" s="31">
        <f>'2 - PREENCHA AQUI'!J769</f>
        <v>0</v>
      </c>
      <c r="C765" s="31">
        <f>'2 - PREENCHA AQUI'!K769</f>
        <v>0</v>
      </c>
      <c r="D765" s="26">
        <f>'2 - PREENCHA AQUI'!L769</f>
        <v>0</v>
      </c>
      <c r="E765" s="26">
        <f>'2 - PREENCHA AQUI'!M769</f>
        <v>0</v>
      </c>
    </row>
    <row r="766" spans="1:5" x14ac:dyDescent="0.25">
      <c r="A766" s="26">
        <f>IF('2 - PREENCHA AQUI'!E770=FALSE(),0,'2 - PREENCHA AQUI'!E770)</f>
        <v>0</v>
      </c>
      <c r="B766" s="31">
        <f>'2 - PREENCHA AQUI'!J770</f>
        <v>0</v>
      </c>
      <c r="C766" s="31">
        <f>'2 - PREENCHA AQUI'!K770</f>
        <v>0</v>
      </c>
      <c r="D766" s="26">
        <f>'2 - PREENCHA AQUI'!L770</f>
        <v>0</v>
      </c>
      <c r="E766" s="26">
        <f>'2 - PREENCHA AQUI'!M770</f>
        <v>0</v>
      </c>
    </row>
    <row r="767" spans="1:5" x14ac:dyDescent="0.25">
      <c r="A767" s="26">
        <f>IF('2 - PREENCHA AQUI'!E771=FALSE(),0,'2 - PREENCHA AQUI'!E771)</f>
        <v>0</v>
      </c>
      <c r="B767" s="31">
        <f>'2 - PREENCHA AQUI'!J771</f>
        <v>0</v>
      </c>
      <c r="C767" s="31">
        <f>'2 - PREENCHA AQUI'!K771</f>
        <v>0</v>
      </c>
      <c r="D767" s="26">
        <f>'2 - PREENCHA AQUI'!L771</f>
        <v>0</v>
      </c>
      <c r="E767" s="26">
        <f>'2 - PREENCHA AQUI'!M771</f>
        <v>0</v>
      </c>
    </row>
    <row r="768" spans="1:5" x14ac:dyDescent="0.25">
      <c r="A768" s="26">
        <f>IF('2 - PREENCHA AQUI'!E772=FALSE(),0,'2 - PREENCHA AQUI'!E772)</f>
        <v>0</v>
      </c>
      <c r="B768" s="31">
        <f>'2 - PREENCHA AQUI'!J772</f>
        <v>0</v>
      </c>
      <c r="C768" s="31">
        <f>'2 - PREENCHA AQUI'!K772</f>
        <v>0</v>
      </c>
      <c r="D768" s="26">
        <f>'2 - PREENCHA AQUI'!L772</f>
        <v>0</v>
      </c>
      <c r="E768" s="26">
        <f>'2 - PREENCHA AQUI'!M772</f>
        <v>0</v>
      </c>
    </row>
    <row r="769" spans="1:5" x14ac:dyDescent="0.25">
      <c r="A769" s="26">
        <f>IF('2 - PREENCHA AQUI'!E773=FALSE(),0,'2 - PREENCHA AQUI'!E773)</f>
        <v>0</v>
      </c>
      <c r="B769" s="31">
        <f>'2 - PREENCHA AQUI'!J773</f>
        <v>0</v>
      </c>
      <c r="C769" s="31">
        <f>'2 - PREENCHA AQUI'!K773</f>
        <v>0</v>
      </c>
      <c r="D769" s="26">
        <f>'2 - PREENCHA AQUI'!L773</f>
        <v>0</v>
      </c>
      <c r="E769" s="26">
        <f>'2 - PREENCHA AQUI'!M773</f>
        <v>0</v>
      </c>
    </row>
    <row r="770" spans="1:5" x14ac:dyDescent="0.25">
      <c r="A770" s="26">
        <f>IF('2 - PREENCHA AQUI'!E774=FALSE(),0,'2 - PREENCHA AQUI'!E774)</f>
        <v>0</v>
      </c>
      <c r="B770" s="31">
        <f>'2 - PREENCHA AQUI'!J774</f>
        <v>0</v>
      </c>
      <c r="C770" s="31">
        <f>'2 - PREENCHA AQUI'!K774</f>
        <v>0</v>
      </c>
      <c r="D770" s="26">
        <f>'2 - PREENCHA AQUI'!L774</f>
        <v>0</v>
      </c>
      <c r="E770" s="26">
        <f>'2 - PREENCHA AQUI'!M774</f>
        <v>0</v>
      </c>
    </row>
    <row r="771" spans="1:5" x14ac:dyDescent="0.25">
      <c r="A771" s="26">
        <f>IF('2 - PREENCHA AQUI'!E775=FALSE(),0,'2 - PREENCHA AQUI'!E775)</f>
        <v>0</v>
      </c>
      <c r="B771" s="31">
        <f>'2 - PREENCHA AQUI'!J775</f>
        <v>0</v>
      </c>
      <c r="C771" s="31">
        <f>'2 - PREENCHA AQUI'!K775</f>
        <v>0</v>
      </c>
      <c r="D771" s="26">
        <f>'2 - PREENCHA AQUI'!L775</f>
        <v>0</v>
      </c>
      <c r="E771" s="26">
        <f>'2 - PREENCHA AQUI'!M775</f>
        <v>0</v>
      </c>
    </row>
    <row r="772" spans="1:5" x14ac:dyDescent="0.25">
      <c r="A772" s="26">
        <f>IF('2 - PREENCHA AQUI'!E776=FALSE(),0,'2 - PREENCHA AQUI'!E776)</f>
        <v>0</v>
      </c>
      <c r="B772" s="31">
        <f>'2 - PREENCHA AQUI'!J776</f>
        <v>0</v>
      </c>
      <c r="C772" s="31">
        <f>'2 - PREENCHA AQUI'!K776</f>
        <v>0</v>
      </c>
      <c r="D772" s="26">
        <f>'2 - PREENCHA AQUI'!L776</f>
        <v>0</v>
      </c>
      <c r="E772" s="26">
        <f>'2 - PREENCHA AQUI'!M776</f>
        <v>0</v>
      </c>
    </row>
    <row r="773" spans="1:5" x14ac:dyDescent="0.25">
      <c r="A773" s="26">
        <f>IF('2 - PREENCHA AQUI'!E777=FALSE(),0,'2 - PREENCHA AQUI'!E777)</f>
        <v>0</v>
      </c>
      <c r="B773" s="31">
        <f>'2 - PREENCHA AQUI'!J777</f>
        <v>0</v>
      </c>
      <c r="C773" s="31">
        <f>'2 - PREENCHA AQUI'!K777</f>
        <v>0</v>
      </c>
      <c r="D773" s="26">
        <f>'2 - PREENCHA AQUI'!L777</f>
        <v>0</v>
      </c>
      <c r="E773" s="26">
        <f>'2 - PREENCHA AQUI'!M777</f>
        <v>0</v>
      </c>
    </row>
    <row r="774" spans="1:5" x14ac:dyDescent="0.25">
      <c r="A774" s="26">
        <f>IF('2 - PREENCHA AQUI'!E778=FALSE(),0,'2 - PREENCHA AQUI'!E778)</f>
        <v>0</v>
      </c>
      <c r="B774" s="31">
        <f>'2 - PREENCHA AQUI'!J778</f>
        <v>0</v>
      </c>
      <c r="C774" s="31">
        <f>'2 - PREENCHA AQUI'!K778</f>
        <v>0</v>
      </c>
      <c r="D774" s="26">
        <f>'2 - PREENCHA AQUI'!L778</f>
        <v>0</v>
      </c>
      <c r="E774" s="26">
        <f>'2 - PREENCHA AQUI'!M778</f>
        <v>0</v>
      </c>
    </row>
    <row r="775" spans="1:5" x14ac:dyDescent="0.25">
      <c r="A775" s="26">
        <f>IF('2 - PREENCHA AQUI'!E779=FALSE(),0,'2 - PREENCHA AQUI'!E779)</f>
        <v>0</v>
      </c>
      <c r="B775" s="31">
        <f>'2 - PREENCHA AQUI'!J779</f>
        <v>0</v>
      </c>
      <c r="C775" s="31">
        <f>'2 - PREENCHA AQUI'!K779</f>
        <v>0</v>
      </c>
      <c r="D775" s="26">
        <f>'2 - PREENCHA AQUI'!L779</f>
        <v>0</v>
      </c>
      <c r="E775" s="26">
        <f>'2 - PREENCHA AQUI'!M779</f>
        <v>0</v>
      </c>
    </row>
    <row r="776" spans="1:5" x14ac:dyDescent="0.25">
      <c r="A776" s="26">
        <f>IF('2 - PREENCHA AQUI'!E780=FALSE(),0,'2 - PREENCHA AQUI'!E780)</f>
        <v>0</v>
      </c>
      <c r="B776" s="31">
        <f>'2 - PREENCHA AQUI'!J780</f>
        <v>0</v>
      </c>
      <c r="C776" s="31">
        <f>'2 - PREENCHA AQUI'!K780</f>
        <v>0</v>
      </c>
      <c r="D776" s="26">
        <f>'2 - PREENCHA AQUI'!L780</f>
        <v>0</v>
      </c>
      <c r="E776" s="26">
        <f>'2 - PREENCHA AQUI'!M780</f>
        <v>0</v>
      </c>
    </row>
    <row r="777" spans="1:5" x14ac:dyDescent="0.25">
      <c r="A777" s="26">
        <f>IF('2 - PREENCHA AQUI'!E781=FALSE(),0,'2 - PREENCHA AQUI'!E781)</f>
        <v>0</v>
      </c>
      <c r="B777" s="31">
        <f>'2 - PREENCHA AQUI'!J781</f>
        <v>0</v>
      </c>
      <c r="C777" s="31">
        <f>'2 - PREENCHA AQUI'!K781</f>
        <v>0</v>
      </c>
      <c r="D777" s="26">
        <f>'2 - PREENCHA AQUI'!L781</f>
        <v>0</v>
      </c>
      <c r="E777" s="26">
        <f>'2 - PREENCHA AQUI'!M781</f>
        <v>0</v>
      </c>
    </row>
    <row r="778" spans="1:5" x14ac:dyDescent="0.25">
      <c r="A778" s="26">
        <f>IF('2 - PREENCHA AQUI'!E782=FALSE(),0,'2 - PREENCHA AQUI'!E782)</f>
        <v>0</v>
      </c>
      <c r="B778" s="31">
        <f>'2 - PREENCHA AQUI'!J782</f>
        <v>0</v>
      </c>
      <c r="C778" s="31">
        <f>'2 - PREENCHA AQUI'!K782</f>
        <v>0</v>
      </c>
      <c r="D778" s="26">
        <f>'2 - PREENCHA AQUI'!L782</f>
        <v>0</v>
      </c>
      <c r="E778" s="26">
        <f>'2 - PREENCHA AQUI'!M782</f>
        <v>0</v>
      </c>
    </row>
    <row r="779" spans="1:5" x14ac:dyDescent="0.25">
      <c r="A779" s="26">
        <f>IF('2 - PREENCHA AQUI'!E783=FALSE(),0,'2 - PREENCHA AQUI'!E783)</f>
        <v>0</v>
      </c>
      <c r="B779" s="31">
        <f>'2 - PREENCHA AQUI'!J783</f>
        <v>0</v>
      </c>
      <c r="C779" s="31">
        <f>'2 - PREENCHA AQUI'!K783</f>
        <v>0</v>
      </c>
      <c r="D779" s="26">
        <f>'2 - PREENCHA AQUI'!L783</f>
        <v>0</v>
      </c>
      <c r="E779" s="26">
        <f>'2 - PREENCHA AQUI'!M783</f>
        <v>0</v>
      </c>
    </row>
    <row r="780" spans="1:5" x14ac:dyDescent="0.25">
      <c r="A780" s="26">
        <f>IF('2 - PREENCHA AQUI'!E784=FALSE(),0,'2 - PREENCHA AQUI'!E784)</f>
        <v>0</v>
      </c>
      <c r="B780" s="31">
        <f>'2 - PREENCHA AQUI'!J784</f>
        <v>0</v>
      </c>
      <c r="C780" s="31">
        <f>'2 - PREENCHA AQUI'!K784</f>
        <v>0</v>
      </c>
      <c r="D780" s="26">
        <f>'2 - PREENCHA AQUI'!L784</f>
        <v>0</v>
      </c>
      <c r="E780" s="26">
        <f>'2 - PREENCHA AQUI'!M784</f>
        <v>0</v>
      </c>
    </row>
    <row r="781" spans="1:5" x14ac:dyDescent="0.25">
      <c r="A781" s="26">
        <f>IF('2 - PREENCHA AQUI'!E785=FALSE(),0,'2 - PREENCHA AQUI'!E785)</f>
        <v>0</v>
      </c>
      <c r="B781" s="31">
        <f>'2 - PREENCHA AQUI'!J785</f>
        <v>0</v>
      </c>
      <c r="C781" s="31">
        <f>'2 - PREENCHA AQUI'!K785</f>
        <v>0</v>
      </c>
      <c r="D781" s="26">
        <f>'2 - PREENCHA AQUI'!L785</f>
        <v>0</v>
      </c>
      <c r="E781" s="26">
        <f>'2 - PREENCHA AQUI'!M785</f>
        <v>0</v>
      </c>
    </row>
    <row r="782" spans="1:5" x14ac:dyDescent="0.25">
      <c r="A782" s="26">
        <f>IF('2 - PREENCHA AQUI'!E786=FALSE(),0,'2 - PREENCHA AQUI'!E786)</f>
        <v>0</v>
      </c>
      <c r="B782" s="31">
        <f>'2 - PREENCHA AQUI'!J786</f>
        <v>0</v>
      </c>
      <c r="C782" s="31">
        <f>'2 - PREENCHA AQUI'!K786</f>
        <v>0</v>
      </c>
      <c r="D782" s="26">
        <f>'2 - PREENCHA AQUI'!L786</f>
        <v>0</v>
      </c>
      <c r="E782" s="26">
        <f>'2 - PREENCHA AQUI'!M786</f>
        <v>0</v>
      </c>
    </row>
    <row r="783" spans="1:5" x14ac:dyDescent="0.25">
      <c r="A783" s="26">
        <f>IF('2 - PREENCHA AQUI'!E787=FALSE(),0,'2 - PREENCHA AQUI'!E787)</f>
        <v>0</v>
      </c>
      <c r="B783" s="31">
        <f>'2 - PREENCHA AQUI'!J787</f>
        <v>0</v>
      </c>
      <c r="C783" s="31">
        <f>'2 - PREENCHA AQUI'!K787</f>
        <v>0</v>
      </c>
      <c r="D783" s="26">
        <f>'2 - PREENCHA AQUI'!L787</f>
        <v>0</v>
      </c>
      <c r="E783" s="26">
        <f>'2 - PREENCHA AQUI'!M787</f>
        <v>0</v>
      </c>
    </row>
    <row r="784" spans="1:5" x14ac:dyDescent="0.25">
      <c r="A784" s="26">
        <f>IF('2 - PREENCHA AQUI'!E788=FALSE(),0,'2 - PREENCHA AQUI'!E788)</f>
        <v>0</v>
      </c>
      <c r="B784" s="31">
        <f>'2 - PREENCHA AQUI'!J788</f>
        <v>0</v>
      </c>
      <c r="C784" s="31">
        <f>'2 - PREENCHA AQUI'!K788</f>
        <v>0</v>
      </c>
      <c r="D784" s="26">
        <f>'2 - PREENCHA AQUI'!L788</f>
        <v>0</v>
      </c>
      <c r="E784" s="26">
        <f>'2 - PREENCHA AQUI'!M788</f>
        <v>0</v>
      </c>
    </row>
    <row r="785" spans="1:5" x14ac:dyDescent="0.25">
      <c r="A785" s="26">
        <f>IF('2 - PREENCHA AQUI'!E789=FALSE(),0,'2 - PREENCHA AQUI'!E789)</f>
        <v>0</v>
      </c>
      <c r="B785" s="31">
        <f>'2 - PREENCHA AQUI'!J789</f>
        <v>0</v>
      </c>
      <c r="C785" s="31">
        <f>'2 - PREENCHA AQUI'!K789</f>
        <v>0</v>
      </c>
      <c r="D785" s="26">
        <f>'2 - PREENCHA AQUI'!L789</f>
        <v>0</v>
      </c>
      <c r="E785" s="26">
        <f>'2 - PREENCHA AQUI'!M789</f>
        <v>0</v>
      </c>
    </row>
    <row r="786" spans="1:5" x14ac:dyDescent="0.25">
      <c r="A786" s="26">
        <f>IF('2 - PREENCHA AQUI'!E790=FALSE(),0,'2 - PREENCHA AQUI'!E790)</f>
        <v>0</v>
      </c>
      <c r="B786" s="31">
        <f>'2 - PREENCHA AQUI'!J790</f>
        <v>0</v>
      </c>
      <c r="C786" s="31">
        <f>'2 - PREENCHA AQUI'!K790</f>
        <v>0</v>
      </c>
      <c r="D786" s="26">
        <f>'2 - PREENCHA AQUI'!L790</f>
        <v>0</v>
      </c>
      <c r="E786" s="26">
        <f>'2 - PREENCHA AQUI'!M790</f>
        <v>0</v>
      </c>
    </row>
    <row r="787" spans="1:5" x14ac:dyDescent="0.25">
      <c r="A787" s="26">
        <f>IF('2 - PREENCHA AQUI'!E791=FALSE(),0,'2 - PREENCHA AQUI'!E791)</f>
        <v>0</v>
      </c>
      <c r="B787" s="31">
        <f>'2 - PREENCHA AQUI'!J791</f>
        <v>0</v>
      </c>
      <c r="C787" s="31">
        <f>'2 - PREENCHA AQUI'!K791</f>
        <v>0</v>
      </c>
      <c r="D787" s="26">
        <f>'2 - PREENCHA AQUI'!L791</f>
        <v>0</v>
      </c>
      <c r="E787" s="26">
        <f>'2 - PREENCHA AQUI'!M791</f>
        <v>0</v>
      </c>
    </row>
    <row r="788" spans="1:5" x14ac:dyDescent="0.25">
      <c r="A788" s="26">
        <f>IF('2 - PREENCHA AQUI'!E792=FALSE(),0,'2 - PREENCHA AQUI'!E792)</f>
        <v>0</v>
      </c>
      <c r="B788" s="31">
        <f>'2 - PREENCHA AQUI'!J792</f>
        <v>0</v>
      </c>
      <c r="C788" s="31">
        <f>'2 - PREENCHA AQUI'!K792</f>
        <v>0</v>
      </c>
      <c r="D788" s="26">
        <f>'2 - PREENCHA AQUI'!L792</f>
        <v>0</v>
      </c>
      <c r="E788" s="26">
        <f>'2 - PREENCHA AQUI'!M792</f>
        <v>0</v>
      </c>
    </row>
    <row r="789" spans="1:5" x14ac:dyDescent="0.25">
      <c r="A789" s="26">
        <f>IF('2 - PREENCHA AQUI'!E793=FALSE(),0,'2 - PREENCHA AQUI'!E793)</f>
        <v>0</v>
      </c>
      <c r="B789" s="31">
        <f>'2 - PREENCHA AQUI'!J793</f>
        <v>0</v>
      </c>
      <c r="C789" s="31">
        <f>'2 - PREENCHA AQUI'!K793</f>
        <v>0</v>
      </c>
      <c r="D789" s="26">
        <f>'2 - PREENCHA AQUI'!L793</f>
        <v>0</v>
      </c>
      <c r="E789" s="26">
        <f>'2 - PREENCHA AQUI'!M793</f>
        <v>0</v>
      </c>
    </row>
    <row r="790" spans="1:5" x14ac:dyDescent="0.25">
      <c r="A790" s="26">
        <f>IF('2 - PREENCHA AQUI'!E794=FALSE(),0,'2 - PREENCHA AQUI'!E794)</f>
        <v>0</v>
      </c>
      <c r="B790" s="31">
        <f>'2 - PREENCHA AQUI'!J794</f>
        <v>0</v>
      </c>
      <c r="C790" s="31">
        <f>'2 - PREENCHA AQUI'!K794</f>
        <v>0</v>
      </c>
      <c r="D790" s="26">
        <f>'2 - PREENCHA AQUI'!L794</f>
        <v>0</v>
      </c>
      <c r="E790" s="26">
        <f>'2 - PREENCHA AQUI'!M794</f>
        <v>0</v>
      </c>
    </row>
    <row r="791" spans="1:5" x14ac:dyDescent="0.25">
      <c r="A791" s="26">
        <f>IF('2 - PREENCHA AQUI'!E795=FALSE(),0,'2 - PREENCHA AQUI'!E795)</f>
        <v>0</v>
      </c>
      <c r="B791" s="31">
        <f>'2 - PREENCHA AQUI'!J795</f>
        <v>0</v>
      </c>
      <c r="C791" s="31">
        <f>'2 - PREENCHA AQUI'!K795</f>
        <v>0</v>
      </c>
      <c r="D791" s="26">
        <f>'2 - PREENCHA AQUI'!L795</f>
        <v>0</v>
      </c>
      <c r="E791" s="26">
        <f>'2 - PREENCHA AQUI'!M795</f>
        <v>0</v>
      </c>
    </row>
    <row r="792" spans="1:5" x14ac:dyDescent="0.25">
      <c r="A792" s="26">
        <f>IF('2 - PREENCHA AQUI'!E796=FALSE(),0,'2 - PREENCHA AQUI'!E796)</f>
        <v>0</v>
      </c>
      <c r="B792" s="31">
        <f>'2 - PREENCHA AQUI'!J796</f>
        <v>0</v>
      </c>
      <c r="C792" s="31">
        <f>'2 - PREENCHA AQUI'!K796</f>
        <v>0</v>
      </c>
      <c r="D792" s="26">
        <f>'2 - PREENCHA AQUI'!L796</f>
        <v>0</v>
      </c>
      <c r="E792" s="26">
        <f>'2 - PREENCHA AQUI'!M796</f>
        <v>0</v>
      </c>
    </row>
    <row r="793" spans="1:5" x14ac:dyDescent="0.25">
      <c r="A793" s="26">
        <f>IF('2 - PREENCHA AQUI'!E797=FALSE(),0,'2 - PREENCHA AQUI'!E797)</f>
        <v>0</v>
      </c>
      <c r="B793" s="31">
        <f>'2 - PREENCHA AQUI'!J797</f>
        <v>0</v>
      </c>
      <c r="C793" s="31">
        <f>'2 - PREENCHA AQUI'!K797</f>
        <v>0</v>
      </c>
      <c r="D793" s="26">
        <f>'2 - PREENCHA AQUI'!L797</f>
        <v>0</v>
      </c>
      <c r="E793" s="26">
        <f>'2 - PREENCHA AQUI'!M797</f>
        <v>0</v>
      </c>
    </row>
    <row r="794" spans="1:5" x14ac:dyDescent="0.25">
      <c r="A794" s="26">
        <f>IF('2 - PREENCHA AQUI'!E798=FALSE(),0,'2 - PREENCHA AQUI'!E798)</f>
        <v>0</v>
      </c>
      <c r="B794" s="31">
        <f>'2 - PREENCHA AQUI'!J798</f>
        <v>0</v>
      </c>
      <c r="C794" s="31">
        <f>'2 - PREENCHA AQUI'!K798</f>
        <v>0</v>
      </c>
      <c r="D794" s="26">
        <f>'2 - PREENCHA AQUI'!L798</f>
        <v>0</v>
      </c>
      <c r="E794" s="26">
        <f>'2 - PREENCHA AQUI'!M798</f>
        <v>0</v>
      </c>
    </row>
    <row r="795" spans="1:5" x14ac:dyDescent="0.25">
      <c r="A795" s="26">
        <f>IF('2 - PREENCHA AQUI'!E799=FALSE(),0,'2 - PREENCHA AQUI'!E799)</f>
        <v>0</v>
      </c>
      <c r="B795" s="31">
        <f>'2 - PREENCHA AQUI'!J799</f>
        <v>0</v>
      </c>
      <c r="C795" s="31">
        <f>'2 - PREENCHA AQUI'!K799</f>
        <v>0</v>
      </c>
      <c r="D795" s="26">
        <f>'2 - PREENCHA AQUI'!L799</f>
        <v>0</v>
      </c>
      <c r="E795" s="26">
        <f>'2 - PREENCHA AQUI'!M799</f>
        <v>0</v>
      </c>
    </row>
    <row r="796" spans="1:5" x14ac:dyDescent="0.25">
      <c r="A796" s="26">
        <f>IF('2 - PREENCHA AQUI'!E800=FALSE(),0,'2 - PREENCHA AQUI'!E800)</f>
        <v>0</v>
      </c>
      <c r="B796" s="31">
        <f>'2 - PREENCHA AQUI'!J800</f>
        <v>0</v>
      </c>
      <c r="C796" s="31">
        <f>'2 - PREENCHA AQUI'!K800</f>
        <v>0</v>
      </c>
      <c r="D796" s="26">
        <f>'2 - PREENCHA AQUI'!L800</f>
        <v>0</v>
      </c>
      <c r="E796" s="26">
        <f>'2 - PREENCHA AQUI'!M800</f>
        <v>0</v>
      </c>
    </row>
    <row r="797" spans="1:5" x14ac:dyDescent="0.25">
      <c r="A797" s="26">
        <f>IF('2 - PREENCHA AQUI'!E801=FALSE(),0,'2 - PREENCHA AQUI'!E801)</f>
        <v>0</v>
      </c>
      <c r="B797" s="31">
        <f>'2 - PREENCHA AQUI'!J801</f>
        <v>0</v>
      </c>
      <c r="C797" s="31">
        <f>'2 - PREENCHA AQUI'!K801</f>
        <v>0</v>
      </c>
      <c r="D797" s="26">
        <f>'2 - PREENCHA AQUI'!L801</f>
        <v>0</v>
      </c>
      <c r="E797" s="26">
        <f>'2 - PREENCHA AQUI'!M801</f>
        <v>0</v>
      </c>
    </row>
    <row r="798" spans="1:5" x14ac:dyDescent="0.25">
      <c r="A798" s="26">
        <f>IF('2 - PREENCHA AQUI'!E802=FALSE(),0,'2 - PREENCHA AQUI'!E802)</f>
        <v>0</v>
      </c>
      <c r="B798" s="31">
        <f>'2 - PREENCHA AQUI'!J802</f>
        <v>0</v>
      </c>
      <c r="C798" s="31">
        <f>'2 - PREENCHA AQUI'!K802</f>
        <v>0</v>
      </c>
      <c r="D798" s="26">
        <f>'2 - PREENCHA AQUI'!L802</f>
        <v>0</v>
      </c>
      <c r="E798" s="26">
        <f>'2 - PREENCHA AQUI'!M802</f>
        <v>0</v>
      </c>
    </row>
    <row r="799" spans="1:5" x14ac:dyDescent="0.25">
      <c r="A799" s="26">
        <f>IF('2 - PREENCHA AQUI'!E803=FALSE(),0,'2 - PREENCHA AQUI'!E803)</f>
        <v>0</v>
      </c>
      <c r="B799" s="31">
        <f>'2 - PREENCHA AQUI'!J803</f>
        <v>0</v>
      </c>
      <c r="C799" s="31">
        <f>'2 - PREENCHA AQUI'!K803</f>
        <v>0</v>
      </c>
      <c r="D799" s="26">
        <f>'2 - PREENCHA AQUI'!L803</f>
        <v>0</v>
      </c>
      <c r="E799" s="26">
        <f>'2 - PREENCHA AQUI'!M803</f>
        <v>0</v>
      </c>
    </row>
    <row r="800" spans="1:5" x14ac:dyDescent="0.25">
      <c r="A800" s="26">
        <f>IF('2 - PREENCHA AQUI'!E804=FALSE(),0,'2 - PREENCHA AQUI'!E804)</f>
        <v>0</v>
      </c>
      <c r="B800" s="31">
        <f>'2 - PREENCHA AQUI'!J804</f>
        <v>0</v>
      </c>
      <c r="C800" s="31">
        <f>'2 - PREENCHA AQUI'!K804</f>
        <v>0</v>
      </c>
      <c r="D800" s="26">
        <f>'2 - PREENCHA AQUI'!L804</f>
        <v>0</v>
      </c>
      <c r="E800" s="26">
        <f>'2 - PREENCHA AQUI'!M804</f>
        <v>0</v>
      </c>
    </row>
    <row r="801" spans="1:5" x14ac:dyDescent="0.25">
      <c r="A801" s="26">
        <f>IF('2 - PREENCHA AQUI'!E805=FALSE(),0,'2 - PREENCHA AQUI'!E805)</f>
        <v>0</v>
      </c>
      <c r="B801" s="31">
        <f>'2 - PREENCHA AQUI'!J805</f>
        <v>0</v>
      </c>
      <c r="C801" s="31">
        <f>'2 - PREENCHA AQUI'!K805</f>
        <v>0</v>
      </c>
      <c r="D801" s="26">
        <f>'2 - PREENCHA AQUI'!L805</f>
        <v>0</v>
      </c>
      <c r="E801" s="26">
        <f>'2 - PREENCHA AQUI'!M805</f>
        <v>0</v>
      </c>
    </row>
    <row r="802" spans="1:5" x14ac:dyDescent="0.25">
      <c r="A802" s="26">
        <f>IF('2 - PREENCHA AQUI'!E806=FALSE(),0,'2 - PREENCHA AQUI'!E806)</f>
        <v>0</v>
      </c>
      <c r="B802" s="31">
        <f>'2 - PREENCHA AQUI'!J806</f>
        <v>0</v>
      </c>
      <c r="C802" s="31">
        <f>'2 - PREENCHA AQUI'!K806</f>
        <v>0</v>
      </c>
      <c r="D802" s="26">
        <f>'2 - PREENCHA AQUI'!L806</f>
        <v>0</v>
      </c>
      <c r="E802" s="26">
        <f>'2 - PREENCHA AQUI'!M806</f>
        <v>0</v>
      </c>
    </row>
    <row r="803" spans="1:5" x14ac:dyDescent="0.25">
      <c r="A803" s="26">
        <f>IF('2 - PREENCHA AQUI'!E807=FALSE(),0,'2 - PREENCHA AQUI'!E807)</f>
        <v>0</v>
      </c>
      <c r="B803" s="31">
        <f>'2 - PREENCHA AQUI'!J807</f>
        <v>0</v>
      </c>
      <c r="C803" s="31">
        <f>'2 - PREENCHA AQUI'!K807</f>
        <v>0</v>
      </c>
      <c r="D803" s="26">
        <f>'2 - PREENCHA AQUI'!L807</f>
        <v>0</v>
      </c>
      <c r="E803" s="26">
        <f>'2 - PREENCHA AQUI'!M807</f>
        <v>0</v>
      </c>
    </row>
    <row r="804" spans="1:5" x14ac:dyDescent="0.25">
      <c r="A804" s="26">
        <f>IF('2 - PREENCHA AQUI'!E808=FALSE(),0,'2 - PREENCHA AQUI'!E808)</f>
        <v>0</v>
      </c>
      <c r="B804" s="31">
        <f>'2 - PREENCHA AQUI'!J808</f>
        <v>0</v>
      </c>
      <c r="C804" s="31">
        <f>'2 - PREENCHA AQUI'!K808</f>
        <v>0</v>
      </c>
      <c r="D804" s="26">
        <f>'2 - PREENCHA AQUI'!L808</f>
        <v>0</v>
      </c>
      <c r="E804" s="26">
        <f>'2 - PREENCHA AQUI'!M808</f>
        <v>0</v>
      </c>
    </row>
    <row r="805" spans="1:5" x14ac:dyDescent="0.25">
      <c r="A805" s="26">
        <f>IF('2 - PREENCHA AQUI'!E809=FALSE(),0,'2 - PREENCHA AQUI'!E809)</f>
        <v>0</v>
      </c>
      <c r="B805" s="31">
        <f>'2 - PREENCHA AQUI'!J809</f>
        <v>0</v>
      </c>
      <c r="C805" s="31">
        <f>'2 - PREENCHA AQUI'!K809</f>
        <v>0</v>
      </c>
      <c r="D805" s="26">
        <f>'2 - PREENCHA AQUI'!L809</f>
        <v>0</v>
      </c>
      <c r="E805" s="26">
        <f>'2 - PREENCHA AQUI'!M809</f>
        <v>0</v>
      </c>
    </row>
    <row r="806" spans="1:5" x14ac:dyDescent="0.25">
      <c r="A806" s="26">
        <f>IF('2 - PREENCHA AQUI'!E810=FALSE(),0,'2 - PREENCHA AQUI'!E810)</f>
        <v>0</v>
      </c>
      <c r="B806" s="31">
        <f>'2 - PREENCHA AQUI'!J810</f>
        <v>0</v>
      </c>
      <c r="C806" s="31">
        <f>'2 - PREENCHA AQUI'!K810</f>
        <v>0</v>
      </c>
      <c r="D806" s="26">
        <f>'2 - PREENCHA AQUI'!L810</f>
        <v>0</v>
      </c>
      <c r="E806" s="26">
        <f>'2 - PREENCHA AQUI'!M810</f>
        <v>0</v>
      </c>
    </row>
    <row r="807" spans="1:5" x14ac:dyDescent="0.25">
      <c r="A807" s="26">
        <f>IF('2 - PREENCHA AQUI'!E811=FALSE(),0,'2 - PREENCHA AQUI'!E811)</f>
        <v>0</v>
      </c>
      <c r="B807" s="31">
        <f>'2 - PREENCHA AQUI'!J811</f>
        <v>0</v>
      </c>
      <c r="C807" s="31">
        <f>'2 - PREENCHA AQUI'!K811</f>
        <v>0</v>
      </c>
      <c r="D807" s="26">
        <f>'2 - PREENCHA AQUI'!L811</f>
        <v>0</v>
      </c>
      <c r="E807" s="26">
        <f>'2 - PREENCHA AQUI'!M811</f>
        <v>0</v>
      </c>
    </row>
    <row r="808" spans="1:5" x14ac:dyDescent="0.25">
      <c r="A808" s="26">
        <f>IF('2 - PREENCHA AQUI'!E812=FALSE(),0,'2 - PREENCHA AQUI'!E812)</f>
        <v>0</v>
      </c>
      <c r="B808" s="31">
        <f>'2 - PREENCHA AQUI'!J812</f>
        <v>0</v>
      </c>
      <c r="C808" s="31">
        <f>'2 - PREENCHA AQUI'!K812</f>
        <v>0</v>
      </c>
      <c r="D808" s="26">
        <f>'2 - PREENCHA AQUI'!L812</f>
        <v>0</v>
      </c>
      <c r="E808" s="26">
        <f>'2 - PREENCHA AQUI'!M812</f>
        <v>0</v>
      </c>
    </row>
    <row r="809" spans="1:5" x14ac:dyDescent="0.25">
      <c r="A809" s="26">
        <f>IF('2 - PREENCHA AQUI'!E813=FALSE(),0,'2 - PREENCHA AQUI'!E813)</f>
        <v>0</v>
      </c>
      <c r="B809" s="31">
        <f>'2 - PREENCHA AQUI'!J813</f>
        <v>0</v>
      </c>
      <c r="C809" s="31">
        <f>'2 - PREENCHA AQUI'!K813</f>
        <v>0</v>
      </c>
      <c r="D809" s="26">
        <f>'2 - PREENCHA AQUI'!L813</f>
        <v>0</v>
      </c>
      <c r="E809" s="26">
        <f>'2 - PREENCHA AQUI'!M813</f>
        <v>0</v>
      </c>
    </row>
    <row r="810" spans="1:5" x14ac:dyDescent="0.25">
      <c r="A810" s="26">
        <f>IF('2 - PREENCHA AQUI'!E814=FALSE(),0,'2 - PREENCHA AQUI'!E814)</f>
        <v>0</v>
      </c>
      <c r="B810" s="31">
        <f>'2 - PREENCHA AQUI'!J814</f>
        <v>0</v>
      </c>
      <c r="C810" s="31">
        <f>'2 - PREENCHA AQUI'!K814</f>
        <v>0</v>
      </c>
      <c r="D810" s="26">
        <f>'2 - PREENCHA AQUI'!L814</f>
        <v>0</v>
      </c>
      <c r="E810" s="26">
        <f>'2 - PREENCHA AQUI'!M814</f>
        <v>0</v>
      </c>
    </row>
    <row r="811" spans="1:5" x14ac:dyDescent="0.25">
      <c r="A811" s="26">
        <f>IF('2 - PREENCHA AQUI'!E815=FALSE(),0,'2 - PREENCHA AQUI'!E815)</f>
        <v>0</v>
      </c>
      <c r="B811" s="31">
        <f>'2 - PREENCHA AQUI'!J815</f>
        <v>0</v>
      </c>
      <c r="C811" s="31">
        <f>'2 - PREENCHA AQUI'!K815</f>
        <v>0</v>
      </c>
      <c r="D811" s="26">
        <f>'2 - PREENCHA AQUI'!L815</f>
        <v>0</v>
      </c>
      <c r="E811" s="26">
        <f>'2 - PREENCHA AQUI'!M815</f>
        <v>0</v>
      </c>
    </row>
    <row r="812" spans="1:5" x14ac:dyDescent="0.25">
      <c r="A812" s="26">
        <f>IF('2 - PREENCHA AQUI'!E816=FALSE(),0,'2 - PREENCHA AQUI'!E816)</f>
        <v>0</v>
      </c>
      <c r="B812" s="31">
        <f>'2 - PREENCHA AQUI'!J816</f>
        <v>0</v>
      </c>
      <c r="C812" s="31">
        <f>'2 - PREENCHA AQUI'!K816</f>
        <v>0</v>
      </c>
      <c r="D812" s="26">
        <f>'2 - PREENCHA AQUI'!L816</f>
        <v>0</v>
      </c>
      <c r="E812" s="26">
        <f>'2 - PREENCHA AQUI'!M816</f>
        <v>0</v>
      </c>
    </row>
    <row r="813" spans="1:5" x14ac:dyDescent="0.25">
      <c r="A813" s="26">
        <f>IF('2 - PREENCHA AQUI'!E817=FALSE(),0,'2 - PREENCHA AQUI'!E817)</f>
        <v>0</v>
      </c>
      <c r="B813" s="31">
        <f>'2 - PREENCHA AQUI'!J817</f>
        <v>0</v>
      </c>
      <c r="C813" s="31">
        <f>'2 - PREENCHA AQUI'!K817</f>
        <v>0</v>
      </c>
      <c r="D813" s="26">
        <f>'2 - PREENCHA AQUI'!L817</f>
        <v>0</v>
      </c>
      <c r="E813" s="26">
        <f>'2 - PREENCHA AQUI'!M817</f>
        <v>0</v>
      </c>
    </row>
    <row r="814" spans="1:5" x14ac:dyDescent="0.25">
      <c r="A814" s="26">
        <f>IF('2 - PREENCHA AQUI'!E818=FALSE(),0,'2 - PREENCHA AQUI'!E818)</f>
        <v>0</v>
      </c>
      <c r="B814" s="31">
        <f>'2 - PREENCHA AQUI'!J818</f>
        <v>0</v>
      </c>
      <c r="C814" s="31">
        <f>'2 - PREENCHA AQUI'!K818</f>
        <v>0</v>
      </c>
      <c r="D814" s="26">
        <f>'2 - PREENCHA AQUI'!L818</f>
        <v>0</v>
      </c>
      <c r="E814" s="26">
        <f>'2 - PREENCHA AQUI'!M818</f>
        <v>0</v>
      </c>
    </row>
    <row r="815" spans="1:5" x14ac:dyDescent="0.25">
      <c r="A815" s="26">
        <f>IF('2 - PREENCHA AQUI'!E819=FALSE(),0,'2 - PREENCHA AQUI'!E819)</f>
        <v>0</v>
      </c>
      <c r="B815" s="31">
        <f>'2 - PREENCHA AQUI'!J819</f>
        <v>0</v>
      </c>
      <c r="C815" s="31">
        <f>'2 - PREENCHA AQUI'!K819</f>
        <v>0</v>
      </c>
      <c r="D815" s="26">
        <f>'2 - PREENCHA AQUI'!L819</f>
        <v>0</v>
      </c>
      <c r="E815" s="26">
        <f>'2 - PREENCHA AQUI'!M819</f>
        <v>0</v>
      </c>
    </row>
    <row r="816" spans="1:5" x14ac:dyDescent="0.25">
      <c r="A816" s="26">
        <f>IF('2 - PREENCHA AQUI'!E820=FALSE(),0,'2 - PREENCHA AQUI'!E820)</f>
        <v>0</v>
      </c>
      <c r="B816" s="31">
        <f>'2 - PREENCHA AQUI'!J820</f>
        <v>0</v>
      </c>
      <c r="C816" s="31">
        <f>'2 - PREENCHA AQUI'!K820</f>
        <v>0</v>
      </c>
      <c r="D816" s="26">
        <f>'2 - PREENCHA AQUI'!L820</f>
        <v>0</v>
      </c>
      <c r="E816" s="26">
        <f>'2 - PREENCHA AQUI'!M820</f>
        <v>0</v>
      </c>
    </row>
    <row r="817" spans="1:5" x14ac:dyDescent="0.25">
      <c r="A817" s="26">
        <f>IF('2 - PREENCHA AQUI'!E821=FALSE(),0,'2 - PREENCHA AQUI'!E821)</f>
        <v>0</v>
      </c>
      <c r="B817" s="31">
        <f>'2 - PREENCHA AQUI'!J821</f>
        <v>0</v>
      </c>
      <c r="C817" s="31">
        <f>'2 - PREENCHA AQUI'!K821</f>
        <v>0</v>
      </c>
      <c r="D817" s="26">
        <f>'2 - PREENCHA AQUI'!L821</f>
        <v>0</v>
      </c>
      <c r="E817" s="26">
        <f>'2 - PREENCHA AQUI'!M821</f>
        <v>0</v>
      </c>
    </row>
    <row r="818" spans="1:5" x14ac:dyDescent="0.25">
      <c r="A818" s="26">
        <f>IF('2 - PREENCHA AQUI'!E822=FALSE(),0,'2 - PREENCHA AQUI'!E822)</f>
        <v>0</v>
      </c>
      <c r="B818" s="31">
        <f>'2 - PREENCHA AQUI'!J822</f>
        <v>0</v>
      </c>
      <c r="C818" s="31">
        <f>'2 - PREENCHA AQUI'!K822</f>
        <v>0</v>
      </c>
      <c r="D818" s="26">
        <f>'2 - PREENCHA AQUI'!L822</f>
        <v>0</v>
      </c>
      <c r="E818" s="26">
        <f>'2 - PREENCHA AQUI'!M822</f>
        <v>0</v>
      </c>
    </row>
    <row r="819" spans="1:5" x14ac:dyDescent="0.25">
      <c r="A819" s="26">
        <f>IF('2 - PREENCHA AQUI'!E823=FALSE(),0,'2 - PREENCHA AQUI'!E823)</f>
        <v>0</v>
      </c>
      <c r="B819" s="31">
        <f>'2 - PREENCHA AQUI'!J823</f>
        <v>0</v>
      </c>
      <c r="C819" s="31">
        <f>'2 - PREENCHA AQUI'!K823</f>
        <v>0</v>
      </c>
      <c r="D819" s="26">
        <f>'2 - PREENCHA AQUI'!L823</f>
        <v>0</v>
      </c>
      <c r="E819" s="26">
        <f>'2 - PREENCHA AQUI'!M823</f>
        <v>0</v>
      </c>
    </row>
    <row r="820" spans="1:5" x14ac:dyDescent="0.25">
      <c r="A820" s="26">
        <f>IF('2 - PREENCHA AQUI'!E824=FALSE(),0,'2 - PREENCHA AQUI'!E824)</f>
        <v>0</v>
      </c>
      <c r="B820" s="31">
        <f>'2 - PREENCHA AQUI'!J824</f>
        <v>0</v>
      </c>
      <c r="C820" s="31">
        <f>'2 - PREENCHA AQUI'!K824</f>
        <v>0</v>
      </c>
      <c r="D820" s="26">
        <f>'2 - PREENCHA AQUI'!L824</f>
        <v>0</v>
      </c>
      <c r="E820" s="26">
        <f>'2 - PREENCHA AQUI'!M824</f>
        <v>0</v>
      </c>
    </row>
    <row r="821" spans="1:5" x14ac:dyDescent="0.25">
      <c r="A821" s="26">
        <f>IF('2 - PREENCHA AQUI'!E825=FALSE(),0,'2 - PREENCHA AQUI'!E825)</f>
        <v>0</v>
      </c>
      <c r="B821" s="31">
        <f>'2 - PREENCHA AQUI'!J825</f>
        <v>0</v>
      </c>
      <c r="C821" s="31">
        <f>'2 - PREENCHA AQUI'!K825</f>
        <v>0</v>
      </c>
      <c r="D821" s="26">
        <f>'2 - PREENCHA AQUI'!L825</f>
        <v>0</v>
      </c>
      <c r="E821" s="26">
        <f>'2 - PREENCHA AQUI'!M825</f>
        <v>0</v>
      </c>
    </row>
    <row r="822" spans="1:5" x14ac:dyDescent="0.25">
      <c r="A822" s="26">
        <f>IF('2 - PREENCHA AQUI'!E826=FALSE(),0,'2 - PREENCHA AQUI'!E826)</f>
        <v>0</v>
      </c>
      <c r="B822" s="31">
        <f>'2 - PREENCHA AQUI'!J826</f>
        <v>0</v>
      </c>
      <c r="C822" s="31">
        <f>'2 - PREENCHA AQUI'!K826</f>
        <v>0</v>
      </c>
      <c r="D822" s="26">
        <f>'2 - PREENCHA AQUI'!L826</f>
        <v>0</v>
      </c>
      <c r="E822" s="26">
        <f>'2 - PREENCHA AQUI'!M826</f>
        <v>0</v>
      </c>
    </row>
    <row r="823" spans="1:5" x14ac:dyDescent="0.25">
      <c r="A823" s="26">
        <f>IF('2 - PREENCHA AQUI'!E827=FALSE(),0,'2 - PREENCHA AQUI'!E827)</f>
        <v>0</v>
      </c>
      <c r="B823" s="31">
        <f>'2 - PREENCHA AQUI'!J827</f>
        <v>0</v>
      </c>
      <c r="C823" s="31">
        <f>'2 - PREENCHA AQUI'!K827</f>
        <v>0</v>
      </c>
      <c r="D823" s="26">
        <f>'2 - PREENCHA AQUI'!L827</f>
        <v>0</v>
      </c>
      <c r="E823" s="26">
        <f>'2 - PREENCHA AQUI'!M827</f>
        <v>0</v>
      </c>
    </row>
    <row r="824" spans="1:5" x14ac:dyDescent="0.25">
      <c r="A824" s="26">
        <f>IF('2 - PREENCHA AQUI'!E828=FALSE(),0,'2 - PREENCHA AQUI'!E828)</f>
        <v>0</v>
      </c>
      <c r="B824" s="31">
        <f>'2 - PREENCHA AQUI'!J828</f>
        <v>0</v>
      </c>
      <c r="C824" s="31">
        <f>'2 - PREENCHA AQUI'!K828</f>
        <v>0</v>
      </c>
      <c r="D824" s="26">
        <f>'2 - PREENCHA AQUI'!L828</f>
        <v>0</v>
      </c>
      <c r="E824" s="26">
        <f>'2 - PREENCHA AQUI'!M828</f>
        <v>0</v>
      </c>
    </row>
    <row r="825" spans="1:5" x14ac:dyDescent="0.25">
      <c r="A825" s="26">
        <f>IF('2 - PREENCHA AQUI'!E829=FALSE(),0,'2 - PREENCHA AQUI'!E829)</f>
        <v>0</v>
      </c>
      <c r="B825" s="31">
        <f>'2 - PREENCHA AQUI'!J829</f>
        <v>0</v>
      </c>
      <c r="C825" s="31">
        <f>'2 - PREENCHA AQUI'!K829</f>
        <v>0</v>
      </c>
      <c r="D825" s="26">
        <f>'2 - PREENCHA AQUI'!L829</f>
        <v>0</v>
      </c>
      <c r="E825" s="26">
        <f>'2 - PREENCHA AQUI'!M829</f>
        <v>0</v>
      </c>
    </row>
    <row r="826" spans="1:5" x14ac:dyDescent="0.25">
      <c r="A826" s="26">
        <f>IF('2 - PREENCHA AQUI'!E830=FALSE(),0,'2 - PREENCHA AQUI'!E830)</f>
        <v>0</v>
      </c>
      <c r="B826" s="31">
        <f>'2 - PREENCHA AQUI'!J830</f>
        <v>0</v>
      </c>
      <c r="C826" s="31">
        <f>'2 - PREENCHA AQUI'!K830</f>
        <v>0</v>
      </c>
      <c r="D826" s="26">
        <f>'2 - PREENCHA AQUI'!L830</f>
        <v>0</v>
      </c>
      <c r="E826" s="26">
        <f>'2 - PREENCHA AQUI'!M830</f>
        <v>0</v>
      </c>
    </row>
    <row r="827" spans="1:5" x14ac:dyDescent="0.25">
      <c r="A827" s="26">
        <f>IF('2 - PREENCHA AQUI'!E831=FALSE(),0,'2 - PREENCHA AQUI'!E831)</f>
        <v>0</v>
      </c>
      <c r="B827" s="31">
        <f>'2 - PREENCHA AQUI'!J831</f>
        <v>0</v>
      </c>
      <c r="C827" s="31">
        <f>'2 - PREENCHA AQUI'!K831</f>
        <v>0</v>
      </c>
      <c r="D827" s="26">
        <f>'2 - PREENCHA AQUI'!L831</f>
        <v>0</v>
      </c>
      <c r="E827" s="26">
        <f>'2 - PREENCHA AQUI'!M831</f>
        <v>0</v>
      </c>
    </row>
    <row r="828" spans="1:5" x14ac:dyDescent="0.25">
      <c r="A828" s="26">
        <f>IF('2 - PREENCHA AQUI'!E832=FALSE(),0,'2 - PREENCHA AQUI'!E832)</f>
        <v>0</v>
      </c>
      <c r="B828" s="31">
        <f>'2 - PREENCHA AQUI'!J832</f>
        <v>0</v>
      </c>
      <c r="C828" s="31">
        <f>'2 - PREENCHA AQUI'!K832</f>
        <v>0</v>
      </c>
      <c r="D828" s="26">
        <f>'2 - PREENCHA AQUI'!L832</f>
        <v>0</v>
      </c>
      <c r="E828" s="26">
        <f>'2 - PREENCHA AQUI'!M832</f>
        <v>0</v>
      </c>
    </row>
    <row r="829" spans="1:5" x14ac:dyDescent="0.25">
      <c r="A829" s="26">
        <f>IF('2 - PREENCHA AQUI'!E833=FALSE(),0,'2 - PREENCHA AQUI'!E833)</f>
        <v>0</v>
      </c>
      <c r="B829" s="31">
        <f>'2 - PREENCHA AQUI'!J833</f>
        <v>0</v>
      </c>
      <c r="C829" s="31">
        <f>'2 - PREENCHA AQUI'!K833</f>
        <v>0</v>
      </c>
      <c r="D829" s="26">
        <f>'2 - PREENCHA AQUI'!L833</f>
        <v>0</v>
      </c>
      <c r="E829" s="26">
        <f>'2 - PREENCHA AQUI'!M833</f>
        <v>0</v>
      </c>
    </row>
    <row r="830" spans="1:5" x14ac:dyDescent="0.25">
      <c r="A830" s="26">
        <f>IF('2 - PREENCHA AQUI'!E834=FALSE(),0,'2 - PREENCHA AQUI'!E834)</f>
        <v>0</v>
      </c>
      <c r="B830" s="31">
        <f>'2 - PREENCHA AQUI'!J834</f>
        <v>0</v>
      </c>
      <c r="C830" s="31">
        <f>'2 - PREENCHA AQUI'!K834</f>
        <v>0</v>
      </c>
      <c r="D830" s="26">
        <f>'2 - PREENCHA AQUI'!L834</f>
        <v>0</v>
      </c>
      <c r="E830" s="26">
        <f>'2 - PREENCHA AQUI'!M834</f>
        <v>0</v>
      </c>
    </row>
    <row r="831" spans="1:5" x14ac:dyDescent="0.25">
      <c r="A831" s="26">
        <f>IF('2 - PREENCHA AQUI'!E835=FALSE(),0,'2 - PREENCHA AQUI'!E835)</f>
        <v>0</v>
      </c>
      <c r="B831" s="31">
        <f>'2 - PREENCHA AQUI'!J835</f>
        <v>0</v>
      </c>
      <c r="C831" s="31">
        <f>'2 - PREENCHA AQUI'!K835</f>
        <v>0</v>
      </c>
      <c r="D831" s="26">
        <f>'2 - PREENCHA AQUI'!L835</f>
        <v>0</v>
      </c>
      <c r="E831" s="26">
        <f>'2 - PREENCHA AQUI'!M835</f>
        <v>0</v>
      </c>
    </row>
    <row r="832" spans="1:5" x14ac:dyDescent="0.25">
      <c r="A832" s="26">
        <f>IF('2 - PREENCHA AQUI'!E836=FALSE(),0,'2 - PREENCHA AQUI'!E836)</f>
        <v>0</v>
      </c>
      <c r="B832" s="31">
        <f>'2 - PREENCHA AQUI'!J836</f>
        <v>0</v>
      </c>
      <c r="C832" s="31">
        <f>'2 - PREENCHA AQUI'!K836</f>
        <v>0</v>
      </c>
      <c r="D832" s="26">
        <f>'2 - PREENCHA AQUI'!L836</f>
        <v>0</v>
      </c>
      <c r="E832" s="26">
        <f>'2 - PREENCHA AQUI'!M836</f>
        <v>0</v>
      </c>
    </row>
    <row r="833" spans="1:5" x14ac:dyDescent="0.25">
      <c r="A833" s="26">
        <f>IF('2 - PREENCHA AQUI'!E837=FALSE(),0,'2 - PREENCHA AQUI'!E837)</f>
        <v>0</v>
      </c>
      <c r="B833" s="31">
        <f>'2 - PREENCHA AQUI'!J837</f>
        <v>0</v>
      </c>
      <c r="C833" s="31">
        <f>'2 - PREENCHA AQUI'!K837</f>
        <v>0</v>
      </c>
      <c r="D833" s="26">
        <f>'2 - PREENCHA AQUI'!L837</f>
        <v>0</v>
      </c>
      <c r="E833" s="26">
        <f>'2 - PREENCHA AQUI'!M837</f>
        <v>0</v>
      </c>
    </row>
    <row r="834" spans="1:5" x14ac:dyDescent="0.25">
      <c r="A834" s="26">
        <f>IF('2 - PREENCHA AQUI'!E838=FALSE(),0,'2 - PREENCHA AQUI'!E838)</f>
        <v>0</v>
      </c>
      <c r="B834" s="31">
        <f>'2 - PREENCHA AQUI'!J838</f>
        <v>0</v>
      </c>
      <c r="C834" s="31">
        <f>'2 - PREENCHA AQUI'!K838</f>
        <v>0</v>
      </c>
      <c r="D834" s="26">
        <f>'2 - PREENCHA AQUI'!L838</f>
        <v>0</v>
      </c>
      <c r="E834" s="26">
        <f>'2 - PREENCHA AQUI'!M838</f>
        <v>0</v>
      </c>
    </row>
    <row r="835" spans="1:5" x14ac:dyDescent="0.25">
      <c r="A835" s="26">
        <f>IF('2 - PREENCHA AQUI'!E839=FALSE(),0,'2 - PREENCHA AQUI'!E839)</f>
        <v>0</v>
      </c>
      <c r="B835" s="31">
        <f>'2 - PREENCHA AQUI'!J839</f>
        <v>0</v>
      </c>
      <c r="C835" s="31">
        <f>'2 - PREENCHA AQUI'!K839</f>
        <v>0</v>
      </c>
      <c r="D835" s="26">
        <f>'2 - PREENCHA AQUI'!L839</f>
        <v>0</v>
      </c>
      <c r="E835" s="26">
        <f>'2 - PREENCHA AQUI'!M839</f>
        <v>0</v>
      </c>
    </row>
    <row r="836" spans="1:5" x14ac:dyDescent="0.25">
      <c r="A836" s="26">
        <f>IF('2 - PREENCHA AQUI'!E840=FALSE(),0,'2 - PREENCHA AQUI'!E840)</f>
        <v>0</v>
      </c>
      <c r="B836" s="31">
        <f>'2 - PREENCHA AQUI'!J840</f>
        <v>0</v>
      </c>
      <c r="C836" s="31">
        <f>'2 - PREENCHA AQUI'!K840</f>
        <v>0</v>
      </c>
      <c r="D836" s="26">
        <f>'2 - PREENCHA AQUI'!L840</f>
        <v>0</v>
      </c>
      <c r="E836" s="26">
        <f>'2 - PREENCHA AQUI'!M840</f>
        <v>0</v>
      </c>
    </row>
    <row r="837" spans="1:5" x14ac:dyDescent="0.25">
      <c r="A837" s="26">
        <f>IF('2 - PREENCHA AQUI'!E841=FALSE(),0,'2 - PREENCHA AQUI'!E841)</f>
        <v>0</v>
      </c>
      <c r="B837" s="31">
        <f>'2 - PREENCHA AQUI'!J841</f>
        <v>0</v>
      </c>
      <c r="C837" s="31">
        <f>'2 - PREENCHA AQUI'!K841</f>
        <v>0</v>
      </c>
      <c r="D837" s="26">
        <f>'2 - PREENCHA AQUI'!L841</f>
        <v>0</v>
      </c>
      <c r="E837" s="26">
        <f>'2 - PREENCHA AQUI'!M841</f>
        <v>0</v>
      </c>
    </row>
    <row r="838" spans="1:5" x14ac:dyDescent="0.25">
      <c r="A838" s="26">
        <f>IF('2 - PREENCHA AQUI'!E842=FALSE(),0,'2 - PREENCHA AQUI'!E842)</f>
        <v>0</v>
      </c>
      <c r="B838" s="31">
        <f>'2 - PREENCHA AQUI'!J842</f>
        <v>0</v>
      </c>
      <c r="C838" s="31">
        <f>'2 - PREENCHA AQUI'!K842</f>
        <v>0</v>
      </c>
      <c r="D838" s="26">
        <f>'2 - PREENCHA AQUI'!L842</f>
        <v>0</v>
      </c>
      <c r="E838" s="26">
        <f>'2 - PREENCHA AQUI'!M842</f>
        <v>0</v>
      </c>
    </row>
    <row r="839" spans="1:5" x14ac:dyDescent="0.25">
      <c r="A839" s="26">
        <f>IF('2 - PREENCHA AQUI'!E843=FALSE(),0,'2 - PREENCHA AQUI'!E843)</f>
        <v>0</v>
      </c>
      <c r="B839" s="31">
        <f>'2 - PREENCHA AQUI'!J843</f>
        <v>0</v>
      </c>
      <c r="C839" s="31">
        <f>'2 - PREENCHA AQUI'!K843</f>
        <v>0</v>
      </c>
      <c r="D839" s="26">
        <f>'2 - PREENCHA AQUI'!L843</f>
        <v>0</v>
      </c>
      <c r="E839" s="26">
        <f>'2 - PREENCHA AQUI'!M843</f>
        <v>0</v>
      </c>
    </row>
    <row r="840" spans="1:5" x14ac:dyDescent="0.25">
      <c r="A840" s="26">
        <f>IF('2 - PREENCHA AQUI'!E844=FALSE(),0,'2 - PREENCHA AQUI'!E844)</f>
        <v>0</v>
      </c>
      <c r="B840" s="31">
        <f>'2 - PREENCHA AQUI'!J844</f>
        <v>0</v>
      </c>
      <c r="C840" s="31">
        <f>'2 - PREENCHA AQUI'!K844</f>
        <v>0</v>
      </c>
      <c r="D840" s="26">
        <f>'2 - PREENCHA AQUI'!L844</f>
        <v>0</v>
      </c>
      <c r="E840" s="26">
        <f>'2 - PREENCHA AQUI'!M844</f>
        <v>0</v>
      </c>
    </row>
    <row r="841" spans="1:5" x14ac:dyDescent="0.25">
      <c r="A841" s="26">
        <f>IF('2 - PREENCHA AQUI'!E845=FALSE(),0,'2 - PREENCHA AQUI'!E845)</f>
        <v>0</v>
      </c>
      <c r="B841" s="31">
        <f>'2 - PREENCHA AQUI'!J845</f>
        <v>0</v>
      </c>
      <c r="C841" s="31">
        <f>'2 - PREENCHA AQUI'!K845</f>
        <v>0</v>
      </c>
      <c r="D841" s="26">
        <f>'2 - PREENCHA AQUI'!L845</f>
        <v>0</v>
      </c>
      <c r="E841" s="26">
        <f>'2 - PREENCHA AQUI'!M845</f>
        <v>0</v>
      </c>
    </row>
    <row r="842" spans="1:5" x14ac:dyDescent="0.25">
      <c r="A842" s="26">
        <f>IF('2 - PREENCHA AQUI'!E846=FALSE(),0,'2 - PREENCHA AQUI'!E846)</f>
        <v>0</v>
      </c>
      <c r="B842" s="31">
        <f>'2 - PREENCHA AQUI'!J846</f>
        <v>0</v>
      </c>
      <c r="C842" s="31">
        <f>'2 - PREENCHA AQUI'!K846</f>
        <v>0</v>
      </c>
      <c r="D842" s="26">
        <f>'2 - PREENCHA AQUI'!L846</f>
        <v>0</v>
      </c>
      <c r="E842" s="26">
        <f>'2 - PREENCHA AQUI'!M846</f>
        <v>0</v>
      </c>
    </row>
    <row r="843" spans="1:5" x14ac:dyDescent="0.25">
      <c r="A843" s="26">
        <f>IF('2 - PREENCHA AQUI'!E847=FALSE(),0,'2 - PREENCHA AQUI'!E847)</f>
        <v>0</v>
      </c>
      <c r="B843" s="31">
        <f>'2 - PREENCHA AQUI'!J847</f>
        <v>0</v>
      </c>
      <c r="C843" s="31">
        <f>'2 - PREENCHA AQUI'!K847</f>
        <v>0</v>
      </c>
      <c r="D843" s="26">
        <f>'2 - PREENCHA AQUI'!L847</f>
        <v>0</v>
      </c>
      <c r="E843" s="26">
        <f>'2 - PREENCHA AQUI'!M847</f>
        <v>0</v>
      </c>
    </row>
    <row r="844" spans="1:5" x14ac:dyDescent="0.25">
      <c r="A844" s="26">
        <f>IF('2 - PREENCHA AQUI'!E848=FALSE(),0,'2 - PREENCHA AQUI'!E848)</f>
        <v>0</v>
      </c>
      <c r="B844" s="31">
        <f>'2 - PREENCHA AQUI'!J848</f>
        <v>0</v>
      </c>
      <c r="C844" s="31">
        <f>'2 - PREENCHA AQUI'!K848</f>
        <v>0</v>
      </c>
      <c r="D844" s="26">
        <f>'2 - PREENCHA AQUI'!L848</f>
        <v>0</v>
      </c>
      <c r="E844" s="26">
        <f>'2 - PREENCHA AQUI'!M848</f>
        <v>0</v>
      </c>
    </row>
    <row r="845" spans="1:5" x14ac:dyDescent="0.25">
      <c r="A845" s="26">
        <f>IF('2 - PREENCHA AQUI'!E849=FALSE(),0,'2 - PREENCHA AQUI'!E849)</f>
        <v>0</v>
      </c>
      <c r="B845" s="31">
        <f>'2 - PREENCHA AQUI'!J849</f>
        <v>0</v>
      </c>
      <c r="C845" s="31">
        <f>'2 - PREENCHA AQUI'!K849</f>
        <v>0</v>
      </c>
      <c r="D845" s="26">
        <f>'2 - PREENCHA AQUI'!L849</f>
        <v>0</v>
      </c>
      <c r="E845" s="26">
        <f>'2 - PREENCHA AQUI'!M849</f>
        <v>0</v>
      </c>
    </row>
    <row r="846" spans="1:5" x14ac:dyDescent="0.25">
      <c r="A846" s="26">
        <f>IF('2 - PREENCHA AQUI'!E850=FALSE(),0,'2 - PREENCHA AQUI'!E850)</f>
        <v>0</v>
      </c>
      <c r="B846" s="31">
        <f>'2 - PREENCHA AQUI'!J850</f>
        <v>0</v>
      </c>
      <c r="C846" s="31">
        <f>'2 - PREENCHA AQUI'!K850</f>
        <v>0</v>
      </c>
      <c r="D846" s="26">
        <f>'2 - PREENCHA AQUI'!L850</f>
        <v>0</v>
      </c>
      <c r="E846" s="26">
        <f>'2 - PREENCHA AQUI'!M850</f>
        <v>0</v>
      </c>
    </row>
    <row r="847" spans="1:5" x14ac:dyDescent="0.25">
      <c r="A847" s="26">
        <f>IF('2 - PREENCHA AQUI'!E851=FALSE(),0,'2 - PREENCHA AQUI'!E851)</f>
        <v>0</v>
      </c>
      <c r="B847" s="31">
        <f>'2 - PREENCHA AQUI'!J851</f>
        <v>0</v>
      </c>
      <c r="C847" s="31">
        <f>'2 - PREENCHA AQUI'!K851</f>
        <v>0</v>
      </c>
      <c r="D847" s="26">
        <f>'2 - PREENCHA AQUI'!L851</f>
        <v>0</v>
      </c>
      <c r="E847" s="26">
        <f>'2 - PREENCHA AQUI'!M851</f>
        <v>0</v>
      </c>
    </row>
    <row r="848" spans="1:5" x14ac:dyDescent="0.25">
      <c r="A848" s="26">
        <f>IF('2 - PREENCHA AQUI'!E852=FALSE(),0,'2 - PREENCHA AQUI'!E852)</f>
        <v>0</v>
      </c>
      <c r="B848" s="31">
        <f>'2 - PREENCHA AQUI'!J852</f>
        <v>0</v>
      </c>
      <c r="C848" s="31">
        <f>'2 - PREENCHA AQUI'!K852</f>
        <v>0</v>
      </c>
      <c r="D848" s="26">
        <f>'2 - PREENCHA AQUI'!L852</f>
        <v>0</v>
      </c>
      <c r="E848" s="26">
        <f>'2 - PREENCHA AQUI'!M852</f>
        <v>0</v>
      </c>
    </row>
    <row r="849" spans="1:5" x14ac:dyDescent="0.25">
      <c r="A849" s="26">
        <f>IF('2 - PREENCHA AQUI'!E853=FALSE(),0,'2 - PREENCHA AQUI'!E853)</f>
        <v>0</v>
      </c>
      <c r="B849" s="31">
        <f>'2 - PREENCHA AQUI'!J853</f>
        <v>0</v>
      </c>
      <c r="C849" s="31">
        <f>'2 - PREENCHA AQUI'!K853</f>
        <v>0</v>
      </c>
      <c r="D849" s="26">
        <f>'2 - PREENCHA AQUI'!L853</f>
        <v>0</v>
      </c>
      <c r="E849" s="26">
        <f>'2 - PREENCHA AQUI'!M853</f>
        <v>0</v>
      </c>
    </row>
    <row r="850" spans="1:5" x14ac:dyDescent="0.25">
      <c r="A850" s="26">
        <f>IF('2 - PREENCHA AQUI'!E854=FALSE(),0,'2 - PREENCHA AQUI'!E854)</f>
        <v>0</v>
      </c>
      <c r="B850" s="31">
        <f>'2 - PREENCHA AQUI'!J854</f>
        <v>0</v>
      </c>
      <c r="C850" s="31">
        <f>'2 - PREENCHA AQUI'!K854</f>
        <v>0</v>
      </c>
      <c r="D850" s="26">
        <f>'2 - PREENCHA AQUI'!L854</f>
        <v>0</v>
      </c>
      <c r="E850" s="26">
        <f>'2 - PREENCHA AQUI'!M854</f>
        <v>0</v>
      </c>
    </row>
    <row r="851" spans="1:5" x14ac:dyDescent="0.25">
      <c r="A851" s="26">
        <f>IF('2 - PREENCHA AQUI'!E855=FALSE(),0,'2 - PREENCHA AQUI'!E855)</f>
        <v>0</v>
      </c>
      <c r="B851" s="31">
        <f>'2 - PREENCHA AQUI'!J855</f>
        <v>0</v>
      </c>
      <c r="C851" s="31">
        <f>'2 - PREENCHA AQUI'!K855</f>
        <v>0</v>
      </c>
      <c r="D851" s="26">
        <f>'2 - PREENCHA AQUI'!L855</f>
        <v>0</v>
      </c>
      <c r="E851" s="26">
        <f>'2 - PREENCHA AQUI'!M855</f>
        <v>0</v>
      </c>
    </row>
    <row r="852" spans="1:5" x14ac:dyDescent="0.25">
      <c r="A852" s="26">
        <f>IF('2 - PREENCHA AQUI'!E856=FALSE(),0,'2 - PREENCHA AQUI'!E856)</f>
        <v>0</v>
      </c>
      <c r="B852" s="31">
        <f>'2 - PREENCHA AQUI'!J856</f>
        <v>0</v>
      </c>
      <c r="C852" s="31">
        <f>'2 - PREENCHA AQUI'!K856</f>
        <v>0</v>
      </c>
      <c r="D852" s="26">
        <f>'2 - PREENCHA AQUI'!L856</f>
        <v>0</v>
      </c>
      <c r="E852" s="26">
        <f>'2 - PREENCHA AQUI'!M856</f>
        <v>0</v>
      </c>
    </row>
    <row r="853" spans="1:5" x14ac:dyDescent="0.25">
      <c r="A853" s="26">
        <f>IF('2 - PREENCHA AQUI'!E857=FALSE(),0,'2 - PREENCHA AQUI'!E857)</f>
        <v>0</v>
      </c>
      <c r="B853" s="31">
        <f>'2 - PREENCHA AQUI'!J857</f>
        <v>0</v>
      </c>
      <c r="C853" s="31">
        <f>'2 - PREENCHA AQUI'!K857</f>
        <v>0</v>
      </c>
      <c r="D853" s="26">
        <f>'2 - PREENCHA AQUI'!L857</f>
        <v>0</v>
      </c>
      <c r="E853" s="26">
        <f>'2 - PREENCHA AQUI'!M857</f>
        <v>0</v>
      </c>
    </row>
    <row r="854" spans="1:5" x14ac:dyDescent="0.25">
      <c r="A854" s="26">
        <f>IF('2 - PREENCHA AQUI'!E858=FALSE(),0,'2 - PREENCHA AQUI'!E858)</f>
        <v>0</v>
      </c>
      <c r="B854" s="31">
        <f>'2 - PREENCHA AQUI'!J858</f>
        <v>0</v>
      </c>
      <c r="C854" s="31">
        <f>'2 - PREENCHA AQUI'!K858</f>
        <v>0</v>
      </c>
      <c r="D854" s="26">
        <f>'2 - PREENCHA AQUI'!L858</f>
        <v>0</v>
      </c>
      <c r="E854" s="26">
        <f>'2 - PREENCHA AQUI'!M858</f>
        <v>0</v>
      </c>
    </row>
    <row r="855" spans="1:5" x14ac:dyDescent="0.25">
      <c r="A855" s="26">
        <f>IF('2 - PREENCHA AQUI'!E859=FALSE(),0,'2 - PREENCHA AQUI'!E859)</f>
        <v>0</v>
      </c>
      <c r="B855" s="31">
        <f>'2 - PREENCHA AQUI'!J859</f>
        <v>0</v>
      </c>
      <c r="C855" s="31">
        <f>'2 - PREENCHA AQUI'!K859</f>
        <v>0</v>
      </c>
      <c r="D855" s="26">
        <f>'2 - PREENCHA AQUI'!L859</f>
        <v>0</v>
      </c>
      <c r="E855" s="26">
        <f>'2 - PREENCHA AQUI'!M859</f>
        <v>0</v>
      </c>
    </row>
    <row r="856" spans="1:5" x14ac:dyDescent="0.25">
      <c r="A856" s="26">
        <f>IF('2 - PREENCHA AQUI'!E860=FALSE(),0,'2 - PREENCHA AQUI'!E860)</f>
        <v>0</v>
      </c>
      <c r="B856" s="31">
        <f>'2 - PREENCHA AQUI'!J860</f>
        <v>0</v>
      </c>
      <c r="C856" s="31">
        <f>'2 - PREENCHA AQUI'!K860</f>
        <v>0</v>
      </c>
      <c r="D856" s="26">
        <f>'2 - PREENCHA AQUI'!L860</f>
        <v>0</v>
      </c>
      <c r="E856" s="26">
        <f>'2 - PREENCHA AQUI'!M860</f>
        <v>0</v>
      </c>
    </row>
    <row r="857" spans="1:5" x14ac:dyDescent="0.25">
      <c r="A857" s="26">
        <f>IF('2 - PREENCHA AQUI'!E861=FALSE(),0,'2 - PREENCHA AQUI'!E861)</f>
        <v>0</v>
      </c>
      <c r="B857" s="31">
        <f>'2 - PREENCHA AQUI'!J861</f>
        <v>0</v>
      </c>
      <c r="C857" s="31">
        <f>'2 - PREENCHA AQUI'!K861</f>
        <v>0</v>
      </c>
      <c r="D857" s="26">
        <f>'2 - PREENCHA AQUI'!L861</f>
        <v>0</v>
      </c>
      <c r="E857" s="26">
        <f>'2 - PREENCHA AQUI'!M861</f>
        <v>0</v>
      </c>
    </row>
    <row r="858" spans="1:5" x14ac:dyDescent="0.25">
      <c r="A858" s="26">
        <f>IF('2 - PREENCHA AQUI'!E862=FALSE(),0,'2 - PREENCHA AQUI'!E862)</f>
        <v>0</v>
      </c>
      <c r="B858" s="31">
        <f>'2 - PREENCHA AQUI'!J862</f>
        <v>0</v>
      </c>
      <c r="C858" s="31">
        <f>'2 - PREENCHA AQUI'!K862</f>
        <v>0</v>
      </c>
      <c r="D858" s="26">
        <f>'2 - PREENCHA AQUI'!L862</f>
        <v>0</v>
      </c>
      <c r="E858" s="26">
        <f>'2 - PREENCHA AQUI'!M862</f>
        <v>0</v>
      </c>
    </row>
    <row r="859" spans="1:5" x14ac:dyDescent="0.25">
      <c r="A859" s="26">
        <f>IF('2 - PREENCHA AQUI'!E863=FALSE(),0,'2 - PREENCHA AQUI'!E863)</f>
        <v>0</v>
      </c>
      <c r="B859" s="31">
        <f>'2 - PREENCHA AQUI'!J863</f>
        <v>0</v>
      </c>
      <c r="C859" s="31">
        <f>'2 - PREENCHA AQUI'!K863</f>
        <v>0</v>
      </c>
      <c r="D859" s="26">
        <f>'2 - PREENCHA AQUI'!L863</f>
        <v>0</v>
      </c>
      <c r="E859" s="26">
        <f>'2 - PREENCHA AQUI'!M863</f>
        <v>0</v>
      </c>
    </row>
    <row r="860" spans="1:5" x14ac:dyDescent="0.25">
      <c r="A860" s="26">
        <f>IF('2 - PREENCHA AQUI'!E864=FALSE(),0,'2 - PREENCHA AQUI'!E864)</f>
        <v>0</v>
      </c>
      <c r="B860" s="31">
        <f>'2 - PREENCHA AQUI'!J864</f>
        <v>0</v>
      </c>
      <c r="C860" s="31">
        <f>'2 - PREENCHA AQUI'!K864</f>
        <v>0</v>
      </c>
      <c r="D860" s="26">
        <f>'2 - PREENCHA AQUI'!L864</f>
        <v>0</v>
      </c>
      <c r="E860" s="26">
        <f>'2 - PREENCHA AQUI'!M864</f>
        <v>0</v>
      </c>
    </row>
    <row r="861" spans="1:5" x14ac:dyDescent="0.25">
      <c r="A861" s="26">
        <f>IF('2 - PREENCHA AQUI'!E865=FALSE(),0,'2 - PREENCHA AQUI'!E865)</f>
        <v>0</v>
      </c>
      <c r="B861" s="31">
        <f>'2 - PREENCHA AQUI'!J865</f>
        <v>0</v>
      </c>
      <c r="C861" s="31">
        <f>'2 - PREENCHA AQUI'!K865</f>
        <v>0</v>
      </c>
      <c r="D861" s="26">
        <f>'2 - PREENCHA AQUI'!L865</f>
        <v>0</v>
      </c>
      <c r="E861" s="26">
        <f>'2 - PREENCHA AQUI'!M865</f>
        <v>0</v>
      </c>
    </row>
    <row r="862" spans="1:5" x14ac:dyDescent="0.25">
      <c r="A862" s="26">
        <f>IF('2 - PREENCHA AQUI'!E866=FALSE(),0,'2 - PREENCHA AQUI'!E866)</f>
        <v>0</v>
      </c>
      <c r="B862" s="31">
        <f>'2 - PREENCHA AQUI'!J866</f>
        <v>0</v>
      </c>
      <c r="C862" s="31">
        <f>'2 - PREENCHA AQUI'!K866</f>
        <v>0</v>
      </c>
      <c r="D862" s="26">
        <f>'2 - PREENCHA AQUI'!L866</f>
        <v>0</v>
      </c>
      <c r="E862" s="26">
        <f>'2 - PREENCHA AQUI'!M866</f>
        <v>0</v>
      </c>
    </row>
    <row r="863" spans="1:5" x14ac:dyDescent="0.25">
      <c r="A863" s="26">
        <f>IF('2 - PREENCHA AQUI'!E867=FALSE(),0,'2 - PREENCHA AQUI'!E867)</f>
        <v>0</v>
      </c>
      <c r="B863" s="31">
        <f>'2 - PREENCHA AQUI'!J867</f>
        <v>0</v>
      </c>
      <c r="C863" s="31">
        <f>'2 - PREENCHA AQUI'!K867</f>
        <v>0</v>
      </c>
      <c r="D863" s="26">
        <f>'2 - PREENCHA AQUI'!L867</f>
        <v>0</v>
      </c>
      <c r="E863" s="26">
        <f>'2 - PREENCHA AQUI'!M867</f>
        <v>0</v>
      </c>
    </row>
    <row r="864" spans="1:5" x14ac:dyDescent="0.25">
      <c r="A864" s="26">
        <f>IF('2 - PREENCHA AQUI'!E868=FALSE(),0,'2 - PREENCHA AQUI'!E868)</f>
        <v>0</v>
      </c>
      <c r="B864" s="31">
        <f>'2 - PREENCHA AQUI'!J868</f>
        <v>0</v>
      </c>
      <c r="C864" s="31">
        <f>'2 - PREENCHA AQUI'!K868</f>
        <v>0</v>
      </c>
      <c r="D864" s="26">
        <f>'2 - PREENCHA AQUI'!L868</f>
        <v>0</v>
      </c>
      <c r="E864" s="26">
        <f>'2 - PREENCHA AQUI'!M868</f>
        <v>0</v>
      </c>
    </row>
    <row r="865" spans="1:5" x14ac:dyDescent="0.25">
      <c r="A865" s="26">
        <f>IF('2 - PREENCHA AQUI'!E869=FALSE(),0,'2 - PREENCHA AQUI'!E869)</f>
        <v>0</v>
      </c>
      <c r="B865" s="31">
        <f>'2 - PREENCHA AQUI'!J869</f>
        <v>0</v>
      </c>
      <c r="C865" s="31">
        <f>'2 - PREENCHA AQUI'!K869</f>
        <v>0</v>
      </c>
      <c r="D865" s="26">
        <f>'2 - PREENCHA AQUI'!L869</f>
        <v>0</v>
      </c>
      <c r="E865" s="26">
        <f>'2 - PREENCHA AQUI'!M869</f>
        <v>0</v>
      </c>
    </row>
    <row r="866" spans="1:5" x14ac:dyDescent="0.25">
      <c r="A866" s="26">
        <f>IF('2 - PREENCHA AQUI'!E870=FALSE(),0,'2 - PREENCHA AQUI'!E870)</f>
        <v>0</v>
      </c>
      <c r="B866" s="31">
        <f>'2 - PREENCHA AQUI'!J870</f>
        <v>0</v>
      </c>
      <c r="C866" s="31">
        <f>'2 - PREENCHA AQUI'!K870</f>
        <v>0</v>
      </c>
      <c r="D866" s="26">
        <f>'2 - PREENCHA AQUI'!L870</f>
        <v>0</v>
      </c>
      <c r="E866" s="26">
        <f>'2 - PREENCHA AQUI'!M870</f>
        <v>0</v>
      </c>
    </row>
    <row r="867" spans="1:5" x14ac:dyDescent="0.25">
      <c r="A867" s="26">
        <f>IF('2 - PREENCHA AQUI'!E871=FALSE(),0,'2 - PREENCHA AQUI'!E871)</f>
        <v>0</v>
      </c>
      <c r="B867" s="31">
        <f>'2 - PREENCHA AQUI'!J871</f>
        <v>0</v>
      </c>
      <c r="C867" s="31">
        <f>'2 - PREENCHA AQUI'!K871</f>
        <v>0</v>
      </c>
      <c r="D867" s="26">
        <f>'2 - PREENCHA AQUI'!L871</f>
        <v>0</v>
      </c>
      <c r="E867" s="26">
        <f>'2 - PREENCHA AQUI'!M871</f>
        <v>0</v>
      </c>
    </row>
    <row r="868" spans="1:5" x14ac:dyDescent="0.25">
      <c r="A868" s="26">
        <f>IF('2 - PREENCHA AQUI'!E872=FALSE(),0,'2 - PREENCHA AQUI'!E872)</f>
        <v>0</v>
      </c>
      <c r="B868" s="31">
        <f>'2 - PREENCHA AQUI'!J872</f>
        <v>0</v>
      </c>
      <c r="C868" s="31">
        <f>'2 - PREENCHA AQUI'!K872</f>
        <v>0</v>
      </c>
      <c r="D868" s="26">
        <f>'2 - PREENCHA AQUI'!L872</f>
        <v>0</v>
      </c>
      <c r="E868" s="26">
        <f>'2 - PREENCHA AQUI'!M872</f>
        <v>0</v>
      </c>
    </row>
    <row r="869" spans="1:5" x14ac:dyDescent="0.25">
      <c r="A869" s="26">
        <f>IF('2 - PREENCHA AQUI'!E873=FALSE(),0,'2 - PREENCHA AQUI'!E873)</f>
        <v>0</v>
      </c>
      <c r="B869" s="31">
        <f>'2 - PREENCHA AQUI'!J873</f>
        <v>0</v>
      </c>
      <c r="C869" s="31">
        <f>'2 - PREENCHA AQUI'!K873</f>
        <v>0</v>
      </c>
      <c r="D869" s="26">
        <f>'2 - PREENCHA AQUI'!L873</f>
        <v>0</v>
      </c>
      <c r="E869" s="26">
        <f>'2 - PREENCHA AQUI'!M873</f>
        <v>0</v>
      </c>
    </row>
    <row r="870" spans="1:5" x14ac:dyDescent="0.25">
      <c r="A870" s="26">
        <f>IF('2 - PREENCHA AQUI'!E874=FALSE(),0,'2 - PREENCHA AQUI'!E874)</f>
        <v>0</v>
      </c>
      <c r="B870" s="31">
        <f>'2 - PREENCHA AQUI'!J874</f>
        <v>0</v>
      </c>
      <c r="C870" s="31">
        <f>'2 - PREENCHA AQUI'!K874</f>
        <v>0</v>
      </c>
      <c r="D870" s="26">
        <f>'2 - PREENCHA AQUI'!L874</f>
        <v>0</v>
      </c>
      <c r="E870" s="26">
        <f>'2 - PREENCHA AQUI'!M874</f>
        <v>0</v>
      </c>
    </row>
    <row r="871" spans="1:5" x14ac:dyDescent="0.25">
      <c r="A871" s="26">
        <f>IF('2 - PREENCHA AQUI'!E875=FALSE(),0,'2 - PREENCHA AQUI'!E875)</f>
        <v>0</v>
      </c>
      <c r="B871" s="31">
        <f>'2 - PREENCHA AQUI'!J875</f>
        <v>0</v>
      </c>
      <c r="C871" s="31">
        <f>'2 - PREENCHA AQUI'!K875</f>
        <v>0</v>
      </c>
      <c r="D871" s="26">
        <f>'2 - PREENCHA AQUI'!L875</f>
        <v>0</v>
      </c>
      <c r="E871" s="26">
        <f>'2 - PREENCHA AQUI'!M875</f>
        <v>0</v>
      </c>
    </row>
    <row r="872" spans="1:5" x14ac:dyDescent="0.25">
      <c r="A872" s="26">
        <f>IF('2 - PREENCHA AQUI'!E876=FALSE(),0,'2 - PREENCHA AQUI'!E876)</f>
        <v>0</v>
      </c>
      <c r="B872" s="31">
        <f>'2 - PREENCHA AQUI'!J876</f>
        <v>0</v>
      </c>
      <c r="C872" s="31">
        <f>'2 - PREENCHA AQUI'!K876</f>
        <v>0</v>
      </c>
      <c r="D872" s="26">
        <f>'2 - PREENCHA AQUI'!L876</f>
        <v>0</v>
      </c>
      <c r="E872" s="26">
        <f>'2 - PREENCHA AQUI'!M876</f>
        <v>0</v>
      </c>
    </row>
    <row r="873" spans="1:5" x14ac:dyDescent="0.25">
      <c r="A873" s="26">
        <f>IF('2 - PREENCHA AQUI'!E877=FALSE(),0,'2 - PREENCHA AQUI'!E877)</f>
        <v>0</v>
      </c>
      <c r="B873" s="31">
        <f>'2 - PREENCHA AQUI'!J877</f>
        <v>0</v>
      </c>
      <c r="C873" s="31">
        <f>'2 - PREENCHA AQUI'!K877</f>
        <v>0</v>
      </c>
      <c r="D873" s="26">
        <f>'2 - PREENCHA AQUI'!L877</f>
        <v>0</v>
      </c>
      <c r="E873" s="26">
        <f>'2 - PREENCHA AQUI'!M877</f>
        <v>0</v>
      </c>
    </row>
    <row r="874" spans="1:5" x14ac:dyDescent="0.25">
      <c r="A874" s="26">
        <f>IF('2 - PREENCHA AQUI'!E878=FALSE(),0,'2 - PREENCHA AQUI'!E878)</f>
        <v>0</v>
      </c>
      <c r="B874" s="31">
        <f>'2 - PREENCHA AQUI'!J878</f>
        <v>0</v>
      </c>
      <c r="C874" s="31">
        <f>'2 - PREENCHA AQUI'!K878</f>
        <v>0</v>
      </c>
      <c r="D874" s="26">
        <f>'2 - PREENCHA AQUI'!L878</f>
        <v>0</v>
      </c>
      <c r="E874" s="26">
        <f>'2 - PREENCHA AQUI'!M878</f>
        <v>0</v>
      </c>
    </row>
    <row r="875" spans="1:5" x14ac:dyDescent="0.25">
      <c r="A875" s="26">
        <f>IF('2 - PREENCHA AQUI'!E879=FALSE(),0,'2 - PREENCHA AQUI'!E879)</f>
        <v>0</v>
      </c>
      <c r="B875" s="31">
        <f>'2 - PREENCHA AQUI'!J879</f>
        <v>0</v>
      </c>
      <c r="C875" s="31">
        <f>'2 - PREENCHA AQUI'!K879</f>
        <v>0</v>
      </c>
      <c r="D875" s="26">
        <f>'2 - PREENCHA AQUI'!L879</f>
        <v>0</v>
      </c>
      <c r="E875" s="26">
        <f>'2 - PREENCHA AQUI'!M879</f>
        <v>0</v>
      </c>
    </row>
    <row r="876" spans="1:5" x14ac:dyDescent="0.25">
      <c r="A876" s="26">
        <f>IF('2 - PREENCHA AQUI'!E880=FALSE(),0,'2 - PREENCHA AQUI'!E880)</f>
        <v>0</v>
      </c>
      <c r="B876" s="31">
        <f>'2 - PREENCHA AQUI'!J880</f>
        <v>0</v>
      </c>
      <c r="C876" s="31">
        <f>'2 - PREENCHA AQUI'!K880</f>
        <v>0</v>
      </c>
      <c r="D876" s="26">
        <f>'2 - PREENCHA AQUI'!L880</f>
        <v>0</v>
      </c>
      <c r="E876" s="26">
        <f>'2 - PREENCHA AQUI'!M880</f>
        <v>0</v>
      </c>
    </row>
    <row r="877" spans="1:5" x14ac:dyDescent="0.25">
      <c r="A877" s="26">
        <f>IF('2 - PREENCHA AQUI'!E881=FALSE(),0,'2 - PREENCHA AQUI'!E881)</f>
        <v>0</v>
      </c>
      <c r="B877" s="31">
        <f>'2 - PREENCHA AQUI'!J881</f>
        <v>0</v>
      </c>
      <c r="C877" s="31">
        <f>'2 - PREENCHA AQUI'!K881</f>
        <v>0</v>
      </c>
      <c r="D877" s="26">
        <f>'2 - PREENCHA AQUI'!L881</f>
        <v>0</v>
      </c>
      <c r="E877" s="26">
        <f>'2 - PREENCHA AQUI'!M881</f>
        <v>0</v>
      </c>
    </row>
    <row r="878" spans="1:5" x14ac:dyDescent="0.25">
      <c r="A878" s="26">
        <f>IF('2 - PREENCHA AQUI'!E882=FALSE(),0,'2 - PREENCHA AQUI'!E882)</f>
        <v>0</v>
      </c>
      <c r="B878" s="31">
        <f>'2 - PREENCHA AQUI'!J882</f>
        <v>0</v>
      </c>
      <c r="C878" s="31">
        <f>'2 - PREENCHA AQUI'!K882</f>
        <v>0</v>
      </c>
      <c r="D878" s="26">
        <f>'2 - PREENCHA AQUI'!L882</f>
        <v>0</v>
      </c>
      <c r="E878" s="26">
        <f>'2 - PREENCHA AQUI'!M882</f>
        <v>0</v>
      </c>
    </row>
    <row r="879" spans="1:5" x14ac:dyDescent="0.25">
      <c r="A879" s="26">
        <f>IF('2 - PREENCHA AQUI'!E883=FALSE(),0,'2 - PREENCHA AQUI'!E883)</f>
        <v>0</v>
      </c>
      <c r="B879" s="31">
        <f>'2 - PREENCHA AQUI'!J883</f>
        <v>0</v>
      </c>
      <c r="C879" s="31">
        <f>'2 - PREENCHA AQUI'!K883</f>
        <v>0</v>
      </c>
      <c r="D879" s="26">
        <f>'2 - PREENCHA AQUI'!L883</f>
        <v>0</v>
      </c>
      <c r="E879" s="26">
        <f>'2 - PREENCHA AQUI'!M883</f>
        <v>0</v>
      </c>
    </row>
    <row r="880" spans="1:5" x14ac:dyDescent="0.25">
      <c r="A880" s="26">
        <f>IF('2 - PREENCHA AQUI'!E884=FALSE(),0,'2 - PREENCHA AQUI'!E884)</f>
        <v>0</v>
      </c>
      <c r="B880" s="31">
        <f>'2 - PREENCHA AQUI'!J884</f>
        <v>0</v>
      </c>
      <c r="C880" s="31">
        <f>'2 - PREENCHA AQUI'!K884</f>
        <v>0</v>
      </c>
      <c r="D880" s="26">
        <f>'2 - PREENCHA AQUI'!L884</f>
        <v>0</v>
      </c>
      <c r="E880" s="26">
        <f>'2 - PREENCHA AQUI'!M884</f>
        <v>0</v>
      </c>
    </row>
    <row r="881" spans="1:5" x14ac:dyDescent="0.25">
      <c r="A881" s="26">
        <f>IF('2 - PREENCHA AQUI'!E885=FALSE(),0,'2 - PREENCHA AQUI'!E885)</f>
        <v>0</v>
      </c>
      <c r="B881" s="31">
        <f>'2 - PREENCHA AQUI'!J885</f>
        <v>0</v>
      </c>
      <c r="C881" s="31">
        <f>'2 - PREENCHA AQUI'!K885</f>
        <v>0</v>
      </c>
      <c r="D881" s="26">
        <f>'2 - PREENCHA AQUI'!L885</f>
        <v>0</v>
      </c>
      <c r="E881" s="26">
        <f>'2 - PREENCHA AQUI'!M885</f>
        <v>0</v>
      </c>
    </row>
    <row r="882" spans="1:5" x14ac:dyDescent="0.25">
      <c r="A882" s="26">
        <f>IF('2 - PREENCHA AQUI'!E886=FALSE(),0,'2 - PREENCHA AQUI'!E886)</f>
        <v>0</v>
      </c>
      <c r="B882" s="31">
        <f>'2 - PREENCHA AQUI'!J886</f>
        <v>0</v>
      </c>
      <c r="C882" s="31">
        <f>'2 - PREENCHA AQUI'!K886</f>
        <v>0</v>
      </c>
      <c r="D882" s="26">
        <f>'2 - PREENCHA AQUI'!L886</f>
        <v>0</v>
      </c>
      <c r="E882" s="26">
        <f>'2 - PREENCHA AQUI'!M886</f>
        <v>0</v>
      </c>
    </row>
    <row r="883" spans="1:5" x14ac:dyDescent="0.25">
      <c r="A883" s="26">
        <f>IF('2 - PREENCHA AQUI'!E887=FALSE(),0,'2 - PREENCHA AQUI'!E887)</f>
        <v>0</v>
      </c>
      <c r="B883" s="31">
        <f>'2 - PREENCHA AQUI'!J887</f>
        <v>0</v>
      </c>
      <c r="C883" s="31">
        <f>'2 - PREENCHA AQUI'!K887</f>
        <v>0</v>
      </c>
      <c r="D883" s="26">
        <f>'2 - PREENCHA AQUI'!L887</f>
        <v>0</v>
      </c>
      <c r="E883" s="26">
        <f>'2 - PREENCHA AQUI'!M887</f>
        <v>0</v>
      </c>
    </row>
    <row r="884" spans="1:5" x14ac:dyDescent="0.25">
      <c r="A884" s="26">
        <f>IF('2 - PREENCHA AQUI'!E888=FALSE(),0,'2 - PREENCHA AQUI'!E888)</f>
        <v>0</v>
      </c>
      <c r="B884" s="31">
        <f>'2 - PREENCHA AQUI'!J888</f>
        <v>0</v>
      </c>
      <c r="C884" s="31">
        <f>'2 - PREENCHA AQUI'!K888</f>
        <v>0</v>
      </c>
      <c r="D884" s="26">
        <f>'2 - PREENCHA AQUI'!L888</f>
        <v>0</v>
      </c>
      <c r="E884" s="26">
        <f>'2 - PREENCHA AQUI'!M888</f>
        <v>0</v>
      </c>
    </row>
    <row r="885" spans="1:5" x14ac:dyDescent="0.25">
      <c r="A885" s="26">
        <f>IF('2 - PREENCHA AQUI'!E889=FALSE(),0,'2 - PREENCHA AQUI'!E889)</f>
        <v>0</v>
      </c>
      <c r="B885" s="31">
        <f>'2 - PREENCHA AQUI'!J889</f>
        <v>0</v>
      </c>
      <c r="C885" s="31">
        <f>'2 - PREENCHA AQUI'!K889</f>
        <v>0</v>
      </c>
      <c r="D885" s="26">
        <f>'2 - PREENCHA AQUI'!L889</f>
        <v>0</v>
      </c>
      <c r="E885" s="26">
        <f>'2 - PREENCHA AQUI'!M889</f>
        <v>0</v>
      </c>
    </row>
    <row r="886" spans="1:5" x14ac:dyDescent="0.25">
      <c r="A886" s="26">
        <f>IF('2 - PREENCHA AQUI'!E890=FALSE(),0,'2 - PREENCHA AQUI'!E890)</f>
        <v>0</v>
      </c>
      <c r="B886" s="31">
        <f>'2 - PREENCHA AQUI'!J890</f>
        <v>0</v>
      </c>
      <c r="C886" s="31">
        <f>'2 - PREENCHA AQUI'!K890</f>
        <v>0</v>
      </c>
      <c r="D886" s="26">
        <f>'2 - PREENCHA AQUI'!L890</f>
        <v>0</v>
      </c>
      <c r="E886" s="26">
        <f>'2 - PREENCHA AQUI'!M890</f>
        <v>0</v>
      </c>
    </row>
    <row r="887" spans="1:5" x14ac:dyDescent="0.25">
      <c r="A887" s="26">
        <f>IF('2 - PREENCHA AQUI'!E891=FALSE(),0,'2 - PREENCHA AQUI'!E891)</f>
        <v>0</v>
      </c>
      <c r="B887" s="31">
        <f>'2 - PREENCHA AQUI'!J891</f>
        <v>0</v>
      </c>
      <c r="C887" s="31">
        <f>'2 - PREENCHA AQUI'!K891</f>
        <v>0</v>
      </c>
      <c r="D887" s="26">
        <f>'2 - PREENCHA AQUI'!L891</f>
        <v>0</v>
      </c>
      <c r="E887" s="26">
        <f>'2 - PREENCHA AQUI'!M891</f>
        <v>0</v>
      </c>
    </row>
    <row r="888" spans="1:5" x14ac:dyDescent="0.25">
      <c r="A888" s="26">
        <f>IF('2 - PREENCHA AQUI'!E892=FALSE(),0,'2 - PREENCHA AQUI'!E892)</f>
        <v>0</v>
      </c>
      <c r="B888" s="31">
        <f>'2 - PREENCHA AQUI'!J892</f>
        <v>0</v>
      </c>
      <c r="C888" s="31">
        <f>'2 - PREENCHA AQUI'!K892</f>
        <v>0</v>
      </c>
      <c r="D888" s="26">
        <f>'2 - PREENCHA AQUI'!L892</f>
        <v>0</v>
      </c>
      <c r="E888" s="26">
        <f>'2 - PREENCHA AQUI'!M892</f>
        <v>0</v>
      </c>
    </row>
    <row r="889" spans="1:5" x14ac:dyDescent="0.25">
      <c r="A889" s="26">
        <f>IF('2 - PREENCHA AQUI'!E893=FALSE(),0,'2 - PREENCHA AQUI'!E893)</f>
        <v>0</v>
      </c>
      <c r="B889" s="31">
        <f>'2 - PREENCHA AQUI'!J893</f>
        <v>0</v>
      </c>
      <c r="C889" s="31">
        <f>'2 - PREENCHA AQUI'!K893</f>
        <v>0</v>
      </c>
      <c r="D889" s="26">
        <f>'2 - PREENCHA AQUI'!L893</f>
        <v>0</v>
      </c>
      <c r="E889" s="26">
        <f>'2 - PREENCHA AQUI'!M893</f>
        <v>0</v>
      </c>
    </row>
    <row r="890" spans="1:5" x14ac:dyDescent="0.25">
      <c r="A890" s="26">
        <f>IF('2 - PREENCHA AQUI'!E894=FALSE(),0,'2 - PREENCHA AQUI'!E894)</f>
        <v>0</v>
      </c>
      <c r="B890" s="31">
        <f>'2 - PREENCHA AQUI'!J894</f>
        <v>0</v>
      </c>
      <c r="C890" s="31">
        <f>'2 - PREENCHA AQUI'!K894</f>
        <v>0</v>
      </c>
      <c r="D890" s="26">
        <f>'2 - PREENCHA AQUI'!L894</f>
        <v>0</v>
      </c>
      <c r="E890" s="26">
        <f>'2 - PREENCHA AQUI'!M894</f>
        <v>0</v>
      </c>
    </row>
    <row r="891" spans="1:5" x14ac:dyDescent="0.25">
      <c r="A891" s="26">
        <f>IF('2 - PREENCHA AQUI'!E895=FALSE(),0,'2 - PREENCHA AQUI'!E895)</f>
        <v>0</v>
      </c>
      <c r="B891" s="31">
        <f>'2 - PREENCHA AQUI'!J895</f>
        <v>0</v>
      </c>
      <c r="C891" s="31">
        <f>'2 - PREENCHA AQUI'!K895</f>
        <v>0</v>
      </c>
      <c r="D891" s="26">
        <f>'2 - PREENCHA AQUI'!L895</f>
        <v>0</v>
      </c>
      <c r="E891" s="26">
        <f>'2 - PREENCHA AQUI'!M895</f>
        <v>0</v>
      </c>
    </row>
    <row r="892" spans="1:5" x14ac:dyDescent="0.25">
      <c r="A892" s="26">
        <f>IF('2 - PREENCHA AQUI'!E896=FALSE(),0,'2 - PREENCHA AQUI'!E896)</f>
        <v>0</v>
      </c>
      <c r="B892" s="31">
        <f>'2 - PREENCHA AQUI'!J896</f>
        <v>0</v>
      </c>
      <c r="C892" s="31">
        <f>'2 - PREENCHA AQUI'!K896</f>
        <v>0</v>
      </c>
      <c r="D892" s="26">
        <f>'2 - PREENCHA AQUI'!L896</f>
        <v>0</v>
      </c>
      <c r="E892" s="26">
        <f>'2 - PREENCHA AQUI'!M896</f>
        <v>0</v>
      </c>
    </row>
    <row r="893" spans="1:5" x14ac:dyDescent="0.25">
      <c r="A893" s="26">
        <f>IF('2 - PREENCHA AQUI'!E897=FALSE(),0,'2 - PREENCHA AQUI'!E897)</f>
        <v>0</v>
      </c>
      <c r="B893" s="31">
        <f>'2 - PREENCHA AQUI'!J897</f>
        <v>0</v>
      </c>
      <c r="C893" s="31">
        <f>'2 - PREENCHA AQUI'!K897</f>
        <v>0</v>
      </c>
      <c r="D893" s="26">
        <f>'2 - PREENCHA AQUI'!L897</f>
        <v>0</v>
      </c>
      <c r="E893" s="26">
        <f>'2 - PREENCHA AQUI'!M897</f>
        <v>0</v>
      </c>
    </row>
    <row r="894" spans="1:5" x14ac:dyDescent="0.25">
      <c r="A894" s="26">
        <f>IF('2 - PREENCHA AQUI'!E898=FALSE(),0,'2 - PREENCHA AQUI'!E898)</f>
        <v>0</v>
      </c>
      <c r="B894" s="31">
        <f>'2 - PREENCHA AQUI'!J898</f>
        <v>0</v>
      </c>
      <c r="C894" s="31">
        <f>'2 - PREENCHA AQUI'!K898</f>
        <v>0</v>
      </c>
      <c r="D894" s="26">
        <f>'2 - PREENCHA AQUI'!L898</f>
        <v>0</v>
      </c>
      <c r="E894" s="26">
        <f>'2 - PREENCHA AQUI'!M898</f>
        <v>0</v>
      </c>
    </row>
    <row r="895" spans="1:5" x14ac:dyDescent="0.25">
      <c r="A895" s="26">
        <f>IF('2 - PREENCHA AQUI'!E899=FALSE(),0,'2 - PREENCHA AQUI'!E899)</f>
        <v>0</v>
      </c>
      <c r="B895" s="31">
        <f>'2 - PREENCHA AQUI'!J899</f>
        <v>0</v>
      </c>
      <c r="C895" s="31">
        <f>'2 - PREENCHA AQUI'!K899</f>
        <v>0</v>
      </c>
      <c r="D895" s="26">
        <f>'2 - PREENCHA AQUI'!L899</f>
        <v>0</v>
      </c>
      <c r="E895" s="26">
        <f>'2 - PREENCHA AQUI'!M899</f>
        <v>0</v>
      </c>
    </row>
    <row r="896" spans="1:5" x14ac:dyDescent="0.25">
      <c r="A896" s="26">
        <f>IF('2 - PREENCHA AQUI'!E900=FALSE(),0,'2 - PREENCHA AQUI'!E900)</f>
        <v>0</v>
      </c>
      <c r="B896" s="31">
        <f>'2 - PREENCHA AQUI'!J900</f>
        <v>0</v>
      </c>
      <c r="C896" s="31">
        <f>'2 - PREENCHA AQUI'!K900</f>
        <v>0</v>
      </c>
      <c r="D896" s="26">
        <f>'2 - PREENCHA AQUI'!L900</f>
        <v>0</v>
      </c>
      <c r="E896" s="26">
        <f>'2 - PREENCHA AQUI'!M900</f>
        <v>0</v>
      </c>
    </row>
    <row r="897" spans="1:5" x14ac:dyDescent="0.25">
      <c r="A897" s="26">
        <f>IF('2 - PREENCHA AQUI'!E901=FALSE(),0,'2 - PREENCHA AQUI'!E901)</f>
        <v>0</v>
      </c>
      <c r="B897" s="31">
        <f>'2 - PREENCHA AQUI'!J901</f>
        <v>0</v>
      </c>
      <c r="C897" s="31">
        <f>'2 - PREENCHA AQUI'!K901</f>
        <v>0</v>
      </c>
      <c r="D897" s="26">
        <f>'2 - PREENCHA AQUI'!L901</f>
        <v>0</v>
      </c>
      <c r="E897" s="26">
        <f>'2 - PREENCHA AQUI'!M901</f>
        <v>0</v>
      </c>
    </row>
    <row r="898" spans="1:5" x14ac:dyDescent="0.25">
      <c r="A898" s="26">
        <f>IF('2 - PREENCHA AQUI'!E902=FALSE(),0,'2 - PREENCHA AQUI'!E902)</f>
        <v>0</v>
      </c>
      <c r="B898" s="31">
        <f>'2 - PREENCHA AQUI'!J902</f>
        <v>0</v>
      </c>
      <c r="C898" s="31">
        <f>'2 - PREENCHA AQUI'!K902</f>
        <v>0</v>
      </c>
      <c r="D898" s="26">
        <f>'2 - PREENCHA AQUI'!L902</f>
        <v>0</v>
      </c>
      <c r="E898" s="26">
        <f>'2 - PREENCHA AQUI'!M902</f>
        <v>0</v>
      </c>
    </row>
    <row r="899" spans="1:5" x14ac:dyDescent="0.25">
      <c r="A899" s="26">
        <f>IF('2 - PREENCHA AQUI'!E903=FALSE(),0,'2 - PREENCHA AQUI'!E903)</f>
        <v>0</v>
      </c>
      <c r="B899" s="31">
        <f>'2 - PREENCHA AQUI'!J903</f>
        <v>0</v>
      </c>
      <c r="C899" s="31">
        <f>'2 - PREENCHA AQUI'!K903</f>
        <v>0</v>
      </c>
      <c r="D899" s="26">
        <f>'2 - PREENCHA AQUI'!L903</f>
        <v>0</v>
      </c>
      <c r="E899" s="26">
        <f>'2 - PREENCHA AQUI'!M903</f>
        <v>0</v>
      </c>
    </row>
    <row r="900" spans="1:5" x14ac:dyDescent="0.25">
      <c r="A900" s="26">
        <f>IF('2 - PREENCHA AQUI'!E904=FALSE(),0,'2 - PREENCHA AQUI'!E904)</f>
        <v>0</v>
      </c>
      <c r="B900" s="31">
        <f>'2 - PREENCHA AQUI'!J904</f>
        <v>0</v>
      </c>
      <c r="C900" s="31">
        <f>'2 - PREENCHA AQUI'!K904</f>
        <v>0</v>
      </c>
      <c r="D900" s="26">
        <f>'2 - PREENCHA AQUI'!L904</f>
        <v>0</v>
      </c>
      <c r="E900" s="26">
        <f>'2 - PREENCHA AQUI'!M904</f>
        <v>0</v>
      </c>
    </row>
    <row r="901" spans="1:5" x14ac:dyDescent="0.25">
      <c r="A901" s="26">
        <f>IF('2 - PREENCHA AQUI'!E905=FALSE(),0,'2 - PREENCHA AQUI'!E905)</f>
        <v>0</v>
      </c>
      <c r="B901" s="31">
        <f>'2 - PREENCHA AQUI'!J905</f>
        <v>0</v>
      </c>
      <c r="C901" s="31">
        <f>'2 - PREENCHA AQUI'!K905</f>
        <v>0</v>
      </c>
      <c r="D901" s="26">
        <f>'2 - PREENCHA AQUI'!L905</f>
        <v>0</v>
      </c>
      <c r="E901" s="26">
        <f>'2 - PREENCHA AQUI'!M905</f>
        <v>0</v>
      </c>
    </row>
    <row r="902" spans="1:5" x14ac:dyDescent="0.25">
      <c r="A902" s="26">
        <f>IF('2 - PREENCHA AQUI'!E906=FALSE(),0,'2 - PREENCHA AQUI'!E906)</f>
        <v>0</v>
      </c>
      <c r="B902" s="31">
        <f>'2 - PREENCHA AQUI'!J906</f>
        <v>0</v>
      </c>
      <c r="C902" s="31">
        <f>'2 - PREENCHA AQUI'!K906</f>
        <v>0</v>
      </c>
      <c r="D902" s="26">
        <f>'2 - PREENCHA AQUI'!L906</f>
        <v>0</v>
      </c>
      <c r="E902" s="26">
        <f>'2 - PREENCHA AQUI'!M906</f>
        <v>0</v>
      </c>
    </row>
    <row r="903" spans="1:5" x14ac:dyDescent="0.25">
      <c r="A903" s="26">
        <f>IF('2 - PREENCHA AQUI'!E907=FALSE(),0,'2 - PREENCHA AQUI'!E907)</f>
        <v>0</v>
      </c>
      <c r="B903" s="31">
        <f>'2 - PREENCHA AQUI'!J907</f>
        <v>0</v>
      </c>
      <c r="C903" s="31">
        <f>'2 - PREENCHA AQUI'!K907</f>
        <v>0</v>
      </c>
      <c r="D903" s="26">
        <f>'2 - PREENCHA AQUI'!L907</f>
        <v>0</v>
      </c>
      <c r="E903" s="26">
        <f>'2 - PREENCHA AQUI'!M907</f>
        <v>0</v>
      </c>
    </row>
    <row r="904" spans="1:5" x14ac:dyDescent="0.25">
      <c r="A904" s="26">
        <f>IF('2 - PREENCHA AQUI'!E908=FALSE(),0,'2 - PREENCHA AQUI'!E908)</f>
        <v>0</v>
      </c>
      <c r="B904" s="31">
        <f>'2 - PREENCHA AQUI'!J908</f>
        <v>0</v>
      </c>
      <c r="C904" s="31">
        <f>'2 - PREENCHA AQUI'!K908</f>
        <v>0</v>
      </c>
      <c r="D904" s="26">
        <f>'2 - PREENCHA AQUI'!L908</f>
        <v>0</v>
      </c>
      <c r="E904" s="26">
        <f>'2 - PREENCHA AQUI'!M908</f>
        <v>0</v>
      </c>
    </row>
    <row r="905" spans="1:5" x14ac:dyDescent="0.25">
      <c r="A905" s="26">
        <f>IF('2 - PREENCHA AQUI'!E909=FALSE(),0,'2 - PREENCHA AQUI'!E909)</f>
        <v>0</v>
      </c>
      <c r="B905" s="31">
        <f>'2 - PREENCHA AQUI'!J909</f>
        <v>0</v>
      </c>
      <c r="C905" s="31">
        <f>'2 - PREENCHA AQUI'!K909</f>
        <v>0</v>
      </c>
      <c r="D905" s="26">
        <f>'2 - PREENCHA AQUI'!L909</f>
        <v>0</v>
      </c>
      <c r="E905" s="26">
        <f>'2 - PREENCHA AQUI'!M909</f>
        <v>0</v>
      </c>
    </row>
    <row r="906" spans="1:5" x14ac:dyDescent="0.25">
      <c r="A906" s="26">
        <f>IF('2 - PREENCHA AQUI'!E910=FALSE(),0,'2 - PREENCHA AQUI'!E910)</f>
        <v>0</v>
      </c>
      <c r="B906" s="31">
        <f>'2 - PREENCHA AQUI'!J910</f>
        <v>0</v>
      </c>
      <c r="C906" s="31">
        <f>'2 - PREENCHA AQUI'!K910</f>
        <v>0</v>
      </c>
      <c r="D906" s="26">
        <f>'2 - PREENCHA AQUI'!L910</f>
        <v>0</v>
      </c>
      <c r="E906" s="26">
        <f>'2 - PREENCHA AQUI'!M910</f>
        <v>0</v>
      </c>
    </row>
    <row r="907" spans="1:5" x14ac:dyDescent="0.25">
      <c r="A907" s="26">
        <f>IF('2 - PREENCHA AQUI'!E911=FALSE(),0,'2 - PREENCHA AQUI'!E911)</f>
        <v>0</v>
      </c>
      <c r="B907" s="31">
        <f>'2 - PREENCHA AQUI'!J911</f>
        <v>0</v>
      </c>
      <c r="C907" s="31">
        <f>'2 - PREENCHA AQUI'!K911</f>
        <v>0</v>
      </c>
      <c r="D907" s="26">
        <f>'2 - PREENCHA AQUI'!L911</f>
        <v>0</v>
      </c>
      <c r="E907" s="26">
        <f>'2 - PREENCHA AQUI'!M911</f>
        <v>0</v>
      </c>
    </row>
    <row r="908" spans="1:5" x14ac:dyDescent="0.25">
      <c r="A908" s="26">
        <f>IF('2 - PREENCHA AQUI'!E912=FALSE(),0,'2 - PREENCHA AQUI'!E912)</f>
        <v>0</v>
      </c>
      <c r="B908" s="31">
        <f>'2 - PREENCHA AQUI'!J912</f>
        <v>0</v>
      </c>
      <c r="C908" s="31">
        <f>'2 - PREENCHA AQUI'!K912</f>
        <v>0</v>
      </c>
      <c r="D908" s="26">
        <f>'2 - PREENCHA AQUI'!L912</f>
        <v>0</v>
      </c>
      <c r="E908" s="26">
        <f>'2 - PREENCHA AQUI'!M912</f>
        <v>0</v>
      </c>
    </row>
    <row r="909" spans="1:5" x14ac:dyDescent="0.25">
      <c r="A909" s="26">
        <f>IF('2 - PREENCHA AQUI'!E913=FALSE(),0,'2 - PREENCHA AQUI'!E913)</f>
        <v>0</v>
      </c>
      <c r="B909" s="31">
        <f>'2 - PREENCHA AQUI'!J913</f>
        <v>0</v>
      </c>
      <c r="C909" s="31">
        <f>'2 - PREENCHA AQUI'!K913</f>
        <v>0</v>
      </c>
      <c r="D909" s="26">
        <f>'2 - PREENCHA AQUI'!L913</f>
        <v>0</v>
      </c>
      <c r="E909" s="26">
        <f>'2 - PREENCHA AQUI'!M913</f>
        <v>0</v>
      </c>
    </row>
    <row r="910" spans="1:5" x14ac:dyDescent="0.25">
      <c r="A910" s="26">
        <f>IF('2 - PREENCHA AQUI'!E914=FALSE(),0,'2 - PREENCHA AQUI'!E914)</f>
        <v>0</v>
      </c>
      <c r="B910" s="31">
        <f>'2 - PREENCHA AQUI'!J914</f>
        <v>0</v>
      </c>
      <c r="C910" s="31">
        <f>'2 - PREENCHA AQUI'!K914</f>
        <v>0</v>
      </c>
      <c r="D910" s="26">
        <f>'2 - PREENCHA AQUI'!L914</f>
        <v>0</v>
      </c>
      <c r="E910" s="26">
        <f>'2 - PREENCHA AQUI'!M914</f>
        <v>0</v>
      </c>
    </row>
    <row r="911" spans="1:5" x14ac:dyDescent="0.25">
      <c r="A911" s="26">
        <f>IF('2 - PREENCHA AQUI'!E915=FALSE(),0,'2 - PREENCHA AQUI'!E915)</f>
        <v>0</v>
      </c>
      <c r="B911" s="31">
        <f>'2 - PREENCHA AQUI'!J915</f>
        <v>0</v>
      </c>
      <c r="C911" s="31">
        <f>'2 - PREENCHA AQUI'!K915</f>
        <v>0</v>
      </c>
      <c r="D911" s="26">
        <f>'2 - PREENCHA AQUI'!L915</f>
        <v>0</v>
      </c>
      <c r="E911" s="26">
        <f>'2 - PREENCHA AQUI'!M915</f>
        <v>0</v>
      </c>
    </row>
    <row r="912" spans="1:5" x14ac:dyDescent="0.25">
      <c r="A912" s="26">
        <f>IF('2 - PREENCHA AQUI'!E916=FALSE(),0,'2 - PREENCHA AQUI'!E916)</f>
        <v>0</v>
      </c>
      <c r="B912" s="31">
        <f>'2 - PREENCHA AQUI'!J916</f>
        <v>0</v>
      </c>
      <c r="C912" s="31">
        <f>'2 - PREENCHA AQUI'!K916</f>
        <v>0</v>
      </c>
      <c r="D912" s="26">
        <f>'2 - PREENCHA AQUI'!L916</f>
        <v>0</v>
      </c>
      <c r="E912" s="26">
        <f>'2 - PREENCHA AQUI'!M916</f>
        <v>0</v>
      </c>
    </row>
    <row r="913" spans="1:5" x14ac:dyDescent="0.25">
      <c r="A913" s="26">
        <f>IF('2 - PREENCHA AQUI'!E917=FALSE(),0,'2 - PREENCHA AQUI'!E917)</f>
        <v>0</v>
      </c>
      <c r="B913" s="31">
        <f>'2 - PREENCHA AQUI'!J917</f>
        <v>0</v>
      </c>
      <c r="C913" s="31">
        <f>'2 - PREENCHA AQUI'!K917</f>
        <v>0</v>
      </c>
      <c r="D913" s="26">
        <f>'2 - PREENCHA AQUI'!L917</f>
        <v>0</v>
      </c>
      <c r="E913" s="26">
        <f>'2 - PREENCHA AQUI'!M917</f>
        <v>0</v>
      </c>
    </row>
    <row r="914" spans="1:5" x14ac:dyDescent="0.25">
      <c r="A914" s="26">
        <f>IF('2 - PREENCHA AQUI'!E918=FALSE(),0,'2 - PREENCHA AQUI'!E918)</f>
        <v>0</v>
      </c>
      <c r="B914" s="31">
        <f>'2 - PREENCHA AQUI'!J918</f>
        <v>0</v>
      </c>
      <c r="C914" s="31">
        <f>'2 - PREENCHA AQUI'!K918</f>
        <v>0</v>
      </c>
      <c r="D914" s="26">
        <f>'2 - PREENCHA AQUI'!L918</f>
        <v>0</v>
      </c>
      <c r="E914" s="26">
        <f>'2 - PREENCHA AQUI'!M918</f>
        <v>0</v>
      </c>
    </row>
    <row r="915" spans="1:5" x14ac:dyDescent="0.25">
      <c r="A915" s="26">
        <f>IF('2 - PREENCHA AQUI'!E919=FALSE(),0,'2 - PREENCHA AQUI'!E919)</f>
        <v>0</v>
      </c>
      <c r="B915" s="31">
        <f>'2 - PREENCHA AQUI'!J919</f>
        <v>0</v>
      </c>
      <c r="C915" s="31">
        <f>'2 - PREENCHA AQUI'!K919</f>
        <v>0</v>
      </c>
      <c r="D915" s="26">
        <f>'2 - PREENCHA AQUI'!L919</f>
        <v>0</v>
      </c>
      <c r="E915" s="26">
        <f>'2 - PREENCHA AQUI'!M919</f>
        <v>0</v>
      </c>
    </row>
    <row r="916" spans="1:5" x14ac:dyDescent="0.25">
      <c r="A916" s="26">
        <f>IF('2 - PREENCHA AQUI'!E920=FALSE(),0,'2 - PREENCHA AQUI'!E920)</f>
        <v>0</v>
      </c>
      <c r="B916" s="31">
        <f>'2 - PREENCHA AQUI'!J920</f>
        <v>0</v>
      </c>
      <c r="C916" s="31">
        <f>'2 - PREENCHA AQUI'!K920</f>
        <v>0</v>
      </c>
      <c r="D916" s="26">
        <f>'2 - PREENCHA AQUI'!L920</f>
        <v>0</v>
      </c>
      <c r="E916" s="26">
        <f>'2 - PREENCHA AQUI'!M920</f>
        <v>0</v>
      </c>
    </row>
    <row r="917" spans="1:5" x14ac:dyDescent="0.25">
      <c r="A917" s="26">
        <f>IF('2 - PREENCHA AQUI'!E921=FALSE(),0,'2 - PREENCHA AQUI'!E921)</f>
        <v>0</v>
      </c>
      <c r="B917" s="31">
        <f>'2 - PREENCHA AQUI'!J921</f>
        <v>0</v>
      </c>
      <c r="C917" s="31">
        <f>'2 - PREENCHA AQUI'!K921</f>
        <v>0</v>
      </c>
      <c r="D917" s="26">
        <f>'2 - PREENCHA AQUI'!L921</f>
        <v>0</v>
      </c>
      <c r="E917" s="26">
        <f>'2 - PREENCHA AQUI'!M921</f>
        <v>0</v>
      </c>
    </row>
    <row r="918" spans="1:5" x14ac:dyDescent="0.25">
      <c r="A918" s="26">
        <f>IF('2 - PREENCHA AQUI'!E922=FALSE(),0,'2 - PREENCHA AQUI'!E922)</f>
        <v>0</v>
      </c>
      <c r="B918" s="31">
        <f>'2 - PREENCHA AQUI'!J922</f>
        <v>0</v>
      </c>
      <c r="C918" s="31">
        <f>'2 - PREENCHA AQUI'!K922</f>
        <v>0</v>
      </c>
      <c r="D918" s="26">
        <f>'2 - PREENCHA AQUI'!L922</f>
        <v>0</v>
      </c>
      <c r="E918" s="26">
        <f>'2 - PREENCHA AQUI'!M922</f>
        <v>0</v>
      </c>
    </row>
    <row r="919" spans="1:5" x14ac:dyDescent="0.25">
      <c r="A919" s="26">
        <f>IF('2 - PREENCHA AQUI'!E923=FALSE(),0,'2 - PREENCHA AQUI'!E923)</f>
        <v>0</v>
      </c>
      <c r="B919" s="31">
        <f>'2 - PREENCHA AQUI'!J923</f>
        <v>0</v>
      </c>
      <c r="C919" s="31">
        <f>'2 - PREENCHA AQUI'!K923</f>
        <v>0</v>
      </c>
      <c r="D919" s="26">
        <f>'2 - PREENCHA AQUI'!L923</f>
        <v>0</v>
      </c>
      <c r="E919" s="26">
        <f>'2 - PREENCHA AQUI'!M923</f>
        <v>0</v>
      </c>
    </row>
    <row r="920" spans="1:5" x14ac:dyDescent="0.25">
      <c r="A920" s="26">
        <f>IF('2 - PREENCHA AQUI'!E924=FALSE(),0,'2 - PREENCHA AQUI'!E924)</f>
        <v>0</v>
      </c>
      <c r="B920" s="31">
        <f>'2 - PREENCHA AQUI'!J924</f>
        <v>0</v>
      </c>
      <c r="C920" s="31">
        <f>'2 - PREENCHA AQUI'!K924</f>
        <v>0</v>
      </c>
      <c r="D920" s="26">
        <f>'2 - PREENCHA AQUI'!L924</f>
        <v>0</v>
      </c>
      <c r="E920" s="26">
        <f>'2 - PREENCHA AQUI'!M924</f>
        <v>0</v>
      </c>
    </row>
    <row r="921" spans="1:5" x14ac:dyDescent="0.25">
      <c r="A921" s="26">
        <f>IF('2 - PREENCHA AQUI'!E925=FALSE(),0,'2 - PREENCHA AQUI'!E925)</f>
        <v>0</v>
      </c>
      <c r="B921" s="31">
        <f>'2 - PREENCHA AQUI'!J925</f>
        <v>0</v>
      </c>
      <c r="C921" s="31">
        <f>'2 - PREENCHA AQUI'!K925</f>
        <v>0</v>
      </c>
      <c r="D921" s="26">
        <f>'2 - PREENCHA AQUI'!L925</f>
        <v>0</v>
      </c>
      <c r="E921" s="26">
        <f>'2 - PREENCHA AQUI'!M925</f>
        <v>0</v>
      </c>
    </row>
    <row r="922" spans="1:5" x14ac:dyDescent="0.25">
      <c r="A922" s="26">
        <f>IF('2 - PREENCHA AQUI'!E926=FALSE(),0,'2 - PREENCHA AQUI'!E926)</f>
        <v>0</v>
      </c>
      <c r="B922" s="31">
        <f>'2 - PREENCHA AQUI'!J926</f>
        <v>0</v>
      </c>
      <c r="C922" s="31">
        <f>'2 - PREENCHA AQUI'!K926</f>
        <v>0</v>
      </c>
      <c r="D922" s="26">
        <f>'2 - PREENCHA AQUI'!L926</f>
        <v>0</v>
      </c>
      <c r="E922" s="26">
        <f>'2 - PREENCHA AQUI'!M926</f>
        <v>0</v>
      </c>
    </row>
    <row r="923" spans="1:5" x14ac:dyDescent="0.25">
      <c r="A923" s="26">
        <f>IF('2 - PREENCHA AQUI'!E927=FALSE(),0,'2 - PREENCHA AQUI'!E927)</f>
        <v>0</v>
      </c>
      <c r="B923" s="31">
        <f>'2 - PREENCHA AQUI'!J927</f>
        <v>0</v>
      </c>
      <c r="C923" s="31">
        <f>'2 - PREENCHA AQUI'!K927</f>
        <v>0</v>
      </c>
      <c r="D923" s="26">
        <f>'2 - PREENCHA AQUI'!L927</f>
        <v>0</v>
      </c>
      <c r="E923" s="26">
        <f>'2 - PREENCHA AQUI'!M927</f>
        <v>0</v>
      </c>
    </row>
    <row r="924" spans="1:5" x14ac:dyDescent="0.25">
      <c r="A924" s="26">
        <f>IF('2 - PREENCHA AQUI'!E928=FALSE(),0,'2 - PREENCHA AQUI'!E928)</f>
        <v>0</v>
      </c>
      <c r="B924" s="31">
        <f>'2 - PREENCHA AQUI'!J928</f>
        <v>0</v>
      </c>
      <c r="C924" s="31">
        <f>'2 - PREENCHA AQUI'!K928</f>
        <v>0</v>
      </c>
      <c r="D924" s="26">
        <f>'2 - PREENCHA AQUI'!L928</f>
        <v>0</v>
      </c>
      <c r="E924" s="26">
        <f>'2 - PREENCHA AQUI'!M928</f>
        <v>0</v>
      </c>
    </row>
    <row r="925" spans="1:5" x14ac:dyDescent="0.25">
      <c r="A925" s="26">
        <f>IF('2 - PREENCHA AQUI'!E929=FALSE(),0,'2 - PREENCHA AQUI'!E929)</f>
        <v>0</v>
      </c>
      <c r="B925" s="31">
        <f>'2 - PREENCHA AQUI'!J929</f>
        <v>0</v>
      </c>
      <c r="C925" s="31">
        <f>'2 - PREENCHA AQUI'!K929</f>
        <v>0</v>
      </c>
      <c r="D925" s="26">
        <f>'2 - PREENCHA AQUI'!L929</f>
        <v>0</v>
      </c>
      <c r="E925" s="26">
        <f>'2 - PREENCHA AQUI'!M929</f>
        <v>0</v>
      </c>
    </row>
    <row r="926" spans="1:5" x14ac:dyDescent="0.25">
      <c r="A926" s="26">
        <f>IF('2 - PREENCHA AQUI'!E930=FALSE(),0,'2 - PREENCHA AQUI'!E930)</f>
        <v>0</v>
      </c>
      <c r="B926" s="31">
        <f>'2 - PREENCHA AQUI'!J930</f>
        <v>0</v>
      </c>
      <c r="C926" s="31">
        <f>'2 - PREENCHA AQUI'!K930</f>
        <v>0</v>
      </c>
      <c r="D926" s="26">
        <f>'2 - PREENCHA AQUI'!L930</f>
        <v>0</v>
      </c>
      <c r="E926" s="26">
        <f>'2 - PREENCHA AQUI'!M930</f>
        <v>0</v>
      </c>
    </row>
    <row r="927" spans="1:5" x14ac:dyDescent="0.25">
      <c r="A927" s="26">
        <f>IF('2 - PREENCHA AQUI'!E931=FALSE(),0,'2 - PREENCHA AQUI'!E931)</f>
        <v>0</v>
      </c>
      <c r="B927" s="31">
        <f>'2 - PREENCHA AQUI'!J931</f>
        <v>0</v>
      </c>
      <c r="C927" s="31">
        <f>'2 - PREENCHA AQUI'!K931</f>
        <v>0</v>
      </c>
      <c r="D927" s="26">
        <f>'2 - PREENCHA AQUI'!L931</f>
        <v>0</v>
      </c>
      <c r="E927" s="26">
        <f>'2 - PREENCHA AQUI'!M931</f>
        <v>0</v>
      </c>
    </row>
    <row r="928" spans="1:5" x14ac:dyDescent="0.25">
      <c r="A928" s="26">
        <f>IF('2 - PREENCHA AQUI'!E932=FALSE(),0,'2 - PREENCHA AQUI'!E932)</f>
        <v>0</v>
      </c>
      <c r="B928" s="31">
        <f>'2 - PREENCHA AQUI'!J932</f>
        <v>0</v>
      </c>
      <c r="C928" s="31">
        <f>'2 - PREENCHA AQUI'!K932</f>
        <v>0</v>
      </c>
      <c r="D928" s="26">
        <f>'2 - PREENCHA AQUI'!L932</f>
        <v>0</v>
      </c>
      <c r="E928" s="26">
        <f>'2 - PREENCHA AQUI'!M932</f>
        <v>0</v>
      </c>
    </row>
    <row r="929" spans="1:5" x14ac:dyDescent="0.25">
      <c r="A929" s="26">
        <f>IF('2 - PREENCHA AQUI'!E933=FALSE(),0,'2 - PREENCHA AQUI'!E933)</f>
        <v>0</v>
      </c>
      <c r="B929" s="31">
        <f>'2 - PREENCHA AQUI'!J933</f>
        <v>0</v>
      </c>
      <c r="C929" s="31">
        <f>'2 - PREENCHA AQUI'!K933</f>
        <v>0</v>
      </c>
      <c r="D929" s="26">
        <f>'2 - PREENCHA AQUI'!L933</f>
        <v>0</v>
      </c>
      <c r="E929" s="26">
        <f>'2 - PREENCHA AQUI'!M933</f>
        <v>0</v>
      </c>
    </row>
    <row r="930" spans="1:5" x14ac:dyDescent="0.25">
      <c r="A930" s="26">
        <f>IF('2 - PREENCHA AQUI'!E934=FALSE(),0,'2 - PREENCHA AQUI'!E934)</f>
        <v>0</v>
      </c>
      <c r="B930" s="31">
        <f>'2 - PREENCHA AQUI'!J934</f>
        <v>0</v>
      </c>
      <c r="C930" s="31">
        <f>'2 - PREENCHA AQUI'!K934</f>
        <v>0</v>
      </c>
      <c r="D930" s="26">
        <f>'2 - PREENCHA AQUI'!L934</f>
        <v>0</v>
      </c>
      <c r="E930" s="26">
        <f>'2 - PREENCHA AQUI'!M934</f>
        <v>0</v>
      </c>
    </row>
    <row r="931" spans="1:5" x14ac:dyDescent="0.25">
      <c r="A931" s="26">
        <f>IF('2 - PREENCHA AQUI'!E935=FALSE(),0,'2 - PREENCHA AQUI'!E935)</f>
        <v>0</v>
      </c>
      <c r="B931" s="31">
        <f>'2 - PREENCHA AQUI'!J935</f>
        <v>0</v>
      </c>
      <c r="C931" s="31">
        <f>'2 - PREENCHA AQUI'!K935</f>
        <v>0</v>
      </c>
      <c r="D931" s="26">
        <f>'2 - PREENCHA AQUI'!L935</f>
        <v>0</v>
      </c>
      <c r="E931" s="26">
        <f>'2 - PREENCHA AQUI'!M935</f>
        <v>0</v>
      </c>
    </row>
    <row r="932" spans="1:5" x14ac:dyDescent="0.25">
      <c r="A932" s="26">
        <f>IF('2 - PREENCHA AQUI'!E936=FALSE(),0,'2 - PREENCHA AQUI'!E936)</f>
        <v>0</v>
      </c>
      <c r="B932" s="31">
        <f>'2 - PREENCHA AQUI'!J936</f>
        <v>0</v>
      </c>
      <c r="C932" s="31">
        <f>'2 - PREENCHA AQUI'!K936</f>
        <v>0</v>
      </c>
      <c r="D932" s="26">
        <f>'2 - PREENCHA AQUI'!L936</f>
        <v>0</v>
      </c>
      <c r="E932" s="26">
        <f>'2 - PREENCHA AQUI'!M936</f>
        <v>0</v>
      </c>
    </row>
    <row r="933" spans="1:5" x14ac:dyDescent="0.25">
      <c r="A933" s="26">
        <f>IF('2 - PREENCHA AQUI'!E937=FALSE(),0,'2 - PREENCHA AQUI'!E937)</f>
        <v>0</v>
      </c>
      <c r="B933" s="31">
        <f>'2 - PREENCHA AQUI'!J937</f>
        <v>0</v>
      </c>
      <c r="C933" s="31">
        <f>'2 - PREENCHA AQUI'!K937</f>
        <v>0</v>
      </c>
      <c r="D933" s="26">
        <f>'2 - PREENCHA AQUI'!L937</f>
        <v>0</v>
      </c>
      <c r="E933" s="26">
        <f>'2 - PREENCHA AQUI'!M937</f>
        <v>0</v>
      </c>
    </row>
    <row r="934" spans="1:5" x14ac:dyDescent="0.25">
      <c r="A934" s="26">
        <f>IF('2 - PREENCHA AQUI'!E938=FALSE(),0,'2 - PREENCHA AQUI'!E938)</f>
        <v>0</v>
      </c>
      <c r="B934" s="31">
        <f>'2 - PREENCHA AQUI'!J938</f>
        <v>0</v>
      </c>
      <c r="C934" s="31">
        <f>'2 - PREENCHA AQUI'!K938</f>
        <v>0</v>
      </c>
      <c r="D934" s="26">
        <f>'2 - PREENCHA AQUI'!L938</f>
        <v>0</v>
      </c>
      <c r="E934" s="26">
        <f>'2 - PREENCHA AQUI'!M938</f>
        <v>0</v>
      </c>
    </row>
    <row r="935" spans="1:5" x14ac:dyDescent="0.25">
      <c r="A935" s="26">
        <f>IF('2 - PREENCHA AQUI'!E939=FALSE(),0,'2 - PREENCHA AQUI'!E939)</f>
        <v>0</v>
      </c>
      <c r="B935" s="31">
        <f>'2 - PREENCHA AQUI'!J939</f>
        <v>0</v>
      </c>
      <c r="C935" s="31">
        <f>'2 - PREENCHA AQUI'!K939</f>
        <v>0</v>
      </c>
      <c r="D935" s="26">
        <f>'2 - PREENCHA AQUI'!L939</f>
        <v>0</v>
      </c>
      <c r="E935" s="26">
        <f>'2 - PREENCHA AQUI'!M939</f>
        <v>0</v>
      </c>
    </row>
    <row r="936" spans="1:5" x14ac:dyDescent="0.25">
      <c r="A936" s="26">
        <f>IF('2 - PREENCHA AQUI'!E940=FALSE(),0,'2 - PREENCHA AQUI'!E940)</f>
        <v>0</v>
      </c>
      <c r="B936" s="31">
        <f>'2 - PREENCHA AQUI'!J940</f>
        <v>0</v>
      </c>
      <c r="C936" s="31">
        <f>'2 - PREENCHA AQUI'!K940</f>
        <v>0</v>
      </c>
      <c r="D936" s="26">
        <f>'2 - PREENCHA AQUI'!L940</f>
        <v>0</v>
      </c>
      <c r="E936" s="26">
        <f>'2 - PREENCHA AQUI'!M940</f>
        <v>0</v>
      </c>
    </row>
    <row r="937" spans="1:5" x14ac:dyDescent="0.25">
      <c r="A937" s="26">
        <f>IF('2 - PREENCHA AQUI'!E941=FALSE(),0,'2 - PREENCHA AQUI'!E941)</f>
        <v>0</v>
      </c>
      <c r="B937" s="31">
        <f>'2 - PREENCHA AQUI'!J941</f>
        <v>0</v>
      </c>
      <c r="C937" s="31">
        <f>'2 - PREENCHA AQUI'!K941</f>
        <v>0</v>
      </c>
      <c r="D937" s="26">
        <f>'2 - PREENCHA AQUI'!L941</f>
        <v>0</v>
      </c>
      <c r="E937" s="26">
        <f>'2 - PREENCHA AQUI'!M941</f>
        <v>0</v>
      </c>
    </row>
    <row r="938" spans="1:5" x14ac:dyDescent="0.25">
      <c r="A938" s="26">
        <f>IF('2 - PREENCHA AQUI'!E942=FALSE(),0,'2 - PREENCHA AQUI'!E942)</f>
        <v>0</v>
      </c>
      <c r="B938" s="31">
        <f>'2 - PREENCHA AQUI'!J942</f>
        <v>0</v>
      </c>
      <c r="C938" s="31">
        <f>'2 - PREENCHA AQUI'!K942</f>
        <v>0</v>
      </c>
      <c r="D938" s="26">
        <f>'2 - PREENCHA AQUI'!L942</f>
        <v>0</v>
      </c>
      <c r="E938" s="26">
        <f>'2 - PREENCHA AQUI'!M942</f>
        <v>0</v>
      </c>
    </row>
    <row r="939" spans="1:5" x14ac:dyDescent="0.25">
      <c r="A939" s="26">
        <f>IF('2 - PREENCHA AQUI'!E943=FALSE(),0,'2 - PREENCHA AQUI'!E943)</f>
        <v>0</v>
      </c>
      <c r="B939" s="31">
        <f>'2 - PREENCHA AQUI'!J943</f>
        <v>0</v>
      </c>
      <c r="C939" s="31">
        <f>'2 - PREENCHA AQUI'!K943</f>
        <v>0</v>
      </c>
      <c r="D939" s="26">
        <f>'2 - PREENCHA AQUI'!L943</f>
        <v>0</v>
      </c>
      <c r="E939" s="26">
        <f>'2 - PREENCHA AQUI'!M943</f>
        <v>0</v>
      </c>
    </row>
    <row r="940" spans="1:5" x14ac:dyDescent="0.25">
      <c r="A940" s="26">
        <f>IF('2 - PREENCHA AQUI'!E944=FALSE(),0,'2 - PREENCHA AQUI'!E944)</f>
        <v>0</v>
      </c>
      <c r="B940" s="31">
        <f>'2 - PREENCHA AQUI'!J944</f>
        <v>0</v>
      </c>
      <c r="C940" s="31">
        <f>'2 - PREENCHA AQUI'!K944</f>
        <v>0</v>
      </c>
      <c r="D940" s="26">
        <f>'2 - PREENCHA AQUI'!L944</f>
        <v>0</v>
      </c>
      <c r="E940" s="26">
        <f>'2 - PREENCHA AQUI'!M944</f>
        <v>0</v>
      </c>
    </row>
    <row r="941" spans="1:5" x14ac:dyDescent="0.25">
      <c r="A941" s="26">
        <f>IF('2 - PREENCHA AQUI'!E945=FALSE(),0,'2 - PREENCHA AQUI'!E945)</f>
        <v>0</v>
      </c>
      <c r="B941" s="31">
        <f>'2 - PREENCHA AQUI'!J945</f>
        <v>0</v>
      </c>
      <c r="C941" s="31">
        <f>'2 - PREENCHA AQUI'!K945</f>
        <v>0</v>
      </c>
      <c r="D941" s="26">
        <f>'2 - PREENCHA AQUI'!L945</f>
        <v>0</v>
      </c>
      <c r="E941" s="26">
        <f>'2 - PREENCHA AQUI'!M945</f>
        <v>0</v>
      </c>
    </row>
    <row r="942" spans="1:5" x14ac:dyDescent="0.25">
      <c r="A942" s="26">
        <f>IF('2 - PREENCHA AQUI'!E946=FALSE(),0,'2 - PREENCHA AQUI'!E946)</f>
        <v>0</v>
      </c>
      <c r="B942" s="31">
        <f>'2 - PREENCHA AQUI'!J946</f>
        <v>0</v>
      </c>
      <c r="C942" s="31">
        <f>'2 - PREENCHA AQUI'!K946</f>
        <v>0</v>
      </c>
      <c r="D942" s="26">
        <f>'2 - PREENCHA AQUI'!L946</f>
        <v>0</v>
      </c>
      <c r="E942" s="26">
        <f>'2 - PREENCHA AQUI'!M946</f>
        <v>0</v>
      </c>
    </row>
    <row r="943" spans="1:5" x14ac:dyDescent="0.25">
      <c r="A943" s="26">
        <f>IF('2 - PREENCHA AQUI'!E947=FALSE(),0,'2 - PREENCHA AQUI'!E947)</f>
        <v>0</v>
      </c>
      <c r="B943" s="31">
        <f>'2 - PREENCHA AQUI'!J947</f>
        <v>0</v>
      </c>
      <c r="C943" s="31">
        <f>'2 - PREENCHA AQUI'!K947</f>
        <v>0</v>
      </c>
      <c r="D943" s="26">
        <f>'2 - PREENCHA AQUI'!L947</f>
        <v>0</v>
      </c>
      <c r="E943" s="26">
        <f>'2 - PREENCHA AQUI'!M947</f>
        <v>0</v>
      </c>
    </row>
    <row r="944" spans="1:5" x14ac:dyDescent="0.25">
      <c r="A944" s="26">
        <f>IF('2 - PREENCHA AQUI'!E948=FALSE(),0,'2 - PREENCHA AQUI'!E948)</f>
        <v>0</v>
      </c>
      <c r="B944" s="31">
        <f>'2 - PREENCHA AQUI'!J948</f>
        <v>0</v>
      </c>
      <c r="C944" s="31">
        <f>'2 - PREENCHA AQUI'!K948</f>
        <v>0</v>
      </c>
      <c r="D944" s="26">
        <f>'2 - PREENCHA AQUI'!L948</f>
        <v>0</v>
      </c>
      <c r="E944" s="26">
        <f>'2 - PREENCHA AQUI'!M948</f>
        <v>0</v>
      </c>
    </row>
    <row r="945" spans="1:5" x14ac:dyDescent="0.25">
      <c r="A945" s="26">
        <f>IF('2 - PREENCHA AQUI'!E949=FALSE(),0,'2 - PREENCHA AQUI'!E949)</f>
        <v>0</v>
      </c>
      <c r="B945" s="31">
        <f>'2 - PREENCHA AQUI'!J949</f>
        <v>0</v>
      </c>
      <c r="C945" s="31">
        <f>'2 - PREENCHA AQUI'!K949</f>
        <v>0</v>
      </c>
      <c r="D945" s="26">
        <f>'2 - PREENCHA AQUI'!L949</f>
        <v>0</v>
      </c>
      <c r="E945" s="26">
        <f>'2 - PREENCHA AQUI'!M949</f>
        <v>0</v>
      </c>
    </row>
    <row r="946" spans="1:5" x14ac:dyDescent="0.25">
      <c r="A946" s="26">
        <f>IF('2 - PREENCHA AQUI'!E950=FALSE(),0,'2 - PREENCHA AQUI'!E950)</f>
        <v>0</v>
      </c>
      <c r="B946" s="31">
        <f>'2 - PREENCHA AQUI'!J950</f>
        <v>0</v>
      </c>
      <c r="C946" s="31">
        <f>'2 - PREENCHA AQUI'!K950</f>
        <v>0</v>
      </c>
      <c r="D946" s="26">
        <f>'2 - PREENCHA AQUI'!L950</f>
        <v>0</v>
      </c>
      <c r="E946" s="26">
        <f>'2 - PREENCHA AQUI'!M950</f>
        <v>0</v>
      </c>
    </row>
    <row r="947" spans="1:5" x14ac:dyDescent="0.25">
      <c r="A947" s="26">
        <f>IF('2 - PREENCHA AQUI'!E951=FALSE(),0,'2 - PREENCHA AQUI'!E951)</f>
        <v>0</v>
      </c>
      <c r="B947" s="31">
        <f>'2 - PREENCHA AQUI'!J951</f>
        <v>0</v>
      </c>
      <c r="C947" s="31">
        <f>'2 - PREENCHA AQUI'!K951</f>
        <v>0</v>
      </c>
      <c r="D947" s="26">
        <f>'2 - PREENCHA AQUI'!L951</f>
        <v>0</v>
      </c>
      <c r="E947" s="26">
        <f>'2 - PREENCHA AQUI'!M951</f>
        <v>0</v>
      </c>
    </row>
    <row r="948" spans="1:5" x14ac:dyDescent="0.25">
      <c r="A948" s="26">
        <f>IF('2 - PREENCHA AQUI'!E952=FALSE(),0,'2 - PREENCHA AQUI'!E952)</f>
        <v>0</v>
      </c>
      <c r="B948" s="31">
        <f>'2 - PREENCHA AQUI'!J952</f>
        <v>0</v>
      </c>
      <c r="C948" s="31">
        <f>'2 - PREENCHA AQUI'!K952</f>
        <v>0</v>
      </c>
      <c r="D948" s="26">
        <f>'2 - PREENCHA AQUI'!L952</f>
        <v>0</v>
      </c>
      <c r="E948" s="26">
        <f>'2 - PREENCHA AQUI'!M952</f>
        <v>0</v>
      </c>
    </row>
    <row r="949" spans="1:5" x14ac:dyDescent="0.25">
      <c r="A949" s="26">
        <f>IF('2 - PREENCHA AQUI'!E953=FALSE(),0,'2 - PREENCHA AQUI'!E953)</f>
        <v>0</v>
      </c>
      <c r="B949" s="31">
        <f>'2 - PREENCHA AQUI'!J953</f>
        <v>0</v>
      </c>
      <c r="C949" s="31">
        <f>'2 - PREENCHA AQUI'!K953</f>
        <v>0</v>
      </c>
      <c r="D949" s="26">
        <f>'2 - PREENCHA AQUI'!L953</f>
        <v>0</v>
      </c>
      <c r="E949" s="26">
        <f>'2 - PREENCHA AQUI'!M953</f>
        <v>0</v>
      </c>
    </row>
    <row r="950" spans="1:5" x14ac:dyDescent="0.25">
      <c r="A950" s="26">
        <f>IF('2 - PREENCHA AQUI'!E954=FALSE(),0,'2 - PREENCHA AQUI'!E954)</f>
        <v>0</v>
      </c>
      <c r="B950" s="31">
        <f>'2 - PREENCHA AQUI'!J954</f>
        <v>0</v>
      </c>
      <c r="C950" s="31">
        <f>'2 - PREENCHA AQUI'!K954</f>
        <v>0</v>
      </c>
      <c r="D950" s="26">
        <f>'2 - PREENCHA AQUI'!L954</f>
        <v>0</v>
      </c>
      <c r="E950" s="26">
        <f>'2 - PREENCHA AQUI'!M954</f>
        <v>0</v>
      </c>
    </row>
    <row r="951" spans="1:5" x14ac:dyDescent="0.25">
      <c r="A951" s="26">
        <f>IF('2 - PREENCHA AQUI'!E955=FALSE(),0,'2 - PREENCHA AQUI'!E955)</f>
        <v>0</v>
      </c>
      <c r="B951" s="31">
        <f>'2 - PREENCHA AQUI'!J955</f>
        <v>0</v>
      </c>
      <c r="C951" s="31">
        <f>'2 - PREENCHA AQUI'!K955</f>
        <v>0</v>
      </c>
      <c r="D951" s="26">
        <f>'2 - PREENCHA AQUI'!L955</f>
        <v>0</v>
      </c>
      <c r="E951" s="26">
        <f>'2 - PREENCHA AQUI'!M955</f>
        <v>0</v>
      </c>
    </row>
    <row r="952" spans="1:5" x14ac:dyDescent="0.25">
      <c r="A952" s="26">
        <f>IF('2 - PREENCHA AQUI'!E956=FALSE(),0,'2 - PREENCHA AQUI'!E956)</f>
        <v>0</v>
      </c>
      <c r="B952" s="31">
        <f>'2 - PREENCHA AQUI'!J956</f>
        <v>0</v>
      </c>
      <c r="C952" s="31">
        <f>'2 - PREENCHA AQUI'!K956</f>
        <v>0</v>
      </c>
      <c r="D952" s="26">
        <f>'2 - PREENCHA AQUI'!L956</f>
        <v>0</v>
      </c>
      <c r="E952" s="26">
        <f>'2 - PREENCHA AQUI'!M956</f>
        <v>0</v>
      </c>
    </row>
    <row r="953" spans="1:5" x14ac:dyDescent="0.25">
      <c r="A953" s="26">
        <f>IF('2 - PREENCHA AQUI'!E957=FALSE(),0,'2 - PREENCHA AQUI'!E957)</f>
        <v>0</v>
      </c>
      <c r="B953" s="31">
        <f>'2 - PREENCHA AQUI'!J957</f>
        <v>0</v>
      </c>
      <c r="C953" s="31">
        <f>'2 - PREENCHA AQUI'!K957</f>
        <v>0</v>
      </c>
      <c r="D953" s="26">
        <f>'2 - PREENCHA AQUI'!L957</f>
        <v>0</v>
      </c>
      <c r="E953" s="26">
        <f>'2 - PREENCHA AQUI'!M957</f>
        <v>0</v>
      </c>
    </row>
    <row r="954" spans="1:5" x14ac:dyDescent="0.25">
      <c r="A954" s="26">
        <f>IF('2 - PREENCHA AQUI'!E958=FALSE(),0,'2 - PREENCHA AQUI'!E958)</f>
        <v>0</v>
      </c>
      <c r="B954" s="31">
        <f>'2 - PREENCHA AQUI'!J958</f>
        <v>0</v>
      </c>
      <c r="C954" s="31">
        <f>'2 - PREENCHA AQUI'!K958</f>
        <v>0</v>
      </c>
      <c r="D954" s="26">
        <f>'2 - PREENCHA AQUI'!L958</f>
        <v>0</v>
      </c>
      <c r="E954" s="26">
        <f>'2 - PREENCHA AQUI'!M958</f>
        <v>0</v>
      </c>
    </row>
    <row r="955" spans="1:5" x14ac:dyDescent="0.25">
      <c r="A955" s="26">
        <f>IF('2 - PREENCHA AQUI'!E959=FALSE(),0,'2 - PREENCHA AQUI'!E959)</f>
        <v>0</v>
      </c>
      <c r="B955" s="31">
        <f>'2 - PREENCHA AQUI'!J959</f>
        <v>0</v>
      </c>
      <c r="C955" s="31">
        <f>'2 - PREENCHA AQUI'!K959</f>
        <v>0</v>
      </c>
      <c r="D955" s="26">
        <f>'2 - PREENCHA AQUI'!L959</f>
        <v>0</v>
      </c>
      <c r="E955" s="26">
        <f>'2 - PREENCHA AQUI'!M959</f>
        <v>0</v>
      </c>
    </row>
    <row r="956" spans="1:5" x14ac:dyDescent="0.25">
      <c r="A956" s="26">
        <f>IF('2 - PREENCHA AQUI'!E960=FALSE(),0,'2 - PREENCHA AQUI'!E960)</f>
        <v>0</v>
      </c>
      <c r="B956" s="31">
        <f>'2 - PREENCHA AQUI'!J960</f>
        <v>0</v>
      </c>
      <c r="C956" s="31">
        <f>'2 - PREENCHA AQUI'!K960</f>
        <v>0</v>
      </c>
      <c r="D956" s="26">
        <f>'2 - PREENCHA AQUI'!L960</f>
        <v>0</v>
      </c>
      <c r="E956" s="26">
        <f>'2 - PREENCHA AQUI'!M960</f>
        <v>0</v>
      </c>
    </row>
    <row r="957" spans="1:5" x14ac:dyDescent="0.25">
      <c r="A957" s="26">
        <f>IF('2 - PREENCHA AQUI'!E961=FALSE(),0,'2 - PREENCHA AQUI'!E961)</f>
        <v>0</v>
      </c>
      <c r="B957" s="31">
        <f>'2 - PREENCHA AQUI'!J961</f>
        <v>0</v>
      </c>
      <c r="C957" s="31">
        <f>'2 - PREENCHA AQUI'!K961</f>
        <v>0</v>
      </c>
      <c r="D957" s="26">
        <f>'2 - PREENCHA AQUI'!L961</f>
        <v>0</v>
      </c>
      <c r="E957" s="26">
        <f>'2 - PREENCHA AQUI'!M961</f>
        <v>0</v>
      </c>
    </row>
    <row r="958" spans="1:5" x14ac:dyDescent="0.25">
      <c r="A958" s="26">
        <f>IF('2 - PREENCHA AQUI'!E962=FALSE(),0,'2 - PREENCHA AQUI'!E962)</f>
        <v>0</v>
      </c>
      <c r="B958" s="31">
        <f>'2 - PREENCHA AQUI'!J962</f>
        <v>0</v>
      </c>
      <c r="C958" s="31">
        <f>'2 - PREENCHA AQUI'!K962</f>
        <v>0</v>
      </c>
      <c r="D958" s="26">
        <f>'2 - PREENCHA AQUI'!L962</f>
        <v>0</v>
      </c>
      <c r="E958" s="26">
        <f>'2 - PREENCHA AQUI'!M962</f>
        <v>0</v>
      </c>
    </row>
    <row r="959" spans="1:5" x14ac:dyDescent="0.25">
      <c r="A959" s="26">
        <f>IF('2 - PREENCHA AQUI'!E963=FALSE(),0,'2 - PREENCHA AQUI'!E963)</f>
        <v>0</v>
      </c>
      <c r="B959" s="31">
        <f>'2 - PREENCHA AQUI'!J963</f>
        <v>0</v>
      </c>
      <c r="C959" s="31">
        <f>'2 - PREENCHA AQUI'!K963</f>
        <v>0</v>
      </c>
      <c r="D959" s="26">
        <f>'2 - PREENCHA AQUI'!L963</f>
        <v>0</v>
      </c>
      <c r="E959" s="26">
        <f>'2 - PREENCHA AQUI'!M963</f>
        <v>0</v>
      </c>
    </row>
    <row r="960" spans="1:5" x14ac:dyDescent="0.25">
      <c r="A960" s="26">
        <f>IF('2 - PREENCHA AQUI'!E964=FALSE(),0,'2 - PREENCHA AQUI'!E964)</f>
        <v>0</v>
      </c>
      <c r="B960" s="31">
        <f>'2 - PREENCHA AQUI'!J964</f>
        <v>0</v>
      </c>
      <c r="C960" s="31">
        <f>'2 - PREENCHA AQUI'!K964</f>
        <v>0</v>
      </c>
      <c r="D960" s="26">
        <f>'2 - PREENCHA AQUI'!L964</f>
        <v>0</v>
      </c>
      <c r="E960" s="26">
        <f>'2 - PREENCHA AQUI'!M964</f>
        <v>0</v>
      </c>
    </row>
    <row r="961" spans="1:5" x14ac:dyDescent="0.25">
      <c r="A961" s="26">
        <f>IF('2 - PREENCHA AQUI'!E965=FALSE(),0,'2 - PREENCHA AQUI'!E965)</f>
        <v>0</v>
      </c>
      <c r="B961" s="31">
        <f>'2 - PREENCHA AQUI'!J965</f>
        <v>0</v>
      </c>
      <c r="C961" s="31">
        <f>'2 - PREENCHA AQUI'!K965</f>
        <v>0</v>
      </c>
      <c r="D961" s="26">
        <f>'2 - PREENCHA AQUI'!L965</f>
        <v>0</v>
      </c>
      <c r="E961" s="26">
        <f>'2 - PREENCHA AQUI'!M965</f>
        <v>0</v>
      </c>
    </row>
    <row r="962" spans="1:5" x14ac:dyDescent="0.25">
      <c r="A962" s="26">
        <f>IF('2 - PREENCHA AQUI'!E966=FALSE(),0,'2 - PREENCHA AQUI'!E966)</f>
        <v>0</v>
      </c>
      <c r="B962" s="31">
        <f>'2 - PREENCHA AQUI'!J966</f>
        <v>0</v>
      </c>
      <c r="C962" s="31">
        <f>'2 - PREENCHA AQUI'!K966</f>
        <v>0</v>
      </c>
      <c r="D962" s="26">
        <f>'2 - PREENCHA AQUI'!L966</f>
        <v>0</v>
      </c>
      <c r="E962" s="26">
        <f>'2 - PREENCHA AQUI'!M966</f>
        <v>0</v>
      </c>
    </row>
    <row r="963" spans="1:5" x14ac:dyDescent="0.25">
      <c r="A963" s="26">
        <f>IF('2 - PREENCHA AQUI'!E967=FALSE(),0,'2 - PREENCHA AQUI'!E967)</f>
        <v>0</v>
      </c>
      <c r="B963" s="31">
        <f>'2 - PREENCHA AQUI'!J967</f>
        <v>0</v>
      </c>
      <c r="C963" s="31">
        <f>'2 - PREENCHA AQUI'!K967</f>
        <v>0</v>
      </c>
      <c r="D963" s="26">
        <f>'2 - PREENCHA AQUI'!L967</f>
        <v>0</v>
      </c>
      <c r="E963" s="26">
        <f>'2 - PREENCHA AQUI'!M967</f>
        <v>0</v>
      </c>
    </row>
    <row r="964" spans="1:5" x14ac:dyDescent="0.25">
      <c r="A964" s="26">
        <f>IF('2 - PREENCHA AQUI'!E968=FALSE(),0,'2 - PREENCHA AQUI'!E968)</f>
        <v>0</v>
      </c>
      <c r="B964" s="31">
        <f>'2 - PREENCHA AQUI'!J968</f>
        <v>0</v>
      </c>
      <c r="C964" s="31">
        <f>'2 - PREENCHA AQUI'!K968</f>
        <v>0</v>
      </c>
      <c r="D964" s="26">
        <f>'2 - PREENCHA AQUI'!L968</f>
        <v>0</v>
      </c>
      <c r="E964" s="26">
        <f>'2 - PREENCHA AQUI'!M968</f>
        <v>0</v>
      </c>
    </row>
    <row r="965" spans="1:5" x14ac:dyDescent="0.25">
      <c r="A965" s="26">
        <f>IF('2 - PREENCHA AQUI'!E969=FALSE(),0,'2 - PREENCHA AQUI'!E969)</f>
        <v>0</v>
      </c>
      <c r="B965" s="31">
        <f>'2 - PREENCHA AQUI'!J969</f>
        <v>0</v>
      </c>
      <c r="C965" s="31">
        <f>'2 - PREENCHA AQUI'!K969</f>
        <v>0</v>
      </c>
      <c r="D965" s="26">
        <f>'2 - PREENCHA AQUI'!L969</f>
        <v>0</v>
      </c>
      <c r="E965" s="26">
        <f>'2 - PREENCHA AQUI'!M969</f>
        <v>0</v>
      </c>
    </row>
    <row r="966" spans="1:5" x14ac:dyDescent="0.25">
      <c r="A966" s="26">
        <f>IF('2 - PREENCHA AQUI'!E970=FALSE(),0,'2 - PREENCHA AQUI'!E970)</f>
        <v>0</v>
      </c>
      <c r="B966" s="31">
        <f>'2 - PREENCHA AQUI'!J970</f>
        <v>0</v>
      </c>
      <c r="C966" s="31">
        <f>'2 - PREENCHA AQUI'!K970</f>
        <v>0</v>
      </c>
      <c r="D966" s="26">
        <f>'2 - PREENCHA AQUI'!L970</f>
        <v>0</v>
      </c>
      <c r="E966" s="26">
        <f>'2 - PREENCHA AQUI'!M970</f>
        <v>0</v>
      </c>
    </row>
    <row r="967" spans="1:5" x14ac:dyDescent="0.25">
      <c r="A967" s="26">
        <f>IF('2 - PREENCHA AQUI'!E971=FALSE(),0,'2 - PREENCHA AQUI'!E971)</f>
        <v>0</v>
      </c>
      <c r="B967" s="31">
        <f>'2 - PREENCHA AQUI'!J971</f>
        <v>0</v>
      </c>
      <c r="C967" s="31">
        <f>'2 - PREENCHA AQUI'!K971</f>
        <v>0</v>
      </c>
      <c r="D967" s="26">
        <f>'2 - PREENCHA AQUI'!L971</f>
        <v>0</v>
      </c>
      <c r="E967" s="26">
        <f>'2 - PREENCHA AQUI'!M971</f>
        <v>0</v>
      </c>
    </row>
    <row r="968" spans="1:5" x14ac:dyDescent="0.25">
      <c r="A968" s="26">
        <f>IF('2 - PREENCHA AQUI'!E972=FALSE(),0,'2 - PREENCHA AQUI'!E972)</f>
        <v>0</v>
      </c>
      <c r="B968" s="31">
        <f>'2 - PREENCHA AQUI'!J972</f>
        <v>0</v>
      </c>
      <c r="C968" s="31">
        <f>'2 - PREENCHA AQUI'!K972</f>
        <v>0</v>
      </c>
      <c r="D968" s="26">
        <f>'2 - PREENCHA AQUI'!L972</f>
        <v>0</v>
      </c>
      <c r="E968" s="26">
        <f>'2 - PREENCHA AQUI'!M972</f>
        <v>0</v>
      </c>
    </row>
    <row r="969" spans="1:5" x14ac:dyDescent="0.25">
      <c r="A969" s="26">
        <f>IF('2 - PREENCHA AQUI'!E973=FALSE(),0,'2 - PREENCHA AQUI'!E973)</f>
        <v>0</v>
      </c>
      <c r="B969" s="31">
        <f>'2 - PREENCHA AQUI'!J973</f>
        <v>0</v>
      </c>
      <c r="C969" s="31">
        <f>'2 - PREENCHA AQUI'!K973</f>
        <v>0</v>
      </c>
      <c r="D969" s="26">
        <f>'2 - PREENCHA AQUI'!L973</f>
        <v>0</v>
      </c>
      <c r="E969" s="26">
        <f>'2 - PREENCHA AQUI'!M973</f>
        <v>0</v>
      </c>
    </row>
    <row r="970" spans="1:5" x14ac:dyDescent="0.25">
      <c r="A970" s="26">
        <f>IF('2 - PREENCHA AQUI'!E974=FALSE(),0,'2 - PREENCHA AQUI'!E974)</f>
        <v>0</v>
      </c>
      <c r="B970" s="31">
        <f>'2 - PREENCHA AQUI'!J974</f>
        <v>0</v>
      </c>
      <c r="C970" s="31">
        <f>'2 - PREENCHA AQUI'!K974</f>
        <v>0</v>
      </c>
      <c r="D970" s="26">
        <f>'2 - PREENCHA AQUI'!L974</f>
        <v>0</v>
      </c>
      <c r="E970" s="26">
        <f>'2 - PREENCHA AQUI'!M974</f>
        <v>0</v>
      </c>
    </row>
    <row r="971" spans="1:5" x14ac:dyDescent="0.25">
      <c r="A971" s="26">
        <f>IF('2 - PREENCHA AQUI'!E975=FALSE(),0,'2 - PREENCHA AQUI'!E975)</f>
        <v>0</v>
      </c>
      <c r="B971" s="31">
        <f>'2 - PREENCHA AQUI'!J975</f>
        <v>0</v>
      </c>
      <c r="C971" s="31">
        <f>'2 - PREENCHA AQUI'!K975</f>
        <v>0</v>
      </c>
      <c r="D971" s="26">
        <f>'2 - PREENCHA AQUI'!L975</f>
        <v>0</v>
      </c>
      <c r="E971" s="26">
        <f>'2 - PREENCHA AQUI'!M975</f>
        <v>0</v>
      </c>
    </row>
    <row r="972" spans="1:5" x14ac:dyDescent="0.25">
      <c r="A972" s="26">
        <f>IF('2 - PREENCHA AQUI'!E976=FALSE(),0,'2 - PREENCHA AQUI'!E976)</f>
        <v>0</v>
      </c>
      <c r="B972" s="31">
        <f>'2 - PREENCHA AQUI'!J976</f>
        <v>0</v>
      </c>
      <c r="C972" s="31">
        <f>'2 - PREENCHA AQUI'!K976</f>
        <v>0</v>
      </c>
      <c r="D972" s="26">
        <f>'2 - PREENCHA AQUI'!L976</f>
        <v>0</v>
      </c>
      <c r="E972" s="26">
        <f>'2 - PREENCHA AQUI'!M976</f>
        <v>0</v>
      </c>
    </row>
    <row r="973" spans="1:5" x14ac:dyDescent="0.25">
      <c r="A973" s="26">
        <f>IF('2 - PREENCHA AQUI'!E977=FALSE(),0,'2 - PREENCHA AQUI'!E977)</f>
        <v>0</v>
      </c>
      <c r="B973" s="31">
        <f>'2 - PREENCHA AQUI'!J977</f>
        <v>0</v>
      </c>
      <c r="C973" s="31">
        <f>'2 - PREENCHA AQUI'!K977</f>
        <v>0</v>
      </c>
      <c r="D973" s="26">
        <f>'2 - PREENCHA AQUI'!L977</f>
        <v>0</v>
      </c>
      <c r="E973" s="26">
        <f>'2 - PREENCHA AQUI'!M977</f>
        <v>0</v>
      </c>
    </row>
    <row r="974" spans="1:5" x14ac:dyDescent="0.25">
      <c r="A974" s="26">
        <f>IF('2 - PREENCHA AQUI'!E978=FALSE(),0,'2 - PREENCHA AQUI'!E978)</f>
        <v>0</v>
      </c>
      <c r="B974" s="31">
        <f>'2 - PREENCHA AQUI'!J978</f>
        <v>0</v>
      </c>
      <c r="C974" s="31">
        <f>'2 - PREENCHA AQUI'!K978</f>
        <v>0</v>
      </c>
      <c r="D974" s="26">
        <f>'2 - PREENCHA AQUI'!L978</f>
        <v>0</v>
      </c>
      <c r="E974" s="26">
        <f>'2 - PREENCHA AQUI'!M978</f>
        <v>0</v>
      </c>
    </row>
    <row r="975" spans="1:5" x14ac:dyDescent="0.25">
      <c r="A975" s="26">
        <f>IF('2 - PREENCHA AQUI'!E979=FALSE(),0,'2 - PREENCHA AQUI'!E979)</f>
        <v>0</v>
      </c>
      <c r="B975" s="31">
        <f>'2 - PREENCHA AQUI'!J979</f>
        <v>0</v>
      </c>
      <c r="C975" s="31">
        <f>'2 - PREENCHA AQUI'!K979</f>
        <v>0</v>
      </c>
      <c r="D975" s="26">
        <f>'2 - PREENCHA AQUI'!L979</f>
        <v>0</v>
      </c>
      <c r="E975" s="26">
        <f>'2 - PREENCHA AQUI'!M979</f>
        <v>0</v>
      </c>
    </row>
    <row r="976" spans="1:5" x14ac:dyDescent="0.25">
      <c r="A976" s="26">
        <f>IF('2 - PREENCHA AQUI'!E980=FALSE(),0,'2 - PREENCHA AQUI'!E980)</f>
        <v>0</v>
      </c>
      <c r="B976" s="31">
        <f>'2 - PREENCHA AQUI'!J980</f>
        <v>0</v>
      </c>
      <c r="C976" s="31">
        <f>'2 - PREENCHA AQUI'!K980</f>
        <v>0</v>
      </c>
      <c r="D976" s="26">
        <f>'2 - PREENCHA AQUI'!L980</f>
        <v>0</v>
      </c>
      <c r="E976" s="26">
        <f>'2 - PREENCHA AQUI'!M980</f>
        <v>0</v>
      </c>
    </row>
    <row r="977" spans="1:5" x14ac:dyDescent="0.25">
      <c r="A977" s="26">
        <f>IF('2 - PREENCHA AQUI'!E981=FALSE(),0,'2 - PREENCHA AQUI'!E981)</f>
        <v>0</v>
      </c>
      <c r="B977" s="31">
        <f>'2 - PREENCHA AQUI'!J981</f>
        <v>0</v>
      </c>
      <c r="C977" s="31">
        <f>'2 - PREENCHA AQUI'!K981</f>
        <v>0</v>
      </c>
      <c r="D977" s="26">
        <f>'2 - PREENCHA AQUI'!L981</f>
        <v>0</v>
      </c>
      <c r="E977" s="26">
        <f>'2 - PREENCHA AQUI'!M981</f>
        <v>0</v>
      </c>
    </row>
    <row r="978" spans="1:5" x14ac:dyDescent="0.25">
      <c r="A978" s="26">
        <f>IF('2 - PREENCHA AQUI'!E982=FALSE(),0,'2 - PREENCHA AQUI'!E982)</f>
        <v>0</v>
      </c>
      <c r="B978" s="31">
        <f>'2 - PREENCHA AQUI'!J982</f>
        <v>0</v>
      </c>
      <c r="C978" s="31">
        <f>'2 - PREENCHA AQUI'!K982</f>
        <v>0</v>
      </c>
      <c r="D978" s="26">
        <f>'2 - PREENCHA AQUI'!L982</f>
        <v>0</v>
      </c>
      <c r="E978" s="26">
        <f>'2 - PREENCHA AQUI'!M982</f>
        <v>0</v>
      </c>
    </row>
    <row r="979" spans="1:5" x14ac:dyDescent="0.25">
      <c r="A979" s="26">
        <f>IF('2 - PREENCHA AQUI'!E983=FALSE(),0,'2 - PREENCHA AQUI'!E983)</f>
        <v>0</v>
      </c>
      <c r="B979" s="31">
        <f>'2 - PREENCHA AQUI'!J983</f>
        <v>0</v>
      </c>
      <c r="C979" s="31">
        <f>'2 - PREENCHA AQUI'!K983</f>
        <v>0</v>
      </c>
      <c r="D979" s="26">
        <f>'2 - PREENCHA AQUI'!L983</f>
        <v>0</v>
      </c>
      <c r="E979" s="26">
        <f>'2 - PREENCHA AQUI'!M983</f>
        <v>0</v>
      </c>
    </row>
    <row r="980" spans="1:5" x14ac:dyDescent="0.25">
      <c r="A980" s="26">
        <f>IF('2 - PREENCHA AQUI'!E984=FALSE(),0,'2 - PREENCHA AQUI'!E984)</f>
        <v>0</v>
      </c>
      <c r="B980" s="31">
        <f>'2 - PREENCHA AQUI'!J984</f>
        <v>0</v>
      </c>
      <c r="C980" s="31">
        <f>'2 - PREENCHA AQUI'!K984</f>
        <v>0</v>
      </c>
      <c r="D980" s="26">
        <f>'2 - PREENCHA AQUI'!L984</f>
        <v>0</v>
      </c>
      <c r="E980" s="26">
        <f>'2 - PREENCHA AQUI'!M984</f>
        <v>0</v>
      </c>
    </row>
    <row r="981" spans="1:5" x14ac:dyDescent="0.25">
      <c r="A981" s="26">
        <f>IF('2 - PREENCHA AQUI'!E985=FALSE(),0,'2 - PREENCHA AQUI'!E985)</f>
        <v>0</v>
      </c>
      <c r="B981" s="31">
        <f>'2 - PREENCHA AQUI'!J985</f>
        <v>0</v>
      </c>
      <c r="C981" s="31">
        <f>'2 - PREENCHA AQUI'!K985</f>
        <v>0</v>
      </c>
      <c r="D981" s="26">
        <f>'2 - PREENCHA AQUI'!L985</f>
        <v>0</v>
      </c>
      <c r="E981" s="26">
        <f>'2 - PREENCHA AQUI'!M985</f>
        <v>0</v>
      </c>
    </row>
    <row r="982" spans="1:5" x14ac:dyDescent="0.25">
      <c r="A982" s="26">
        <f>IF('2 - PREENCHA AQUI'!E986=FALSE(),0,'2 - PREENCHA AQUI'!E986)</f>
        <v>0</v>
      </c>
      <c r="B982" s="31">
        <f>'2 - PREENCHA AQUI'!J986</f>
        <v>0</v>
      </c>
      <c r="C982" s="31">
        <f>'2 - PREENCHA AQUI'!K986</f>
        <v>0</v>
      </c>
      <c r="D982" s="26">
        <f>'2 - PREENCHA AQUI'!L986</f>
        <v>0</v>
      </c>
      <c r="E982" s="26">
        <f>'2 - PREENCHA AQUI'!M986</f>
        <v>0</v>
      </c>
    </row>
    <row r="983" spans="1:5" x14ac:dyDescent="0.25">
      <c r="A983" s="26">
        <f>IF('2 - PREENCHA AQUI'!E987=FALSE(),0,'2 - PREENCHA AQUI'!E987)</f>
        <v>0</v>
      </c>
      <c r="B983" s="31">
        <f>'2 - PREENCHA AQUI'!J987</f>
        <v>0</v>
      </c>
      <c r="C983" s="31">
        <f>'2 - PREENCHA AQUI'!K987</f>
        <v>0</v>
      </c>
      <c r="D983" s="26">
        <f>'2 - PREENCHA AQUI'!L987</f>
        <v>0</v>
      </c>
      <c r="E983" s="26">
        <f>'2 - PREENCHA AQUI'!M987</f>
        <v>0</v>
      </c>
    </row>
    <row r="984" spans="1:5" x14ac:dyDescent="0.25">
      <c r="A984" s="26">
        <f>IF('2 - PREENCHA AQUI'!E988=FALSE(),0,'2 - PREENCHA AQUI'!E988)</f>
        <v>0</v>
      </c>
      <c r="B984" s="31">
        <f>'2 - PREENCHA AQUI'!J988</f>
        <v>0</v>
      </c>
      <c r="C984" s="31">
        <f>'2 - PREENCHA AQUI'!K988</f>
        <v>0</v>
      </c>
      <c r="D984" s="26">
        <f>'2 - PREENCHA AQUI'!L988</f>
        <v>0</v>
      </c>
      <c r="E984" s="26">
        <f>'2 - PREENCHA AQUI'!M988</f>
        <v>0</v>
      </c>
    </row>
    <row r="985" spans="1:5" x14ac:dyDescent="0.25">
      <c r="A985" s="26">
        <f>IF('2 - PREENCHA AQUI'!E989=FALSE(),0,'2 - PREENCHA AQUI'!E989)</f>
        <v>0</v>
      </c>
      <c r="B985" s="31">
        <f>'2 - PREENCHA AQUI'!J989</f>
        <v>0</v>
      </c>
      <c r="C985" s="31">
        <f>'2 - PREENCHA AQUI'!K989</f>
        <v>0</v>
      </c>
      <c r="D985" s="26">
        <f>'2 - PREENCHA AQUI'!L989</f>
        <v>0</v>
      </c>
      <c r="E985" s="26">
        <f>'2 - PREENCHA AQUI'!M989</f>
        <v>0</v>
      </c>
    </row>
    <row r="986" spans="1:5" x14ac:dyDescent="0.25">
      <c r="A986" s="26">
        <f>IF('2 - PREENCHA AQUI'!E990=FALSE(),0,'2 - PREENCHA AQUI'!E990)</f>
        <v>0</v>
      </c>
      <c r="B986" s="31">
        <f>'2 - PREENCHA AQUI'!J990</f>
        <v>0</v>
      </c>
      <c r="C986" s="31">
        <f>'2 - PREENCHA AQUI'!K990</f>
        <v>0</v>
      </c>
      <c r="D986" s="26">
        <f>'2 - PREENCHA AQUI'!L990</f>
        <v>0</v>
      </c>
      <c r="E986" s="26">
        <f>'2 - PREENCHA AQUI'!M990</f>
        <v>0</v>
      </c>
    </row>
    <row r="987" spans="1:5" x14ac:dyDescent="0.25">
      <c r="A987" s="26">
        <f>IF('2 - PREENCHA AQUI'!E991=FALSE(),0,'2 - PREENCHA AQUI'!E991)</f>
        <v>0</v>
      </c>
      <c r="B987" s="31">
        <f>'2 - PREENCHA AQUI'!J991</f>
        <v>0</v>
      </c>
      <c r="C987" s="31">
        <f>'2 - PREENCHA AQUI'!K991</f>
        <v>0</v>
      </c>
      <c r="D987" s="26">
        <f>'2 - PREENCHA AQUI'!L991</f>
        <v>0</v>
      </c>
      <c r="E987" s="26">
        <f>'2 - PREENCHA AQUI'!M991</f>
        <v>0</v>
      </c>
    </row>
    <row r="988" spans="1:5" x14ac:dyDescent="0.25">
      <c r="A988" s="26">
        <f>IF('2 - PREENCHA AQUI'!E992=FALSE(),0,'2 - PREENCHA AQUI'!E992)</f>
        <v>0</v>
      </c>
      <c r="B988" s="31">
        <f>'2 - PREENCHA AQUI'!J992</f>
        <v>0</v>
      </c>
      <c r="C988" s="31">
        <f>'2 - PREENCHA AQUI'!K992</f>
        <v>0</v>
      </c>
      <c r="D988" s="26">
        <f>'2 - PREENCHA AQUI'!L992</f>
        <v>0</v>
      </c>
      <c r="E988" s="26">
        <f>'2 - PREENCHA AQUI'!M992</f>
        <v>0</v>
      </c>
    </row>
    <row r="989" spans="1:5" x14ac:dyDescent="0.25">
      <c r="A989" s="26">
        <f>IF('2 - PREENCHA AQUI'!E993=FALSE(),0,'2 - PREENCHA AQUI'!E993)</f>
        <v>0</v>
      </c>
      <c r="B989" s="31">
        <f>'2 - PREENCHA AQUI'!J993</f>
        <v>0</v>
      </c>
      <c r="C989" s="31">
        <f>'2 - PREENCHA AQUI'!K993</f>
        <v>0</v>
      </c>
      <c r="D989" s="26">
        <f>'2 - PREENCHA AQUI'!L993</f>
        <v>0</v>
      </c>
      <c r="E989" s="26">
        <f>'2 - PREENCHA AQUI'!M993</f>
        <v>0</v>
      </c>
    </row>
    <row r="990" spans="1:5" x14ac:dyDescent="0.25">
      <c r="A990" s="26">
        <f>IF('2 - PREENCHA AQUI'!E994=FALSE(),0,'2 - PREENCHA AQUI'!E994)</f>
        <v>0</v>
      </c>
      <c r="B990" s="31">
        <f>'2 - PREENCHA AQUI'!J994</f>
        <v>0</v>
      </c>
      <c r="C990" s="31">
        <f>'2 - PREENCHA AQUI'!K994</f>
        <v>0</v>
      </c>
      <c r="D990" s="26">
        <f>'2 - PREENCHA AQUI'!L994</f>
        <v>0</v>
      </c>
      <c r="E990" s="26">
        <f>'2 - PREENCHA AQUI'!M994</f>
        <v>0</v>
      </c>
    </row>
    <row r="991" spans="1:5" x14ac:dyDescent="0.25">
      <c r="A991" s="26">
        <f>IF('2 - PREENCHA AQUI'!E995=FALSE(),0,'2 - PREENCHA AQUI'!E995)</f>
        <v>0</v>
      </c>
      <c r="B991" s="31">
        <f>'2 - PREENCHA AQUI'!J995</f>
        <v>0</v>
      </c>
      <c r="C991" s="31">
        <f>'2 - PREENCHA AQUI'!K995</f>
        <v>0</v>
      </c>
      <c r="D991" s="26">
        <f>'2 - PREENCHA AQUI'!L995</f>
        <v>0</v>
      </c>
      <c r="E991" s="26">
        <f>'2 - PREENCHA AQUI'!M995</f>
        <v>0</v>
      </c>
    </row>
    <row r="992" spans="1:5" x14ac:dyDescent="0.25">
      <c r="A992" s="26">
        <f>IF('2 - PREENCHA AQUI'!E996=FALSE(),0,'2 - PREENCHA AQUI'!E996)</f>
        <v>0</v>
      </c>
      <c r="B992" s="31">
        <f>'2 - PREENCHA AQUI'!J996</f>
        <v>0</v>
      </c>
      <c r="C992" s="31">
        <f>'2 - PREENCHA AQUI'!K996</f>
        <v>0</v>
      </c>
      <c r="D992" s="26">
        <f>'2 - PREENCHA AQUI'!L996</f>
        <v>0</v>
      </c>
      <c r="E992" s="26">
        <f>'2 - PREENCHA AQUI'!M996</f>
        <v>0</v>
      </c>
    </row>
    <row r="993" spans="1:5" x14ac:dyDescent="0.25">
      <c r="A993" s="26">
        <f>IF('2 - PREENCHA AQUI'!E997=FALSE(),0,'2 - PREENCHA AQUI'!E997)</f>
        <v>0</v>
      </c>
      <c r="B993" s="31">
        <f>'2 - PREENCHA AQUI'!J997</f>
        <v>0</v>
      </c>
      <c r="C993" s="31">
        <f>'2 - PREENCHA AQUI'!K997</f>
        <v>0</v>
      </c>
      <c r="D993" s="26">
        <f>'2 - PREENCHA AQUI'!L997</f>
        <v>0</v>
      </c>
      <c r="E993" s="26">
        <f>'2 - PREENCHA AQUI'!M997</f>
        <v>0</v>
      </c>
    </row>
    <row r="994" spans="1:5" x14ac:dyDescent="0.25">
      <c r="A994" s="26">
        <f>IF('2 - PREENCHA AQUI'!E998=FALSE(),0,'2 - PREENCHA AQUI'!E998)</f>
        <v>0</v>
      </c>
      <c r="B994" s="31">
        <f>'2 - PREENCHA AQUI'!J998</f>
        <v>0</v>
      </c>
      <c r="C994" s="31">
        <f>'2 - PREENCHA AQUI'!K998</f>
        <v>0</v>
      </c>
      <c r="D994" s="26">
        <f>'2 - PREENCHA AQUI'!L998</f>
        <v>0</v>
      </c>
      <c r="E994" s="26">
        <f>'2 - PREENCHA AQUI'!M998</f>
        <v>0</v>
      </c>
    </row>
    <row r="995" spans="1:5" x14ac:dyDescent="0.25">
      <c r="A995" s="26">
        <f>IF('2 - PREENCHA AQUI'!E999=FALSE(),0,'2 - PREENCHA AQUI'!E999)</f>
        <v>0</v>
      </c>
      <c r="B995" s="31">
        <f>'2 - PREENCHA AQUI'!J999</f>
        <v>0</v>
      </c>
      <c r="C995" s="31">
        <f>'2 - PREENCHA AQUI'!K999</f>
        <v>0</v>
      </c>
      <c r="D995" s="26">
        <f>'2 - PREENCHA AQUI'!L999</f>
        <v>0</v>
      </c>
      <c r="E995" s="26">
        <f>'2 - PREENCHA AQUI'!M999</f>
        <v>0</v>
      </c>
    </row>
    <row r="996" spans="1:5" x14ac:dyDescent="0.25">
      <c r="A996" s="26">
        <f>IF('2 - PREENCHA AQUI'!E1000=FALSE(),0,'2 - PREENCHA AQUI'!E1000)</f>
        <v>0</v>
      </c>
      <c r="B996" s="31">
        <f>'2 - PREENCHA AQUI'!J1000</f>
        <v>0</v>
      </c>
      <c r="C996" s="31">
        <f>'2 - PREENCHA AQUI'!K1000</f>
        <v>0</v>
      </c>
      <c r="D996" s="26">
        <f>'2 - PREENCHA AQUI'!L1000</f>
        <v>0</v>
      </c>
      <c r="E996" s="26">
        <f>'2 - PREENCHA AQUI'!M1000</f>
        <v>0</v>
      </c>
    </row>
    <row r="997" spans="1:5" x14ac:dyDescent="0.25">
      <c r="A997" s="26">
        <f>IF('2 - PREENCHA AQUI'!E1001=FALSE(),0,'2 - PREENCHA AQUI'!E1001)</f>
        <v>0</v>
      </c>
      <c r="B997" s="31">
        <f>'2 - PREENCHA AQUI'!J1001</f>
        <v>0</v>
      </c>
      <c r="C997" s="31">
        <f>'2 - PREENCHA AQUI'!K1001</f>
        <v>0</v>
      </c>
      <c r="D997" s="26">
        <f>'2 - PREENCHA AQUI'!L1001</f>
        <v>0</v>
      </c>
      <c r="E997" s="26">
        <f>'2 - PREENCHA AQUI'!M1001</f>
        <v>0</v>
      </c>
    </row>
    <row r="998" spans="1:5" x14ac:dyDescent="0.25">
      <c r="A998" s="26">
        <f>IF('2 - PREENCHA AQUI'!E1002=FALSE(),0,'2 - PREENCHA AQUI'!E1002)</f>
        <v>0</v>
      </c>
      <c r="B998" s="31">
        <f>'2 - PREENCHA AQUI'!J1002</f>
        <v>0</v>
      </c>
      <c r="C998" s="31">
        <f>'2 - PREENCHA AQUI'!K1002</f>
        <v>0</v>
      </c>
      <c r="D998" s="26">
        <f>'2 - PREENCHA AQUI'!L1002</f>
        <v>0</v>
      </c>
      <c r="E998" s="26">
        <f>'2 - PREENCHA AQUI'!M1002</f>
        <v>0</v>
      </c>
    </row>
    <row r="999" spans="1:5" x14ac:dyDescent="0.25">
      <c r="A999" s="26">
        <f>IF('2 - PREENCHA AQUI'!E1003=FALSE(),0,'2 - PREENCHA AQUI'!E1003)</f>
        <v>0</v>
      </c>
      <c r="B999" s="31">
        <f>'2 - PREENCHA AQUI'!J1003</f>
        <v>0</v>
      </c>
      <c r="C999" s="31">
        <f>'2 - PREENCHA AQUI'!K1003</f>
        <v>0</v>
      </c>
      <c r="D999" s="26">
        <f>'2 - PREENCHA AQUI'!L1003</f>
        <v>0</v>
      </c>
      <c r="E999" s="26">
        <f>'2 - PREENCHA AQUI'!M1003</f>
        <v>0</v>
      </c>
    </row>
    <row r="1000" spans="1:5" x14ac:dyDescent="0.25">
      <c r="A1000" s="26">
        <f>IF('2 - PREENCHA AQUI'!E1004=FALSE(),0,'2 - PREENCHA AQUI'!E1004)</f>
        <v>0</v>
      </c>
      <c r="B1000" s="31">
        <f>'2 - PREENCHA AQUI'!J1004</f>
        <v>0</v>
      </c>
      <c r="C1000" s="31">
        <f>'2 - PREENCHA AQUI'!K1004</f>
        <v>0</v>
      </c>
      <c r="D1000" s="26">
        <f>'2 - PREENCHA AQUI'!L1004</f>
        <v>0</v>
      </c>
      <c r="E1000" s="26">
        <f>'2 - PREENCHA AQUI'!M1004</f>
        <v>0</v>
      </c>
    </row>
    <row r="1001" spans="1:5" x14ac:dyDescent="0.25">
      <c r="A1001" s="26">
        <f>IF('2 - PREENCHA AQUI'!E1005=FALSE(),0,'2 - PREENCHA AQUI'!E1005)</f>
        <v>0</v>
      </c>
      <c r="B1001" s="31">
        <f>'2 - PREENCHA AQUI'!J1005</f>
        <v>0</v>
      </c>
      <c r="C1001" s="31">
        <f>'2 - PREENCHA AQUI'!K1005</f>
        <v>0</v>
      </c>
      <c r="D1001" s="26">
        <f>'2 - PREENCHA AQUI'!L1005</f>
        <v>0</v>
      </c>
      <c r="E1001" s="26">
        <f>'2 - PREENCHA AQUI'!M1005</f>
        <v>0</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164</TotalTime>
  <Application>Microsoft Excel</Application>
  <DocSecurity>0</DocSecurity>
  <ScaleCrop>false</ScaleCrop>
  <HeadingPairs>
    <vt:vector size="4" baseType="variant">
      <vt:variant>
        <vt:lpstr>Planilhas</vt:lpstr>
      </vt:variant>
      <vt:variant>
        <vt:i4>5</vt:i4>
      </vt:variant>
      <vt:variant>
        <vt:lpstr>Intervalos Nomeados</vt:lpstr>
      </vt:variant>
      <vt:variant>
        <vt:i4>2</vt:i4>
      </vt:variant>
    </vt:vector>
  </HeadingPairs>
  <TitlesOfParts>
    <vt:vector size="7" baseType="lpstr">
      <vt:lpstr>1 - LEIA-ME</vt:lpstr>
      <vt:lpstr>2 - PREENCHA AQUI</vt:lpstr>
      <vt:lpstr>3 - LISTA DE ESPÉCIES</vt:lpstr>
      <vt:lpstr>4 - LISTA DOS TIPOS DE PRODUTOS</vt:lpstr>
      <vt:lpstr>5 - RESULTADO PARA EXPORTAÇÃO</vt:lpstr>
      <vt:lpstr>'3 - LISTA DE ESPÉCIES'!DadosExternos_1</vt:lpstr>
      <vt:lpstr>'4 - LISTA DOS TIPOS DE PRODUTOS'!DadosExternos_2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Carla Gomes Pereira</dc:creator>
  <dc:description/>
  <cp:lastModifiedBy>Nara Iana Semad</cp:lastModifiedBy>
  <cp:revision>28</cp:revision>
  <cp:lastPrinted>2024-12-03T16:59:41Z</cp:lastPrinted>
  <dcterms:created xsi:type="dcterms:W3CDTF">2023-04-13T20:16:44Z</dcterms:created>
  <dcterms:modified xsi:type="dcterms:W3CDTF">2025-04-03T21:09:23Z</dcterms:modified>
  <dc:language>pt-BR</dc:language>
</cp:coreProperties>
</file>