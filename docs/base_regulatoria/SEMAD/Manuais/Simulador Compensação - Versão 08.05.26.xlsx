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o.fontoura\Desktop\"/>
    </mc:Choice>
  </mc:AlternateContent>
  <xr:revisionPtr revIDLastSave="0" documentId="13_ncr:1_{C46174E3-292D-4761-B4BA-D97F75D852D4}" xr6:coauthVersionLast="47" xr6:coauthVersionMax="47" xr10:uidLastSave="{00000000-0000-0000-0000-000000000000}"/>
  <workbookProtection workbookAlgorithmName="SHA-512" workbookHashValue="kd5cfb9nnvz6YnHi5svm9XGVnKb/ABl7AQBRFSCitEI8jSpQ1F8X+ickuOOLTcQJbTab3cZw7AB4xN7ZdyYo/g==" workbookSaltValue="RlLYTBfvSh1+/QU9GMIwDQ==" workbookSpinCount="100000" lockStructure="1"/>
  <bookViews>
    <workbookView xWindow="-120" yWindow="-120" windowWidth="29040" windowHeight="15720" tabRatio="500" firstSheet="2" activeTab="2" xr2:uid="{00000000-000D-0000-FFFF-FFFF00000000}"/>
  </bookViews>
  <sheets>
    <sheet name="Planilha6" sheetId="1" state="hidden" r:id="rId1"/>
    <sheet name="Simuladores 1.0" sheetId="2" state="hidden" r:id="rId2"/>
    <sheet name="Calculadora Compensação" sheetId="3" r:id="rId3"/>
    <sheet name="Calculadora Linear" sheetId="4" r:id="rId4"/>
    <sheet name="Fatores" sheetId="5" r:id="rId5"/>
    <sheet name="VTN2025" sheetId="8" r:id="rId6"/>
    <sheet name="Médias2025" sheetId="10" r:id="rId7"/>
  </sheets>
  <definedNames>
    <definedName name="_xlnm._FilterDatabase" localSheetId="6" hidden="1">Médias2025!$A$1:$E$1409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3" l="1"/>
  <c r="H5" i="3" s="1"/>
  <c r="C9" i="3"/>
  <c r="C7" i="3"/>
  <c r="E5" i="3"/>
  <c r="C407" i="10"/>
  <c r="C408" i="10"/>
  <c r="C409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D38" i="10" s="1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D56" i="10" s="1"/>
  <c r="C59" i="10"/>
  <c r="D59" i="10" s="1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D78" i="10" s="1"/>
  <c r="C79" i="10"/>
  <c r="C80" i="10"/>
  <c r="C81" i="10"/>
  <c r="C82" i="10"/>
  <c r="C83" i="10"/>
  <c r="C84" i="10"/>
  <c r="C85" i="10"/>
  <c r="C86" i="10"/>
  <c r="C87" i="10"/>
  <c r="D82" i="10" s="1"/>
  <c r="C88" i="10"/>
  <c r="C89" i="10"/>
  <c r="C90" i="10"/>
  <c r="C91" i="10"/>
  <c r="C92" i="10"/>
  <c r="C93" i="10"/>
  <c r="C94" i="10"/>
  <c r="C95" i="10"/>
  <c r="C96" i="10"/>
  <c r="C97" i="10"/>
  <c r="C98" i="10"/>
  <c r="D97" i="10" s="1"/>
  <c r="C99" i="10"/>
  <c r="C100" i="10"/>
  <c r="C101" i="10"/>
  <c r="C102" i="10"/>
  <c r="C103" i="10"/>
  <c r="C104" i="10"/>
  <c r="C105" i="10"/>
  <c r="C106" i="10"/>
  <c r="C107" i="10"/>
  <c r="D102" i="10" s="1"/>
  <c r="C108" i="10"/>
  <c r="C109" i="10"/>
  <c r="C110" i="10"/>
  <c r="C111" i="10"/>
  <c r="C112" i="10"/>
  <c r="C113" i="10"/>
  <c r="C114" i="10"/>
  <c r="C115" i="10"/>
  <c r="C116" i="10"/>
  <c r="C117" i="10"/>
  <c r="C118" i="10"/>
  <c r="D118" i="10" s="1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D130" i="10" s="1"/>
  <c r="C135" i="10"/>
  <c r="C136" i="10"/>
  <c r="C137" i="10"/>
  <c r="C138" i="10"/>
  <c r="D137" i="10" s="1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D151" i="10" s="1"/>
  <c r="C155" i="10"/>
  <c r="C156" i="10"/>
  <c r="C157" i="10"/>
  <c r="C158" i="10"/>
  <c r="D156" i="10" s="1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D177" i="10" s="1"/>
  <c r="C179" i="10"/>
  <c r="C180" i="10"/>
  <c r="C181" i="10"/>
  <c r="C182" i="10"/>
  <c r="C183" i="10"/>
  <c r="C184" i="10"/>
  <c r="C185" i="10"/>
  <c r="C186" i="10"/>
  <c r="C187" i="10"/>
  <c r="D188" i="10" s="1"/>
  <c r="C188" i="10"/>
  <c r="C189" i="10"/>
  <c r="C190" i="10"/>
  <c r="C191" i="10"/>
  <c r="C192" i="10"/>
  <c r="C193" i="10"/>
  <c r="C194" i="10"/>
  <c r="C195" i="10"/>
  <c r="C196" i="10"/>
  <c r="C197" i="10"/>
  <c r="C198" i="10"/>
  <c r="D200" i="10" s="1"/>
  <c r="C199" i="10"/>
  <c r="C200" i="10"/>
  <c r="C201" i="10"/>
  <c r="C202" i="10"/>
  <c r="C203" i="10"/>
  <c r="C204" i="10"/>
  <c r="C205" i="10"/>
  <c r="C206" i="10"/>
  <c r="C207" i="10"/>
  <c r="D208" i="10" s="1"/>
  <c r="C208" i="10"/>
  <c r="C209" i="10"/>
  <c r="C210" i="10"/>
  <c r="C211" i="10"/>
  <c r="C212" i="10"/>
  <c r="C213" i="10"/>
  <c r="C214" i="10"/>
  <c r="C215" i="10"/>
  <c r="C216" i="10"/>
  <c r="C217" i="10"/>
  <c r="C218" i="10"/>
  <c r="D219" i="10" s="1"/>
  <c r="C219" i="10"/>
  <c r="C220" i="10"/>
  <c r="C221" i="10"/>
  <c r="C222" i="10"/>
  <c r="C223" i="10"/>
  <c r="C224" i="10"/>
  <c r="C225" i="10"/>
  <c r="C226" i="10"/>
  <c r="C227" i="10"/>
  <c r="D228" i="10" s="1"/>
  <c r="C228" i="10"/>
  <c r="C229" i="10"/>
  <c r="C230" i="10"/>
  <c r="C231" i="10"/>
  <c r="C232" i="10"/>
  <c r="C233" i="10"/>
  <c r="C234" i="10"/>
  <c r="C235" i="10"/>
  <c r="C236" i="10"/>
  <c r="C237" i="10"/>
  <c r="C238" i="10"/>
  <c r="D237" i="10" s="1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D257" i="10" s="1"/>
  <c r="C259" i="10"/>
  <c r="C260" i="10"/>
  <c r="C261" i="10"/>
  <c r="C262" i="10"/>
  <c r="C263" i="10"/>
  <c r="C264" i="10"/>
  <c r="C265" i="10"/>
  <c r="C266" i="10"/>
  <c r="C267" i="10"/>
  <c r="D264" i="10" s="1"/>
  <c r="C268" i="10"/>
  <c r="C269" i="10"/>
  <c r="C270" i="10"/>
  <c r="C271" i="10"/>
  <c r="C272" i="10"/>
  <c r="C273" i="10"/>
  <c r="C274" i="10"/>
  <c r="C275" i="10"/>
  <c r="C276" i="10"/>
  <c r="C277" i="10"/>
  <c r="C278" i="10"/>
  <c r="D278" i="10" s="1"/>
  <c r="C279" i="10"/>
  <c r="C280" i="10"/>
  <c r="C281" i="10"/>
  <c r="C282" i="10"/>
  <c r="C283" i="10"/>
  <c r="C284" i="10"/>
  <c r="C285" i="10"/>
  <c r="C286" i="10"/>
  <c r="C287" i="10"/>
  <c r="D281" i="10" s="1"/>
  <c r="C288" i="10"/>
  <c r="C289" i="10"/>
  <c r="C290" i="10"/>
  <c r="C291" i="10"/>
  <c r="C292" i="10"/>
  <c r="C293" i="10"/>
  <c r="C294" i="10"/>
  <c r="C295" i="10"/>
  <c r="C296" i="10"/>
  <c r="C297" i="10"/>
  <c r="C298" i="10"/>
  <c r="D297" i="10" s="1"/>
  <c r="C299" i="10"/>
  <c r="C300" i="10"/>
  <c r="C301" i="10"/>
  <c r="C302" i="10"/>
  <c r="C303" i="10"/>
  <c r="C304" i="10"/>
  <c r="C305" i="10"/>
  <c r="C306" i="10"/>
  <c r="C307" i="10"/>
  <c r="D304" i="10" s="1"/>
  <c r="C308" i="10"/>
  <c r="C309" i="10"/>
  <c r="C310" i="10"/>
  <c r="C311" i="10"/>
  <c r="C312" i="10"/>
  <c r="C313" i="10"/>
  <c r="C314" i="10"/>
  <c r="C315" i="10"/>
  <c r="C316" i="10"/>
  <c r="C317" i="10"/>
  <c r="C318" i="10"/>
  <c r="D316" i="10" s="1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D348" i="10" s="1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D421" i="10" s="1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D708" i="10" s="1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D809" i="10" s="1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D832" i="10" s="1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D848" i="10" s="1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D932" i="10" s="1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D961" i="10" s="1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D995" i="10" s="1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D1051" i="10" s="1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D1096" i="10" s="1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D1176" i="10" s="1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D1190" i="10" s="1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D1290" i="10" s="1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D1309" i="10" s="1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D1338" i="10" s="1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D1368" i="10" s="1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D1409" i="10" s="1"/>
  <c r="C1409" i="10"/>
  <c r="C25" i="10"/>
  <c r="D26" i="10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3" i="10"/>
  <c r="C2" i="10"/>
  <c r="D30" i="10"/>
  <c r="D31" i="10"/>
  <c r="D32" i="10"/>
  <c r="D33" i="10"/>
  <c r="D34" i="10"/>
  <c r="D35" i="10"/>
  <c r="D36" i="10"/>
  <c r="D37" i="10"/>
  <c r="D43" i="10"/>
  <c r="D45" i="10"/>
  <c r="D48" i="10"/>
  <c r="D49" i="10"/>
  <c r="D51" i="10"/>
  <c r="D52" i="10"/>
  <c r="D53" i="10"/>
  <c r="D54" i="10"/>
  <c r="D55" i="10"/>
  <c r="D65" i="10"/>
  <c r="D67" i="10"/>
  <c r="D70" i="10"/>
  <c r="D80" i="10"/>
  <c r="D85" i="10"/>
  <c r="D87" i="10"/>
  <c r="D88" i="10"/>
  <c r="D89" i="10"/>
  <c r="D90" i="10"/>
  <c r="D91" i="10"/>
  <c r="D94" i="10"/>
  <c r="D95" i="10"/>
  <c r="D96" i="10"/>
  <c r="D105" i="10"/>
  <c r="D106" i="10"/>
  <c r="D107" i="10"/>
  <c r="D113" i="10"/>
  <c r="D114" i="10"/>
  <c r="D115" i="10"/>
  <c r="D117" i="10"/>
  <c r="D125" i="10"/>
  <c r="D126" i="10"/>
  <c r="D127" i="10"/>
  <c r="D132" i="10"/>
  <c r="D133" i="10"/>
  <c r="D134" i="10"/>
  <c r="D145" i="10"/>
  <c r="D146" i="10"/>
  <c r="D147" i="10"/>
  <c r="D152" i="10"/>
  <c r="D153" i="10"/>
  <c r="D154" i="10"/>
  <c r="D155" i="10"/>
  <c r="D159" i="10"/>
  <c r="D160" i="10"/>
  <c r="D167" i="10"/>
  <c r="D169" i="10"/>
  <c r="D170" i="10"/>
  <c r="D171" i="10"/>
  <c r="D172" i="10"/>
  <c r="D180" i="10"/>
  <c r="D181" i="10"/>
  <c r="D182" i="10"/>
  <c r="D183" i="10"/>
  <c r="D184" i="10"/>
  <c r="D185" i="10"/>
  <c r="D186" i="10"/>
  <c r="D187" i="10"/>
  <c r="D193" i="10"/>
  <c r="D194" i="10"/>
  <c r="D195" i="10"/>
  <c r="D202" i="10"/>
  <c r="D203" i="10"/>
  <c r="D204" i="10"/>
  <c r="D205" i="10"/>
  <c r="D206" i="10"/>
  <c r="D207" i="10"/>
  <c r="D210" i="10"/>
  <c r="D211" i="10"/>
  <c r="D215" i="10"/>
  <c r="D216" i="10"/>
  <c r="D217" i="10"/>
  <c r="D218" i="10"/>
  <c r="D220" i="10"/>
  <c r="D221" i="10"/>
  <c r="D222" i="10"/>
  <c r="D223" i="10"/>
  <c r="D224" i="10"/>
  <c r="D225" i="10"/>
  <c r="D226" i="10"/>
  <c r="D227" i="10"/>
  <c r="D229" i="10"/>
  <c r="D230" i="10"/>
  <c r="D231" i="10"/>
  <c r="D232" i="10"/>
  <c r="D233" i="10"/>
  <c r="D252" i="10"/>
  <c r="D253" i="10"/>
  <c r="D254" i="10"/>
  <c r="D260" i="10"/>
  <c r="D261" i="10"/>
  <c r="D262" i="10"/>
  <c r="D263" i="10"/>
  <c r="D265" i="10"/>
  <c r="D266" i="10"/>
  <c r="D267" i="10"/>
  <c r="D273" i="10"/>
  <c r="D274" i="10"/>
  <c r="D275" i="10"/>
  <c r="D276" i="10"/>
  <c r="D277" i="10"/>
  <c r="D280" i="10"/>
  <c r="D285" i="10"/>
  <c r="D286" i="10"/>
  <c r="D287" i="10"/>
  <c r="D288" i="10"/>
  <c r="D289" i="10"/>
  <c r="D290" i="10"/>
  <c r="D291" i="10"/>
  <c r="D294" i="10"/>
  <c r="D295" i="10"/>
  <c r="D296" i="10"/>
  <c r="D305" i="10"/>
  <c r="D306" i="10"/>
  <c r="D307" i="10"/>
  <c r="D310" i="10"/>
  <c r="D311" i="10"/>
  <c r="D312" i="10"/>
  <c r="D315" i="10"/>
  <c r="I192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3" i="8"/>
  <c r="P23" i="3"/>
  <c r="D101" i="10" l="1"/>
  <c r="D141" i="10"/>
  <c r="D112" i="10"/>
  <c r="D92" i="10"/>
  <c r="D72" i="10"/>
  <c r="D50" i="10"/>
  <c r="D79" i="10"/>
  <c r="D168" i="10"/>
  <c r="D142" i="10"/>
  <c r="D121" i="10"/>
  <c r="D238" i="10"/>
  <c r="D179" i="10"/>
  <c r="D58" i="10"/>
  <c r="D178" i="10"/>
  <c r="D57" i="10"/>
  <c r="D298" i="10"/>
  <c r="D98" i="10"/>
  <c r="D1213" i="10"/>
  <c r="D1093" i="10"/>
  <c r="D952" i="10"/>
  <c r="D372" i="10"/>
  <c r="D829" i="10"/>
  <c r="D1329" i="10"/>
  <c r="D1147" i="10"/>
  <c r="D318" i="10"/>
  <c r="D641" i="10"/>
  <c r="D279" i="10"/>
  <c r="D239" i="10"/>
  <c r="D77" i="10"/>
  <c r="D300" i="10"/>
  <c r="D299" i="10"/>
  <c r="D139" i="10"/>
  <c r="D138" i="10"/>
  <c r="D833" i="10"/>
  <c r="D199" i="10"/>
  <c r="D1308" i="10"/>
  <c r="D968" i="10"/>
  <c r="D198" i="10"/>
  <c r="D1407" i="10"/>
  <c r="D1111" i="10"/>
  <c r="D197" i="10"/>
  <c r="D259" i="10"/>
  <c r="D258" i="10"/>
  <c r="D158" i="10"/>
  <c r="D120" i="10"/>
  <c r="D317" i="10"/>
  <c r="D157" i="10"/>
  <c r="D119" i="10"/>
  <c r="D240" i="10"/>
  <c r="D140" i="10"/>
  <c r="D100" i="10"/>
  <c r="D99" i="10"/>
  <c r="D1250" i="10"/>
  <c r="D1107" i="10"/>
  <c r="D552" i="10"/>
  <c r="D1292" i="10"/>
  <c r="D1408" i="10"/>
  <c r="D808" i="10"/>
  <c r="D806" i="10"/>
  <c r="D1248" i="10"/>
  <c r="D301" i="10"/>
  <c r="D74" i="10"/>
  <c r="D292" i="10"/>
  <c r="D272" i="10"/>
  <c r="D212" i="10"/>
  <c r="D192" i="10"/>
  <c r="D1255" i="10"/>
  <c r="D1285" i="10"/>
  <c r="D886" i="10"/>
  <c r="D1333" i="10"/>
  <c r="D1249" i="10"/>
  <c r="D1334" i="10"/>
  <c r="D640" i="10"/>
  <c r="D1148" i="10"/>
  <c r="D1113" i="10"/>
  <c r="D831" i="10"/>
  <c r="D1291" i="10"/>
  <c r="D371" i="10"/>
  <c r="D1367" i="10"/>
  <c r="D1167" i="10"/>
  <c r="D990" i="10"/>
  <c r="D628" i="10"/>
  <c r="D1112" i="10"/>
  <c r="D29" i="10"/>
  <c r="D248" i="10"/>
  <c r="D63" i="10"/>
  <c r="D44" i="10"/>
  <c r="D710" i="10"/>
  <c r="D1246" i="10"/>
  <c r="D1149" i="10"/>
  <c r="D807" i="10"/>
  <c r="D346" i="10"/>
  <c r="D1189" i="10"/>
  <c r="D830" i="10"/>
  <c r="D1188" i="10"/>
  <c r="D1325" i="10"/>
  <c r="D1005" i="10"/>
  <c r="D487" i="10"/>
  <c r="D1180" i="10"/>
  <c r="D1100" i="10"/>
  <c r="D1075" i="10"/>
  <c r="D542" i="10"/>
  <c r="D440" i="10"/>
  <c r="D255" i="10"/>
  <c r="D235" i="10"/>
  <c r="D196" i="10"/>
  <c r="D175" i="10"/>
  <c r="D161" i="10"/>
  <c r="D135" i="10"/>
  <c r="D116" i="10"/>
  <c r="D75" i="10"/>
  <c r="D314" i="10"/>
  <c r="D234" i="10"/>
  <c r="D214" i="10"/>
  <c r="D174" i="10"/>
  <c r="D39" i="10"/>
  <c r="D313" i="10"/>
  <c r="D293" i="10"/>
  <c r="D213" i="10"/>
  <c r="D201" i="10"/>
  <c r="D173" i="10"/>
  <c r="D93" i="10"/>
  <c r="D73" i="10"/>
  <c r="D271" i="10"/>
  <c r="D247" i="10"/>
  <c r="D241" i="10"/>
  <c r="D191" i="10"/>
  <c r="D108" i="10"/>
  <c r="D81" i="10"/>
  <c r="D478" i="10"/>
  <c r="D25" i="10"/>
  <c r="D1052" i="10"/>
  <c r="D432" i="10"/>
  <c r="D430" i="10"/>
  <c r="D1151" i="10"/>
  <c r="D711" i="10"/>
  <c r="D652" i="10"/>
  <c r="D1150" i="10"/>
  <c r="D20" i="10"/>
  <c r="D1258" i="10"/>
  <c r="D1212" i="10"/>
  <c r="D653" i="10"/>
  <c r="D651" i="10"/>
  <c r="D847" i="10"/>
  <c r="D236" i="10"/>
  <c r="D743" i="10"/>
  <c r="D1058" i="10"/>
  <c r="D419" i="10"/>
  <c r="D959" i="10"/>
  <c r="D131" i="10"/>
  <c r="D111" i="10"/>
  <c r="D71" i="10"/>
  <c r="D1055" i="10"/>
  <c r="D918" i="10"/>
  <c r="D573" i="10"/>
  <c r="D270" i="10"/>
  <c r="D190" i="10"/>
  <c r="D150" i="10"/>
  <c r="D149" i="10"/>
  <c r="D129" i="10"/>
  <c r="D109" i="10"/>
  <c r="D69" i="10"/>
  <c r="D47" i="10"/>
  <c r="D1040" i="10"/>
  <c r="D570" i="10"/>
  <c r="D492" i="10"/>
  <c r="D353" i="10"/>
  <c r="D136" i="10"/>
  <c r="D418" i="10"/>
  <c r="D251" i="10"/>
  <c r="D1198" i="10"/>
  <c r="D958" i="10"/>
  <c r="D373" i="10"/>
  <c r="D709" i="10"/>
  <c r="D250" i="10"/>
  <c r="D110" i="10"/>
  <c r="D1092" i="10"/>
  <c r="D873" i="10"/>
  <c r="D639" i="10"/>
  <c r="D572" i="10"/>
  <c r="D473" i="10"/>
  <c r="D453" i="10"/>
  <c r="D413" i="10"/>
  <c r="D1259" i="10"/>
  <c r="D309" i="10"/>
  <c r="D269" i="10"/>
  <c r="D249" i="10"/>
  <c r="D209" i="10"/>
  <c r="D189" i="10"/>
  <c r="D989" i="10"/>
  <c r="D308" i="10"/>
  <c r="D268" i="10"/>
  <c r="D148" i="10"/>
  <c r="D128" i="10"/>
  <c r="D68" i="10"/>
  <c r="D46" i="10"/>
  <c r="D2" i="10"/>
  <c r="D1391" i="10"/>
  <c r="D1279" i="10"/>
  <c r="D1211" i="10"/>
  <c r="D1038" i="10"/>
  <c r="D913" i="10"/>
  <c r="D828" i="10"/>
  <c r="D775" i="10"/>
  <c r="D715" i="10"/>
  <c r="D553" i="10"/>
  <c r="D352" i="10"/>
  <c r="D256" i="10"/>
  <c r="D166" i="10"/>
  <c r="D86" i="10"/>
  <c r="D66" i="10"/>
  <c r="D1371" i="10"/>
  <c r="D551" i="10"/>
  <c r="D329" i="10"/>
  <c r="D1366" i="10"/>
  <c r="D176" i="10"/>
  <c r="D76" i="10"/>
  <c r="D780" i="10"/>
  <c r="D358" i="10"/>
  <c r="D740" i="10"/>
  <c r="D638" i="10"/>
  <c r="D951" i="10"/>
  <c r="D245" i="10"/>
  <c r="D550" i="10"/>
  <c r="D284" i="10"/>
  <c r="D244" i="10"/>
  <c r="D164" i="10"/>
  <c r="D104" i="10"/>
  <c r="D64" i="10"/>
  <c r="D1247" i="10"/>
  <c r="D849" i="10"/>
  <c r="D431" i="10"/>
  <c r="D303" i="10"/>
  <c r="D283" i="10"/>
  <c r="D243" i="10"/>
  <c r="D163" i="10"/>
  <c r="D143" i="10"/>
  <c r="D123" i="10"/>
  <c r="D103" i="10"/>
  <c r="D83" i="10"/>
  <c r="D41" i="10"/>
  <c r="D960" i="10"/>
  <c r="D1152" i="10"/>
  <c r="D246" i="10"/>
  <c r="D950" i="10"/>
  <c r="D165" i="10"/>
  <c r="D850" i="10"/>
  <c r="D144" i="10"/>
  <c r="D124" i="10"/>
  <c r="D84" i="10"/>
  <c r="D42" i="10"/>
  <c r="D302" i="10"/>
  <c r="D282" i="10"/>
  <c r="D242" i="10"/>
  <c r="D162" i="10"/>
  <c r="D122" i="10"/>
  <c r="D60" i="10"/>
  <c r="D40" i="10"/>
  <c r="D810" i="10"/>
  <c r="D321" i="10"/>
  <c r="D337" i="10"/>
  <c r="D341" i="10"/>
  <c r="D988" i="10"/>
  <c r="D1203" i="10"/>
  <c r="D841" i="10"/>
  <c r="D689" i="10"/>
  <c r="D444" i="10"/>
  <c r="D1363" i="10"/>
  <c r="D1003" i="10"/>
  <c r="D643" i="10"/>
  <c r="D379" i="10"/>
  <c r="D378" i="10"/>
  <c r="D1327" i="10"/>
  <c r="D1326" i="10"/>
  <c r="D1158" i="10"/>
  <c r="D738" i="10"/>
  <c r="D433" i="10"/>
  <c r="D334" i="10"/>
  <c r="D328" i="10"/>
  <c r="D1187" i="10"/>
  <c r="D818" i="10"/>
  <c r="D664" i="10"/>
  <c r="D987" i="10"/>
  <c r="D13" i="10"/>
  <c r="D1299" i="10"/>
  <c r="D1143" i="10"/>
  <c r="D982" i="10"/>
  <c r="D360" i="10"/>
  <c r="D1394" i="10"/>
  <c r="D1195" i="10"/>
  <c r="D1035" i="10"/>
  <c r="D500" i="10"/>
  <c r="D1194" i="10"/>
  <c r="D1219" i="10"/>
  <c r="D975" i="10"/>
  <c r="D533" i="10"/>
  <c r="D412" i="10"/>
  <c r="D471" i="10"/>
  <c r="D1390" i="10"/>
  <c r="D1210" i="10"/>
  <c r="D650" i="10"/>
  <c r="D489" i="10"/>
  <c r="D1169" i="10"/>
  <c r="D1389" i="10"/>
  <c r="D970" i="10"/>
  <c r="D490" i="10"/>
  <c r="D1365" i="10"/>
  <c r="D1305" i="10"/>
  <c r="D1104" i="10"/>
  <c r="D741" i="10"/>
  <c r="D544" i="10"/>
  <c r="D1323" i="10"/>
  <c r="D1162" i="10"/>
  <c r="D1049" i="10"/>
  <c r="D420" i="10"/>
  <c r="D1278" i="10"/>
  <c r="D1119" i="10"/>
  <c r="D1020" i="10"/>
  <c r="D633" i="10"/>
  <c r="D1275" i="10"/>
  <c r="D912" i="10"/>
  <c r="D370" i="10"/>
  <c r="D753" i="10"/>
  <c r="D532" i="10"/>
  <c r="D1039" i="10"/>
  <c r="D791" i="10"/>
  <c r="D349" i="10"/>
  <c r="D1348" i="10"/>
  <c r="D1071" i="10"/>
  <c r="D851" i="10"/>
  <c r="D811" i="10"/>
  <c r="D675" i="10"/>
  <c r="D530" i="10"/>
  <c r="D491" i="10"/>
  <c r="D347" i="10"/>
  <c r="D1008" i="10"/>
  <c r="D1388" i="10"/>
  <c r="D1369" i="10"/>
  <c r="D1347" i="10"/>
  <c r="D1331" i="10"/>
  <c r="D1208" i="10"/>
  <c r="D1050" i="10"/>
  <c r="D930" i="10"/>
  <c r="D892" i="10"/>
  <c r="D649" i="10"/>
  <c r="D1287" i="10"/>
  <c r="D1166" i="10"/>
  <c r="D1007" i="10"/>
  <c r="D739" i="10"/>
  <c r="D1387" i="10"/>
  <c r="D1350" i="10"/>
  <c r="D1310" i="10"/>
  <c r="D969" i="10"/>
  <c r="D928" i="10"/>
  <c r="D669" i="10"/>
  <c r="D512" i="10"/>
  <c r="D449" i="10"/>
  <c r="D344" i="10"/>
  <c r="D324" i="10"/>
  <c r="D16" i="10"/>
  <c r="D1084" i="10"/>
  <c r="D766" i="10"/>
  <c r="D986" i="10"/>
  <c r="D1260" i="10"/>
  <c r="D1123" i="10"/>
  <c r="D962" i="10"/>
  <c r="D1328" i="10"/>
  <c r="D1373" i="10"/>
  <c r="D1229" i="10"/>
  <c r="D1053" i="10"/>
  <c r="D755" i="10"/>
  <c r="D351" i="10"/>
  <c r="D1090" i="10"/>
  <c r="D935" i="10"/>
  <c r="D472" i="10"/>
  <c r="D779" i="10"/>
  <c r="D631" i="10"/>
  <c r="D1353" i="10"/>
  <c r="D1073" i="10"/>
  <c r="D891" i="10"/>
  <c r="D410" i="10"/>
  <c r="D890" i="10"/>
  <c r="D1267" i="10"/>
  <c r="D927" i="10"/>
  <c r="D750" i="10"/>
  <c r="D693" i="10"/>
  <c r="D590" i="10"/>
  <c r="D1393" i="10"/>
  <c r="D889" i="10"/>
  <c r="D1191" i="10"/>
  <c r="D1109" i="10"/>
  <c r="D1392" i="10"/>
  <c r="D888" i="10"/>
  <c r="D340" i="10"/>
  <c r="D1372" i="10"/>
  <c r="D1286" i="10"/>
  <c r="D1165" i="10"/>
  <c r="D1006" i="10"/>
  <c r="D887" i="10"/>
  <c r="D719" i="10"/>
  <c r="D499" i="10"/>
  <c r="D339" i="10"/>
  <c r="D326" i="10"/>
  <c r="D1385" i="10"/>
  <c r="D1127" i="10"/>
  <c r="D790" i="10"/>
  <c r="D502" i="10"/>
  <c r="D1405" i="10"/>
  <c r="D1281" i="10"/>
  <c r="D819" i="10"/>
  <c r="D479" i="10"/>
  <c r="D1295" i="10"/>
  <c r="D1254" i="10"/>
  <c r="D1033" i="10"/>
  <c r="D632" i="10"/>
  <c r="D391" i="10"/>
  <c r="D438" i="10"/>
  <c r="D1330" i="10"/>
  <c r="D1108" i="10"/>
  <c r="D991" i="10"/>
  <c r="D827" i="10"/>
  <c r="D470" i="10"/>
  <c r="D1289" i="10"/>
  <c r="D1209" i="10"/>
  <c r="D875" i="10"/>
  <c r="D792" i="10"/>
  <c r="D629" i="10"/>
  <c r="D469" i="10"/>
  <c r="D429" i="10"/>
  <c r="D1288" i="10"/>
  <c r="D498" i="10"/>
  <c r="D338" i="10"/>
  <c r="D327" i="10"/>
  <c r="D1265" i="10"/>
  <c r="D1024" i="10"/>
  <c r="D725" i="10"/>
  <c r="D606" i="10"/>
  <c r="D363" i="10"/>
  <c r="D447" i="10"/>
  <c r="D1379" i="10"/>
  <c r="D1224" i="10"/>
  <c r="D359" i="10"/>
  <c r="D1335" i="10"/>
  <c r="D1214" i="10"/>
  <c r="D1193" i="10"/>
  <c r="D835" i="10"/>
  <c r="D350" i="10"/>
  <c r="D915" i="10"/>
  <c r="D1354" i="10"/>
  <c r="D411" i="10"/>
  <c r="D712" i="10"/>
  <c r="D493" i="10"/>
  <c r="D1266" i="10"/>
  <c r="D1168" i="10"/>
  <c r="D1009" i="10"/>
  <c r="D992" i="10"/>
  <c r="D749" i="10"/>
  <c r="D627" i="10"/>
  <c r="D427" i="10"/>
  <c r="D1066" i="10"/>
  <c r="D1064" i="10"/>
  <c r="D1397" i="10"/>
  <c r="D1129" i="10"/>
  <c r="D668" i="10"/>
  <c r="D1244" i="10"/>
  <c r="D1221" i="10"/>
  <c r="D1063" i="10"/>
  <c r="D966" i="10"/>
  <c r="D941" i="10"/>
  <c r="D865" i="10"/>
  <c r="D868" i="10"/>
  <c r="D585" i="10"/>
  <c r="D589" i="10"/>
  <c r="D1042" i="10"/>
  <c r="D1095" i="10"/>
  <c r="D15" i="10"/>
  <c r="D1204" i="10"/>
  <c r="D1183" i="10"/>
  <c r="D1089" i="10"/>
  <c r="D1087" i="10"/>
  <c r="D1199" i="10"/>
  <c r="D618" i="10"/>
  <c r="D1238" i="10"/>
  <c r="D1239" i="10"/>
  <c r="D1178" i="10"/>
  <c r="D1179" i="10"/>
  <c r="D980" i="10"/>
  <c r="D981" i="10"/>
  <c r="D979" i="10"/>
  <c r="D558" i="10"/>
  <c r="D559" i="10"/>
  <c r="D560" i="10"/>
  <c r="D1318" i="10"/>
  <c r="D1228" i="10"/>
  <c r="D1138" i="10"/>
  <c r="D1118" i="10"/>
  <c r="D919" i="10"/>
  <c r="D878" i="10"/>
  <c r="D879" i="10"/>
  <c r="D458" i="10"/>
  <c r="D460" i="10"/>
  <c r="D7" i="10"/>
  <c r="D11" i="10"/>
  <c r="D1355" i="10"/>
  <c r="D1357" i="10"/>
  <c r="D1223" i="10"/>
  <c r="D1273" i="10"/>
  <c r="D1175" i="10"/>
  <c r="D1059" i="10"/>
  <c r="D1019" i="10"/>
  <c r="D933" i="10"/>
  <c r="D17" i="10"/>
  <c r="D1313" i="10"/>
  <c r="D1251" i="10"/>
  <c r="D1174" i="10"/>
  <c r="D1153" i="10"/>
  <c r="D1134" i="10"/>
  <c r="D1018" i="10"/>
  <c r="D953" i="10"/>
  <c r="D732" i="10"/>
  <c r="D630" i="10"/>
  <c r="D531" i="10"/>
  <c r="D1375" i="10"/>
  <c r="D1343" i="10"/>
  <c r="D1200" i="10"/>
  <c r="D1398" i="10"/>
  <c r="D1314" i="10"/>
  <c r="D1395" i="10"/>
  <c r="D1232" i="10"/>
  <c r="D1010" i="10"/>
  <c r="D1252" i="10"/>
  <c r="D1170" i="10"/>
  <c r="D1130" i="10"/>
  <c r="D1011" i="10"/>
  <c r="D955" i="10"/>
  <c r="D869" i="10"/>
  <c r="D690" i="10"/>
  <c r="D529" i="10"/>
  <c r="D1240" i="10"/>
  <c r="D1245" i="10"/>
  <c r="D1230" i="10"/>
  <c r="D1226" i="10"/>
  <c r="D1218" i="10"/>
  <c r="D1128" i="10"/>
  <c r="D940" i="10"/>
  <c r="D943" i="10"/>
  <c r="D1298" i="10"/>
  <c r="D1173" i="10"/>
  <c r="D1215" i="10"/>
  <c r="D1374" i="10"/>
  <c r="D1311" i="10"/>
  <c r="D1231" i="10"/>
  <c r="D920" i="10"/>
  <c r="D880" i="10"/>
  <c r="D840" i="10"/>
  <c r="D804" i="10"/>
  <c r="D764" i="10"/>
  <c r="D703" i="10"/>
  <c r="D655" i="10"/>
  <c r="D624" i="10"/>
  <c r="D578" i="10"/>
  <c r="D503" i="10"/>
  <c r="D461" i="10"/>
  <c r="D422" i="10"/>
  <c r="D1401" i="10"/>
  <c r="D1380" i="10"/>
  <c r="D1358" i="10"/>
  <c r="D1140" i="10"/>
  <c r="D1021" i="10"/>
  <c r="D978" i="10"/>
  <c r="D702" i="10"/>
  <c r="D564" i="10"/>
  <c r="D1400" i="10"/>
  <c r="D1370" i="10"/>
  <c r="D1332" i="10"/>
  <c r="D1253" i="10"/>
  <c r="D1192" i="10"/>
  <c r="D1155" i="10"/>
  <c r="D1110" i="10"/>
  <c r="D993" i="10"/>
  <c r="D893" i="10"/>
  <c r="D839" i="10"/>
  <c r="D793" i="10"/>
  <c r="D735" i="10"/>
  <c r="D332" i="10"/>
  <c r="D28" i="10"/>
  <c r="D14" i="10"/>
  <c r="D1399" i="10"/>
  <c r="D1220" i="10"/>
  <c r="D1154" i="10"/>
  <c r="D838" i="10"/>
  <c r="D733" i="10"/>
  <c r="D331" i="10"/>
  <c r="D27" i="10"/>
  <c r="D1139" i="10"/>
  <c r="D906" i="10"/>
  <c r="D858" i="10"/>
  <c r="D826" i="10"/>
  <c r="D781" i="10"/>
  <c r="D742" i="10"/>
  <c r="D713" i="10"/>
  <c r="D679" i="10"/>
  <c r="D642" i="10"/>
  <c r="D599" i="10"/>
  <c r="D561" i="10"/>
  <c r="D518" i="10"/>
  <c r="D482" i="10"/>
  <c r="D843" i="10"/>
  <c r="D562" i="10"/>
  <c r="D333" i="10"/>
  <c r="D1225" i="10"/>
  <c r="D1043" i="10"/>
  <c r="D1001" i="10"/>
  <c r="D901" i="10"/>
  <c r="D439" i="10"/>
  <c r="D1041" i="10"/>
  <c r="D330" i="10"/>
  <c r="D8" i="10"/>
  <c r="D1381" i="10"/>
  <c r="D1361" i="10"/>
  <c r="D1340" i="10"/>
  <c r="D1294" i="10"/>
  <c r="D1237" i="10"/>
  <c r="D1135" i="10"/>
  <c r="D1000" i="10"/>
  <c r="D778" i="10"/>
  <c r="D737" i="10"/>
  <c r="D620" i="10"/>
  <c r="D557" i="10"/>
  <c r="D538" i="10"/>
  <c r="D511" i="10"/>
  <c r="D325" i="10"/>
  <c r="D773" i="10"/>
  <c r="D1293" i="10"/>
  <c r="D323" i="10"/>
  <c r="D1274" i="10"/>
  <c r="D322" i="10"/>
  <c r="D1312" i="10"/>
  <c r="D320" i="10"/>
  <c r="D1271" i="10"/>
  <c r="D1227" i="10"/>
  <c r="D972" i="10"/>
  <c r="D1351" i="10"/>
  <c r="D1270" i="10"/>
  <c r="D1132" i="10"/>
  <c r="D1013" i="10"/>
  <c r="D1269" i="10"/>
  <c r="D1234" i="10"/>
  <c r="D1202" i="10"/>
  <c r="D1171" i="10"/>
  <c r="D1131" i="10"/>
  <c r="D1012" i="10"/>
  <c r="D973" i="10"/>
  <c r="D929" i="10"/>
  <c r="D813" i="10"/>
  <c r="D752" i="10"/>
  <c r="D691" i="10"/>
  <c r="D381" i="10"/>
  <c r="D673" i="10"/>
  <c r="D393" i="10"/>
  <c r="D1315" i="10"/>
  <c r="D760" i="10"/>
  <c r="D1352" i="10"/>
  <c r="D1072" i="10"/>
  <c r="D392" i="10"/>
  <c r="D746" i="10"/>
  <c r="D1235" i="10"/>
  <c r="D1172" i="10"/>
  <c r="D815" i="10"/>
  <c r="D692" i="10"/>
  <c r="D319" i="10"/>
  <c r="D1378" i="10"/>
  <c r="D1349" i="10"/>
  <c r="D1268" i="10"/>
  <c r="D1233" i="10"/>
  <c r="D1201" i="10"/>
  <c r="D1061" i="10"/>
  <c r="D971" i="10"/>
  <c r="D853" i="10"/>
  <c r="D812" i="10"/>
  <c r="D751" i="10"/>
  <c r="D504" i="10"/>
  <c r="D380" i="10"/>
  <c r="D343" i="10"/>
  <c r="D24" i="10"/>
  <c r="D389" i="10"/>
  <c r="D361" i="10"/>
  <c r="D345" i="10"/>
  <c r="D571" i="10"/>
  <c r="D768" i="10"/>
  <c r="D870" i="10"/>
  <c r="D759" i="10"/>
  <c r="D3" i="10"/>
  <c r="D758" i="10"/>
  <c r="D1272" i="10"/>
  <c r="D1133" i="10"/>
  <c r="D1015" i="10"/>
  <c r="D931" i="10"/>
  <c r="D1377" i="10"/>
  <c r="D1060" i="10"/>
  <c r="D852" i="10"/>
  <c r="D501" i="10"/>
  <c r="D342" i="10"/>
  <c r="D985" i="10"/>
  <c r="D945" i="10"/>
  <c r="D885" i="10"/>
  <c r="D645" i="10"/>
  <c r="D625" i="10"/>
  <c r="D425" i="10"/>
  <c r="D401" i="10"/>
  <c r="D382" i="10"/>
  <c r="D362" i="10"/>
  <c r="D1088" i="10"/>
  <c r="D1065" i="10"/>
  <c r="D944" i="10"/>
  <c r="D844" i="10"/>
  <c r="D820" i="10"/>
  <c r="D769" i="10"/>
  <c r="D744" i="10"/>
  <c r="D720" i="10"/>
  <c r="D644" i="10"/>
  <c r="D619" i="10"/>
  <c r="D563" i="10"/>
  <c r="D506" i="10"/>
  <c r="D364" i="10"/>
  <c r="D565" i="10"/>
  <c r="D568" i="10"/>
  <c r="D485" i="10"/>
  <c r="D488" i="10"/>
  <c r="D1086" i="10"/>
  <c r="D867" i="10"/>
  <c r="D842" i="10"/>
  <c r="D767" i="10"/>
  <c r="D718" i="10"/>
  <c r="D667" i="10"/>
  <c r="D613" i="10"/>
  <c r="D588" i="10"/>
  <c r="D446" i="10"/>
  <c r="D390" i="10"/>
  <c r="D685" i="10"/>
  <c r="D665" i="10"/>
  <c r="D605" i="10"/>
  <c r="D545" i="10"/>
  <c r="D548" i="10"/>
  <c r="D445" i="10"/>
  <c r="D448" i="10"/>
  <c r="D1062" i="10"/>
  <c r="D505" i="10"/>
  <c r="D508" i="10"/>
  <c r="D1264" i="10"/>
  <c r="D864" i="10"/>
  <c r="D443" i="10"/>
  <c r="D387" i="10"/>
  <c r="D925" i="10"/>
  <c r="D845" i="10"/>
  <c r="D805" i="10"/>
  <c r="D785" i="10"/>
  <c r="D765" i="10"/>
  <c r="D745" i="10"/>
  <c r="D465" i="10"/>
  <c r="D468" i="10"/>
  <c r="D405" i="10"/>
  <c r="D365" i="10"/>
  <c r="D666" i="10"/>
  <c r="D1307" i="10"/>
  <c r="D1263" i="10"/>
  <c r="D1241" i="10"/>
  <c r="D1106" i="10"/>
  <c r="D1083" i="10"/>
  <c r="D963" i="10"/>
  <c r="D939" i="10"/>
  <c r="D863" i="10"/>
  <c r="D788" i="10"/>
  <c r="D763" i="10"/>
  <c r="D688" i="10"/>
  <c r="D663" i="10"/>
  <c r="D610" i="10"/>
  <c r="D584" i="10"/>
  <c r="D527" i="10"/>
  <c r="D442" i="10"/>
  <c r="D386" i="10"/>
  <c r="D866" i="10"/>
  <c r="D611" i="10"/>
  <c r="D938" i="10"/>
  <c r="D911" i="10"/>
  <c r="D862" i="10"/>
  <c r="D787" i="10"/>
  <c r="D762" i="10"/>
  <c r="D687" i="10"/>
  <c r="D662" i="10"/>
  <c r="D609" i="10"/>
  <c r="D583" i="10"/>
  <c r="D526" i="10"/>
  <c r="D441" i="10"/>
  <c r="D384" i="10"/>
  <c r="D705" i="10"/>
  <c r="D786" i="10"/>
  <c r="D608" i="10"/>
  <c r="D582" i="10"/>
  <c r="D524" i="10"/>
  <c r="D467" i="10"/>
  <c r="D383" i="10"/>
  <c r="D1177" i="10"/>
  <c r="D1157" i="10"/>
  <c r="D1097" i="10"/>
  <c r="D977" i="10"/>
  <c r="D825" i="10"/>
  <c r="D677" i="10"/>
  <c r="D525" i="10"/>
  <c r="D1243" i="10"/>
  <c r="D1242" i="10"/>
  <c r="D1262" i="10"/>
  <c r="D686" i="10"/>
  <c r="D1126" i="10"/>
  <c r="D1103" i="10"/>
  <c r="D1080" i="10"/>
  <c r="D1031" i="10"/>
  <c r="D984" i="10"/>
  <c r="D909" i="10"/>
  <c r="D884" i="10"/>
  <c r="D860" i="10"/>
  <c r="D784" i="10"/>
  <c r="D684" i="10"/>
  <c r="D660" i="10"/>
  <c r="D607" i="10"/>
  <c r="D581" i="10"/>
  <c r="D523" i="10"/>
  <c r="D466" i="10"/>
  <c r="D586" i="10"/>
  <c r="D1081" i="10"/>
  <c r="D761" i="10"/>
  <c r="D1079" i="10"/>
  <c r="D783" i="10"/>
  <c r="D580" i="10"/>
  <c r="D522" i="10"/>
  <c r="D464" i="10"/>
  <c r="D1256" i="10"/>
  <c r="D1257" i="10"/>
  <c r="D996" i="10"/>
  <c r="D997" i="10"/>
  <c r="D956" i="10"/>
  <c r="D957" i="10"/>
  <c r="D916" i="10"/>
  <c r="D917" i="10"/>
  <c r="D876" i="10"/>
  <c r="D877" i="10"/>
  <c r="D596" i="10"/>
  <c r="D597" i="10"/>
  <c r="D476" i="10"/>
  <c r="D477" i="10"/>
  <c r="D456" i="10"/>
  <c r="D457" i="10"/>
  <c r="D416" i="10"/>
  <c r="D417" i="10"/>
  <c r="D376" i="10"/>
  <c r="D377" i="10"/>
  <c r="D356" i="10"/>
  <c r="D357" i="10"/>
  <c r="D942" i="10"/>
  <c r="D1085" i="10"/>
  <c r="D861" i="10"/>
  <c r="D1282" i="10"/>
  <c r="D683" i="10"/>
  <c r="D1280" i="10"/>
  <c r="D782" i="10"/>
  <c r="D604" i="10"/>
  <c r="D579" i="10"/>
  <c r="D549" i="10"/>
  <c r="D521" i="10"/>
  <c r="D463" i="10"/>
  <c r="D1356" i="10"/>
  <c r="D1076" i="10"/>
  <c r="D1077" i="10"/>
  <c r="D896" i="10"/>
  <c r="D897" i="10"/>
  <c r="D796" i="10"/>
  <c r="D797" i="10"/>
  <c r="D756" i="10"/>
  <c r="D757" i="10"/>
  <c r="D495" i="10"/>
  <c r="D496" i="10"/>
  <c r="D497" i="10"/>
  <c r="D967" i="10"/>
  <c r="D587" i="10"/>
  <c r="D385" i="10"/>
  <c r="D388" i="10"/>
  <c r="D1306" i="10"/>
  <c r="D1032" i="10"/>
  <c r="D859" i="10"/>
  <c r="D1146" i="10"/>
  <c r="D1345" i="10"/>
  <c r="D547" i="10"/>
  <c r="D520" i="10"/>
  <c r="D462" i="10"/>
  <c r="D406" i="10"/>
  <c r="D1396" i="10"/>
  <c r="D1336" i="10"/>
  <c r="D1337" i="10"/>
  <c r="D1216" i="10"/>
  <c r="D1217" i="10"/>
  <c r="D1114" i="10"/>
  <c r="D1116" i="10"/>
  <c r="D1117" i="10"/>
  <c r="D994" i="10"/>
  <c r="D974" i="10"/>
  <c r="D976" i="10"/>
  <c r="D854" i="10"/>
  <c r="D856" i="10"/>
  <c r="D857" i="10"/>
  <c r="D834" i="10"/>
  <c r="D836" i="10"/>
  <c r="D837" i="10"/>
  <c r="D654" i="10"/>
  <c r="D656" i="10"/>
  <c r="D657" i="10"/>
  <c r="D614" i="10"/>
  <c r="D615" i="10"/>
  <c r="D616" i="10"/>
  <c r="D617" i="10"/>
  <c r="D554" i="10"/>
  <c r="D555" i="10"/>
  <c r="D556" i="10"/>
  <c r="D394" i="10"/>
  <c r="D395" i="10"/>
  <c r="D396" i="10"/>
  <c r="D397" i="10"/>
  <c r="D789" i="10"/>
  <c r="D1082" i="10"/>
  <c r="D1261" i="10"/>
  <c r="D1346" i="10"/>
  <c r="D1078" i="10"/>
  <c r="D729" i="10"/>
  <c r="D704" i="10"/>
  <c r="D680" i="10"/>
  <c r="D602" i="10"/>
  <c r="D546" i="10"/>
  <c r="D519" i="10"/>
  <c r="D404" i="10"/>
  <c r="D1376" i="10"/>
  <c r="D1296" i="10"/>
  <c r="D1297" i="10"/>
  <c r="D1276" i="10"/>
  <c r="D1277" i="10"/>
  <c r="D1196" i="10"/>
  <c r="D1197" i="10"/>
  <c r="D1054" i="10"/>
  <c r="D1056" i="10"/>
  <c r="D1057" i="10"/>
  <c r="D1034" i="10"/>
  <c r="D1036" i="10"/>
  <c r="D1037" i="10"/>
  <c r="D934" i="10"/>
  <c r="D936" i="10"/>
  <c r="D937" i="10"/>
  <c r="D754" i="10"/>
  <c r="D714" i="10"/>
  <c r="D716" i="10"/>
  <c r="D717" i="10"/>
  <c r="D434" i="10"/>
  <c r="D435" i="10"/>
  <c r="D436" i="10"/>
  <c r="D437" i="10"/>
  <c r="D374" i="10"/>
  <c r="D375" i="10"/>
  <c r="D612" i="10"/>
  <c r="D905" i="10"/>
  <c r="D1105" i="10"/>
  <c r="D1283" i="10"/>
  <c r="D707" i="10"/>
  <c r="D706" i="10"/>
  <c r="D1004" i="10"/>
  <c r="D601" i="10"/>
  <c r="D403" i="10"/>
  <c r="D1156" i="10"/>
  <c r="D914" i="10"/>
  <c r="D734" i="10"/>
  <c r="D736" i="10"/>
  <c r="D910" i="10"/>
  <c r="D1303" i="10"/>
  <c r="D1030" i="10"/>
  <c r="D1029" i="10"/>
  <c r="D731" i="10"/>
  <c r="D1301" i="10"/>
  <c r="D1145" i="10"/>
  <c r="D881" i="10"/>
  <c r="D681" i="10"/>
  <c r="D1300" i="10"/>
  <c r="D1122" i="10"/>
  <c r="D904" i="10"/>
  <c r="D1406" i="10"/>
  <c r="D1026" i="10"/>
  <c r="D1384" i="10"/>
  <c r="D1142" i="10"/>
  <c r="D1120" i="10"/>
  <c r="D1048" i="10"/>
  <c r="D1025" i="10"/>
  <c r="D1002" i="10"/>
  <c r="D902" i="10"/>
  <c r="D802" i="10"/>
  <c r="D727" i="10"/>
  <c r="D678" i="10"/>
  <c r="D626" i="10"/>
  <c r="D600" i="10"/>
  <c r="D543" i="10"/>
  <c r="D513" i="10"/>
  <c r="D486" i="10"/>
  <c r="D459" i="10"/>
  <c r="D402" i="10"/>
  <c r="D1316" i="10"/>
  <c r="D1317" i="10"/>
  <c r="D1074" i="10"/>
  <c r="D814" i="10"/>
  <c r="D816" i="10"/>
  <c r="D817" i="10"/>
  <c r="D794" i="10"/>
  <c r="D1284" i="10"/>
  <c r="D1125" i="10"/>
  <c r="D883" i="10"/>
  <c r="D1302" i="10"/>
  <c r="D1124" i="10"/>
  <c r="D882" i="10"/>
  <c r="D658" i="10"/>
  <c r="D1028" i="10"/>
  <c r="D603" i="10"/>
  <c r="D1322" i="10"/>
  <c r="D1321" i="10"/>
  <c r="D1098" i="10"/>
  <c r="D903" i="10"/>
  <c r="D803" i="10"/>
  <c r="D728" i="10"/>
  <c r="D1342" i="10"/>
  <c r="D1164" i="10"/>
  <c r="D1383" i="10"/>
  <c r="D1319" i="10"/>
  <c r="D1163" i="10"/>
  <c r="D1047" i="10"/>
  <c r="D926" i="10"/>
  <c r="D801" i="10"/>
  <c r="D701" i="10"/>
  <c r="D484" i="10"/>
  <c r="D1137" i="10"/>
  <c r="D1094" i="10"/>
  <c r="D1014" i="10"/>
  <c r="D1016" i="10"/>
  <c r="D1017" i="10"/>
  <c r="D954" i="10"/>
  <c r="D894" i="10"/>
  <c r="D874" i="10"/>
  <c r="D774" i="10"/>
  <c r="D776" i="10"/>
  <c r="D777" i="10"/>
  <c r="D694" i="10"/>
  <c r="D696" i="10"/>
  <c r="D697" i="10"/>
  <c r="D674" i="10"/>
  <c r="D634" i="10"/>
  <c r="D635" i="10"/>
  <c r="D637" i="10"/>
  <c r="D594" i="10"/>
  <c r="D595" i="10"/>
  <c r="D574" i="10"/>
  <c r="D575" i="10"/>
  <c r="D576" i="10"/>
  <c r="D577" i="10"/>
  <c r="D534" i="10"/>
  <c r="D535" i="10"/>
  <c r="D537" i="10"/>
  <c r="D528" i="10"/>
  <c r="D514" i="10"/>
  <c r="D515" i="10"/>
  <c r="D517" i="10"/>
  <c r="D494" i="10"/>
  <c r="D474" i="10"/>
  <c r="D475" i="10"/>
  <c r="D454" i="10"/>
  <c r="D455" i="10"/>
  <c r="D428" i="10"/>
  <c r="D414" i="10"/>
  <c r="D415" i="10"/>
  <c r="D368" i="10"/>
  <c r="D354" i="10"/>
  <c r="D355" i="10"/>
  <c r="D1304" i="10"/>
  <c r="D983" i="10"/>
  <c r="D659" i="10"/>
  <c r="D855" i="10"/>
  <c r="D1027" i="10"/>
  <c r="D1121" i="10"/>
  <c r="D1320" i="10"/>
  <c r="D1186" i="10"/>
  <c r="D1362" i="10"/>
  <c r="D1185" i="10"/>
  <c r="D1070" i="10"/>
  <c r="D726" i="10"/>
  <c r="D1184" i="10"/>
  <c r="D1046" i="10"/>
  <c r="D924" i="10"/>
  <c r="D724" i="10"/>
  <c r="D700" i="10"/>
  <c r="D623" i="10"/>
  <c r="D598" i="10"/>
  <c r="D569" i="10"/>
  <c r="D541" i="10"/>
  <c r="D483" i="10"/>
  <c r="D426" i="10"/>
  <c r="D400" i="10"/>
  <c r="D1136" i="10"/>
  <c r="D676" i="10"/>
  <c r="D636" i="10"/>
  <c r="D536" i="10"/>
  <c r="D516" i="10"/>
  <c r="D965" i="10"/>
  <c r="D661" i="10"/>
  <c r="D908" i="10"/>
  <c r="D1324" i="10"/>
  <c r="D1101" i="10"/>
  <c r="D682" i="10"/>
  <c r="D1344" i="10"/>
  <c r="D1099" i="10"/>
  <c r="D1364" i="10"/>
  <c r="D1404" i="10"/>
  <c r="D1341" i="10"/>
  <c r="D1207" i="10"/>
  <c r="D1141" i="10"/>
  <c r="D1403" i="10"/>
  <c r="D1382" i="10"/>
  <c r="D1206" i="10"/>
  <c r="D1069" i="10"/>
  <c r="D1023" i="10"/>
  <c r="D949" i="10"/>
  <c r="D900" i="10"/>
  <c r="D824" i="10"/>
  <c r="D800" i="10"/>
  <c r="D1402" i="10"/>
  <c r="D1360" i="10"/>
  <c r="D1339" i="10"/>
  <c r="D1205" i="10"/>
  <c r="D1161" i="10"/>
  <c r="D1115" i="10"/>
  <c r="D1091" i="10"/>
  <c r="D1068" i="10"/>
  <c r="D1045" i="10"/>
  <c r="D1022" i="10"/>
  <c r="D999" i="10"/>
  <c r="D948" i="10"/>
  <c r="D923" i="10"/>
  <c r="D899" i="10"/>
  <c r="D872" i="10"/>
  <c r="D823" i="10"/>
  <c r="D799" i="10"/>
  <c r="D772" i="10"/>
  <c r="D748" i="10"/>
  <c r="D723" i="10"/>
  <c r="D699" i="10"/>
  <c r="D672" i="10"/>
  <c r="D648" i="10"/>
  <c r="D622" i="10"/>
  <c r="D593" i="10"/>
  <c r="D567" i="10"/>
  <c r="D540" i="10"/>
  <c r="D510" i="10"/>
  <c r="D452" i="10"/>
  <c r="D424" i="10"/>
  <c r="D399" i="10"/>
  <c r="D369" i="10"/>
  <c r="D1222" i="10"/>
  <c r="D964" i="10"/>
  <c r="D1102" i="10"/>
  <c r="D907" i="10"/>
  <c r="D1386" i="10"/>
  <c r="D1359" i="10"/>
  <c r="D1182" i="10"/>
  <c r="D1160" i="10"/>
  <c r="D1067" i="10"/>
  <c r="D1044" i="10"/>
  <c r="D998" i="10"/>
  <c r="D947" i="10"/>
  <c r="D922" i="10"/>
  <c r="D898" i="10"/>
  <c r="D871" i="10"/>
  <c r="D822" i="10"/>
  <c r="D798" i="10"/>
  <c r="D771" i="10"/>
  <c r="D747" i="10"/>
  <c r="D722" i="10"/>
  <c r="D698" i="10"/>
  <c r="D671" i="10"/>
  <c r="D647" i="10"/>
  <c r="D621" i="10"/>
  <c r="D592" i="10"/>
  <c r="D566" i="10"/>
  <c r="D539" i="10"/>
  <c r="D509" i="10"/>
  <c r="D481" i="10"/>
  <c r="D451" i="10"/>
  <c r="D423" i="10"/>
  <c r="D398" i="10"/>
  <c r="D367" i="10"/>
  <c r="D1236" i="10"/>
  <c r="D730" i="10"/>
  <c r="D1144" i="10"/>
  <c r="D1181" i="10"/>
  <c r="D1159" i="10"/>
  <c r="D946" i="10"/>
  <c r="D921" i="10"/>
  <c r="D895" i="10"/>
  <c r="D846" i="10"/>
  <c r="D821" i="10"/>
  <c r="D795" i="10"/>
  <c r="D770" i="10"/>
  <c r="D721" i="10"/>
  <c r="D695" i="10"/>
  <c r="D670" i="10"/>
  <c r="D646" i="10"/>
  <c r="D591" i="10"/>
  <c r="D507" i="10"/>
  <c r="D480" i="10"/>
  <c r="D450" i="10"/>
  <c r="D366" i="10"/>
  <c r="D336" i="10"/>
  <c r="D335" i="10"/>
  <c r="D23" i="10"/>
  <c r="D22" i="10"/>
  <c r="D21" i="10"/>
  <c r="D19" i="10"/>
  <c r="D18" i="10"/>
  <c r="D12" i="10"/>
  <c r="D10" i="10"/>
  <c r="D9" i="10"/>
  <c r="D6" i="10"/>
  <c r="D5" i="10"/>
  <c r="D4" i="10"/>
  <c r="R21" i="4"/>
  <c r="N21" i="4"/>
  <c r="F4" i="4"/>
  <c r="F5" i="4" s="1"/>
  <c r="T23" i="3"/>
  <c r="F4" i="3"/>
  <c r="F14" i="2"/>
  <c r="E14" i="2"/>
  <c r="D14" i="2"/>
  <c r="A8" i="2"/>
  <c r="F4" i="2"/>
  <c r="E4" i="2"/>
  <c r="A4" i="2"/>
  <c r="D3" i="2" s="1"/>
  <c r="C11" i="3" l="1"/>
  <c r="J13" i="2"/>
  <c r="R19" i="4"/>
  <c r="J4" i="4"/>
  <c r="J10" i="4"/>
  <c r="N10" i="4" s="1"/>
  <c r="J18" i="4"/>
  <c r="N18" i="4" s="1"/>
  <c r="R9" i="4"/>
  <c r="J9" i="4"/>
  <c r="N9" i="4" s="1"/>
  <c r="J17" i="4"/>
  <c r="J15" i="4"/>
  <c r="N15" i="4" s="1"/>
  <c r="R14" i="4"/>
  <c r="M5" i="4"/>
  <c r="J5" i="4"/>
  <c r="N5" i="4" s="1"/>
  <c r="M14" i="4"/>
  <c r="J14" i="4"/>
  <c r="N14" i="4" s="1"/>
  <c r="R4" i="4"/>
  <c r="M17" i="4"/>
  <c r="M7" i="4"/>
  <c r="J13" i="4"/>
  <c r="N13" i="4" s="1"/>
  <c r="R16" i="4"/>
  <c r="J7" i="4"/>
  <c r="R5" i="4"/>
  <c r="R12" i="4"/>
  <c r="M4" i="4"/>
  <c r="M11" i="4"/>
  <c r="M19" i="4"/>
  <c r="J11" i="4"/>
  <c r="J19" i="4"/>
  <c r="R17" i="4"/>
  <c r="J5" i="2"/>
  <c r="J4" i="2"/>
  <c r="A10" i="2"/>
  <c r="J3" i="2"/>
  <c r="J6" i="2" s="1"/>
  <c r="J7" i="2" s="1"/>
  <c r="F5" i="3"/>
  <c r="T16" i="3" s="1"/>
  <c r="J14" i="2"/>
  <c r="J15" i="2"/>
  <c r="A12" i="2"/>
  <c r="N19" i="4" l="1"/>
  <c r="J16" i="2"/>
  <c r="J17" i="2" s="1"/>
  <c r="J19" i="2" s="1"/>
  <c r="N7" i="4"/>
  <c r="O19" i="3"/>
  <c r="O7" i="3"/>
  <c r="L7" i="3"/>
  <c r="T19" i="3"/>
  <c r="O11" i="3"/>
  <c r="N11" i="4"/>
  <c r="N4" i="4"/>
  <c r="L4" i="3"/>
  <c r="R20" i="4"/>
  <c r="R22" i="4" s="1"/>
  <c r="L18" i="3"/>
  <c r="P18" i="3" s="1"/>
  <c r="T4" i="3"/>
  <c r="L10" i="3"/>
  <c r="P10" i="3" s="1"/>
  <c r="T9" i="3"/>
  <c r="O17" i="3"/>
  <c r="T17" i="3"/>
  <c r="N17" i="4"/>
  <c r="T12" i="3"/>
  <c r="T14" i="3"/>
  <c r="L11" i="3"/>
  <c r="O4" i="3"/>
  <c r="L19" i="3"/>
  <c r="J8" i="2"/>
  <c r="J9" i="2"/>
  <c r="L14" i="3"/>
  <c r="L5" i="3"/>
  <c r="L13" i="3"/>
  <c r="P13" i="3" s="1"/>
  <c r="L15" i="3"/>
  <c r="P15" i="3" s="1"/>
  <c r="T5" i="3"/>
  <c r="L9" i="3"/>
  <c r="P9" i="3" s="1"/>
  <c r="O14" i="3"/>
  <c r="L17" i="3"/>
  <c r="O5" i="3"/>
  <c r="N20" i="4" l="1"/>
  <c r="N22" i="4" s="1"/>
  <c r="J18" i="2"/>
  <c r="P7" i="3"/>
  <c r="P19" i="3"/>
  <c r="P11" i="3"/>
  <c r="P17" i="3"/>
  <c r="T20" i="3"/>
  <c r="P5" i="3"/>
  <c r="P4" i="3"/>
  <c r="P14" i="3"/>
  <c r="T21" i="3" l="1"/>
  <c r="T22" i="3" s="1"/>
  <c r="P20" i="3"/>
  <c r="P21" i="3" l="1"/>
  <c r="P22" i="3" s="1"/>
  <c r="T24" i="3"/>
  <c r="T25" i="3" s="1"/>
  <c r="P24" i="3" l="1"/>
  <c r="P25" i="3" s="1"/>
</calcChain>
</file>

<file path=xl/sharedStrings.xml><?xml version="1.0" encoding="utf-8"?>
<sst xmlns="http://schemas.openxmlformats.org/spreadsheetml/2006/main" count="3657" uniqueCount="655">
  <si>
    <t>PORTE DO IMÓVEL</t>
  </si>
  <si>
    <t>FATOR</t>
  </si>
  <si>
    <t>50 ha</t>
  </si>
  <si>
    <t>100 ha</t>
  </si>
  <si>
    <t>200 ha</t>
  </si>
  <si>
    <t>500 ha</t>
  </si>
  <si>
    <t>1000 ha</t>
  </si>
  <si>
    <t>CLASSE DA ÁREA DESMATADA</t>
  </si>
  <si>
    <t>4 (até 50 ha)</t>
  </si>
  <si>
    <t>5 (maior eu 50 até 500 ha)</t>
  </si>
  <si>
    <t>6 (maior que 500 ha)</t>
  </si>
  <si>
    <t>TIPOLOGIA ÁREA DESMATADA</t>
  </si>
  <si>
    <t>Passível</t>
  </si>
  <si>
    <t>Protegidas Permitidas</t>
  </si>
  <si>
    <t>Protegidas Não Permitidas</t>
  </si>
  <si>
    <t>TIPOLOGIA DA COMPENSAÇÃO</t>
  </si>
  <si>
    <t>Florestal</t>
  </si>
  <si>
    <t>Danos</t>
  </si>
  <si>
    <t>Valor final: Valor do Pagamento x Hectares Desmatados</t>
  </si>
  <si>
    <t>MUNICÍPIO</t>
  </si>
  <si>
    <t>SIMULADOR INCRA</t>
  </si>
  <si>
    <t>CÁLCULO DO TETO</t>
  </si>
  <si>
    <t>MINACU</t>
  </si>
  <si>
    <t>VTI MÉDIO/ha</t>
  </si>
  <si>
    <t>PORTE DO IMÓVEL - FPI</t>
  </si>
  <si>
    <t>TAMANHO DA ÁREA DESMATADA - FTA</t>
  </si>
  <si>
    <t>TIPOLOGIA ÁREA DESMATADA - FTA</t>
  </si>
  <si>
    <t>ÁREA A SER COMPENSADA
(ha)</t>
  </si>
  <si>
    <t>VALOR DA COMPENSAÇÃO</t>
  </si>
  <si>
    <t>50% do valor total do imovel</t>
  </si>
  <si>
    <t>Mercados Regionais de Terras-MRT</t>
  </si>
  <si>
    <t xml:space="preserve">Pequeno (ate 4 modulos fiscais) </t>
  </si>
  <si>
    <t>Acima de 50 (cinquenta) e ate 100 (cem) hectares</t>
  </si>
  <si>
    <t>CÁLCULO DO PISO</t>
  </si>
  <si>
    <t>Cálculo da Compensação</t>
  </si>
  <si>
    <t>Valor final (R$)</t>
  </si>
  <si>
    <t>TAMANHO IMÓVEL(ha)</t>
  </si>
  <si>
    <t>1 a 1000</t>
  </si>
  <si>
    <t>TOTAL:</t>
  </si>
  <si>
    <t>1001 a 3000</t>
  </si>
  <si>
    <t>MÓDULOS FISCAIS</t>
  </si>
  <si>
    <t>PISO/TETO?</t>
  </si>
  <si>
    <t>3001 a 5000</t>
  </si>
  <si>
    <t>Desconto de 80%</t>
  </si>
  <si>
    <t>5001 a 6999</t>
  </si>
  <si>
    <t>VALOR IMÓVEL(ha) -INCRA</t>
  </si>
  <si>
    <t>Desconto de 20%</t>
  </si>
  <si>
    <t>VALOR IMÓVEL(ha) -RECEITA</t>
  </si>
  <si>
    <t>SIMULADOR RECEITA</t>
  </si>
  <si>
    <t>VALOR DE TERRA NUA/ha</t>
  </si>
  <si>
    <t>Exercício 2024</t>
  </si>
  <si>
    <t>SIMULADOR</t>
  </si>
  <si>
    <t>Compensação por Danos: supressão SEM autorização ou licença - arts. 14 (pré 12/2019) e 15 (pós 12/2019) da Lei estadual nº 21.231</t>
  </si>
  <si>
    <t>Compensação Florestal: supressão SEM autorização ou licença - arts. 14 (pré 12/2019) e 15 (pós 12/2019) da Lei estadual nº 21.231</t>
  </si>
  <si>
    <t>Compensação florestal autorizada - arts. 21 e 23 da Lei estadual nº 21.231</t>
  </si>
  <si>
    <t>VALOR POR HECTARE</t>
  </si>
  <si>
    <t>FATOR PORTE DO IMÓVEL - FPI</t>
  </si>
  <si>
    <t>TOTAL DESMATADO/ha</t>
  </si>
  <si>
    <t>FATOR CLASSE ÁREA DESMATADA - FCA</t>
  </si>
  <si>
    <t>TIPO DE ÁREA SUPRIMIDA</t>
  </si>
  <si>
    <t>FATOR MULTIPLICADOR COMPENSAÇÃO POR DANOS ATÉ 12/2019 - FMD-1</t>
  </si>
  <si>
    <t>ÁREA SUPRIMIDA (ha)</t>
  </si>
  <si>
    <t>VALOR PARCIAL CORRESPONDENTE</t>
  </si>
  <si>
    <t>FATOR MULTIPLICADOR COMPENSAÇÃO FLORESTAL ATÉ 12/2019 - FMF-1</t>
  </si>
  <si>
    <t>FATOR MULTIPLICADOR COMPENSAÇÃO FLORESTAL</t>
  </si>
  <si>
    <t xml:space="preserve">TAMANHO IMÓVEL/ha </t>
  </si>
  <si>
    <t>Área Passível</t>
  </si>
  <si>
    <t>APP/ uso restrito com intervenção permitida por lei - atividade ou obra de utilidade pública ou interesse social. Lei nº 12.651/2012, art. 3º, IX, alíneas e), f), g).</t>
  </si>
  <si>
    <t>APP/ uso restrito com intervenção permitida por lei - atividade ou obra de baixo impacto ou interesse social. Lei nº 12.651/2012, art. 3º, IX, alíneas a), b), c), d).</t>
  </si>
  <si>
    <t>ADEQUAÇÃO DE VALORES</t>
  </si>
  <si>
    <t xml:space="preserve">APP/ uso restrito com intervenção NÃO permitida por lei. </t>
  </si>
  <si>
    <t>VALOR IMÓVEL/ha - MÉDIAS</t>
  </si>
  <si>
    <t>Porte Pequeno</t>
  </si>
  <si>
    <t>Porte Médio</t>
  </si>
  <si>
    <t>Porte Grande</t>
  </si>
  <si>
    <t>RL com intervenção permitida por lei. Lei nº 12.651/2012, art. 3º, IX, alíneas a), b), c), d) ou pesquisa científica.</t>
  </si>
  <si>
    <t>RL com intervenção permitida por lei: utilidade pública e interesse social conforme Lei nº 12.651/2012, art. 3º, IX, alíneas e), f), g), exploração mineral ou construção de barragens mediante licenciamento.</t>
  </si>
  <si>
    <t>RL com intervenção NÃO permitida por lei.</t>
  </si>
  <si>
    <t>UC integral que admita supressão de vegetação nativa.</t>
  </si>
  <si>
    <t>UC integral que admita supressão de vegetação nativa, obrigatoriamente para implantação de obras ou serviços de utilidade pública.</t>
  </si>
  <si>
    <t>UC integral que NÃO admita supressão de vegetação nativa.</t>
  </si>
  <si>
    <t>UC de uso sustentável que admita supressão de vegetação nativa.</t>
  </si>
  <si>
    <t>50% do valor do imóvel</t>
  </si>
  <si>
    <t>65% do valor do imóvel</t>
  </si>
  <si>
    <t>80% do valor do imóvel</t>
  </si>
  <si>
    <t>UC de uso sustentável que NÃO admita supressão de vegetação nativa.</t>
  </si>
  <si>
    <t>UC de uso sustentável que NÃO admita supressão de vegetação nativa, obrigatoriamente para conversão do uso do solo mediante utilidade pública e interesse social.</t>
  </si>
  <si>
    <t>APA em zona que admita supressão de vegetação nativa, conforme Plano de Manejo.</t>
  </si>
  <si>
    <t>APA em zona que NÃO admita supressão de vegetação nativa, conforme Plano de Manejo.</t>
  </si>
  <si>
    <t>Zona de Amortecimento.</t>
  </si>
  <si>
    <t>HECTARES DEVIDOS</t>
  </si>
  <si>
    <t>VALOR POR HECTARE DEVIDO</t>
  </si>
  <si>
    <t>VALOR ESTADUAL MÉDIO POR HECTARE</t>
  </si>
  <si>
    <t>MÓDULO FISCAL</t>
  </si>
  <si>
    <t>Pequeno (ate 4 modulos fiscais)</t>
  </si>
  <si>
    <t>ABADIA DE GOIAS</t>
  </si>
  <si>
    <t>Medio (superior a 4 e ate 15 modulos fiscais)</t>
  </si>
  <si>
    <t>ABADIANIA</t>
  </si>
  <si>
    <t>Grande (superior a 15 modulos fiscais)</t>
  </si>
  <si>
    <t>ACREUNA</t>
  </si>
  <si>
    <t>ADELANDIA</t>
  </si>
  <si>
    <t>FATOR DE CLASSE DA ÁREA DESMATADA - FCA</t>
  </si>
  <si>
    <t>AGUA FRIA DE GOIAS</t>
  </si>
  <si>
    <t>Ate 20 (vinte) hectares</t>
  </si>
  <si>
    <t>AGUA LIMPA</t>
  </si>
  <si>
    <t>Acima de 20 (vinte) e ate 50 (cinquenta) hectares</t>
  </si>
  <si>
    <t>AGUAS LINDAS DE GOIAS</t>
  </si>
  <si>
    <t>ALEXANIA</t>
  </si>
  <si>
    <t>Acima de 100 (cem) e ate 500 (quinhentos) hectares</t>
  </si>
  <si>
    <t>ALOANDIA</t>
  </si>
  <si>
    <t>Acima de 500 (quinhentos) hectares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</si>
  <si>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</si>
  <si>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</si>
  <si>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</si>
  <si>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</si>
  <si>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</si>
  <si>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</si>
  <si>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</si>
  <si>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</si>
  <si>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</si>
  <si>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</si>
  <si>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</si>
  <si>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</si>
  <si>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</si>
  <si>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</si>
  <si>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</si>
  <si>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</si>
  <si>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</si>
  <si>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</si>
  <si>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</si>
  <si>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</si>
  <si>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</si>
  <si>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BARRO ALTO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</si>
  <si>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</si>
  <si>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</si>
  <si>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</si>
  <si>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</si>
  <si>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</si>
  <si>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</si>
  <si>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</si>
  <si>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</si>
  <si>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</si>
  <si>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</si>
  <si>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</si>
  <si>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</si>
  <si>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</si>
  <si>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</si>
  <si>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</si>
  <si>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CAIAPANIA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</si>
  <si>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</si>
  <si>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</si>
  <si>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</si>
  <si>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</si>
  <si>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</si>
  <si>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</si>
  <si>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</si>
  <si>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</si>
  <si>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</si>
  <si>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</si>
  <si>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</si>
  <si>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</si>
  <si>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</si>
  <si>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</si>
  <si>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</si>
  <si>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</si>
  <si>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</si>
  <si>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</si>
  <si>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</si>
  <si>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</si>
  <si>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</si>
  <si>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</si>
  <si>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</si>
  <si>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</si>
  <si>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</si>
  <si>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</si>
  <si>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</si>
  <si>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</si>
  <si>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</si>
  <si>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</si>
  <si>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</si>
  <si>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</si>
  <si>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</si>
  <si>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</si>
  <si>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</si>
  <si>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</si>
  <si>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</si>
  <si>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</si>
  <si>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</si>
  <si>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</si>
  <si>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</si>
  <si>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</si>
  <si>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</si>
  <si>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</si>
  <si>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</si>
  <si>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</si>
  <si>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</si>
  <si>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</si>
  <si>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</si>
  <si>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</si>
  <si>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</si>
  <si>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</si>
  <si>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</si>
  <si>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</si>
  <si>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</si>
  <si>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</si>
  <si>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</si>
  <si>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HIDROLANDIA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</si>
  <si>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</si>
  <si>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</si>
  <si>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</si>
  <si>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</si>
  <si>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</si>
  <si>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</si>
  <si>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</si>
  <si>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</si>
  <si>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</si>
  <si>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</si>
  <si>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</si>
  <si>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</si>
  <si>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</si>
  <si>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</si>
  <si>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</si>
  <si>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</si>
  <si>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</si>
  <si>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</si>
  <si>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</si>
  <si>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</si>
  <si>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</si>
  <si>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</si>
  <si>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</si>
  <si>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</si>
  <si>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</si>
  <si>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</si>
  <si>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JUSSARA</t>
  </si>
  <si>
    <t>LAGOA SANTA</t>
  </si>
  <si>
    <t>LEOPOLDO DE BULH§ES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</si>
  <si>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</si>
  <si>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</si>
  <si>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</si>
  <si>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</si>
  <si>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</si>
  <si>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</si>
  <si>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</si>
  <si>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</si>
  <si>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</si>
  <si>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</si>
  <si>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</si>
  <si>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</si>
  <si>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</si>
  <si>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</si>
  <si>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MORRINHOS</t>
  </si>
  <si>
    <t>MORRO AGUDO DE GOIAS</t>
  </si>
  <si>
    <t>MOSSAMEDES</t>
  </si>
  <si>
    <t>MOZARLANDIA</t>
  </si>
  <si>
    <t>MUNDO NOVO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</si>
  <si>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</si>
  <si>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</si>
  <si>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</si>
  <si>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</si>
  <si>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</si>
  <si>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</si>
  <si>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</si>
  <si>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</si>
  <si>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</si>
  <si>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</si>
  <si>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</si>
  <si>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</si>
  <si>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</si>
  <si>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</si>
  <si>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</si>
  <si>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</si>
  <si>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</si>
  <si>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</si>
  <si>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</si>
  <si>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</si>
  <si>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</si>
  <si>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</si>
  <si>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</si>
  <si>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</si>
  <si>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</si>
  <si>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</si>
  <si>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</si>
  <si>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</si>
  <si>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</si>
  <si>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PIRANHAS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</si>
  <si>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</si>
  <si>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</si>
  <si>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</si>
  <si>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</si>
  <si>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</si>
  <si>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</si>
  <si>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</si>
  <si>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</si>
  <si>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</si>
  <si>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</si>
  <si>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</si>
  <si>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</si>
  <si>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</si>
  <si>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</si>
  <si>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</si>
  <si>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</si>
  <si>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</si>
  <si>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</si>
  <si>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</si>
  <si>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</si>
  <si>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</si>
  <si>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</si>
  <si>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</si>
  <si>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</si>
  <si>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</si>
  <si>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</si>
  <si>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ANTANIO DA BARRA</t>
  </si>
  <si>
    <t>SANTO ANTANIO DE GOIAS</t>
  </si>
  <si>
    <t>SANTO ANTANIO DO DESCOBERTO</t>
  </si>
  <si>
    <t>SAO DOMINGOS</t>
  </si>
  <si>
    <t>SAO FRANCISCO DE GOIAS</t>
  </si>
  <si>
    <t>SAO JOAO DA PARAUNA</t>
  </si>
  <si>
    <t>SAO JOAO D'ALIANCA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</si>
  <si>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</si>
  <si>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</si>
  <si>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</si>
  <si>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</si>
  <si>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</si>
  <si>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</si>
  <si>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</si>
  <si>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</si>
  <si>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</si>
  <si>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</si>
  <si>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</si>
  <si>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</si>
  <si>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</si>
  <si>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</si>
  <si>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</si>
  <si>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</si>
  <si>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</si>
  <si>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</si>
  <si>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</si>
  <si>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</si>
  <si>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</si>
  <si>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</si>
  <si>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</si>
  <si>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</si>
  <si>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</si>
  <si>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</si>
  <si>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</si>
  <si>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</si>
  <si>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</si>
  <si>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UF</t>
  </si>
  <si>
    <t>Nome Municipio</t>
  </si>
  <si>
    <t>Lavoura Aptidao Boa</t>
  </si>
  <si>
    <t>Lavoura Aptidao Regular</t>
  </si>
  <si>
    <t>Lavoura Aptidao Restrita</t>
  </si>
  <si>
    <t>Pastagem Plantada</t>
  </si>
  <si>
    <t>Silvicultura ou Pastagem Natural</t>
  </si>
  <si>
    <t>Preservacao da Fauna e da Flora</t>
  </si>
  <si>
    <t>GO</t>
  </si>
  <si>
    <t>CAIAPONIA</t>
  </si>
  <si>
    <t>LEOPOLDO DE BULHOES</t>
  </si>
  <si>
    <t>SANTO ANTONIO DA BARRA</t>
  </si>
  <si>
    <t>CIDADE</t>
  </si>
  <si>
    <t>FROTEIRA</t>
  </si>
  <si>
    <t>Valor Terra Nua / ha</t>
  </si>
  <si>
    <t>MÉDIA FRONTEIRAS</t>
  </si>
  <si>
    <t>Abadia de Goias</t>
  </si>
  <si>
    <t>Aparecida de Goiania</t>
  </si>
  <si>
    <t>Aragoiania</t>
  </si>
  <si>
    <t>Goiania</t>
  </si>
  <si>
    <t>Guapo</t>
  </si>
  <si>
    <t>Trindade</t>
  </si>
  <si>
    <t>Abadiania</t>
  </si>
  <si>
    <t>Alexania</t>
  </si>
  <si>
    <t>Anapolis</t>
  </si>
  <si>
    <t>Corumba de Goias</t>
  </si>
  <si>
    <t>Gameleira de Goias</t>
  </si>
  <si>
    <t>Pirenopolis</t>
  </si>
  <si>
    <t>Silvania</t>
  </si>
  <si>
    <t>Acreuna</t>
  </si>
  <si>
    <t>Edeia</t>
  </si>
  <si>
    <t>Indiara</t>
  </si>
  <si>
    <t>Jandaia</t>
  </si>
  <si>
    <t>Parauna</t>
  </si>
  <si>
    <t>Santa Helena de Goias</t>
  </si>
  <si>
    <t>Santo Antonio da Barra</t>
  </si>
  <si>
    <t>Turvelandia</t>
  </si>
  <si>
    <t>Adelandia</t>
  </si>
  <si>
    <t>Anicuns</t>
  </si>
  <si>
    <t>Mossamedes</t>
  </si>
  <si>
    <t>Sanclerlandia</t>
  </si>
  <si>
    <t>Sao Luis de Montes Belos</t>
  </si>
  <si>
    <t>Turvania</t>
  </si>
  <si>
    <t>Luziania</t>
  </si>
  <si>
    <t>Santo Antonio do Descoberto</t>
  </si>
  <si>
    <t>Aloandia</t>
  </si>
  <si>
    <t>Joviania</t>
  </si>
  <si>
    <t>Morrinhos</t>
  </si>
  <si>
    <t>Pontalina</t>
  </si>
  <si>
    <t>Alto Horizonte</t>
  </si>
  <si>
    <t>Campos Verdes</t>
  </si>
  <si>
    <t>Mara Rosa</t>
  </si>
  <si>
    <t>Nova Iguacu de Goias</t>
  </si>
  <si>
    <t>Pilar de Goias</t>
  </si>
  <si>
    <t>Alto Paraiso de Goias</t>
  </si>
  <si>
    <t>Cavalcante</t>
  </si>
  <si>
    <t>Colinas do Sul</t>
  </si>
  <si>
    <t>Niquelandia</t>
  </si>
  <si>
    <t>Nova Roma</t>
  </si>
  <si>
    <t>Sao Joao d'Alianca</t>
  </si>
  <si>
    <t>Teresina de Goias</t>
  </si>
  <si>
    <t>Alvorada do Norte</t>
  </si>
  <si>
    <t>Buritinopolis</t>
  </si>
  <si>
    <t>Flores de Goias</t>
  </si>
  <si>
    <t>Formoso</t>
  </si>
  <si>
    <t>Iaciara</t>
  </si>
  <si>
    <t>Posse</t>
  </si>
  <si>
    <t>Simolandia</t>
  </si>
  <si>
    <t>Sitio d'Abadia</t>
  </si>
  <si>
    <t>Amaralina</t>
  </si>
  <si>
    <t>Bonopolis</t>
  </si>
  <si>
    <t>Mundo Novo</t>
  </si>
  <si>
    <t>Mutunopolis</t>
  </si>
  <si>
    <t>Porangatu</t>
  </si>
  <si>
    <t>Uirapuru</t>
  </si>
  <si>
    <t>Americano do Brasil</t>
  </si>
  <si>
    <t>Itaberai</t>
  </si>
  <si>
    <t>Amorinopolis</t>
  </si>
  <si>
    <t>Ipora</t>
  </si>
  <si>
    <t>Ivolandia</t>
  </si>
  <si>
    <t>Anhanguera</t>
  </si>
  <si>
    <t>Araguari</t>
  </si>
  <si>
    <t>Cumari</t>
  </si>
  <si>
    <t>Avelinopolis</t>
  </si>
  <si>
    <t>Nazario</t>
  </si>
  <si>
    <t>Campo Limpo de Goias</t>
  </si>
  <si>
    <t>Goianapolis</t>
  </si>
  <si>
    <t>Leopoldo de Bulhoes</t>
  </si>
  <si>
    <t>Neropolis</t>
  </si>
  <si>
    <t>Ouro Verde de Goias</t>
  </si>
  <si>
    <t>Petrolina de Goias</t>
  </si>
  <si>
    <t>Terezopolis de Goias</t>
  </si>
  <si>
    <t>Bela Vista de Goias</t>
  </si>
  <si>
    <t>Hidrolandia</t>
  </si>
  <si>
    <t>Senador Canedo</t>
  </si>
  <si>
    <t>Aparecida do Rio Doce</t>
  </si>
  <si>
    <t>Cachoeira Alta</t>
  </si>
  <si>
    <t>Cacu</t>
  </si>
  <si>
    <t>Jatai</t>
  </si>
  <si>
    <t>Rio Verde</t>
  </si>
  <si>
    <t>Apore</t>
  </si>
  <si>
    <t>Chapadao do Ceu</t>
  </si>
  <si>
    <t>Chapadao do Sul</t>
  </si>
  <si>
    <t>Itaja</t>
  </si>
  <si>
    <t>Itaruma</t>
  </si>
  <si>
    <t>Serranopolis</t>
  </si>
  <si>
    <t>Aragarcas</t>
  </si>
  <si>
    <t>Baliza</t>
  </si>
  <si>
    <t>Barra do Garcas</t>
  </si>
  <si>
    <t>Bom Jardim de Goias</t>
  </si>
  <si>
    <t>Montes Claros de Goias</t>
  </si>
  <si>
    <t>Pontal do Araguaia</t>
  </si>
  <si>
    <t>Varjao</t>
  </si>
  <si>
    <t>Araguapaz</t>
  </si>
  <si>
    <t>Aruana</t>
  </si>
  <si>
    <t>Crixas</t>
  </si>
  <si>
    <t>Faina</t>
  </si>
  <si>
    <t>Matrincha</t>
  </si>
  <si>
    <t>Morro Agudo de Goias</t>
  </si>
  <si>
    <t>Mozarlandia</t>
  </si>
  <si>
    <t>Nova America</t>
  </si>
  <si>
    <t>Rubiataba</t>
  </si>
  <si>
    <t>Aracu</t>
  </si>
  <si>
    <t>Caturai</t>
  </si>
  <si>
    <t>Inhumas</t>
  </si>
  <si>
    <t>Itaucu</t>
  </si>
  <si>
    <t>Arenopolis</t>
  </si>
  <si>
    <t>Caiaponia</t>
  </si>
  <si>
    <t>Diorama</t>
  </si>
  <si>
    <t>Palestina de Goias</t>
  </si>
  <si>
    <t>Piranhas</t>
  </si>
  <si>
    <t>Britania</t>
  </si>
  <si>
    <t>Cocalinho</t>
  </si>
  <si>
    <t>Nova Crixas</t>
  </si>
  <si>
    <t>Aurilandia</t>
  </si>
  <si>
    <t>Cachoeira de Goias</t>
  </si>
  <si>
    <t>Corrego do Ouro</t>
  </si>
  <si>
    <t>Firminopolis</t>
  </si>
  <si>
    <t>Moipora</t>
  </si>
  <si>
    <t>Sao Joao da Parauna</t>
  </si>
  <si>
    <t>Santa Barbara de Goias</t>
  </si>
  <si>
    <t>Doverlandia</t>
  </si>
  <si>
    <t>Torixoreu</t>
  </si>
  <si>
    <t>Barro Alto</t>
  </si>
  <si>
    <t>Goianesia</t>
  </si>
  <si>
    <t>Santa Rita do Novo Destino</t>
  </si>
  <si>
    <t>Vila Propicio</t>
  </si>
  <si>
    <t>Caldazinha</t>
  </si>
  <si>
    <t>Cristianopolis</t>
  </si>
  <si>
    <t>Piracanjuba</t>
  </si>
  <si>
    <t>Sao Miguel do Passa Quatro</t>
  </si>
  <si>
    <t>Bom Jesus de Goias</t>
  </si>
  <si>
    <t>Castelandia</t>
  </si>
  <si>
    <t>Goiatuba</t>
  </si>
  <si>
    <t>Gouvelandia</t>
  </si>
  <si>
    <t>Inaciolandia</t>
  </si>
  <si>
    <t>Itumbiara</t>
  </si>
  <si>
    <t>Panama</t>
  </si>
  <si>
    <t>Quirinopolis</t>
  </si>
  <si>
    <t>Bonfinopolis</t>
  </si>
  <si>
    <t>Novo Planalto</t>
  </si>
  <si>
    <t>Sao Miguel do Araguaia</t>
  </si>
  <si>
    <t>Brazabrantes</t>
  </si>
  <si>
    <t>Damolandia</t>
  </si>
  <si>
    <t>Goianira</t>
  </si>
  <si>
    <t>Nova Veneza</t>
  </si>
  <si>
    <t>Santo Antonio de Goias</t>
  </si>
  <si>
    <t>Itapirapua</t>
  </si>
  <si>
    <t>Jussara</t>
  </si>
  <si>
    <t>Santa Fe de Goias</t>
  </si>
  <si>
    <t>Buriti Alegre</t>
  </si>
  <si>
    <t>Corumbaiba</t>
  </si>
  <si>
    <t>Agua Limpa</t>
  </si>
  <si>
    <t>Buriti de Goias</t>
  </si>
  <si>
    <t>Goias</t>
  </si>
  <si>
    <t>Novo Brasil</t>
  </si>
  <si>
    <t>Damianopolis</t>
  </si>
  <si>
    <t>Mambai</t>
  </si>
  <si>
    <t>Cabeceiras</t>
  </si>
  <si>
    <t>Buritis</t>
  </si>
  <si>
    <t>Formosa</t>
  </si>
  <si>
    <t>Paranaiguara</t>
  </si>
  <si>
    <t>Cachoeira Dourada</t>
  </si>
  <si>
    <t>Capinopolis</t>
  </si>
  <si>
    <t>Ituiutaba</t>
  </si>
  <si>
    <t>Mineiros</t>
  </si>
  <si>
    <t>Montividiu</t>
  </si>
  <si>
    <t>Perolandia</t>
  </si>
  <si>
    <t>Caldas Novas</t>
  </si>
  <si>
    <t>Ipameri</t>
  </si>
  <si>
    <t>Marzagao</t>
  </si>
  <si>
    <t>Pires do Rio</t>
  </si>
  <si>
    <t>Rio Quente</t>
  </si>
  <si>
    <t>Santa Cruz de Goias</t>
  </si>
  <si>
    <t>Campestre de Goias</t>
  </si>
  <si>
    <t>Palmeiras de Goias</t>
  </si>
  <si>
    <t>Campinacu</t>
  </si>
  <si>
    <t>Campinorte</t>
  </si>
  <si>
    <t>Minacu</t>
  </si>
  <si>
    <t>Uruacu</t>
  </si>
  <si>
    <t>Trombas</t>
  </si>
  <si>
    <t>Campo Alegre de Goias</t>
  </si>
  <si>
    <t>Catalao</t>
  </si>
  <si>
    <t>Campos Belos</t>
  </si>
  <si>
    <t>Arraias</t>
  </si>
  <si>
    <t>Combinado</t>
  </si>
  <si>
    <t>Divinopolis de Goias</t>
  </si>
  <si>
    <t>Lavandeira</t>
  </si>
  <si>
    <t>Monte Alegre de Goias</t>
  </si>
  <si>
    <t>Novo Alegre</t>
  </si>
  <si>
    <t>Sao Desiderio</t>
  </si>
  <si>
    <t>Sao Domingos</t>
  </si>
  <si>
    <t>Santa Terezinha de Goias</t>
  </si>
  <si>
    <t>Carmo do Rio Verde</t>
  </si>
  <si>
    <t>Ceres</t>
  </si>
  <si>
    <t>Itapuranga</t>
  </si>
  <si>
    <t>Rialma</t>
  </si>
  <si>
    <t>Sao Patricio</t>
  </si>
  <si>
    <t>Uruana</t>
  </si>
  <si>
    <t>Maurilandia</t>
  </si>
  <si>
    <t>Porteirao</t>
  </si>
  <si>
    <t>Cascalho Rico</t>
  </si>
  <si>
    <t>Davinopolis</t>
  </si>
  <si>
    <t>Goiandira</t>
  </si>
  <si>
    <t>Grupiara</t>
  </si>
  <si>
    <t>Ouvidor</t>
  </si>
  <si>
    <t>Tres Ranchos</t>
  </si>
  <si>
    <t>Santa Vitoria</t>
  </si>
  <si>
    <t>Sao Simao</t>
  </si>
  <si>
    <t>Ipiranga de Goias</t>
  </si>
  <si>
    <t>Nova Gloria</t>
  </si>
  <si>
    <t>Cezarina</t>
  </si>
  <si>
    <t>Edealina</t>
  </si>
  <si>
    <t>Mairipotaba</t>
  </si>
  <si>
    <t>Cidade Ocidental</t>
  </si>
  <si>
    <t>Cristalina</t>
  </si>
  <si>
    <t>Valparaiso de Goias</t>
  </si>
  <si>
    <t>Cocalzinho de Goias</t>
  </si>
  <si>
    <t>Padre Bernardo</t>
  </si>
  <si>
    <t>Aguas Lindas de Goias</t>
  </si>
  <si>
    <t>Nova Aurora</t>
  </si>
  <si>
    <t>Vianopolis</t>
  </si>
  <si>
    <t>Guarinos</t>
  </si>
  <si>
    <t>Itapaci</t>
  </si>
  <si>
    <t>Crominia</t>
  </si>
  <si>
    <t>Professor Jamil</t>
  </si>
  <si>
    <t>Fazenda Nova</t>
  </si>
  <si>
    <t>Jaupaci</t>
  </si>
  <si>
    <t>Vicentinopolis</t>
  </si>
  <si>
    <t>Estrela do Norte</t>
  </si>
  <si>
    <t>Santa Tereza de Goias</t>
  </si>
  <si>
    <t>Guaraita</t>
  </si>
  <si>
    <t>Israelandia</t>
  </si>
  <si>
    <t>Palminopolis</t>
  </si>
  <si>
    <t>Vila Boa</t>
  </si>
  <si>
    <t>Planaltina</t>
  </si>
  <si>
    <t>Agua Fria de Goias</t>
  </si>
  <si>
    <t>Jaragua</t>
  </si>
  <si>
    <t>Santa Isabel</t>
  </si>
  <si>
    <t>Sao Luiz do Norte</t>
  </si>
  <si>
    <t>Heitorai</t>
  </si>
  <si>
    <t>Ipiacu</t>
  </si>
  <si>
    <t>Guarani de Goias</t>
  </si>
  <si>
    <t>Correntina</t>
  </si>
  <si>
    <t>Hidrolina</t>
  </si>
  <si>
    <t>Orizona</t>
  </si>
  <si>
    <t>Urutai</t>
  </si>
  <si>
    <t>Itaguari</t>
  </si>
  <si>
    <t>Itaguaru</t>
  </si>
  <si>
    <t>Taquaral de Goias</t>
  </si>
  <si>
    <t>Carneirinho</t>
  </si>
  <si>
    <t>Lagoa Santa</t>
  </si>
  <si>
    <t>Paranaiba</t>
  </si>
  <si>
    <t>Santa Rosa de Goias</t>
  </si>
  <si>
    <t>Arapora</t>
  </si>
  <si>
    <t>Cachoeira Dourada (1)</t>
  </si>
  <si>
    <t>Cachoeira Dourada (2)</t>
  </si>
  <si>
    <t>Centralina</t>
  </si>
  <si>
    <t>Jesupolis</t>
  </si>
  <si>
    <t>Rianopolis</t>
  </si>
  <si>
    <t>Sao Francisco de Goias</t>
  </si>
  <si>
    <t>Novo Gama</t>
  </si>
  <si>
    <t>Mimoso de Goias</t>
  </si>
  <si>
    <t>Montividiu do Norte</t>
  </si>
  <si>
    <t>Araguainha</t>
  </si>
  <si>
    <t>Portelandia</t>
  </si>
  <si>
    <t>Santa Rita do Araguaia</t>
  </si>
  <si>
    <t>Palmelo</t>
  </si>
  <si>
    <t>Rianapolis</t>
  </si>
  <si>
    <t>Formoso do Araguaia</t>
  </si>
  <si>
    <t>Sandolandia</t>
  </si>
  <si>
    <t>Douradoquara</t>
  </si>
  <si>
    <t>Cocalzinho</t>
  </si>
  <si>
    <t>Média estadual</t>
  </si>
  <si>
    <t>TETO PARA TODAS AS HIPÓTESES</t>
  </si>
  <si>
    <t>PISOS PARA COMPENSAÇÃO FLORESTAL AUTORIZADA POR HECTARE DEVIDO</t>
  </si>
  <si>
    <t>PISOS PARA COMPENSAÇÃO REALIZADAS SEM AUTORIZAÇÃO OU LICENÇA POR HECTARE DEVIDO</t>
  </si>
  <si>
    <t>CÁLCULO  INICIAL</t>
  </si>
  <si>
    <t>APLICAÇÃO DO PISO, SE HOUVER</t>
  </si>
  <si>
    <t>APLICAÇÃO DO TETO, SE HOUVER</t>
  </si>
  <si>
    <t>VALOR A SER PAGO</t>
  </si>
  <si>
    <t>CÁLCULO DO VALOR DO TETO</t>
  </si>
  <si>
    <t>MEDIA</t>
  </si>
  <si>
    <t>VALORES DE TERRA NUA - EXERCICIO 2025</t>
  </si>
  <si>
    <t>s/informação</t>
  </si>
  <si>
    <t>MEDIA ESTADUAL</t>
  </si>
  <si>
    <t>MÉDIA ESTADUAL (ABA "VTN2025")</t>
  </si>
  <si>
    <t>Compensação por Danos: supressão SEM autorização ou licença - art. 15 (pós 12/2019) da Lei estadual nº 21.231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</si>
</sst>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 &quot;* #,##0.00_-;&quot;-R$ &quot;* #,##0.00_-;_-&quot;R$ &quot;* \-??_-;_-@_-"/>
    <numFmt numFmtId="165" formatCode="&quot;R$ &quot;#,##0.00"/>
    <numFmt numFmtId="166" formatCode="0.0000"/>
    <numFmt numFmtId="167" formatCode="0.000"/>
    <numFmt numFmtId="168" formatCode="&quot;R$ &quot;#,##0.00;[Red]&quot;-R$ &quot;#,##0.00"/>
    <numFmt numFmtId="169" formatCode="[$R$-416]\ #,##0.00;[Red]\-[$R$-416]\ #,##0.00"/>
    <numFmt numFmtId="170" formatCode="&quot;R$&quot;\ #,##0.00"/>
  </numFmts>
  <fonts count="27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sz val="12"/>
      <color theme="0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rgb="FFFFC000"/>
      <name val="Aptos Narrow"/>
      <family val="2"/>
      <charset val="1"/>
    </font>
    <font>
      <b/>
      <sz val="16"/>
      <color theme="1"/>
      <name val="Aptos Narrow"/>
      <family val="2"/>
      <charset val="1"/>
    </font>
    <font>
      <sz val="16"/>
      <color theme="1"/>
      <name val="Aptos Narrow"/>
      <family val="2"/>
      <charset val="1"/>
    </font>
    <font>
      <sz val="12"/>
      <color rgb="FF000000"/>
      <name val="Aptos Narrow"/>
      <family val="2"/>
      <charset val="1"/>
    </font>
    <font>
      <b/>
      <sz val="10"/>
      <color theme="0"/>
      <name val="Aptos Narrow"/>
      <family val="2"/>
      <charset val="1"/>
    </font>
    <font>
      <b/>
      <sz val="11"/>
      <color theme="0"/>
      <name val="Aptos Narrow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0"/>
      <name val="Calibri"/>
      <family val="1"/>
      <charset val="1"/>
    </font>
    <font>
      <sz val="10"/>
      <color rgb="FF000000"/>
      <name val="Times New Roman"/>
      <family val="1"/>
      <charset val="1"/>
    </font>
    <font>
      <sz val="10"/>
      <name val="Calibri"/>
      <family val="2"/>
      <charset val="1"/>
    </font>
    <font>
      <sz val="10"/>
      <name val="Calibri"/>
      <family val="1"/>
      <charset val="1"/>
    </font>
    <font>
      <sz val="12"/>
      <color rgb="FF303030"/>
      <name val="Times New Roman"/>
      <family val="1"/>
      <charset val="1"/>
    </font>
    <font>
      <sz val="11"/>
      <color theme="1"/>
      <name val="Aptos Narrow"/>
      <family val="2"/>
      <charset val="1"/>
    </font>
    <font>
      <b/>
      <sz val="9"/>
      <color theme="0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0"/>
      <color theme="0"/>
      <name val="Aptos Narrow"/>
      <family val="2"/>
    </font>
    <font>
      <sz val="12"/>
      <color theme="0"/>
      <name val="Aptos Narrow"/>
      <family val="2"/>
    </font>
    <font>
      <b/>
      <sz val="12"/>
      <color theme="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theme="3" tint="0.89989928891872917"/>
        <bgColor rgb="FFDDE1EB"/>
      </patternFill>
    </fill>
    <fill>
      <patternFill patternType="solid">
        <fgColor theme="0"/>
        <bgColor rgb="FFFFFFCC"/>
      </patternFill>
    </fill>
    <fill>
      <patternFill patternType="solid">
        <fgColor theme="4"/>
        <bgColor rgb="FF0B77A0"/>
      </patternFill>
    </fill>
    <fill>
      <patternFill patternType="solid">
        <fgColor rgb="FFF8BEBE"/>
        <bgColor rgb="FFFFC7CE"/>
      </patternFill>
    </fill>
    <fill>
      <patternFill patternType="solid">
        <fgColor theme="7" tint="-0.249977111117893"/>
        <bgColor rgb="FF0066CC"/>
      </patternFill>
    </fill>
    <fill>
      <patternFill patternType="solid">
        <fgColor rgb="FF947502"/>
        <bgColor rgb="FF808080"/>
      </patternFill>
    </fill>
    <fill>
      <patternFill patternType="solid">
        <fgColor theme="9" tint="-0.499984740745262"/>
        <bgColor rgb="FF303030"/>
      </patternFill>
    </fill>
    <fill>
      <patternFill patternType="solid">
        <fgColor rgb="FFBFBFBF"/>
        <bgColor rgb="FFCCCCCC"/>
      </patternFill>
    </fill>
    <fill>
      <patternFill patternType="solid">
        <fgColor rgb="FFFFFF00"/>
        <bgColor rgb="FFFFFFCC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E1EB"/>
      </bottom>
      <diagonal/>
    </border>
    <border>
      <left style="medium">
        <color rgb="FFCCCCCC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10">
    <xf numFmtId="0" fontId="0" fillId="0" borderId="0"/>
    <xf numFmtId="164" fontId="19" fillId="0" borderId="0" applyBorder="0" applyProtection="0"/>
    <xf numFmtId="164" fontId="19" fillId="0" borderId="0" applyBorder="0" applyProtection="0"/>
    <xf numFmtId="164" fontId="19" fillId="0" borderId="0" applyBorder="0" applyProtection="0"/>
    <xf numFmtId="164" fontId="19" fillId="0" borderId="0" applyBorder="0" applyProtection="0"/>
    <xf numFmtId="164" fontId="19" fillId="0" borderId="0" applyBorder="0" applyProtection="0"/>
    <xf numFmtId="164" fontId="19" fillId="0" borderId="0" applyBorder="0" applyProtection="0"/>
    <xf numFmtId="164" fontId="19" fillId="0" borderId="0" applyBorder="0" applyProtection="0"/>
    <xf numFmtId="164" fontId="19" fillId="0" borderId="0" applyBorder="0" applyProtection="0"/>
    <xf numFmtId="0" fontId="19" fillId="0" borderId="0"/>
  </cellStyleXfs>
  <cellXfs count="211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3" borderId="18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4" fillId="3" borderId="22" xfId="0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64" fontId="3" fillId="2" borderId="25" xfId="0" applyNumberFormat="1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164" fontId="3" fillId="5" borderId="25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 wrapText="1"/>
    </xf>
    <xf numFmtId="164" fontId="4" fillId="4" borderId="32" xfId="1" applyFont="1" applyFill="1" applyBorder="1" applyAlignment="1" applyProtection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0" fillId="0" borderId="1" xfId="0" applyBorder="1"/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8" fillId="4" borderId="58" xfId="0" applyFont="1" applyFill="1" applyBorder="1" applyAlignment="1">
      <alignment vertical="top" wrapText="1"/>
    </xf>
    <xf numFmtId="169" fontId="0" fillId="0" borderId="0" xfId="0" applyNumberFormat="1"/>
    <xf numFmtId="0" fontId="18" fillId="11" borderId="59" xfId="0" applyFont="1" applyFill="1" applyBorder="1" applyAlignment="1">
      <alignment vertical="top" wrapText="1"/>
    </xf>
    <xf numFmtId="0" fontId="20" fillId="2" borderId="8" xfId="0" applyFont="1" applyFill="1" applyBorder="1" applyAlignment="1">
      <alignment horizontal="center" vertical="center" wrapText="1"/>
    </xf>
    <xf numFmtId="170" fontId="0" fillId="0" borderId="0" xfId="0" applyNumberFormat="1"/>
    <xf numFmtId="0" fontId="4" fillId="6" borderId="5" xfId="0" applyFont="1" applyFill="1" applyBorder="1" applyAlignment="1" applyProtection="1">
      <alignment horizontal="center" vertical="center" wrapText="1"/>
      <protection locked="0"/>
    </xf>
    <xf numFmtId="166" fontId="4" fillId="6" borderId="14" xfId="0" applyNumberFormat="1" applyFont="1" applyFill="1" applyBorder="1" applyAlignment="1" applyProtection="1">
      <alignment horizontal="center" vertical="center"/>
      <protection locked="0"/>
    </xf>
    <xf numFmtId="167" fontId="4" fillId="6" borderId="41" xfId="0" applyNumberFormat="1" applyFont="1" applyFill="1" applyBorder="1" applyAlignment="1" applyProtection="1">
      <alignment horizontal="center" vertical="center"/>
      <protection locked="0"/>
    </xf>
    <xf numFmtId="2" fontId="4" fillId="6" borderId="5" xfId="0" applyNumberFormat="1" applyFont="1" applyFill="1" applyBorder="1" applyAlignment="1" applyProtection="1">
      <alignment horizontal="center" vertical="center" wrapText="1"/>
      <protection locked="0"/>
    </xf>
    <xf numFmtId="166" fontId="4" fillId="6" borderId="43" xfId="0" applyNumberFormat="1" applyFont="1" applyFill="1" applyBorder="1" applyAlignment="1" applyProtection="1">
      <alignment horizontal="center" vertical="center"/>
      <protection locked="0"/>
    </xf>
    <xf numFmtId="166" fontId="4" fillId="6" borderId="33" xfId="0" applyNumberFormat="1" applyFont="1" applyFill="1" applyBorder="1" applyAlignment="1" applyProtection="1">
      <alignment horizontal="center" vertical="center"/>
      <protection locked="0"/>
    </xf>
    <xf numFmtId="166" fontId="4" fillId="6" borderId="19" xfId="0" applyNumberFormat="1" applyFont="1" applyFill="1" applyBorder="1" applyAlignment="1" applyProtection="1">
      <alignment horizontal="center" vertical="center"/>
      <protection locked="0"/>
    </xf>
    <xf numFmtId="167" fontId="4" fillId="6" borderId="19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0" fontId="0" fillId="0" borderId="0" xfId="0" applyNumberForma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70" fontId="16" fillId="10" borderId="1" xfId="0" applyNumberFormat="1" applyFont="1" applyFill="1" applyBorder="1" applyAlignment="1">
      <alignment horizontal="center" vertical="center" wrapText="1"/>
    </xf>
    <xf numFmtId="170" fontId="0" fillId="0" borderId="25" xfId="0" applyNumberFormat="1" applyBorder="1" applyAlignment="1">
      <alignment horizontal="center" vertical="center"/>
    </xf>
    <xf numFmtId="170" fontId="18" fillId="4" borderId="58" xfId="0" applyNumberFormat="1" applyFont="1" applyFill="1" applyBorder="1" applyAlignment="1">
      <alignment vertical="top" wrapText="1"/>
    </xf>
    <xf numFmtId="170" fontId="0" fillId="0" borderId="0" xfId="0" applyNumberFormat="1" applyAlignment="1">
      <alignment wrapText="1"/>
    </xf>
    <xf numFmtId="170" fontId="0" fillId="0" borderId="0" xfId="0" applyNumberFormat="1" applyAlignment="1">
      <alignment horizontal="center" vertical="center" wrapText="1"/>
    </xf>
    <xf numFmtId="170" fontId="3" fillId="2" borderId="8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2" fontId="4" fillId="6" borderId="14" xfId="0" applyNumberFormat="1" applyFont="1" applyFill="1" applyBorder="1" applyAlignment="1" applyProtection="1">
      <alignment horizontal="center" vertical="center"/>
      <protection locked="0"/>
    </xf>
    <xf numFmtId="2" fontId="4" fillId="6" borderId="43" xfId="0" applyNumberFormat="1" applyFont="1" applyFill="1" applyBorder="1" applyAlignment="1" applyProtection="1">
      <alignment horizontal="center" vertical="center"/>
      <protection locked="0"/>
    </xf>
    <xf numFmtId="2" fontId="4" fillId="6" borderId="33" xfId="0" applyNumberFormat="1" applyFont="1" applyFill="1" applyBorder="1" applyAlignment="1" applyProtection="1">
      <alignment horizontal="center" vertical="center"/>
      <protection locked="0"/>
    </xf>
    <xf numFmtId="2" fontId="4" fillId="6" borderId="19" xfId="0" applyNumberFormat="1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6" borderId="43" xfId="0" applyFont="1" applyFill="1" applyBorder="1" applyAlignment="1" applyProtection="1">
      <alignment horizontal="center" vertical="center"/>
      <protection locked="0"/>
    </xf>
    <xf numFmtId="0" fontId="4" fillId="6" borderId="33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/>
      <protection locked="0"/>
    </xf>
    <xf numFmtId="0" fontId="4" fillId="6" borderId="41" xfId="0" applyFont="1" applyFill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4" fillId="2" borderId="54" xfId="0" applyFont="1" applyFill="1" applyBorder="1" applyAlignment="1">
      <alignment horizontal="center" vertical="center"/>
    </xf>
    <xf numFmtId="165" fontId="23" fillId="2" borderId="60" xfId="0" applyNumberFormat="1" applyFont="1" applyFill="1" applyBorder="1" applyAlignment="1">
      <alignment horizontal="center" vertical="center"/>
    </xf>
    <xf numFmtId="165" fontId="23" fillId="2" borderId="55" xfId="0" applyNumberFormat="1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/>
    </xf>
    <xf numFmtId="165" fontId="23" fillId="2" borderId="11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165" fontId="23" fillId="2" borderId="48" xfId="0" applyNumberFormat="1" applyFont="1" applyFill="1" applyBorder="1" applyAlignment="1">
      <alignment horizontal="center" vertical="center"/>
    </xf>
    <xf numFmtId="166" fontId="23" fillId="2" borderId="61" xfId="0" applyNumberFormat="1" applyFont="1" applyFill="1" applyBorder="1" applyAlignment="1">
      <alignment horizontal="center" vertical="center"/>
    </xf>
    <xf numFmtId="166" fontId="23" fillId="2" borderId="48" xfId="0" applyNumberFormat="1" applyFont="1" applyFill="1" applyBorder="1" applyAlignment="1">
      <alignment horizontal="center" vertical="center"/>
    </xf>
    <xf numFmtId="165" fontId="23" fillId="2" borderId="37" xfId="0" applyNumberFormat="1" applyFont="1" applyFill="1" applyBorder="1" applyAlignment="1">
      <alignment horizontal="center" vertical="center"/>
    </xf>
    <xf numFmtId="165" fontId="4" fillId="4" borderId="53" xfId="0" applyNumberFormat="1" applyFont="1" applyFill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65" fontId="4" fillId="4" borderId="52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165" fontId="4" fillId="4" borderId="40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166" fontId="4" fillId="2" borderId="33" xfId="0" applyNumberFormat="1" applyFont="1" applyFill="1" applyBorder="1" applyAlignment="1">
      <alignment horizontal="center" vertical="center"/>
    </xf>
    <xf numFmtId="165" fontId="4" fillId="2" borderId="44" xfId="0" applyNumberFormat="1" applyFont="1" applyFill="1" applyBorder="1" applyAlignment="1">
      <alignment horizontal="center" vertical="center"/>
    </xf>
    <xf numFmtId="165" fontId="4" fillId="0" borderId="42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7" fontId="4" fillId="2" borderId="43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5" fontId="4" fillId="4" borderId="42" xfId="0" applyNumberFormat="1" applyFont="1" applyFill="1" applyBorder="1" applyAlignment="1">
      <alignment horizontal="center" vertical="center"/>
    </xf>
    <xf numFmtId="165" fontId="4" fillId="4" borderId="44" xfId="0" applyNumberFormat="1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166" fontId="4" fillId="2" borderId="43" xfId="0" applyNumberFormat="1" applyFont="1" applyFill="1" applyBorder="1" applyAlignment="1">
      <alignment horizontal="center" vertical="center"/>
    </xf>
    <xf numFmtId="165" fontId="4" fillId="2" borderId="45" xfId="0" applyNumberFormat="1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 wrapText="1"/>
    </xf>
    <xf numFmtId="168" fontId="0" fillId="0" borderId="5" xfId="0" applyNumberForma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168" fontId="0" fillId="0" borderId="46" xfId="0" applyNumberFormat="1" applyBorder="1" applyAlignment="1">
      <alignment horizontal="center" vertical="center" wrapText="1"/>
    </xf>
    <xf numFmtId="168" fontId="0" fillId="0" borderId="47" xfId="0" applyNumberFormat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/>
    </xf>
    <xf numFmtId="165" fontId="4" fillId="2" borderId="48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165" fontId="4" fillId="4" borderId="5" xfId="0" applyNumberFormat="1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2" fontId="4" fillId="2" borderId="45" xfId="0" applyNumberFormat="1" applyFont="1" applyFill="1" applyBorder="1" applyAlignment="1">
      <alignment horizontal="center" vertical="center"/>
    </xf>
    <xf numFmtId="2" fontId="4" fillId="2" borderId="43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165" fontId="4" fillId="4" borderId="27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2" fontId="3" fillId="7" borderId="5" xfId="0" applyNumberFormat="1" applyFont="1" applyFill="1" applyBorder="1" applyAlignment="1">
      <alignment horizontal="center" vertical="center" wrapText="1"/>
    </xf>
    <xf numFmtId="165" fontId="3" fillId="7" borderId="35" xfId="0" applyNumberFormat="1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165" fontId="3" fillId="8" borderId="37" xfId="0" applyNumberFormat="1" applyFont="1" applyFill="1" applyBorder="1" applyAlignment="1">
      <alignment horizontal="center" vertical="center" wrapText="1"/>
    </xf>
    <xf numFmtId="164" fontId="3" fillId="2" borderId="38" xfId="0" applyNumberFormat="1" applyFont="1" applyFill="1" applyBorder="1" applyAlignment="1">
      <alignment horizontal="center" vertical="center" wrapText="1"/>
    </xf>
    <xf numFmtId="0" fontId="3" fillId="9" borderId="3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165" fontId="3" fillId="9" borderId="38" xfId="0" applyNumberFormat="1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3" fillId="2" borderId="11" xfId="0" applyNumberFormat="1" applyFont="1" applyFill="1" applyBorder="1" applyAlignment="1">
      <alignment horizontal="center" vertical="center"/>
    </xf>
    <xf numFmtId="165" fontId="3" fillId="2" borderId="55" xfId="0" applyNumberFormat="1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 wrapText="1"/>
    </xf>
    <xf numFmtId="166" fontId="3" fillId="2" borderId="48" xfId="0" applyNumberFormat="1" applyFont="1" applyFill="1" applyBorder="1" applyAlignment="1">
      <alignment horizontal="center" vertical="center"/>
    </xf>
    <xf numFmtId="165" fontId="3" fillId="2" borderId="48" xfId="0" applyNumberFormat="1" applyFont="1" applyFill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2" fontId="3" fillId="7" borderId="56" xfId="0" applyNumberFormat="1" applyFont="1" applyFill="1" applyBorder="1" applyAlignment="1">
      <alignment horizontal="center" vertical="center" wrapText="1"/>
    </xf>
    <xf numFmtId="165" fontId="3" fillId="7" borderId="57" xfId="0" applyNumberFormat="1" applyFont="1" applyFill="1" applyBorder="1" applyAlignment="1">
      <alignment horizontal="center" vertical="center" wrapText="1"/>
    </xf>
    <xf numFmtId="0" fontId="4" fillId="6" borderId="4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6" borderId="8" xfId="0" applyFont="1" applyFill="1" applyBorder="1" applyAlignment="1" applyProtection="1">
      <alignment horizontal="center" vertical="center"/>
      <protection locked="0"/>
    </xf>
    <xf numFmtId="0" fontId="10" fillId="2" borderId="29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164" fontId="4" fillId="4" borderId="9" xfId="1" applyFont="1" applyFill="1" applyBorder="1" applyAlignment="1" applyProtection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</cellXfs>
  <cellStyles count="10">
    <cellStyle name="Moeda" xfId="1" builtinId="4"/>
    <cellStyle name="Moeda 2" xfId="2" xr:uid="{00000000-0005-0000-0000-000006000000}"/>
    <cellStyle name="Moeda 2 2" xfId="3" xr:uid="{00000000-0005-0000-0000-000007000000}"/>
    <cellStyle name="Moeda 2 2 2" xfId="4" xr:uid="{00000000-0005-0000-0000-000008000000}"/>
    <cellStyle name="Moeda 2 3" xfId="5" xr:uid="{00000000-0005-0000-0000-000009000000}"/>
    <cellStyle name="Moeda 3" xfId="6" xr:uid="{00000000-0005-0000-0000-00000A000000}"/>
    <cellStyle name="Moeda 3 2" xfId="7" xr:uid="{00000000-0005-0000-0000-00000B000000}"/>
    <cellStyle name="Moeda 4" xfId="8" xr:uid="{00000000-0005-0000-0000-00000C000000}"/>
    <cellStyle name="Normal" xfId="0" builtinId="0"/>
    <cellStyle name="Normal 2" xfId="9" xr:uid="{00000000-0005-0000-0000-00000D000000}"/>
  </cellStyles>
  <dxfs count="145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ill>
        <patternFill>
          <bgColor theme="3" tint="0.89989928891872917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  <dxf>
      <font>
        <b/>
        <i val="0"/>
      </font>
      <fill>
        <patternFill>
          <bgColor theme="0" tint="-0.1499984740745262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47502"/>
      <rgbColor rgb="FF800080"/>
      <rgbColor rgb="FF0B77A0"/>
      <rgbColor rgb="FFBFBFBF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DDE1EB"/>
      <rgbColor rgb="FFD9D9D9"/>
      <rgbColor rgb="FFFFFF99"/>
      <rgbColor rgb="FF99CCFF"/>
      <rgbColor rgb="FFFFC7CE"/>
      <rgbColor rgb="FFCC99FF"/>
      <rgbColor rgb="FFF8BEB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2060"/>
      <rgbColor rgb="FF339966"/>
      <rgbColor rgb="FF003300"/>
      <rgbColor rgb="FF275417"/>
      <rgbColor rgb="FF993300"/>
      <rgbColor rgb="FF993366"/>
      <rgbColor rgb="FF333399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63720</xdr:colOff>
      <xdr:row>0</xdr:row>
      <xdr:rowOff>0</xdr:rowOff>
    </xdr:from>
    <xdr:to>
      <xdr:col>6</xdr:col>
      <xdr:colOff>490680</xdr:colOff>
      <xdr:row>20</xdr:row>
      <xdr:rowOff>173160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03960" y="0"/>
          <a:ext cx="4570560" cy="3983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zoomScaleNormal="100" workbookViewId="0">
      <selection activeCell="B10" sqref="B10"/>
    </sheetView>
  </sheetViews>
  <sheetFormatPr defaultColWidth="8.5703125" defaultRowHeight="15" x14ac:dyDescent="0.25"/>
  <cols>
    <col min="1" max="1" width="26.42578125" customWidth="1"/>
    <col min="2" max="2" width="8.7109375" style="2" customWidth="1"/>
    <col min="4" max="4" width="51.4257812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4">
        <v>0.4</v>
      </c>
    </row>
    <row r="3" spans="1:2" x14ac:dyDescent="0.25">
      <c r="A3" s="4" t="s">
        <v>3</v>
      </c>
      <c r="B3" s="4">
        <v>0.5</v>
      </c>
    </row>
    <row r="4" spans="1:2" x14ac:dyDescent="0.25">
      <c r="A4" s="4" t="s">
        <v>4</v>
      </c>
      <c r="B4" s="4">
        <v>0.6</v>
      </c>
    </row>
    <row r="5" spans="1:2" x14ac:dyDescent="0.25">
      <c r="A5" s="4" t="s">
        <v>5</v>
      </c>
      <c r="B5" s="4">
        <v>0.7</v>
      </c>
    </row>
    <row r="6" spans="1:2" x14ac:dyDescent="0.25">
      <c r="A6" s="4" t="s">
        <v>6</v>
      </c>
      <c r="B6" s="4">
        <v>0.8</v>
      </c>
    </row>
    <row r="8" spans="1:2" x14ac:dyDescent="0.25">
      <c r="A8" s="3" t="s">
        <v>7</v>
      </c>
      <c r="B8" s="3" t="s">
        <v>1</v>
      </c>
    </row>
    <row r="9" spans="1:2" x14ac:dyDescent="0.25">
      <c r="A9" s="4" t="s">
        <v>8</v>
      </c>
      <c r="B9" s="4">
        <v>0.5</v>
      </c>
    </row>
    <row r="10" spans="1:2" x14ac:dyDescent="0.25">
      <c r="A10" s="4" t="s">
        <v>9</v>
      </c>
      <c r="B10" s="4">
        <v>0.6</v>
      </c>
    </row>
    <row r="11" spans="1:2" x14ac:dyDescent="0.25">
      <c r="A11" s="4" t="s">
        <v>10</v>
      </c>
      <c r="B11" s="4">
        <v>0.7</v>
      </c>
    </row>
    <row r="13" spans="1:2" x14ac:dyDescent="0.25">
      <c r="A13" s="5" t="s">
        <v>11</v>
      </c>
      <c r="B13" s="3" t="s">
        <v>1</v>
      </c>
    </row>
    <row r="14" spans="1:2" x14ac:dyDescent="0.25">
      <c r="A14" s="4" t="s">
        <v>12</v>
      </c>
      <c r="B14" s="4">
        <v>0.5</v>
      </c>
    </row>
    <row r="15" spans="1:2" x14ac:dyDescent="0.25">
      <c r="A15" s="4" t="s">
        <v>13</v>
      </c>
      <c r="B15" s="4">
        <v>0.6</v>
      </c>
    </row>
    <row r="16" spans="1:2" x14ac:dyDescent="0.25">
      <c r="A16" s="4" t="s">
        <v>14</v>
      </c>
      <c r="B16" s="4">
        <v>0.7</v>
      </c>
    </row>
    <row r="18" spans="1:4" x14ac:dyDescent="0.25">
      <c r="A18" s="3" t="s">
        <v>15</v>
      </c>
      <c r="B18" s="3" t="s">
        <v>1</v>
      </c>
    </row>
    <row r="19" spans="1:4" x14ac:dyDescent="0.25">
      <c r="A19" s="4" t="s">
        <v>16</v>
      </c>
      <c r="B19" s="4">
        <v>1</v>
      </c>
    </row>
    <row r="20" spans="1:4" x14ac:dyDescent="0.25">
      <c r="A20" s="4" t="s">
        <v>17</v>
      </c>
      <c r="B20" s="4">
        <v>2</v>
      </c>
    </row>
    <row r="24" spans="1:4" x14ac:dyDescent="0.25">
      <c r="D24" s="6" t="s">
        <v>18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showGridLines="0" zoomScale="74" zoomScaleNormal="74" workbookViewId="0">
      <selection activeCell="G10" sqref="G10"/>
    </sheetView>
  </sheetViews>
  <sheetFormatPr defaultColWidth="8.7109375" defaultRowHeight="15" x14ac:dyDescent="0.25"/>
  <cols>
    <col min="1" max="1" width="21.85546875" style="7" customWidth="1"/>
    <col min="2" max="2" width="3.28515625" style="7" customWidth="1"/>
    <col min="3" max="3" width="5.5703125" style="7" customWidth="1"/>
    <col min="4" max="4" width="15.42578125" style="7" customWidth="1"/>
    <col min="5" max="5" width="19.42578125" style="7" customWidth="1"/>
    <col min="6" max="6" width="22.85546875" style="7" customWidth="1"/>
    <col min="7" max="7" width="24.85546875" style="7" customWidth="1"/>
    <col min="8" max="8" width="6.85546875" style="7" customWidth="1"/>
    <col min="9" max="9" width="19.7109375" style="7" customWidth="1"/>
    <col min="10" max="10" width="20.5703125" style="7" customWidth="1"/>
    <col min="11" max="11" width="4.28515625" style="7" customWidth="1"/>
    <col min="12" max="12" width="14.5703125" style="7" customWidth="1"/>
    <col min="13" max="13" width="13.5703125" style="7" customWidth="1"/>
    <col min="14" max="16384" width="8.7109375" style="7"/>
  </cols>
  <sheetData>
    <row r="1" spans="1:13" s="10" customFormat="1" ht="27" customHeight="1" x14ac:dyDescent="0.25">
      <c r="A1" s="1" t="s">
        <v>19</v>
      </c>
      <c r="B1" s="7"/>
      <c r="C1" s="8"/>
      <c r="D1" s="205" t="s">
        <v>20</v>
      </c>
      <c r="E1" s="205"/>
      <c r="F1" s="9"/>
      <c r="L1" s="206" t="s">
        <v>21</v>
      </c>
      <c r="M1" s="206"/>
    </row>
    <row r="2" spans="1:13" ht="43.5" customHeight="1" x14ac:dyDescent="0.25">
      <c r="A2" s="11" t="s">
        <v>22</v>
      </c>
      <c r="C2" s="8"/>
      <c r="D2" s="12" t="s">
        <v>23</v>
      </c>
      <c r="E2" s="13" t="s">
        <v>24</v>
      </c>
      <c r="F2" s="14" t="s">
        <v>25</v>
      </c>
      <c r="G2" s="14" t="s">
        <v>26</v>
      </c>
      <c r="H2" s="15" t="s">
        <v>1</v>
      </c>
      <c r="I2" s="14" t="s">
        <v>27</v>
      </c>
      <c r="J2" s="14" t="s">
        <v>28</v>
      </c>
      <c r="L2" s="207" t="s">
        <v>29</v>
      </c>
      <c r="M2" s="207"/>
    </row>
    <row r="3" spans="1:13" ht="45" customHeight="1" x14ac:dyDescent="0.25">
      <c r="A3" s="14" t="s">
        <v>30</v>
      </c>
      <c r="C3" s="8"/>
      <c r="D3" s="208" t="e">
        <f>SUMIF(#REF!,'Simuladores 1.0'!A4,#REF!)</f>
        <v>#REF!</v>
      </c>
      <c r="E3" s="16" t="s">
        <v>31</v>
      </c>
      <c r="F3" s="17" t="s">
        <v>32</v>
      </c>
      <c r="G3" s="18" t="s">
        <v>12</v>
      </c>
      <c r="H3" s="19">
        <v>0.3</v>
      </c>
      <c r="I3" s="20">
        <v>2</v>
      </c>
      <c r="J3" s="21" t="e">
        <f>$D$3*$E$4*$F$4*H3*I3</f>
        <v>#REF!</v>
      </c>
      <c r="L3" s="209" t="s">
        <v>33</v>
      </c>
      <c r="M3" s="209"/>
    </row>
    <row r="4" spans="1:13" ht="33.75" customHeight="1" x14ac:dyDescent="0.25">
      <c r="A4" s="22" t="str">
        <f>IFERROR(VLOOKUP(A2,#REF!,2,FALSE()),"Usar simulador Receita")</f>
        <v>Usar simulador Receita</v>
      </c>
      <c r="D4" s="208"/>
      <c r="E4" s="23">
        <f>SUMIF(Fatores!$A:$A,'Simuladores 1.0'!E3,Fatores!$B:$B)</f>
        <v>0</v>
      </c>
      <c r="F4" s="24">
        <f>SUMIF(Fatores!$A:$A,'Simuladores 1.0'!F3,Fatores!$B:$B)</f>
        <v>1.2</v>
      </c>
      <c r="G4" s="25" t="s">
        <v>13</v>
      </c>
      <c r="H4" s="26"/>
      <c r="I4" s="27"/>
      <c r="J4" s="21" t="e">
        <f>$D$3*$E$4*$F$4*H4*I4</f>
        <v>#REF!</v>
      </c>
      <c r="L4" s="28" t="s">
        <v>34</v>
      </c>
      <c r="M4" s="29" t="s">
        <v>35</v>
      </c>
    </row>
    <row r="5" spans="1:13" ht="15" customHeight="1" x14ac:dyDescent="0.25">
      <c r="A5" s="14" t="s">
        <v>36</v>
      </c>
      <c r="D5" s="30"/>
      <c r="E5" s="8"/>
      <c r="F5" s="31"/>
      <c r="G5" s="32" t="s">
        <v>14</v>
      </c>
      <c r="H5" s="33"/>
      <c r="I5" s="34"/>
      <c r="J5" s="21" t="e">
        <f>$D$3*$E$4*$F$4*H5*I5</f>
        <v>#REF!</v>
      </c>
      <c r="L5" s="35" t="s">
        <v>37</v>
      </c>
      <c r="M5" s="36">
        <v>6500</v>
      </c>
    </row>
    <row r="6" spans="1:13" ht="27" customHeight="1" x14ac:dyDescent="0.25">
      <c r="A6" s="37">
        <v>35</v>
      </c>
      <c r="D6" s="38"/>
      <c r="E6" s="8"/>
      <c r="F6" s="8"/>
      <c r="G6" s="39"/>
      <c r="H6" s="8"/>
      <c r="I6" s="40" t="s">
        <v>38</v>
      </c>
      <c r="J6" s="41" t="e">
        <f>SUM(J3:J5)</f>
        <v>#REF!</v>
      </c>
      <c r="L6" s="42" t="s">
        <v>39</v>
      </c>
      <c r="M6" s="43">
        <v>6700</v>
      </c>
    </row>
    <row r="7" spans="1:13" ht="15.75" x14ac:dyDescent="0.25">
      <c r="A7" s="14" t="s">
        <v>40</v>
      </c>
      <c r="D7" s="30"/>
      <c r="E7" s="8"/>
      <c r="F7" s="8"/>
      <c r="G7" s="8"/>
      <c r="H7" s="8"/>
      <c r="I7" s="44" t="s">
        <v>41</v>
      </c>
      <c r="J7" s="45" t="e">
        <f>IF(J6&gt; (A10/2), A10/2,
IF(J6&gt;=7000, J6,
IF(J6&lt;=1000, 6500,
IF(J6&lt;=3000, 6700,
IF(J6&lt;=5000, 6800,
IF(J6&lt;=6999, 7000))))))</f>
        <v>#REF!</v>
      </c>
      <c r="L7" s="42" t="s">
        <v>42</v>
      </c>
      <c r="M7" s="43">
        <v>6800</v>
      </c>
    </row>
    <row r="8" spans="1:13" ht="15.75" x14ac:dyDescent="0.25">
      <c r="A8" s="37">
        <f>(A6/VLOOKUP(A2,Fatores!D:E,2,FALSE()))</f>
        <v>0.7</v>
      </c>
      <c r="I8" s="46" t="s">
        <v>43</v>
      </c>
      <c r="J8" s="47" t="e">
        <f>J7*0.2</f>
        <v>#REF!</v>
      </c>
      <c r="L8" s="42" t="s">
        <v>44</v>
      </c>
      <c r="M8" s="43">
        <v>7000</v>
      </c>
    </row>
    <row r="9" spans="1:13" ht="31.5" x14ac:dyDescent="0.25">
      <c r="A9" s="14" t="s">
        <v>45</v>
      </c>
      <c r="I9" s="46" t="s">
        <v>46</v>
      </c>
      <c r="J9" s="47" t="e">
        <f>J7*0.8</f>
        <v>#REF!</v>
      </c>
      <c r="L9" s="48">
        <v>7000</v>
      </c>
      <c r="M9" s="49">
        <v>7000</v>
      </c>
    </row>
    <row r="10" spans="1:13" ht="15.75" x14ac:dyDescent="0.25">
      <c r="A10" s="50" t="e">
        <f>A6*D3</f>
        <v>#REF!</v>
      </c>
    </row>
    <row r="11" spans="1:13" ht="28.5" customHeight="1" x14ac:dyDescent="0.25">
      <c r="A11" s="14" t="s">
        <v>47</v>
      </c>
      <c r="D11" s="204" t="s">
        <v>48</v>
      </c>
      <c r="E11" s="204"/>
    </row>
    <row r="12" spans="1:13" ht="47.25" x14ac:dyDescent="0.25">
      <c r="A12" s="50" t="e">
        <f>A6*D14</f>
        <v>#VALUE!</v>
      </c>
      <c r="D12" s="13" t="s">
        <v>49</v>
      </c>
      <c r="E12" s="13" t="s">
        <v>24</v>
      </c>
      <c r="F12" s="14" t="s">
        <v>25</v>
      </c>
      <c r="G12" s="14" t="s">
        <v>26</v>
      </c>
      <c r="H12" s="15" t="s">
        <v>1</v>
      </c>
      <c r="I12" s="14" t="s">
        <v>27</v>
      </c>
      <c r="J12" s="14" t="s">
        <v>28</v>
      </c>
    </row>
    <row r="13" spans="1:13" ht="47.25" x14ac:dyDescent="0.25">
      <c r="D13" s="51" t="s">
        <v>50</v>
      </c>
      <c r="E13" s="52" t="s">
        <v>31</v>
      </c>
      <c r="F13" s="17" t="s">
        <v>32</v>
      </c>
      <c r="G13" s="18" t="s">
        <v>12</v>
      </c>
      <c r="H13" s="19">
        <v>0.3</v>
      </c>
      <c r="I13" s="20">
        <v>2</v>
      </c>
      <c r="J13" s="21" t="e">
        <f>$D$14*$E$14*$F$14*H13*I13</f>
        <v>#VALUE!</v>
      </c>
    </row>
    <row r="14" spans="1:13" ht="33" customHeight="1" x14ac:dyDescent="0.25">
      <c r="D14" s="53" t="str">
        <f>IFERROR(VLOOKUP(A2,#REF!,8,FALSE()),"Município não incluído")</f>
        <v>Município não incluído</v>
      </c>
      <c r="E14" s="23">
        <f>SUMIF(Fatores!$A:$A,'Simuladores 1.0'!E13,Fatores!$B:$B)</f>
        <v>0</v>
      </c>
      <c r="F14" s="24">
        <f>SUMIF(Fatores!$A:$A,'Simuladores 1.0'!F13,Fatores!$B:$B)</f>
        <v>1.2</v>
      </c>
      <c r="G14" s="25" t="s">
        <v>13</v>
      </c>
      <c r="H14" s="26"/>
      <c r="I14" s="27"/>
      <c r="J14" s="21" t="e">
        <f>$D$14*$E$14*$F$14*H14*I14</f>
        <v>#VALUE!</v>
      </c>
    </row>
    <row r="15" spans="1:13" ht="15.75" x14ac:dyDescent="0.25">
      <c r="D15" s="30"/>
      <c r="E15" s="8"/>
      <c r="F15" s="31"/>
      <c r="G15" s="33" t="s">
        <v>14</v>
      </c>
      <c r="H15" s="54"/>
      <c r="I15" s="34"/>
      <c r="J15" s="21" t="e">
        <f>$D$14*$E$14*$F$14*H15*I15</f>
        <v>#VALUE!</v>
      </c>
    </row>
    <row r="16" spans="1:13" ht="15.75" x14ac:dyDescent="0.25">
      <c r="D16" s="8"/>
      <c r="E16" s="8"/>
      <c r="F16" s="8"/>
      <c r="G16" s="8"/>
      <c r="H16" s="8"/>
      <c r="I16" s="40" t="s">
        <v>38</v>
      </c>
      <c r="J16" s="41" t="e">
        <f>SUM(J13:J15)</f>
        <v>#VALUE!</v>
      </c>
    </row>
    <row r="17" spans="4:10" ht="15.75" x14ac:dyDescent="0.25">
      <c r="D17" s="8"/>
      <c r="E17" s="8"/>
      <c r="F17" s="8"/>
      <c r="G17" s="8"/>
      <c r="H17" s="8"/>
      <c r="I17" s="44" t="s">
        <v>41</v>
      </c>
      <c r="J17" s="45" t="e">
        <f>IF(J16&gt; (A12/2), A12/2,
IF(J16&gt;=7000, J16,
IF(J16&lt;=1000, 6500,
IF(J16&lt;=3000, 6700,
IF(J16&lt;=5000, 6800,
IF(J16&lt;=6999, 7000))))))</f>
        <v>#VALUE!</v>
      </c>
    </row>
    <row r="18" spans="4:10" ht="15.75" x14ac:dyDescent="0.25">
      <c r="I18" s="46" t="s">
        <v>43</v>
      </c>
      <c r="J18" s="47" t="e">
        <f>J17*0.2</f>
        <v>#VALUE!</v>
      </c>
    </row>
    <row r="19" spans="4:10" ht="15.75" x14ac:dyDescent="0.25">
      <c r="I19" s="46" t="s">
        <v>46</v>
      </c>
      <c r="J19" s="47" t="e">
        <f>J17*0.8</f>
        <v>#VALUE!</v>
      </c>
    </row>
  </sheetData>
  <mergeCells count="6">
    <mergeCell ref="D11:E11"/>
    <mergeCell ref="D1:E1"/>
    <mergeCell ref="L1:M1"/>
    <mergeCell ref="L2:M2"/>
    <mergeCell ref="D3:D4"/>
    <mergeCell ref="L3:M3"/>
  </mergeCells>
  <dataValidations count="1">
    <dataValidation allowBlank="1" showInputMessage="1" showErrorMessage="1" sqref="H3:H5 H13:H15" xr:uid="{00000000-0002-0000-0100-000000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Fatores!$A$7:$A$11</xm:f>
          </x14:formula1>
          <x14:formula2>
            <xm:f>0</xm:f>
          </x14:formula2>
          <xm:sqref>F3 F13</xm:sqref>
        </x14:dataValidation>
        <x14:dataValidation type="list" allowBlank="1" showInputMessage="1" showErrorMessage="1" xr:uid="{00000000-0002-0000-0100-000002000000}">
          <x14:formula1>
            <xm:f>Fatores!$A$2:$A$4</xm:f>
          </x14:formula1>
          <x14:formula2>
            <xm:f>0</xm:f>
          </x14:formula2>
          <xm:sqref>E3 E13</xm:sqref>
        </x14:dataValidation>
        <x14:dataValidation type="list" allowBlank="1" showInputMessage="1" showErrorMessage="1" xr:uid="{00000000-0002-0000-0100-000003000000}">
          <x14:formula1>
            <xm:f>Fatores!$D$2:$D$247</xm:f>
          </x14:formula1>
          <x14:formula2>
            <xm:f>0</xm:f>
          </x14:formula2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U26"/>
  <sheetViews>
    <sheetView showGridLines="0" tabSelected="1" topLeftCell="B1" zoomScale="70" zoomScaleNormal="70" workbookViewId="0">
      <pane xSplit="8" topLeftCell="J1" activePane="topRight" state="frozen"/>
      <selection activeCell="B1" sqref="B1"/>
      <selection pane="topRight" activeCell="C3" sqref="C3"/>
    </sheetView>
  </sheetViews>
  <sheetFormatPr defaultColWidth="8.7109375" defaultRowHeight="15" x14ac:dyDescent="0.25"/>
  <cols>
    <col min="1" max="2" width="1.7109375" style="7" customWidth="1"/>
    <col min="3" max="3" width="23.28515625" style="7" customWidth="1"/>
    <col min="4" max="4" width="2.28515625" style="7" customWidth="1"/>
    <col min="5" max="5" width="22" style="7" customWidth="1"/>
    <col min="6" max="6" width="21.5703125" style="7" customWidth="1"/>
    <col min="7" max="7" width="23.28515625" style="7" customWidth="1"/>
    <col min="8" max="8" width="27" style="7" customWidth="1"/>
    <col min="9" max="9" width="50.28515625" style="7" customWidth="1"/>
    <col min="10" max="10" width="25.42578125" style="7" customWidth="1"/>
    <col min="11" max="11" width="25.42578125" style="98" customWidth="1"/>
    <col min="12" max="12" width="25.42578125" style="99" customWidth="1"/>
    <col min="13" max="14" width="25.42578125" style="7" customWidth="1"/>
    <col min="15" max="15" width="25.42578125" style="99" customWidth="1"/>
    <col min="16" max="16" width="30.28515625" style="7" customWidth="1"/>
    <col min="17" max="17" width="4.140625" style="7" customWidth="1"/>
    <col min="18" max="19" width="25.42578125" style="7" customWidth="1"/>
    <col min="20" max="20" width="25.42578125" style="99" customWidth="1"/>
    <col min="21" max="21" width="24" style="7" customWidth="1"/>
    <col min="22" max="16384" width="8.7109375" style="7"/>
  </cols>
  <sheetData>
    <row r="1" spans="3:21" ht="10.5" customHeight="1" x14ac:dyDescent="0.25"/>
    <row r="2" spans="3:21" s="10" customFormat="1" ht="69" customHeight="1" x14ac:dyDescent="0.25">
      <c r="C2" s="182" t="s">
        <v>19</v>
      </c>
      <c r="D2" s="7"/>
      <c r="E2" s="199" t="s">
        <v>51</v>
      </c>
      <c r="F2" s="199"/>
      <c r="G2" s="183"/>
      <c r="H2" s="183"/>
      <c r="I2" s="183"/>
      <c r="J2" s="200" t="s">
        <v>654</v>
      </c>
      <c r="K2" s="200"/>
      <c r="L2" s="200"/>
      <c r="M2" s="200" t="s">
        <v>53</v>
      </c>
      <c r="N2" s="200"/>
      <c r="O2" s="200"/>
      <c r="P2" s="184"/>
      <c r="Q2" s="185"/>
      <c r="R2" s="201" t="s">
        <v>54</v>
      </c>
      <c r="S2" s="201"/>
      <c r="T2" s="201"/>
      <c r="U2" s="7"/>
    </row>
    <row r="3" spans="3:21" ht="85.5" customHeight="1" x14ac:dyDescent="0.25">
      <c r="C3" s="66"/>
      <c r="E3" s="159" t="s">
        <v>55</v>
      </c>
      <c r="F3" s="169" t="s">
        <v>56</v>
      </c>
      <c r="G3" s="170" t="s">
        <v>57</v>
      </c>
      <c r="H3" s="170" t="s">
        <v>58</v>
      </c>
      <c r="I3" s="171" t="s">
        <v>59</v>
      </c>
      <c r="J3" s="172" t="s">
        <v>60</v>
      </c>
      <c r="K3" s="173" t="s">
        <v>61</v>
      </c>
      <c r="L3" s="174" t="s">
        <v>62</v>
      </c>
      <c r="M3" s="175" t="s">
        <v>63</v>
      </c>
      <c r="N3" s="176" t="s">
        <v>61</v>
      </c>
      <c r="O3" s="177" t="s">
        <v>62</v>
      </c>
      <c r="P3" s="178" t="s">
        <v>28</v>
      </c>
      <c r="R3" s="179" t="s">
        <v>64</v>
      </c>
      <c r="S3" s="180" t="s">
        <v>61</v>
      </c>
      <c r="T3" s="181" t="s">
        <v>62</v>
      </c>
    </row>
    <row r="4" spans="3:21" ht="51.75" customHeight="1" x14ac:dyDescent="0.25">
      <c r="C4" s="159" t="s">
        <v>65</v>
      </c>
      <c r="E4" s="168" t="s">
        <v>50</v>
      </c>
      <c r="F4" s="10" t="str">
        <f>IF(OR(C7="Informar Município",C7&lt;=0),"Informar Município",IF(C7&lt;=4,"Pequeno (ate 4 modulos fiscais)",IF(C7&lt;=15,"Medio (superior a 4 e ate 15 modulos fiscais)","Grande (superior a 15 modulos fiscais)")))</f>
        <v>Informar Município</v>
      </c>
      <c r="G4" s="202"/>
      <c r="H4" s="165" t="str">
        <f>IF(ISBLANK(G4),"Informar total desmatado/ha",
IF(G4&gt;C5,"Área desmatada superior ao tamanho do imóvel",
IF(G4&lt;=20,"Ate 20 (vinte) hectares",
IF(G4&lt;=50,"Acima de 20 (vinte) e ate 50 (cinquenta) hectares",
IF(G4&lt;=100,"Acima de 50 (cinquenta) e ate 100 (cem) hectares",
IF(G4&lt;=500,"Acima de 100 (cem) e ate 500 (quinhentos) hectares",
IF(G4&gt;500,"Acima de 500 (quinhentos) hectares",
"Informar Total desmatado/ha")))))))</f>
        <v>Informar total desmatado/ha</v>
      </c>
      <c r="I4" s="166" t="s">
        <v>66</v>
      </c>
      <c r="J4" s="167">
        <v>1</v>
      </c>
      <c r="K4" s="67"/>
      <c r="L4" s="116">
        <f>IFERROR($E$5*$F$5*$H$5*$J4*$K4,0)</f>
        <v>0</v>
      </c>
      <c r="M4" s="164">
        <v>1</v>
      </c>
      <c r="N4" s="67"/>
      <c r="O4" s="162">
        <f>IFERROR($E$5*$F$5*$H$5*$M4*$N4,0)</f>
        <v>0</v>
      </c>
      <c r="P4" s="120">
        <f>L4+O4</f>
        <v>0</v>
      </c>
      <c r="R4" s="163">
        <v>1</v>
      </c>
      <c r="S4" s="68"/>
      <c r="T4" s="126">
        <f>IFERROR($E$5*$F$5*$H$5*$R4*$S4,0)</f>
        <v>0</v>
      </c>
    </row>
    <row r="5" spans="3:21" ht="65.25" customHeight="1" x14ac:dyDescent="0.25">
      <c r="C5" s="69"/>
      <c r="E5" s="53" t="str">
        <f>IFERROR(VLOOKUP(C3,Médias2025!A:D,4,FALSE()),"Indisponível")</f>
        <v>Indisponível</v>
      </c>
      <c r="F5" s="23">
        <f>IFERROR(SUMIF(Fatores!$A:$A,'Calculadora Compensação'!F4,Fatores!$B:$B),"-")</f>
        <v>0</v>
      </c>
      <c r="G5" s="202"/>
      <c r="H5" s="160">
        <f>SUMIF(Fatores!$A:$A,'Calculadora Compensação'!H4,Fatores!$B:$B)</f>
        <v>0</v>
      </c>
      <c r="I5" s="161" t="s">
        <v>67</v>
      </c>
      <c r="J5" s="125">
        <v>1</v>
      </c>
      <c r="K5" s="70"/>
      <c r="L5" s="116">
        <f>IFERROR($E$5*$F$5*$H$5*$J5*$K5,0)</f>
        <v>0</v>
      </c>
      <c r="M5" s="149">
        <v>1</v>
      </c>
      <c r="N5" s="70"/>
      <c r="O5" s="127">
        <f>IFERROR($E$5*$F$5*$H$5*$M5*$N5,0)</f>
        <v>0</v>
      </c>
      <c r="P5" s="120">
        <f>L5+O5</f>
        <v>0</v>
      </c>
      <c r="R5" s="148">
        <v>1</v>
      </c>
      <c r="S5" s="68"/>
      <c r="T5" s="126">
        <f>IFERROR($E$5*$F$5*$H$5*$R5*$S5,0)</f>
        <v>0</v>
      </c>
    </row>
    <row r="6" spans="3:21" ht="60" customHeight="1" x14ac:dyDescent="0.25">
      <c r="C6" s="159" t="s">
        <v>40</v>
      </c>
      <c r="G6" s="39"/>
      <c r="H6" s="31"/>
      <c r="I6" s="154" t="s">
        <v>68</v>
      </c>
      <c r="J6" s="155"/>
      <c r="K6" s="134"/>
      <c r="L6" s="135"/>
      <c r="M6" s="156"/>
      <c r="N6" s="134"/>
      <c r="O6" s="135"/>
      <c r="P6" s="119"/>
      <c r="R6" s="157"/>
      <c r="S6" s="122"/>
      <c r="T6" s="119"/>
    </row>
    <row r="7" spans="3:21" ht="45" customHeight="1" x14ac:dyDescent="0.25">
      <c r="C7" s="158" t="str">
        <f>IFERROR(IF((C5/VLOOKUP(C3,Fatores!D:E,2,FALSE()))&lt;1,1,(C5/VLOOKUP(C3,Fatores!D:E,2,FALSE()))),"Informar Município")</f>
        <v>Informar Município</v>
      </c>
      <c r="E7" s="141" t="s">
        <v>69</v>
      </c>
      <c r="F7" s="203" t="s">
        <v>643</v>
      </c>
      <c r="G7" s="203"/>
      <c r="H7" s="153"/>
      <c r="I7" s="142" t="s">
        <v>70</v>
      </c>
      <c r="J7" s="125">
        <v>2</v>
      </c>
      <c r="K7" s="70"/>
      <c r="L7" s="116">
        <f>IFERROR($E$5*$F$5*$H$5*$J7*$K7,0)</f>
        <v>0</v>
      </c>
      <c r="M7" s="149">
        <v>1</v>
      </c>
      <c r="N7" s="70"/>
      <c r="O7" s="127">
        <f>IFERROR($E$5*$F$5*$H$5*$M7*$N7,0)</f>
        <v>0</v>
      </c>
      <c r="P7" s="120">
        <f>L7+O7</f>
        <v>0</v>
      </c>
      <c r="R7" s="157"/>
      <c r="S7" s="122"/>
      <c r="T7" s="119"/>
    </row>
    <row r="8" spans="3:21" ht="51" customHeight="1" x14ac:dyDescent="0.25">
      <c r="C8" s="152" t="s">
        <v>71</v>
      </c>
      <c r="E8" s="140" t="s">
        <v>72</v>
      </c>
      <c r="F8" s="140" t="s">
        <v>73</v>
      </c>
      <c r="G8" s="140" t="s">
        <v>74</v>
      </c>
      <c r="H8" s="153"/>
      <c r="I8" s="154" t="s">
        <v>75</v>
      </c>
      <c r="J8" s="155"/>
      <c r="K8" s="134"/>
      <c r="L8" s="135"/>
      <c r="M8" s="156"/>
      <c r="N8" s="134"/>
      <c r="O8" s="135"/>
      <c r="P8" s="119"/>
      <c r="R8" s="157"/>
      <c r="S8" s="122"/>
      <c r="T8" s="119"/>
    </row>
    <row r="9" spans="3:21" ht="73.5" customHeight="1" thickBot="1" x14ac:dyDescent="0.3">
      <c r="C9" s="150" t="str">
        <f>IFERROR(C5*VLOOKUP(C3,Médias2025!A:D,4,FALSE()),"Informar Município")</f>
        <v>Informar Município</v>
      </c>
      <c r="E9" s="143">
        <v>3500</v>
      </c>
      <c r="F9" s="143">
        <v>7000</v>
      </c>
      <c r="G9" s="144">
        <v>14000</v>
      </c>
      <c r="H9" s="123"/>
      <c r="I9" s="142" t="s">
        <v>76</v>
      </c>
      <c r="J9" s="125">
        <v>1</v>
      </c>
      <c r="K9" s="70"/>
      <c r="L9" s="116">
        <f>IFERROR($E$5*$F$5*$H$5*$J9*$K9,0)</f>
        <v>0</v>
      </c>
      <c r="M9" s="117"/>
      <c r="N9" s="134"/>
      <c r="O9" s="135"/>
      <c r="P9" s="120">
        <f>L9+O9</f>
        <v>0</v>
      </c>
      <c r="R9" s="148">
        <v>1</v>
      </c>
      <c r="S9" s="68"/>
      <c r="T9" s="126">
        <f>IFERROR($E$5*$F$5*$H$5*$R9*$S9,0)</f>
        <v>0</v>
      </c>
    </row>
    <row r="10" spans="3:21" ht="48.75" customHeight="1" thickBot="1" x14ac:dyDescent="0.3">
      <c r="C10" s="152" t="s">
        <v>648</v>
      </c>
      <c r="E10" s="141" t="s">
        <v>69</v>
      </c>
      <c r="F10" s="198" t="s">
        <v>642</v>
      </c>
      <c r="G10" s="198"/>
      <c r="H10" s="123"/>
      <c r="I10" s="142" t="s">
        <v>77</v>
      </c>
      <c r="J10" s="125">
        <v>1</v>
      </c>
      <c r="K10" s="70"/>
      <c r="L10" s="116">
        <f>IFERROR($E$5*$F$5*$H$5*$J10*$K10,0)</f>
        <v>0</v>
      </c>
      <c r="M10" s="117"/>
      <c r="N10" s="134"/>
      <c r="O10" s="119"/>
      <c r="P10" s="120">
        <f>L10+O10</f>
        <v>0</v>
      </c>
      <c r="R10" s="121"/>
      <c r="S10" s="122"/>
      <c r="T10" s="119"/>
    </row>
    <row r="11" spans="3:21" ht="69" customHeight="1" thickBot="1" x14ac:dyDescent="0.3">
      <c r="C11" s="150" t="str">
        <f>IF(F4="Pequeno (ate 4 modulos fiscais)",C9*0.5,IF(F4="Medio (superior a 4 e ate 15 modulos fiscais)",C9*0.65,(IF(F4="Grande (superior a 15 modulos fiscais)",C9*0.8,"Informar Município"))))</f>
        <v>Informar Município</v>
      </c>
      <c r="E11" s="140" t="s">
        <v>72</v>
      </c>
      <c r="F11" s="140" t="s">
        <v>73</v>
      </c>
      <c r="G11" s="140" t="s">
        <v>74</v>
      </c>
      <c r="H11" s="123"/>
      <c r="I11" s="151" t="s">
        <v>78</v>
      </c>
      <c r="J11" s="125">
        <v>2</v>
      </c>
      <c r="K11" s="70"/>
      <c r="L11" s="116">
        <f>IFERROR($E$5*$F$5*$H$5*$J11*$K11,0)</f>
        <v>0</v>
      </c>
      <c r="M11" s="149">
        <v>1</v>
      </c>
      <c r="N11" s="70"/>
      <c r="O11" s="127">
        <f>IFERROR($E$5*$F$5*$H$5*$M11*$N11,0)</f>
        <v>0</v>
      </c>
      <c r="P11" s="120">
        <f>L11+O11</f>
        <v>0</v>
      </c>
      <c r="R11" s="121"/>
      <c r="S11" s="122"/>
      <c r="T11" s="119"/>
    </row>
    <row r="12" spans="3:21" ht="54.75" customHeight="1" x14ac:dyDescent="0.25">
      <c r="E12" s="143">
        <v>1750</v>
      </c>
      <c r="F12" s="143">
        <v>3500</v>
      </c>
      <c r="G12" s="144">
        <v>7000</v>
      </c>
      <c r="H12" s="123"/>
      <c r="I12" s="145" t="s">
        <v>79</v>
      </c>
      <c r="J12" s="146"/>
      <c r="K12" s="134"/>
      <c r="L12" s="135"/>
      <c r="M12" s="117"/>
      <c r="N12" s="134"/>
      <c r="O12" s="119"/>
      <c r="P12" s="147"/>
      <c r="R12" s="148">
        <v>2</v>
      </c>
      <c r="S12" s="68"/>
      <c r="T12" s="126">
        <f>IFERROR($E$5*$F$5*$H$5*$R12*$S12,0)</f>
        <v>0</v>
      </c>
    </row>
    <row r="13" spans="3:21" ht="58.5" customHeight="1" thickBot="1" x14ac:dyDescent="0.3">
      <c r="E13" s="141" t="s">
        <v>69</v>
      </c>
      <c r="F13" s="198" t="s">
        <v>641</v>
      </c>
      <c r="G13" s="198"/>
      <c r="H13" s="123"/>
      <c r="I13" s="142" t="s">
        <v>80</v>
      </c>
      <c r="J13" s="125">
        <v>3</v>
      </c>
      <c r="K13" s="70"/>
      <c r="L13" s="116">
        <f>IFERROR($E$5*$F$5*$H$5*$J13*$K13,0)</f>
        <v>0</v>
      </c>
      <c r="M13" s="117"/>
      <c r="N13" s="134"/>
      <c r="O13" s="119"/>
      <c r="P13" s="120">
        <f>L13+O13</f>
        <v>0</v>
      </c>
      <c r="R13" s="121"/>
      <c r="S13" s="122"/>
      <c r="T13" s="119"/>
    </row>
    <row r="14" spans="3:21" ht="73.5" customHeight="1" thickBot="1" x14ac:dyDescent="0.3">
      <c r="E14" s="140" t="s">
        <v>72</v>
      </c>
      <c r="F14" s="140" t="s">
        <v>73</v>
      </c>
      <c r="G14" s="140" t="s">
        <v>74</v>
      </c>
      <c r="H14" s="123"/>
      <c r="I14" s="130" t="s">
        <v>81</v>
      </c>
      <c r="J14" s="131">
        <v>1</v>
      </c>
      <c r="K14" s="71"/>
      <c r="L14" s="116">
        <f>IFERROR($E$5*$F$5*$H$5*$J14*$K14,0)</f>
        <v>0</v>
      </c>
      <c r="M14" s="129">
        <v>1</v>
      </c>
      <c r="N14" s="71"/>
      <c r="O14" s="127">
        <f>IFERROR($E$5*$F$5*$H$5*$M14*$N14,0)</f>
        <v>0</v>
      </c>
      <c r="P14" s="120">
        <f>L14+O14</f>
        <v>0</v>
      </c>
      <c r="R14" s="128">
        <v>1</v>
      </c>
      <c r="S14" s="68"/>
      <c r="T14" s="126">
        <f>IFERROR($E$5*$F$5*$H$5*$R14*$S14,0)</f>
        <v>0</v>
      </c>
    </row>
    <row r="15" spans="3:21" ht="36.75" customHeight="1" thickBot="1" x14ac:dyDescent="0.3">
      <c r="E15" s="137" t="s">
        <v>82</v>
      </c>
      <c r="F15" s="137" t="s">
        <v>83</v>
      </c>
      <c r="G15" s="138" t="s">
        <v>84</v>
      </c>
      <c r="H15" s="139"/>
      <c r="I15" s="132" t="s">
        <v>85</v>
      </c>
      <c r="J15" s="131">
        <v>3</v>
      </c>
      <c r="K15" s="71"/>
      <c r="L15" s="116">
        <f>IFERROR($E$5*$F$5*$H$5*$J15*$K15,0)</f>
        <v>0</v>
      </c>
      <c r="M15" s="117"/>
      <c r="N15" s="118"/>
      <c r="O15" s="119"/>
      <c r="P15" s="120">
        <f>L15+O15</f>
        <v>0</v>
      </c>
      <c r="R15" s="121"/>
      <c r="S15" s="122"/>
      <c r="T15" s="119"/>
    </row>
    <row r="16" spans="3:21" ht="68.25" customHeight="1" x14ac:dyDescent="0.25">
      <c r="E16" s="99"/>
      <c r="H16" s="123"/>
      <c r="I16" s="132" t="s">
        <v>86</v>
      </c>
      <c r="J16" s="133"/>
      <c r="K16" s="134"/>
      <c r="L16" s="135"/>
      <c r="M16" s="117"/>
      <c r="N16" s="134"/>
      <c r="O16" s="119"/>
      <c r="P16" s="136"/>
      <c r="R16" s="128">
        <v>1</v>
      </c>
      <c r="S16" s="68"/>
      <c r="T16" s="126">
        <f>IFERROR($E$5*$F$5*$H$5*$R16*$S16,0)</f>
        <v>0</v>
      </c>
    </row>
    <row r="17" spans="8:20" ht="37.5" customHeight="1" x14ac:dyDescent="0.25">
      <c r="H17" s="123"/>
      <c r="I17" s="130" t="s">
        <v>87</v>
      </c>
      <c r="J17" s="131">
        <v>1</v>
      </c>
      <c r="K17" s="71"/>
      <c r="L17" s="116">
        <f>IFERROR($E$5*$F$5*$H$5*$J17*$K17,0)</f>
        <v>0</v>
      </c>
      <c r="M17" s="129">
        <v>1</v>
      </c>
      <c r="N17" s="71"/>
      <c r="O17" s="127">
        <f>IFERROR($E$5*$F$5*$H$5*$M17*$N17,0)</f>
        <v>0</v>
      </c>
      <c r="P17" s="120">
        <f>L17+O17</f>
        <v>0</v>
      </c>
      <c r="R17" s="128">
        <v>1</v>
      </c>
      <c r="S17" s="68"/>
      <c r="T17" s="126">
        <f>IFERROR($E$5*$F$5*$H$5*$R17*$S17,0)</f>
        <v>0</v>
      </c>
    </row>
    <row r="18" spans="8:20" ht="40.5" customHeight="1" x14ac:dyDescent="0.25">
      <c r="H18" s="123"/>
      <c r="I18" s="124" t="s">
        <v>88</v>
      </c>
      <c r="J18" s="125">
        <v>2</v>
      </c>
      <c r="K18" s="70"/>
      <c r="L18" s="116">
        <f>IFERROR($E$5*$F$5*$H$5*$J18*$K18,0)</f>
        <v>0</v>
      </c>
      <c r="M18" s="117"/>
      <c r="N18" s="118"/>
      <c r="O18" s="119"/>
      <c r="P18" s="120">
        <f>L18+O18</f>
        <v>0</v>
      </c>
      <c r="R18" s="121"/>
      <c r="S18" s="122"/>
      <c r="T18" s="119"/>
    </row>
    <row r="19" spans="8:20" ht="40.5" customHeight="1" thickBot="1" x14ac:dyDescent="0.3">
      <c r="I19" s="115" t="s">
        <v>89</v>
      </c>
      <c r="J19" s="112">
        <v>1.5</v>
      </c>
      <c r="K19" s="72"/>
      <c r="L19" s="113">
        <f>IFERROR($E$5*$F$5*$H$5*$J19*$K19,0)</f>
        <v>0</v>
      </c>
      <c r="M19" s="114">
        <v>1</v>
      </c>
      <c r="N19" s="72"/>
      <c r="O19" s="110">
        <f>IFERROR($E$5*$F$5*$H$5*$M19*$N19,0)</f>
        <v>0</v>
      </c>
      <c r="P19" s="111">
        <f>L19+O19</f>
        <v>0</v>
      </c>
      <c r="R19" s="112">
        <v>1</v>
      </c>
      <c r="S19" s="73"/>
      <c r="T19" s="110">
        <f>IFERROR($E$5*$F$5*$H$5*$M15*$N15,0)</f>
        <v>0</v>
      </c>
    </row>
    <row r="20" spans="8:20" ht="23.25" customHeight="1" thickBot="1" x14ac:dyDescent="0.3">
      <c r="I20" s="97"/>
      <c r="O20" s="100" t="s">
        <v>644</v>
      </c>
      <c r="P20" s="101">
        <f>P4+P5+P7+P9+P10+P11+P13+P14+P15+P17+P18+P19</f>
        <v>0</v>
      </c>
      <c r="S20" s="100" t="s">
        <v>644</v>
      </c>
      <c r="T20" s="102">
        <f>T4+T5+T9+T12+T14+T16+T17+T19</f>
        <v>0</v>
      </c>
    </row>
    <row r="21" spans="8:20" ht="29.25" customHeight="1" thickBot="1" x14ac:dyDescent="0.3">
      <c r="O21" s="103" t="s">
        <v>645</v>
      </c>
      <c r="P21" s="104" t="str">
        <f>IF(F4="Pequeno (ate 4 modulos fiscais)", IF(P20 &gt; 3500*P23, "Não se aplica", 3500*P23), IF(F4="Medio (superior a 4 e ate 15 modulos fiscais)", IF(P20 &gt; 7000*P23,"Não se aplica", 7000*P23), IF(F4="Grande (superior a 15 modulos fiscais)", IF(P20 &gt; 14000*P23, "Não se aplica", 14000*P23), "Não se aplica")))</f>
        <v>Não se aplica</v>
      </c>
      <c r="S21" s="103" t="s">
        <v>645</v>
      </c>
      <c r="T21" s="102" t="str">
        <f>IF(F4="Pequeno (ate 4 modulos fiscais)", IF(T20 &gt;1750*T23, "Não se aplica",1750*T23), IF(F4="Medio (superior a 4 e ate 15 modulos fiscais)", IF(T20 &gt; 3500*P23,"Não se aplica", 3500*T23), IF(F4="Grande (superior a 15 modulos fiscais)", IF(T20 &gt; 7000*T23, "Não se aplica", 7000*T23), "Não se aplica")))</f>
        <v>Não se aplica</v>
      </c>
    </row>
    <row r="22" spans="8:20" ht="30.75" customHeight="1" thickBot="1" x14ac:dyDescent="0.3">
      <c r="O22" s="103" t="s">
        <v>646</v>
      </c>
      <c r="P22" s="105" t="str">
        <f>IF(    P21&gt;C11,C11, IF(  P20&gt;C11,C11,"Não se aplica"))</f>
        <v>Informar Município</v>
      </c>
      <c r="S22" s="103" t="s">
        <v>646</v>
      </c>
      <c r="T22" s="106" t="str">
        <f>IF(T21&gt;C11,C11, IF(T20&gt;C11,C11,"Não se aplica"))</f>
        <v>Informar Município</v>
      </c>
    </row>
    <row r="23" spans="8:20" ht="51" customHeight="1" thickBot="1" x14ac:dyDescent="0.3">
      <c r="O23" s="103" t="s">
        <v>90</v>
      </c>
      <c r="P23" s="107">
        <f>J4*K4+J5*K5+J7*K7+J9*K9+J9*K9+J10*K10+J11*K11+J13*K13+J14*K14+J15*K15+J17*K17+J18*K18+J19*K19+M4*N4+M5*N5+M7*N7+M11*N11+M14*N14+M17*N17+M19*N19</f>
        <v>0</v>
      </c>
      <c r="S23" s="103" t="s">
        <v>90</v>
      </c>
      <c r="T23" s="108">
        <f>R4*S4+R5*S5+R9*S9+R12*S12+R14*S14+R16*S16+R17*S17+R19*S19</f>
        <v>0</v>
      </c>
    </row>
    <row r="24" spans="8:20" ht="36.75" customHeight="1" thickBot="1" x14ac:dyDescent="0.3">
      <c r="O24" s="103" t="s">
        <v>647</v>
      </c>
      <c r="P24" s="109" t="str">
        <f>IF(P22&lt;&gt;"Não se aplica",P22,IF(P21&lt;&gt;"Não se aplica",P21,P20))</f>
        <v>Informar Município</v>
      </c>
      <c r="S24" s="103" t="s">
        <v>647</v>
      </c>
      <c r="T24" s="106" t="str">
        <f>IF(T22&lt;&gt;"Não se aplica",T22,IF(T21&lt;&gt;"Não se aplica",T21,T20))</f>
        <v>Informar Município</v>
      </c>
    </row>
    <row r="25" spans="8:20" ht="32.1" customHeight="1" thickBot="1" x14ac:dyDescent="0.3">
      <c r="O25" s="103" t="s">
        <v>91</v>
      </c>
      <c r="P25" s="102">
        <f>IFERROR(P24/P23,0)</f>
        <v>0</v>
      </c>
      <c r="S25" s="103" t="s">
        <v>91</v>
      </c>
      <c r="T25" s="106">
        <f>IFERROR(T24/T23,0)</f>
        <v>0</v>
      </c>
    </row>
    <row r="26" spans="8:20" ht="40.5" customHeight="1" x14ac:dyDescent="0.25"/>
  </sheetData>
  <sheetProtection algorithmName="SHA-512" hashValue="Cj3vbk0G4pBbOuGnFIQ1j4R8rwKMYb9F31tjAHaySfiPyu/I9tjK7s98T2AW0EU2ZpKfWk7exdGF+cIg86keYw==" saltValue="pfjFcXYGU5bcdN9S6GLVjw==" spinCount="100000" sheet="1" selectLockedCells="1"/>
  <protectedRanges>
    <protectedRange sqref="C3 C5 G4 N4:N5 N7 N11 S4:S5 S9 N11 S12 N14 S14 S16 S17 S19 N19 N17 K19 K18 K17 K15 K14 K13 K11 K10 K9 K7 K5 K4" name="Intervalo1"/>
  </protectedRanges>
  <mergeCells count="8">
    <mergeCell ref="F13:G13"/>
    <mergeCell ref="E2:F2"/>
    <mergeCell ref="J2:L2"/>
    <mergeCell ref="M2:O2"/>
    <mergeCell ref="R2:T2"/>
    <mergeCell ref="G4:G5"/>
    <mergeCell ref="F7:G7"/>
    <mergeCell ref="F10:G10"/>
  </mergeCells>
  <conditionalFormatting sqref="A1:U1 A2:J2 A3:O3 A4:J5 C4:C14 L6:O6 A6:B9 L8:O8 D8:D26 B10:B22 A10:A26 K16:N16 I20:P20 I21:N26 S23:T25">
    <cfRule type="cellIs" dxfId="144" priority="20" operator="equal">
      <formula>"Informar Município"</formula>
    </cfRule>
    <cfRule type="cellIs" dxfId="143" priority="21" operator="equal">
      <formula>"Indisponível"</formula>
    </cfRule>
  </conditionalFormatting>
  <conditionalFormatting sqref="D6:J6 H7:J9 M4:N5 M7:N7 M9:N11 M17:N19 M2 R2 U2 Q3:U3 Q4 U4:U5 K4:K10 Q6:U6 D7:F7 Q8:T8 E8:G9 U8:U26 Q9:Q10 E10:F10 I10:J10 H10:H20 I11:K11 E11:G12 Q12 E13:F13 I13:K15 E14:G17 I17:K19 Q18 E22:F23 R26">
    <cfRule type="cellIs" dxfId="142" priority="85" operator="equal">
      <formula>"Indisponível"</formula>
    </cfRule>
    <cfRule type="cellIs" dxfId="141" priority="84" operator="equal">
      <formula>"Informar Município"</formula>
    </cfRule>
  </conditionalFormatting>
  <conditionalFormatting sqref="H4">
    <cfRule type="cellIs" dxfId="140" priority="22" operator="equal">
      <formula>"Área desmatada superior ao tamanho do imóvel"</formula>
    </cfRule>
    <cfRule type="cellIs" dxfId="139" priority="23" operator="equal">
      <formula>"Informar total desmatado/ha"</formula>
    </cfRule>
  </conditionalFormatting>
  <conditionalFormatting sqref="I16:J16">
    <cfRule type="cellIs" dxfId="138" priority="40" operator="equal">
      <formula>"Informar Município"</formula>
    </cfRule>
    <cfRule type="cellIs" dxfId="137" priority="41" operator="equal">
      <formula>"Indisponível"</formula>
    </cfRule>
  </conditionalFormatting>
  <conditionalFormatting sqref="I12:L12">
    <cfRule type="cellIs" dxfId="136" priority="60" operator="equal">
      <formula>"Indisponível"</formula>
    </cfRule>
    <cfRule type="cellIs" dxfId="135" priority="59" operator="equal">
      <formula>"Informar Município"</formula>
    </cfRule>
  </conditionalFormatting>
  <conditionalFormatting sqref="J6 J8">
    <cfRule type="expression" dxfId="134" priority="83">
      <formula>LEN(TRIM(J6))&gt;0</formula>
    </cfRule>
  </conditionalFormatting>
  <conditionalFormatting sqref="J12">
    <cfRule type="expression" dxfId="133" priority="58">
      <formula>LEN(TRIM(J12))&gt;0</formula>
    </cfRule>
  </conditionalFormatting>
  <conditionalFormatting sqref="J16">
    <cfRule type="expression" dxfId="132" priority="39">
      <formula>LEN(TRIM(J16))&gt;0</formula>
    </cfRule>
  </conditionalFormatting>
  <conditionalFormatting sqref="K4:K19 L6:T6 L8:T8 Q9:Q10 N9:N19 P12:Q12 Q18:T18 L12 S14:S17 S10:S12 C3 G4 C5 L16">
    <cfRule type="expression" dxfId="131" priority="86">
      <formula>LEN(TRIM(C3))&gt;0</formula>
    </cfRule>
  </conditionalFormatting>
  <conditionalFormatting sqref="M9:M10">
    <cfRule type="expression" dxfId="130" priority="38">
      <formula>LEN(TRIM(M9))&gt;0</formula>
    </cfRule>
  </conditionalFormatting>
  <conditionalFormatting sqref="M12:M13">
    <cfRule type="expression" dxfId="129" priority="37">
      <formula>LEN(TRIM(M12))&gt;0</formula>
    </cfRule>
  </conditionalFormatting>
  <conditionalFormatting sqref="M15:M16">
    <cfRule type="expression" dxfId="128" priority="36">
      <formula>LEN(TRIM(M15))&gt;0</formula>
    </cfRule>
  </conditionalFormatting>
  <conditionalFormatting sqref="M18">
    <cfRule type="expression" dxfId="127" priority="35">
      <formula>LEN(TRIM(M18))&gt;0</formula>
    </cfRule>
  </conditionalFormatting>
  <conditionalFormatting sqref="M12:N15">
    <cfRule type="cellIs" dxfId="126" priority="56" operator="equal">
      <formula>"Informar Município"</formula>
    </cfRule>
    <cfRule type="cellIs" dxfId="125" priority="57" operator="equal">
      <formula>"Indisponível"</formula>
    </cfRule>
  </conditionalFormatting>
  <conditionalFormatting sqref="N4:N5 N7">
    <cfRule type="expression" dxfId="124" priority="82">
      <formula>LEN(TRIM(N4))&gt;0</formula>
    </cfRule>
  </conditionalFormatting>
  <conditionalFormatting sqref="N9">
    <cfRule type="expression" dxfId="123" priority="73">
      <formula>LEN(TRIM(N9))&gt;0</formula>
    </cfRule>
  </conditionalFormatting>
  <conditionalFormatting sqref="O9:O10">
    <cfRule type="cellIs" dxfId="122" priority="69" operator="equal">
      <formula>"Indisponível"</formula>
    </cfRule>
    <cfRule type="cellIs" dxfId="121" priority="68" operator="equal">
      <formula>"Informar Município"</formula>
    </cfRule>
    <cfRule type="expression" dxfId="120" priority="67">
      <formula>LEN(TRIM(O9))&gt;0</formula>
    </cfRule>
  </conditionalFormatting>
  <conditionalFormatting sqref="O12:O13">
    <cfRule type="cellIs" dxfId="119" priority="55" operator="equal">
      <formula>"Indisponível"</formula>
    </cfRule>
    <cfRule type="cellIs" dxfId="118" priority="54" operator="equal">
      <formula>"Informar Município"</formula>
    </cfRule>
    <cfRule type="expression" dxfId="117" priority="53">
      <formula>LEN(TRIM(O12))&gt;0</formula>
    </cfRule>
  </conditionalFormatting>
  <conditionalFormatting sqref="O15:O16">
    <cfRule type="cellIs" dxfId="116" priority="43" operator="equal">
      <formula>"Informar Município"</formula>
    </cfRule>
    <cfRule type="expression" dxfId="115" priority="42">
      <formula>LEN(TRIM(O15))&gt;0</formula>
    </cfRule>
    <cfRule type="cellIs" dxfId="114" priority="44" operator="equal">
      <formula>"Indisponível"</formula>
    </cfRule>
  </conditionalFormatting>
  <conditionalFormatting sqref="O18">
    <cfRule type="expression" dxfId="113" priority="72">
      <formula>LEN(TRIM(O18))&gt;0</formula>
    </cfRule>
    <cfRule type="cellIs" dxfId="112" priority="70" operator="equal">
      <formula>"Informar Município"</formula>
    </cfRule>
    <cfRule type="cellIs" dxfId="111" priority="71" operator="equal">
      <formula>"Indisponível"</formula>
    </cfRule>
  </conditionalFormatting>
  <conditionalFormatting sqref="O21:P25">
    <cfRule type="cellIs" dxfId="110" priority="3" operator="equal">
      <formula>"Informar Município"</formula>
    </cfRule>
    <cfRule type="cellIs" dxfId="109" priority="4" operator="equal">
      <formula>"Indisponível"</formula>
    </cfRule>
  </conditionalFormatting>
  <conditionalFormatting sqref="P3:P19 Q13:T13 Q15:Q16">
    <cfRule type="cellIs" dxfId="108" priority="65" operator="equal">
      <formula>"Informar Município"</formula>
    </cfRule>
    <cfRule type="cellIs" dxfId="107" priority="66" operator="equal">
      <formula>"Indisponível"</formula>
    </cfRule>
  </conditionalFormatting>
  <conditionalFormatting sqref="Q13:T13 Q15:Q16 P16">
    <cfRule type="expression" dxfId="106" priority="64">
      <formula>LEN(TRIM(P13))&gt;0</formula>
    </cfRule>
  </conditionalFormatting>
  <conditionalFormatting sqref="R10:R11">
    <cfRule type="expression" dxfId="105" priority="61">
      <formula>LEN(TRIM(R10))&gt;0</formula>
    </cfRule>
    <cfRule type="cellIs" dxfId="104" priority="62" operator="equal">
      <formula>"Informar Município"</formula>
    </cfRule>
    <cfRule type="cellIs" dxfId="103" priority="63" operator="equal">
      <formula>"Indisponível"</formula>
    </cfRule>
  </conditionalFormatting>
  <conditionalFormatting sqref="R15">
    <cfRule type="cellIs" dxfId="102" priority="47" operator="equal">
      <formula>"Indisponível"</formula>
    </cfRule>
    <cfRule type="cellIs" dxfId="101" priority="46" operator="equal">
      <formula>"Informar Município"</formula>
    </cfRule>
    <cfRule type="expression" dxfId="100" priority="45">
      <formula>LEN(TRIM(R15))&gt;0</formula>
    </cfRule>
  </conditionalFormatting>
  <conditionalFormatting sqref="R18:R19">
    <cfRule type="cellIs" dxfId="99" priority="25" operator="equal">
      <formula>"Indisponível"</formula>
    </cfRule>
    <cfRule type="cellIs" dxfId="98" priority="24" operator="equal">
      <formula>"Informar Município"</formula>
    </cfRule>
  </conditionalFormatting>
  <conditionalFormatting sqref="R7:T7">
    <cfRule type="expression" dxfId="97" priority="32">
      <formula>LEN(TRIM(R7))&gt;0</formula>
    </cfRule>
  </conditionalFormatting>
  <conditionalFormatting sqref="R7:U7">
    <cfRule type="cellIs" dxfId="96" priority="34" operator="equal">
      <formula>"Indisponível"</formula>
    </cfRule>
    <cfRule type="cellIs" dxfId="95" priority="33" operator="equal">
      <formula>"Informar Município"</formula>
    </cfRule>
  </conditionalFormatting>
  <conditionalFormatting sqref="S4:S5">
    <cfRule type="cellIs" dxfId="94" priority="78" operator="equal">
      <formula>"Informar Município"</formula>
    </cfRule>
    <cfRule type="expression" dxfId="93" priority="77">
      <formula>LEN(TRIM(S4))&gt;0</formula>
    </cfRule>
    <cfRule type="cellIs" dxfId="92" priority="79" operator="equal">
      <formula>"Indisponível"</formula>
    </cfRule>
  </conditionalFormatting>
  <conditionalFormatting sqref="S9">
    <cfRule type="expression" dxfId="91" priority="29">
      <formula>LEN(TRIM(S9))&gt;0</formula>
    </cfRule>
  </conditionalFormatting>
  <conditionalFormatting sqref="S9:S12">
    <cfRule type="cellIs" dxfId="90" priority="30" operator="equal">
      <formula>"Informar Município"</formula>
    </cfRule>
    <cfRule type="cellIs" dxfId="89" priority="31" operator="equal">
      <formula>"Indisponível"</formula>
    </cfRule>
  </conditionalFormatting>
  <conditionalFormatting sqref="S14:S17">
    <cfRule type="cellIs" dxfId="88" priority="52" operator="equal">
      <formula>"Indisponível"</formula>
    </cfRule>
    <cfRule type="cellIs" dxfId="87" priority="51" operator="equal">
      <formula>"Informar Município"</formula>
    </cfRule>
  </conditionalFormatting>
  <conditionalFormatting sqref="S19">
    <cfRule type="expression" dxfId="86" priority="28">
      <formula>LEN(TRIM(S19))&gt;0</formula>
    </cfRule>
  </conditionalFormatting>
  <conditionalFormatting sqref="S19:S22">
    <cfRule type="cellIs" dxfId="85" priority="2" operator="equal">
      <formula>"Indisponível"</formula>
    </cfRule>
    <cfRule type="cellIs" dxfId="84" priority="1" operator="equal">
      <formula>"Informar Município"</formula>
    </cfRule>
  </conditionalFormatting>
  <conditionalFormatting sqref="S18:T18">
    <cfRule type="cellIs" dxfId="83" priority="80" operator="equal">
      <formula>"Informar Município"</formula>
    </cfRule>
    <cfRule type="cellIs" dxfId="82" priority="81" operator="equal">
      <formula>"Indisponível"</formula>
    </cfRule>
  </conditionalFormatting>
  <conditionalFormatting sqref="T10:T11">
    <cfRule type="expression" dxfId="81" priority="74">
      <formula>LEN(TRIM(T10))&gt;0</formula>
    </cfRule>
    <cfRule type="cellIs" dxfId="80" priority="75" operator="equal">
      <formula>"Informar Município"</formula>
    </cfRule>
    <cfRule type="cellIs" dxfId="79" priority="76" operator="equal">
      <formula>"Indisponível"</formula>
    </cfRule>
  </conditionalFormatting>
  <conditionalFormatting sqref="T15">
    <cfRule type="cellIs" dxfId="78" priority="49" operator="equal">
      <formula>"Informar Município"</formula>
    </cfRule>
    <cfRule type="cellIs" dxfId="77" priority="50" operator="equal">
      <formula>"Indisponível"</formula>
    </cfRule>
    <cfRule type="expression" dxfId="76" priority="48">
      <formula>LEN(TRIM(T15))&gt;0</formula>
    </cfRule>
  </conditionalFormatting>
  <conditionalFormatting sqref="T20:T22">
    <cfRule type="cellIs" dxfId="75" priority="18" operator="equal">
      <formula>"Informar Município"</formula>
    </cfRule>
    <cfRule type="cellIs" dxfId="74" priority="19" operator="equal">
      <formula>"Indisponível"</formula>
    </cfRule>
  </conditionalFormatting>
  <dataValidations count="1">
    <dataValidation allowBlank="1" showInputMessage="1" showErrorMessage="1" sqref="G4 J4:O19 Q4:T5 P6:T6 Q7:T7 P8:T8 Q9:T11 P12:T12 Q13:T15 P16 R16:T19" xr:uid="{00000000-0002-0000-0200-000000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Fatores!$D$2:$D$247</xm:f>
          </x14:formula1>
          <x14:formula2>
            <xm:f>0</xm:f>
          </x14:formula2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Z26"/>
  <sheetViews>
    <sheetView showGridLines="0" topLeftCell="B1" zoomScale="60" zoomScaleNormal="60" workbookViewId="0">
      <pane xSplit="6" topLeftCell="H1" activePane="topRight" state="frozen"/>
      <selection activeCell="B1" sqref="B1"/>
      <selection pane="topRight" activeCell="I11" sqref="I11"/>
    </sheetView>
  </sheetViews>
  <sheetFormatPr defaultColWidth="8.7109375" defaultRowHeight="15" x14ac:dyDescent="0.25"/>
  <cols>
    <col min="1" max="2" width="1.7109375" style="7" customWidth="1"/>
    <col min="3" max="3" width="2.28515625" style="7" customWidth="1"/>
    <col min="4" max="4" width="26.28515625" style="7" customWidth="1"/>
    <col min="5" max="5" width="23.28515625" style="7" customWidth="1"/>
    <col min="6" max="6" width="27" style="7" customWidth="1"/>
    <col min="7" max="7" width="50.28515625" style="7" customWidth="1"/>
    <col min="8" max="8" width="25.42578125" style="7" customWidth="1"/>
    <col min="9" max="9" width="25.42578125" style="98" customWidth="1"/>
    <col min="10" max="10" width="25.42578125" style="99" customWidth="1"/>
    <col min="11" max="12" width="25.42578125" style="7" customWidth="1"/>
    <col min="13" max="13" width="25.42578125" style="99" customWidth="1"/>
    <col min="14" max="14" width="30.28515625" style="7" customWidth="1"/>
    <col min="15" max="15" width="4.140625" style="7" customWidth="1"/>
    <col min="16" max="17" width="25.42578125" style="7" customWidth="1"/>
    <col min="18" max="18" width="25.42578125" style="99" customWidth="1"/>
    <col min="19" max="19" width="24" style="7" customWidth="1"/>
    <col min="20" max="20" width="14.140625" style="7" customWidth="1"/>
    <col min="21" max="21" width="20.140625" style="7" customWidth="1"/>
    <col min="22" max="22" width="18.140625" style="7" customWidth="1"/>
    <col min="23" max="23" width="17.28515625" style="7" customWidth="1"/>
    <col min="24" max="24" width="21.28515625" style="7" customWidth="1"/>
    <col min="25" max="16384" width="8.7109375" style="7"/>
  </cols>
  <sheetData>
    <row r="1" spans="3:26" ht="10.5" customHeight="1" x14ac:dyDescent="0.25"/>
    <row r="2" spans="3:26" s="10" customFormat="1" ht="86.25" customHeight="1" x14ac:dyDescent="0.25">
      <c r="C2" s="7"/>
      <c r="D2" s="86" t="s">
        <v>51</v>
      </c>
      <c r="E2" s="7"/>
      <c r="F2" s="7"/>
      <c r="G2" s="7"/>
      <c r="H2" s="200" t="s">
        <v>52</v>
      </c>
      <c r="I2" s="200"/>
      <c r="J2" s="200"/>
      <c r="K2" s="200" t="s">
        <v>53</v>
      </c>
      <c r="L2" s="200"/>
      <c r="M2" s="200"/>
      <c r="N2" s="184"/>
      <c r="O2" s="185"/>
      <c r="P2" s="201" t="s">
        <v>54</v>
      </c>
      <c r="Q2" s="201"/>
      <c r="R2" s="201"/>
      <c r="S2" s="7"/>
      <c r="T2" s="7"/>
      <c r="Y2" s="7"/>
    </row>
    <row r="3" spans="3:26" ht="89.25" customHeight="1" x14ac:dyDescent="0.25">
      <c r="D3" s="13" t="s">
        <v>92</v>
      </c>
      <c r="E3" s="14" t="s">
        <v>57</v>
      </c>
      <c r="F3" s="14" t="s">
        <v>58</v>
      </c>
      <c r="G3" s="193" t="s">
        <v>59</v>
      </c>
      <c r="H3" s="194" t="s">
        <v>60</v>
      </c>
      <c r="I3" s="195" t="s">
        <v>61</v>
      </c>
      <c r="J3" s="196" t="s">
        <v>62</v>
      </c>
      <c r="K3" s="175" t="s">
        <v>63</v>
      </c>
      <c r="L3" s="176" t="s">
        <v>61</v>
      </c>
      <c r="M3" s="177" t="s">
        <v>62</v>
      </c>
      <c r="N3" s="178" t="s">
        <v>28</v>
      </c>
      <c r="P3" s="179" t="s">
        <v>64</v>
      </c>
      <c r="Q3" s="180" t="s">
        <v>61</v>
      </c>
      <c r="R3" s="181" t="s">
        <v>62</v>
      </c>
      <c r="Y3" s="10"/>
      <c r="Z3" s="10"/>
    </row>
    <row r="4" spans="3:26" ht="51.75" customHeight="1" x14ac:dyDescent="0.25">
      <c r="D4" s="168" t="s">
        <v>50</v>
      </c>
      <c r="E4" s="202"/>
      <c r="F4" s="165" t="str">
        <f>IF(ISBLANK(E4),"Informar total desmatado/ha",
IF(E4&lt;=20,"Ate 20 (vinte) hectares",
IF(E4&lt;=50,"Acima de 20 (vinte) e ate 50 (cinquenta) hectares",
IF(E4&lt;=100,"Acima de 50 (cinquenta) e ate 100 (cem) hectares",
IF(E4&lt;=500,"Acima de 100 (cem) e ate 500 (quinhentos) hectares",
IF(E4&gt;500,"Acima de 500 (quinhentos) hectares",
"Informar Total desmatado/ha"))))))</f>
        <v>Informar total desmatado/ha</v>
      </c>
      <c r="G4" s="166" t="s">
        <v>66</v>
      </c>
      <c r="H4" s="167">
        <v>1</v>
      </c>
      <c r="I4" s="88"/>
      <c r="J4" s="116">
        <f>IFERROR($D$5*$F$5*$H4*$I4,0)</f>
        <v>0</v>
      </c>
      <c r="K4" s="164">
        <v>1</v>
      </c>
      <c r="L4" s="92"/>
      <c r="M4" s="162">
        <f>IFERROR($D$5*$F$5*$K4*$L4,0)</f>
        <v>0</v>
      </c>
      <c r="N4" s="120">
        <f>J4+M4</f>
        <v>0</v>
      </c>
      <c r="P4" s="163">
        <v>1</v>
      </c>
      <c r="Q4" s="96"/>
      <c r="R4" s="126">
        <f>IFERROR($D$5*$F$5*$P4*$Q4,0)</f>
        <v>0</v>
      </c>
      <c r="Y4" s="10"/>
      <c r="Z4" s="10"/>
    </row>
    <row r="5" spans="3:26" ht="65.25" customHeight="1" x14ac:dyDescent="0.25">
      <c r="D5" s="53">
        <v>17285.25</v>
      </c>
      <c r="E5" s="202"/>
      <c r="F5" s="160">
        <f>SUMIF(Fatores!$A:$A,'Calculadora Linear'!F4,Fatores!$B:$B)</f>
        <v>0</v>
      </c>
      <c r="G5" s="161" t="s">
        <v>67</v>
      </c>
      <c r="H5" s="125">
        <v>1</v>
      </c>
      <c r="I5" s="89"/>
      <c r="J5" s="116">
        <f>IFERROR($D$5*$F$5*$H5*$I5,0)</f>
        <v>0</v>
      </c>
      <c r="K5" s="149">
        <v>1</v>
      </c>
      <c r="L5" s="93"/>
      <c r="M5" s="127">
        <f>IFERROR($D$5*$F$5*$K5*$L5,0)</f>
        <v>0</v>
      </c>
      <c r="N5" s="120">
        <f>J5+M5</f>
        <v>0</v>
      </c>
      <c r="P5" s="148">
        <v>1</v>
      </c>
      <c r="Q5" s="96"/>
      <c r="R5" s="126">
        <f>IFERROR($D$5*$F$5*$P5*$Q5,0)</f>
        <v>0</v>
      </c>
      <c r="Y5" s="10"/>
      <c r="Z5" s="10"/>
    </row>
    <row r="6" spans="3:26" ht="60" customHeight="1" x14ac:dyDescent="0.25">
      <c r="E6" s="39"/>
      <c r="F6" s="31"/>
      <c r="G6" s="154" t="s">
        <v>68</v>
      </c>
      <c r="H6" s="155"/>
      <c r="I6" s="156"/>
      <c r="J6" s="135"/>
      <c r="K6" s="156"/>
      <c r="L6" s="156"/>
      <c r="M6" s="135"/>
      <c r="N6" s="119"/>
      <c r="P6" s="157"/>
      <c r="Q6" s="117"/>
      <c r="R6" s="119"/>
      <c r="Y6" s="10"/>
      <c r="Z6" s="10"/>
    </row>
    <row r="7" spans="3:26" ht="45" customHeight="1" x14ac:dyDescent="0.25">
      <c r="F7" s="153"/>
      <c r="G7" s="142" t="s">
        <v>70</v>
      </c>
      <c r="H7" s="125">
        <v>2</v>
      </c>
      <c r="I7" s="89"/>
      <c r="J7" s="116">
        <f>IFERROR($D$5*$F$5*$H7*$I7,0)</f>
        <v>0</v>
      </c>
      <c r="K7" s="149">
        <v>1</v>
      </c>
      <c r="L7" s="93"/>
      <c r="M7" s="127">
        <f>IFERROR($D$5*$F$5*$K6*$L6,0)</f>
        <v>0</v>
      </c>
      <c r="N7" s="120">
        <f>J7+M7</f>
        <v>0</v>
      </c>
      <c r="P7" s="157"/>
      <c r="Q7" s="117"/>
      <c r="R7" s="119"/>
      <c r="X7" s="10"/>
      <c r="Y7" s="10"/>
      <c r="Z7" s="10"/>
    </row>
    <row r="8" spans="3:26" ht="51" customHeight="1" x14ac:dyDescent="0.25">
      <c r="F8" s="153"/>
      <c r="G8" s="154" t="s">
        <v>75</v>
      </c>
      <c r="H8" s="155"/>
      <c r="I8" s="156"/>
      <c r="J8" s="135"/>
      <c r="K8" s="156"/>
      <c r="L8" s="156"/>
      <c r="M8" s="135"/>
      <c r="N8" s="119"/>
      <c r="P8" s="157"/>
      <c r="Q8" s="156"/>
      <c r="R8" s="119"/>
      <c r="X8" s="10"/>
      <c r="Y8" s="10"/>
      <c r="Z8" s="10"/>
    </row>
    <row r="9" spans="3:26" ht="73.5" customHeight="1" x14ac:dyDescent="0.25">
      <c r="F9" s="123"/>
      <c r="G9" s="142" t="s">
        <v>76</v>
      </c>
      <c r="H9" s="125">
        <v>1</v>
      </c>
      <c r="I9" s="89"/>
      <c r="J9" s="116">
        <f>IFERROR($D$5*$F$5*$H9*$I9,0)</f>
        <v>0</v>
      </c>
      <c r="K9" s="117"/>
      <c r="L9" s="117"/>
      <c r="M9" s="135"/>
      <c r="N9" s="120">
        <f>J9+M9</f>
        <v>0</v>
      </c>
      <c r="P9" s="148">
        <v>1</v>
      </c>
      <c r="Q9" s="96"/>
      <c r="R9" s="126">
        <f>IFERROR($D$5*$F$5*$P9*$Q9,0)</f>
        <v>0</v>
      </c>
      <c r="X9" s="10"/>
      <c r="Y9" s="8"/>
      <c r="Z9" s="8"/>
    </row>
    <row r="10" spans="3:26" ht="41.25" customHeight="1" x14ac:dyDescent="0.25">
      <c r="F10" s="123"/>
      <c r="G10" s="142" t="s">
        <v>77</v>
      </c>
      <c r="H10" s="125">
        <v>1</v>
      </c>
      <c r="I10" s="89"/>
      <c r="J10" s="116">
        <f>IFERROR($D$5*$F$5*$H10*$I10,0)</f>
        <v>0</v>
      </c>
      <c r="K10" s="117"/>
      <c r="L10" s="117"/>
      <c r="M10" s="119"/>
      <c r="N10" s="120">
        <f>J10+M10</f>
        <v>0</v>
      </c>
      <c r="P10" s="121"/>
      <c r="Q10" s="117"/>
      <c r="R10" s="119"/>
      <c r="X10" s="10"/>
    </row>
    <row r="11" spans="3:26" ht="69" customHeight="1" x14ac:dyDescent="0.25">
      <c r="F11" s="123"/>
      <c r="G11" s="151" t="s">
        <v>78</v>
      </c>
      <c r="H11" s="125">
        <v>2</v>
      </c>
      <c r="I11" s="89"/>
      <c r="J11" s="116">
        <f>IFERROR($D$5*$F$5*$H11*$I11,0)</f>
        <v>0</v>
      </c>
      <c r="K11" s="149">
        <v>1</v>
      </c>
      <c r="L11" s="93"/>
      <c r="M11" s="127">
        <f>IFERROR($D$5*$F$5*$K11*$L11,0)</f>
        <v>0</v>
      </c>
      <c r="N11" s="120">
        <f>J11+M11</f>
        <v>0</v>
      </c>
      <c r="P11" s="121"/>
      <c r="Q11" s="117"/>
      <c r="R11" s="119"/>
      <c r="X11" s="10"/>
    </row>
    <row r="12" spans="3:26" ht="54.75" customHeight="1" x14ac:dyDescent="0.25">
      <c r="F12" s="123"/>
      <c r="G12" s="145" t="s">
        <v>79</v>
      </c>
      <c r="H12" s="146"/>
      <c r="I12" s="117"/>
      <c r="J12" s="135"/>
      <c r="K12" s="117"/>
      <c r="L12" s="117"/>
      <c r="M12" s="119"/>
      <c r="N12" s="147"/>
      <c r="P12" s="148">
        <v>2</v>
      </c>
      <c r="Q12" s="197"/>
      <c r="R12" s="126">
        <f>IFERROR($D$5*$F$5*$P12*$Q12,0)</f>
        <v>0</v>
      </c>
    </row>
    <row r="13" spans="3:26" ht="58.5" customHeight="1" x14ac:dyDescent="0.25">
      <c r="F13" s="123"/>
      <c r="G13" s="142" t="s">
        <v>80</v>
      </c>
      <c r="H13" s="125">
        <v>3</v>
      </c>
      <c r="I13" s="89"/>
      <c r="J13" s="116">
        <f>IFERROR($D$5*$F$5*$H13*$I13,0)</f>
        <v>0</v>
      </c>
      <c r="K13" s="117"/>
      <c r="L13" s="117"/>
      <c r="M13" s="119"/>
      <c r="N13" s="120">
        <f>J13+M13</f>
        <v>0</v>
      </c>
      <c r="P13" s="121"/>
      <c r="Q13" s="117"/>
      <c r="R13" s="119"/>
    </row>
    <row r="14" spans="3:26" ht="73.5" customHeight="1" x14ac:dyDescent="0.25">
      <c r="F14" s="123"/>
      <c r="G14" s="130" t="s">
        <v>81</v>
      </c>
      <c r="H14" s="131">
        <v>1</v>
      </c>
      <c r="I14" s="90"/>
      <c r="J14" s="116">
        <f>IFERROR($D$5*$F$5*$H14*$I14,0)</f>
        <v>0</v>
      </c>
      <c r="K14" s="129">
        <v>1</v>
      </c>
      <c r="L14" s="94"/>
      <c r="M14" s="127">
        <f>IFERROR($D$5*$F$5*$K14*$L14,0)</f>
        <v>0</v>
      </c>
      <c r="N14" s="120">
        <f>J14+M14</f>
        <v>0</v>
      </c>
      <c r="P14" s="128">
        <v>1</v>
      </c>
      <c r="Q14" s="96"/>
      <c r="R14" s="126">
        <f>IFERROR($D$5*$F$5*$P14*$Q14,0)</f>
        <v>0</v>
      </c>
    </row>
    <row r="15" spans="3:26" ht="36.75" customHeight="1" x14ac:dyDescent="0.25">
      <c r="F15" s="123"/>
      <c r="G15" s="132" t="s">
        <v>85</v>
      </c>
      <c r="H15" s="131">
        <v>3</v>
      </c>
      <c r="I15" s="90"/>
      <c r="J15" s="116">
        <f>IFERROR($D$5*$F$5*$H15*$I15,0)</f>
        <v>0</v>
      </c>
      <c r="K15" s="117"/>
      <c r="L15" s="192"/>
      <c r="M15" s="119"/>
      <c r="N15" s="120">
        <f>J15+M15</f>
        <v>0</v>
      </c>
      <c r="P15" s="121"/>
      <c r="Q15" s="117"/>
      <c r="R15" s="119"/>
    </row>
    <row r="16" spans="3:26" ht="68.25" customHeight="1" x14ac:dyDescent="0.25">
      <c r="F16" s="123"/>
      <c r="G16" s="132" t="s">
        <v>86</v>
      </c>
      <c r="H16" s="133"/>
      <c r="I16" s="117"/>
      <c r="J16" s="135"/>
      <c r="K16" s="117"/>
      <c r="L16" s="117"/>
      <c r="M16" s="119"/>
      <c r="N16" s="136"/>
      <c r="P16" s="128">
        <v>1</v>
      </c>
      <c r="Q16" s="96"/>
      <c r="R16" s="126">
        <f>IFERROR($D$5*$F$5*$P16*$Q16,0)</f>
        <v>0</v>
      </c>
    </row>
    <row r="17" spans="6:18" ht="37.5" customHeight="1" x14ac:dyDescent="0.25">
      <c r="F17" s="123"/>
      <c r="G17" s="130" t="s">
        <v>87</v>
      </c>
      <c r="H17" s="131">
        <v>1</v>
      </c>
      <c r="I17" s="90"/>
      <c r="J17" s="116">
        <f>IFERROR($D$5*$F$5*$H17*$I17,0)</f>
        <v>0</v>
      </c>
      <c r="K17" s="129">
        <v>1</v>
      </c>
      <c r="L17" s="94"/>
      <c r="M17" s="127">
        <f>IFERROR($D$5*$F$5*$K17*$L17,0)</f>
        <v>0</v>
      </c>
      <c r="N17" s="120">
        <f>J17+M17</f>
        <v>0</v>
      </c>
      <c r="P17" s="128">
        <v>1</v>
      </c>
      <c r="Q17" s="96"/>
      <c r="R17" s="126">
        <f>IFERROR($D$5*$F$5*$P17*$Q17,0)</f>
        <v>0</v>
      </c>
    </row>
    <row r="18" spans="6:18" ht="40.5" customHeight="1" x14ac:dyDescent="0.25">
      <c r="F18" s="123"/>
      <c r="G18" s="124" t="s">
        <v>88</v>
      </c>
      <c r="H18" s="125">
        <v>2</v>
      </c>
      <c r="I18" s="89"/>
      <c r="J18" s="116">
        <f>IFERROR($D$5*$F$5*$H18*$I18,0)</f>
        <v>0</v>
      </c>
      <c r="K18" s="117"/>
      <c r="L18" s="192"/>
      <c r="M18" s="119"/>
      <c r="N18" s="120">
        <f>J18+M18</f>
        <v>0</v>
      </c>
      <c r="P18" s="121"/>
      <c r="Q18" s="117"/>
      <c r="R18" s="119"/>
    </row>
    <row r="19" spans="6:18" ht="40.5" customHeight="1" thickBot="1" x14ac:dyDescent="0.3">
      <c r="G19" s="115" t="s">
        <v>89</v>
      </c>
      <c r="H19" s="112">
        <v>1.5</v>
      </c>
      <c r="I19" s="91"/>
      <c r="J19" s="113">
        <f>IFERROR($D$5*$F$5*$H19*$I19,0)</f>
        <v>0</v>
      </c>
      <c r="K19" s="114">
        <v>1</v>
      </c>
      <c r="L19" s="95"/>
      <c r="M19" s="110">
        <f>IFERROR($D$5*$F$5*$K19*$L19,0)</f>
        <v>0</v>
      </c>
      <c r="N19" s="191">
        <f>J19+M19</f>
        <v>0</v>
      </c>
      <c r="P19" s="112">
        <v>1</v>
      </c>
      <c r="Q19" s="95"/>
      <c r="R19" s="110">
        <f>IFERROR($D$5*$F$5*$K15*$L15,0)</f>
        <v>0</v>
      </c>
    </row>
    <row r="20" spans="6:18" ht="23.25" customHeight="1" thickBot="1" x14ac:dyDescent="0.3">
      <c r="G20" s="97"/>
      <c r="M20" s="103" t="s">
        <v>647</v>
      </c>
      <c r="N20" s="186">
        <f>N4+N5+N7+N9+N10+N11+N13+N14+N15+N17+N18+N19</f>
        <v>0</v>
      </c>
      <c r="Q20" s="103" t="s">
        <v>647</v>
      </c>
      <c r="R20" s="187">
        <f>R4+R5+R9+R12+R14+R16+R17+R19</f>
        <v>0</v>
      </c>
    </row>
    <row r="21" spans="6:18" ht="29.25" customHeight="1" thickBot="1" x14ac:dyDescent="0.3">
      <c r="M21" s="188" t="s">
        <v>90</v>
      </c>
      <c r="N21" s="189">
        <f>H4*I4+H5*I5+H7*I7+H9*I9+H10*I10+H11*I11+H13*I13+H14*I14+H15*I15+H17*I17+H18*I18+H19*I19+K4*L4+K5*L5+K7*L7+K11*L11+K14*L14+K17*L17+K19*L19</f>
        <v>0</v>
      </c>
      <c r="Q21" s="188" t="s">
        <v>90</v>
      </c>
      <c r="R21" s="189">
        <f>P4*Q4+P5*Q5+P9*Q9+P12*Q12+P14*Q14+P16*Q16+P17*Q17+P19*Q19</f>
        <v>0</v>
      </c>
    </row>
    <row r="22" spans="6:18" ht="30.75" customHeight="1" x14ac:dyDescent="0.25">
      <c r="M22" s="188" t="s">
        <v>91</v>
      </c>
      <c r="N22" s="190">
        <f>IFERROR(N20/N21,0)</f>
        <v>0</v>
      </c>
      <c r="Q22" s="188" t="s">
        <v>91</v>
      </c>
      <c r="R22" s="190">
        <f>IFERROR(R20/R21,0)</f>
        <v>0</v>
      </c>
    </row>
    <row r="23" spans="6:18" ht="51" customHeight="1" x14ac:dyDescent="0.25"/>
    <row r="24" spans="6:18" ht="36.75" customHeight="1" x14ac:dyDescent="0.25"/>
    <row r="25" spans="6:18" ht="23.25" customHeight="1" x14ac:dyDescent="0.25"/>
    <row r="26" spans="6:18" ht="40.5" customHeight="1" x14ac:dyDescent="0.25"/>
  </sheetData>
  <sheetProtection algorithmName="SHA-512" hashValue="1wSL2P4N+O8S3QuWK6qqdX7nlFC7EJ2s1XJXsVu2Ryasr29dY1/FaYIDdXkVJLPDxGZw76/KIUCh+g7ZbHeLoA==" saltValue="M5M4xWYthSnkvf6MayZ6IQ==" spinCount="100000" sheet="1" selectLockedCells="1"/>
  <mergeCells count="4">
    <mergeCell ref="H2:J2"/>
    <mergeCell ref="K2:M2"/>
    <mergeCell ref="P2:R2"/>
    <mergeCell ref="E4:E5"/>
  </mergeCells>
  <conditionalFormatting sqref="A3:M3">
    <cfRule type="cellIs" dxfId="73" priority="12" operator="equal">
      <formula>"Informar Município"</formula>
    </cfRule>
    <cfRule type="cellIs" dxfId="72" priority="13" operator="equal">
      <formula>"Indisponível"</formula>
    </cfRule>
  </conditionalFormatting>
  <conditionalFormatting sqref="A1:X1 A2:H2 A4:H5 C6:H6 J6:M6 A6:B7 J8:M8 A8:C26 I16:L16 G20:L26">
    <cfRule type="cellIs" dxfId="71" priority="15" operator="equal">
      <formula>"Indisponível"</formula>
    </cfRule>
    <cfRule type="cellIs" dxfId="70" priority="14" operator="equal">
      <formula>"Informar Município"</formula>
    </cfRule>
  </conditionalFormatting>
  <conditionalFormatting sqref="F4">
    <cfRule type="cellIs" dxfId="69" priority="16" operator="equal">
      <formula>"Área desmatada superior ao tamanho do imóvel"</formula>
    </cfRule>
    <cfRule type="cellIs" dxfId="68" priority="17" operator="equal">
      <formula>"Informar total desmatado/ha"</formula>
    </cfRule>
  </conditionalFormatting>
  <conditionalFormatting sqref="F7:H9 K4:L5 K7:L7 K9:L11 K17:L19 K2 P2 S2:X2 O3:S3 O4 S4:S5 I4:I10 O6:S6 C7 O8:R8 S8:V12 O9:O10 G10:H10 D10:D11 F10:F20 G11:I11 O12 S13:U14 G13:I15 S15:V17 G17:I19 O18 S18:S23 V18:V23 P24 S24:V26">
    <cfRule type="cellIs" dxfId="67" priority="79" operator="equal">
      <formula>"Indisponível"</formula>
    </cfRule>
    <cfRule type="cellIs" dxfId="66" priority="78" operator="equal">
      <formula>"Informar Município"</formula>
    </cfRule>
  </conditionalFormatting>
  <conditionalFormatting sqref="G16:H16">
    <cfRule type="cellIs" dxfId="65" priority="34" operator="equal">
      <formula>"Informar Município"</formula>
    </cfRule>
    <cfRule type="cellIs" dxfId="64" priority="35" operator="equal">
      <formula>"Indisponível"</formula>
    </cfRule>
  </conditionalFormatting>
  <conditionalFormatting sqref="G12:J12">
    <cfRule type="cellIs" dxfId="63" priority="53" operator="equal">
      <formula>"Informar Município"</formula>
    </cfRule>
    <cfRule type="cellIs" dxfId="62" priority="54" operator="equal">
      <formula>"Indisponível"</formula>
    </cfRule>
  </conditionalFormatting>
  <conditionalFormatting sqref="H6 H8">
    <cfRule type="expression" dxfId="61" priority="77">
      <formula>LEN(TRIM(H6))&gt;0</formula>
    </cfRule>
  </conditionalFormatting>
  <conditionalFormatting sqref="H12">
    <cfRule type="expression" dxfId="60" priority="52">
      <formula>LEN(TRIM(H12))&gt;0</formula>
    </cfRule>
  </conditionalFormatting>
  <conditionalFormatting sqref="H16">
    <cfRule type="expression" dxfId="59" priority="33">
      <formula>LEN(TRIM(H16))&gt;0</formula>
    </cfRule>
  </conditionalFormatting>
  <conditionalFormatting sqref="I4:I19 J6:R6 J8:R8 O9:O10 L9:L19 N12:O12 O18:R18 J12 Q14:Q17 Q10:Q12 E4 J16">
    <cfRule type="expression" dxfId="58" priority="80">
      <formula>LEN(TRIM(E4))&gt;0</formula>
    </cfRule>
  </conditionalFormatting>
  <conditionalFormatting sqref="K9:K10">
    <cfRule type="expression" dxfId="57" priority="32">
      <formula>LEN(TRIM(K9))&gt;0</formula>
    </cfRule>
  </conditionalFormatting>
  <conditionalFormatting sqref="K12:K13">
    <cfRule type="expression" dxfId="56" priority="31">
      <formula>LEN(TRIM(K12))&gt;0</formula>
    </cfRule>
  </conditionalFormatting>
  <conditionalFormatting sqref="K15:K16">
    <cfRule type="expression" dxfId="55" priority="30">
      <formula>LEN(TRIM(K15))&gt;0</formula>
    </cfRule>
  </conditionalFormatting>
  <conditionalFormatting sqref="K18">
    <cfRule type="expression" dxfId="54" priority="29">
      <formula>LEN(TRIM(K18))&gt;0</formula>
    </cfRule>
  </conditionalFormatting>
  <conditionalFormatting sqref="K12:L15">
    <cfRule type="cellIs" dxfId="53" priority="51" operator="equal">
      <formula>"Indisponível"</formula>
    </cfRule>
    <cfRule type="cellIs" dxfId="52" priority="50" operator="equal">
      <formula>"Informar Município"</formula>
    </cfRule>
  </conditionalFormatting>
  <conditionalFormatting sqref="L4:L5 L7">
    <cfRule type="expression" dxfId="51" priority="76">
      <formula>LEN(TRIM(L4))&gt;0</formula>
    </cfRule>
  </conditionalFormatting>
  <conditionalFormatting sqref="L9">
    <cfRule type="expression" dxfId="50" priority="67">
      <formula>LEN(TRIM(L9))&gt;0</formula>
    </cfRule>
  </conditionalFormatting>
  <conditionalFormatting sqref="M9:M10">
    <cfRule type="cellIs" dxfId="49" priority="62" operator="equal">
      <formula>"Informar Município"</formula>
    </cfRule>
    <cfRule type="expression" dxfId="48" priority="61">
      <formula>LEN(TRIM(M9))&gt;0</formula>
    </cfRule>
    <cfRule type="cellIs" dxfId="47" priority="63" operator="equal">
      <formula>"Indisponível"</formula>
    </cfRule>
  </conditionalFormatting>
  <conditionalFormatting sqref="M12:M13">
    <cfRule type="expression" dxfId="46" priority="47">
      <formula>LEN(TRIM(M12))&gt;0</formula>
    </cfRule>
    <cfRule type="cellIs" dxfId="45" priority="48" operator="equal">
      <formula>"Informar Município"</formula>
    </cfRule>
    <cfRule type="cellIs" dxfId="44" priority="49" operator="equal">
      <formula>"Indisponível"</formula>
    </cfRule>
  </conditionalFormatting>
  <conditionalFormatting sqref="M15:M16">
    <cfRule type="cellIs" dxfId="43" priority="38" operator="equal">
      <formula>"Indisponível"</formula>
    </cfRule>
    <cfRule type="cellIs" dxfId="42" priority="37" operator="equal">
      <formula>"Informar Município"</formula>
    </cfRule>
    <cfRule type="expression" dxfId="41" priority="36">
      <formula>LEN(TRIM(M15))&gt;0</formula>
    </cfRule>
  </conditionalFormatting>
  <conditionalFormatting sqref="M18">
    <cfRule type="expression" dxfId="40" priority="66">
      <formula>LEN(TRIM(M18))&gt;0</formula>
    </cfRule>
    <cfRule type="cellIs" dxfId="39" priority="65" operator="equal">
      <formula>"Indisponível"</formula>
    </cfRule>
    <cfRule type="cellIs" dxfId="38" priority="64" operator="equal">
      <formula>"Informar Município"</formula>
    </cfRule>
  </conditionalFormatting>
  <conditionalFormatting sqref="M20:N22">
    <cfRule type="cellIs" dxfId="37" priority="2" operator="equal">
      <formula>"Indisponível"</formula>
    </cfRule>
    <cfRule type="cellIs" dxfId="36" priority="1" operator="equal">
      <formula>"Informar Município"</formula>
    </cfRule>
  </conditionalFormatting>
  <conditionalFormatting sqref="N3:N19 O13:R13 O15:O16">
    <cfRule type="cellIs" dxfId="35" priority="60" operator="equal">
      <formula>"Indisponível"</formula>
    </cfRule>
    <cfRule type="cellIs" dxfId="34" priority="59" operator="equal">
      <formula>"Informar Município"</formula>
    </cfRule>
  </conditionalFormatting>
  <conditionalFormatting sqref="O13:R13 O15:O16 N16">
    <cfRule type="expression" dxfId="33" priority="58">
      <formula>LEN(TRIM(N13))&gt;0</formula>
    </cfRule>
  </conditionalFormatting>
  <conditionalFormatting sqref="P10:P11">
    <cfRule type="expression" dxfId="32" priority="55">
      <formula>LEN(TRIM(P10))&gt;0</formula>
    </cfRule>
    <cfRule type="cellIs" dxfId="31" priority="56" operator="equal">
      <formula>"Informar Município"</formula>
    </cfRule>
    <cfRule type="cellIs" dxfId="30" priority="57" operator="equal">
      <formula>"Indisponível"</formula>
    </cfRule>
  </conditionalFormatting>
  <conditionalFormatting sqref="P15">
    <cfRule type="expression" dxfId="29" priority="39">
      <formula>LEN(TRIM(P15))&gt;0</formula>
    </cfRule>
    <cfRule type="cellIs" dxfId="28" priority="41" operator="equal">
      <formula>"Indisponível"</formula>
    </cfRule>
    <cfRule type="cellIs" dxfId="27" priority="40" operator="equal">
      <formula>"Informar Município"</formula>
    </cfRule>
  </conditionalFormatting>
  <conditionalFormatting sqref="P18:P19">
    <cfRule type="cellIs" dxfId="26" priority="18" operator="equal">
      <formula>"Informar Município"</formula>
    </cfRule>
    <cfRule type="cellIs" dxfId="25" priority="19" operator="equal">
      <formula>"Indisponível"</formula>
    </cfRule>
  </conditionalFormatting>
  <conditionalFormatting sqref="P7:R7">
    <cfRule type="expression" dxfId="24" priority="26">
      <formula>LEN(TRIM(P7))&gt;0</formula>
    </cfRule>
  </conditionalFormatting>
  <conditionalFormatting sqref="P7:S7">
    <cfRule type="cellIs" dxfId="23" priority="28" operator="equal">
      <formula>"Indisponível"</formula>
    </cfRule>
    <cfRule type="cellIs" dxfId="22" priority="27" operator="equal">
      <formula>"Informar Município"</formula>
    </cfRule>
  </conditionalFormatting>
  <conditionalFormatting sqref="Q4:Q5">
    <cfRule type="expression" dxfId="21" priority="71">
      <formula>LEN(TRIM(Q4))&gt;0</formula>
    </cfRule>
    <cfRule type="cellIs" dxfId="20" priority="72" operator="equal">
      <formula>"Informar Município"</formula>
    </cfRule>
    <cfRule type="cellIs" dxfId="19" priority="73" operator="equal">
      <formula>"Indisponível"</formula>
    </cfRule>
  </conditionalFormatting>
  <conditionalFormatting sqref="Q9">
    <cfRule type="expression" dxfId="18" priority="23">
      <formula>LEN(TRIM(Q9))&gt;0</formula>
    </cfRule>
  </conditionalFormatting>
  <conditionalFormatting sqref="Q9:Q12">
    <cfRule type="cellIs" dxfId="17" priority="24" operator="equal">
      <formula>"Informar Município"</formula>
    </cfRule>
    <cfRule type="cellIs" dxfId="16" priority="25" operator="equal">
      <formula>"Indisponível"</formula>
    </cfRule>
  </conditionalFormatting>
  <conditionalFormatting sqref="Q14:Q17">
    <cfRule type="cellIs" dxfId="15" priority="46" operator="equal">
      <formula>"Indisponível"</formula>
    </cfRule>
    <cfRule type="cellIs" dxfId="14" priority="45" operator="equal">
      <formula>"Informar Município"</formula>
    </cfRule>
  </conditionalFormatting>
  <conditionalFormatting sqref="Q19">
    <cfRule type="expression" dxfId="13" priority="22">
      <formula>LEN(TRIM(Q19))&gt;0</formula>
    </cfRule>
  </conditionalFormatting>
  <conditionalFormatting sqref="Q19:Q20">
    <cfRule type="cellIs" dxfId="12" priority="4" operator="equal">
      <formula>"Indisponível"</formula>
    </cfRule>
    <cfRule type="cellIs" dxfId="11" priority="3" operator="equal">
      <formula>"Informar Município"</formula>
    </cfRule>
  </conditionalFormatting>
  <conditionalFormatting sqref="Q18:R18">
    <cfRule type="cellIs" dxfId="10" priority="74" operator="equal">
      <formula>"Informar Município"</formula>
    </cfRule>
    <cfRule type="cellIs" dxfId="9" priority="75" operator="equal">
      <formula>"Indisponível"</formula>
    </cfRule>
  </conditionalFormatting>
  <conditionalFormatting sqref="R10:R11">
    <cfRule type="expression" dxfId="8" priority="68">
      <formula>LEN(TRIM(R10))&gt;0</formula>
    </cfRule>
    <cfRule type="cellIs" dxfId="7" priority="69" operator="equal">
      <formula>"Informar Município"</formula>
    </cfRule>
    <cfRule type="cellIs" dxfId="6" priority="70" operator="equal">
      <formula>"Indisponível"</formula>
    </cfRule>
  </conditionalFormatting>
  <conditionalFormatting sqref="R15">
    <cfRule type="cellIs" dxfId="5" priority="43" operator="equal">
      <formula>"Informar Município"</formula>
    </cfRule>
    <cfRule type="expression" dxfId="4" priority="42">
      <formula>LEN(TRIM(R15))&gt;0</formula>
    </cfRule>
    <cfRule type="cellIs" dxfId="3" priority="44" operator="equal">
      <formula>"Indisponível"</formula>
    </cfRule>
  </conditionalFormatting>
  <conditionalFormatting sqref="R20 Q21:R23">
    <cfRule type="cellIs" dxfId="2" priority="6" operator="equal">
      <formula>"Indisponível"</formula>
    </cfRule>
    <cfRule type="cellIs" dxfId="1" priority="5" operator="equal">
      <formula>"Informar Município"</formula>
    </cfRule>
  </conditionalFormatting>
  <dataValidations count="1">
    <dataValidation allowBlank="1" showInputMessage="1" showErrorMessage="1" sqref="E4 H4:M19 O4:R5 N6:R6 O7:R7 N8:R8 O9:R11 N12:R12 O13:R15 N16 P16:R19" xr:uid="{00000000-0002-0000-0300-000000000000}">
      <formula1>0</formula1>
      <formula2>0</formula2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7"/>
  <sheetViews>
    <sheetView zoomScaleNormal="100" workbookViewId="0">
      <selection activeCell="J12" sqref="J12"/>
    </sheetView>
  </sheetViews>
  <sheetFormatPr defaultColWidth="8.5703125" defaultRowHeight="15" x14ac:dyDescent="0.25"/>
  <cols>
    <col min="1" max="1" width="54.28515625" customWidth="1"/>
    <col min="2" max="2" width="8.7109375" style="2" customWidth="1"/>
    <col min="3" max="3" width="3" customWidth="1"/>
    <col min="4" max="4" width="32.140625" customWidth="1"/>
    <col min="5" max="5" width="17.140625" customWidth="1"/>
    <col min="10" max="10" width="35.7109375" customWidth="1"/>
    <col min="11" max="11" width="41" customWidth="1"/>
  </cols>
  <sheetData>
    <row r="1" spans="1:5" ht="15.75" x14ac:dyDescent="0.25">
      <c r="A1" s="55" t="s">
        <v>56</v>
      </c>
      <c r="B1" s="55" t="s">
        <v>1</v>
      </c>
      <c r="D1" s="56" t="s">
        <v>19</v>
      </c>
      <c r="E1" s="55" t="s">
        <v>93</v>
      </c>
    </row>
    <row r="2" spans="1:5" x14ac:dyDescent="0.25">
      <c r="A2" s="4" t="s">
        <v>94</v>
      </c>
      <c r="B2" s="4">
        <v>0.1</v>
      </c>
      <c r="D2" s="57" t="s">
        <v>95</v>
      </c>
      <c r="E2" s="58">
        <v>24</v>
      </c>
    </row>
    <row r="3" spans="1:5" x14ac:dyDescent="0.25">
      <c r="A3" s="4" t="s">
        <v>96</v>
      </c>
      <c r="B3" s="4">
        <v>0.3</v>
      </c>
      <c r="D3" s="57" t="s">
        <v>97</v>
      </c>
      <c r="E3" s="58">
        <v>40</v>
      </c>
    </row>
    <row r="4" spans="1:5" x14ac:dyDescent="0.25">
      <c r="A4" s="4" t="s">
        <v>98</v>
      </c>
      <c r="B4" s="4">
        <v>0.5</v>
      </c>
      <c r="D4" s="57" t="s">
        <v>99</v>
      </c>
      <c r="E4" s="58">
        <v>30</v>
      </c>
    </row>
    <row r="5" spans="1:5" x14ac:dyDescent="0.25">
      <c r="D5" s="57" t="s">
        <v>100</v>
      </c>
      <c r="E5" s="58">
        <v>22</v>
      </c>
    </row>
    <row r="6" spans="1:5" x14ac:dyDescent="0.25">
      <c r="A6" s="55" t="s">
        <v>101</v>
      </c>
      <c r="B6" s="55" t="s">
        <v>1</v>
      </c>
      <c r="D6" s="57" t="s">
        <v>102</v>
      </c>
      <c r="E6" s="58">
        <v>35</v>
      </c>
    </row>
    <row r="7" spans="1:5" ht="15.75" x14ac:dyDescent="0.25">
      <c r="A7" s="59" t="s">
        <v>103</v>
      </c>
      <c r="B7" s="4">
        <v>0.4</v>
      </c>
      <c r="D7" s="57" t="s">
        <v>104</v>
      </c>
      <c r="E7" s="58">
        <v>45</v>
      </c>
    </row>
    <row r="8" spans="1:5" ht="15.75" x14ac:dyDescent="0.25">
      <c r="A8" s="59" t="s">
        <v>105</v>
      </c>
      <c r="B8" s="4">
        <v>0.8</v>
      </c>
      <c r="D8" s="57" t="s">
        <v>106</v>
      </c>
      <c r="E8" s="58">
        <v>40</v>
      </c>
    </row>
    <row r="9" spans="1:5" ht="15.75" x14ac:dyDescent="0.25">
      <c r="A9" s="59" t="s">
        <v>32</v>
      </c>
      <c r="B9" s="4">
        <v>1.2</v>
      </c>
      <c r="D9" s="57" t="s">
        <v>107</v>
      </c>
      <c r="E9" s="58">
        <v>30</v>
      </c>
    </row>
    <row r="10" spans="1:5" ht="15.75" x14ac:dyDescent="0.25">
      <c r="A10" s="59" t="s">
        <v>108</v>
      </c>
      <c r="B10" s="4">
        <v>1.6</v>
      </c>
      <c r="D10" s="57" t="s">
        <v>109</v>
      </c>
      <c r="E10" s="58">
        <v>35</v>
      </c>
    </row>
    <row r="11" spans="1:5" ht="15.75" x14ac:dyDescent="0.25">
      <c r="A11" s="59" t="s">
        <v>110</v>
      </c>
      <c r="B11" s="4">
        <v>2</v>
      </c>
      <c r="D11" s="57" t="s">
        <v>111</v>
      </c>
      <c r="E11" s="58">
        <v>60</v>
      </c>
    </row>
    <row r="12" spans="1:5" x14ac:dyDescent="0.25">
      <c r="D12" s="57" t="s">
        <v>112</v>
      </c>
      <c r="E12" s="58">
        <v>70</v>
      </c>
    </row>
    <row r="13" spans="1:5" x14ac:dyDescent="0.25">
      <c r="D13" s="57" t="s">
        <v>113</v>
      </c>
      <c r="E13" s="58">
        <v>70</v>
      </c>
    </row>
    <row r="14" spans="1:5" x14ac:dyDescent="0.25">
      <c r="D14" s="57" t="s">
        <v>114</v>
      </c>
      <c r="E14" s="58">
        <v>60</v>
      </c>
    </row>
    <row r="15" spans="1:5" x14ac:dyDescent="0.25">
      <c r="D15" s="57" t="s">
        <v>115</v>
      </c>
      <c r="E15" s="58">
        <v>22</v>
      </c>
    </row>
    <row r="16" spans="1:5" x14ac:dyDescent="0.25">
      <c r="D16" s="57" t="s">
        <v>116</v>
      </c>
      <c r="E16" s="58">
        <v>20</v>
      </c>
    </row>
    <row r="17" spans="4:8" x14ac:dyDescent="0.25">
      <c r="D17" s="57" t="s">
        <v>117</v>
      </c>
      <c r="E17" s="58">
        <v>16</v>
      </c>
    </row>
    <row r="18" spans="4:8" ht="18.75" customHeight="1" x14ac:dyDescent="0.25">
      <c r="D18" s="57" t="s">
        <v>118</v>
      </c>
      <c r="E18" s="58">
        <v>45</v>
      </c>
    </row>
    <row r="19" spans="4:8" ht="17.25" customHeight="1" x14ac:dyDescent="0.25">
      <c r="D19" s="57" t="s">
        <v>119</v>
      </c>
      <c r="E19" s="58">
        <v>22</v>
      </c>
      <c r="H19" s="87"/>
    </row>
    <row r="20" spans="4:8" ht="15.75" customHeight="1" x14ac:dyDescent="0.25">
      <c r="D20" s="57" t="s">
        <v>120</v>
      </c>
      <c r="E20" s="58">
        <v>22</v>
      </c>
    </row>
    <row r="21" spans="4:8" x14ac:dyDescent="0.25">
      <c r="D21" s="57" t="s">
        <v>121</v>
      </c>
      <c r="E21" s="58">
        <v>40</v>
      </c>
    </row>
    <row r="22" spans="4:8" x14ac:dyDescent="0.25">
      <c r="D22" s="57" t="s">
        <v>122</v>
      </c>
      <c r="E22" s="58">
        <v>40</v>
      </c>
    </row>
    <row r="23" spans="4:8" x14ac:dyDescent="0.25">
      <c r="D23" s="57" t="s">
        <v>123</v>
      </c>
      <c r="E23" s="58">
        <v>22</v>
      </c>
    </row>
    <row r="24" spans="4:8" x14ac:dyDescent="0.25">
      <c r="D24" s="57" t="s">
        <v>124</v>
      </c>
      <c r="E24" s="58">
        <v>45</v>
      </c>
    </row>
    <row r="25" spans="4:8" x14ac:dyDescent="0.25">
      <c r="D25" s="57" t="s">
        <v>125</v>
      </c>
      <c r="E25" s="58">
        <v>24</v>
      </c>
    </row>
    <row r="26" spans="4:8" x14ac:dyDescent="0.25">
      <c r="D26" s="57" t="s">
        <v>126</v>
      </c>
      <c r="E26" s="58">
        <v>45</v>
      </c>
    </row>
    <row r="27" spans="4:8" x14ac:dyDescent="0.25">
      <c r="D27" s="57" t="s">
        <v>127</v>
      </c>
      <c r="E27" s="58">
        <v>50</v>
      </c>
    </row>
    <row r="28" spans="4:8" x14ac:dyDescent="0.25">
      <c r="D28" s="57" t="s">
        <v>128</v>
      </c>
      <c r="E28" s="58">
        <v>50</v>
      </c>
    </row>
    <row r="29" spans="4:8" x14ac:dyDescent="0.25">
      <c r="D29" s="57" t="s">
        <v>129</v>
      </c>
      <c r="E29" s="58">
        <v>28</v>
      </c>
    </row>
    <row r="30" spans="4:8" x14ac:dyDescent="0.25">
      <c r="D30" s="57" t="s">
        <v>130</v>
      </c>
      <c r="E30" s="58">
        <v>20</v>
      </c>
    </row>
    <row r="31" spans="4:8" x14ac:dyDescent="0.25">
      <c r="D31" s="57" t="s">
        <v>131</v>
      </c>
      <c r="E31" s="58">
        <v>45</v>
      </c>
    </row>
    <row r="32" spans="4:8" x14ac:dyDescent="0.25">
      <c r="D32" s="57" t="s">
        <v>132</v>
      </c>
      <c r="E32" s="58">
        <v>30</v>
      </c>
    </row>
    <row r="33" spans="4:5" x14ac:dyDescent="0.25">
      <c r="D33" s="57" t="s">
        <v>133</v>
      </c>
      <c r="E33" s="58">
        <v>35</v>
      </c>
    </row>
    <row r="34" spans="4:5" x14ac:dyDescent="0.25">
      <c r="D34" s="57" t="s">
        <v>134</v>
      </c>
      <c r="E34" s="58">
        <v>45</v>
      </c>
    </row>
    <row r="35" spans="4:5" x14ac:dyDescent="0.25">
      <c r="D35" s="57" t="s">
        <v>135</v>
      </c>
      <c r="E35" s="58">
        <v>22</v>
      </c>
    </row>
    <row r="36" spans="4:5" x14ac:dyDescent="0.25">
      <c r="D36" s="57" t="s">
        <v>136</v>
      </c>
      <c r="E36" s="58">
        <v>16</v>
      </c>
    </row>
    <row r="37" spans="4:5" x14ac:dyDescent="0.25">
      <c r="D37" s="57" t="s">
        <v>137</v>
      </c>
      <c r="E37" s="58">
        <v>60</v>
      </c>
    </row>
    <row r="38" spans="4:5" x14ac:dyDescent="0.25">
      <c r="D38" s="57" t="s">
        <v>138</v>
      </c>
      <c r="E38" s="58">
        <v>20</v>
      </c>
    </row>
    <row r="39" spans="4:5" x14ac:dyDescent="0.25">
      <c r="D39" s="57" t="s">
        <v>139</v>
      </c>
      <c r="E39" s="58">
        <v>50</v>
      </c>
    </row>
    <row r="40" spans="4:5" x14ac:dyDescent="0.25">
      <c r="D40" s="57" t="s">
        <v>140</v>
      </c>
      <c r="E40" s="58">
        <v>40</v>
      </c>
    </row>
    <row r="41" spans="4:5" x14ac:dyDescent="0.25">
      <c r="D41" s="57" t="s">
        <v>141</v>
      </c>
      <c r="E41" s="58">
        <v>22</v>
      </c>
    </row>
    <row r="42" spans="4:5" x14ac:dyDescent="0.25">
      <c r="D42" s="57" t="s">
        <v>142</v>
      </c>
      <c r="E42" s="58">
        <v>70</v>
      </c>
    </row>
    <row r="43" spans="4:5" x14ac:dyDescent="0.25">
      <c r="D43" s="57" t="s">
        <v>143</v>
      </c>
      <c r="E43" s="58">
        <v>45</v>
      </c>
    </row>
    <row r="44" spans="4:5" x14ac:dyDescent="0.25">
      <c r="D44" s="57" t="s">
        <v>144</v>
      </c>
      <c r="E44" s="58">
        <v>24</v>
      </c>
    </row>
    <row r="45" spans="4:5" x14ac:dyDescent="0.25">
      <c r="D45" s="57" t="s">
        <v>145</v>
      </c>
      <c r="E45" s="58">
        <v>30</v>
      </c>
    </row>
    <row r="46" spans="4:5" x14ac:dyDescent="0.25">
      <c r="D46" s="57" t="s">
        <v>146</v>
      </c>
      <c r="E46" s="58">
        <v>24</v>
      </c>
    </row>
    <row r="47" spans="4:5" x14ac:dyDescent="0.25">
      <c r="D47" s="57" t="s">
        <v>147</v>
      </c>
      <c r="E47" s="58">
        <v>35</v>
      </c>
    </row>
    <row r="48" spans="4:5" x14ac:dyDescent="0.25">
      <c r="D48" s="57" t="s">
        <v>148</v>
      </c>
      <c r="E48" s="58">
        <v>60</v>
      </c>
    </row>
    <row r="49" spans="4:5" x14ac:dyDescent="0.25">
      <c r="D49" s="57" t="s">
        <v>149</v>
      </c>
      <c r="E49" s="58">
        <v>45</v>
      </c>
    </row>
    <row r="50" spans="4:5" x14ac:dyDescent="0.25">
      <c r="D50" s="57" t="s">
        <v>150</v>
      </c>
      <c r="E50" s="58">
        <v>35</v>
      </c>
    </row>
    <row r="51" spans="4:5" x14ac:dyDescent="0.25">
      <c r="D51" s="57" t="s">
        <v>151</v>
      </c>
      <c r="E51" s="58">
        <v>20</v>
      </c>
    </row>
    <row r="52" spans="4:5" x14ac:dyDescent="0.25">
      <c r="D52" s="57" t="s">
        <v>152</v>
      </c>
      <c r="E52" s="58">
        <v>50</v>
      </c>
    </row>
    <row r="53" spans="4:5" x14ac:dyDescent="0.25">
      <c r="D53" s="57" t="s">
        <v>153</v>
      </c>
      <c r="E53" s="58">
        <v>60</v>
      </c>
    </row>
    <row r="54" spans="4:5" x14ac:dyDescent="0.25">
      <c r="D54" s="57" t="s">
        <v>154</v>
      </c>
      <c r="E54" s="58">
        <v>28</v>
      </c>
    </row>
    <row r="55" spans="4:5" x14ac:dyDescent="0.25">
      <c r="D55" s="57" t="s">
        <v>155</v>
      </c>
      <c r="E55" s="58">
        <v>16</v>
      </c>
    </row>
    <row r="56" spans="4:5" x14ac:dyDescent="0.25">
      <c r="D56" s="57" t="s">
        <v>156</v>
      </c>
      <c r="E56" s="58">
        <v>80</v>
      </c>
    </row>
    <row r="57" spans="4:5" x14ac:dyDescent="0.25">
      <c r="D57" s="57" t="s">
        <v>157</v>
      </c>
      <c r="E57" s="58">
        <v>50</v>
      </c>
    </row>
    <row r="58" spans="4:5" x14ac:dyDescent="0.25">
      <c r="D58" s="57" t="s">
        <v>158</v>
      </c>
      <c r="E58" s="58">
        <v>20</v>
      </c>
    </row>
    <row r="59" spans="4:5" x14ac:dyDescent="0.25">
      <c r="D59" s="57" t="s">
        <v>159</v>
      </c>
      <c r="E59" s="58">
        <v>30</v>
      </c>
    </row>
    <row r="60" spans="4:5" x14ac:dyDescent="0.25">
      <c r="D60" s="57" t="s">
        <v>160</v>
      </c>
      <c r="E60" s="58">
        <v>40</v>
      </c>
    </row>
    <row r="61" spans="4:5" x14ac:dyDescent="0.25">
      <c r="D61" s="57" t="s">
        <v>161</v>
      </c>
      <c r="E61" s="58">
        <v>20</v>
      </c>
    </row>
    <row r="62" spans="4:5" x14ac:dyDescent="0.25">
      <c r="D62" s="57" t="s">
        <v>162</v>
      </c>
      <c r="E62" s="58">
        <v>70</v>
      </c>
    </row>
    <row r="63" spans="4:5" x14ac:dyDescent="0.25">
      <c r="D63" s="57" t="s">
        <v>163</v>
      </c>
      <c r="E63" s="58">
        <v>20</v>
      </c>
    </row>
    <row r="64" spans="4:5" x14ac:dyDescent="0.25">
      <c r="D64" s="57" t="s">
        <v>164</v>
      </c>
      <c r="E64" s="58">
        <v>22</v>
      </c>
    </row>
    <row r="65" spans="4:5" x14ac:dyDescent="0.25">
      <c r="D65" s="57" t="s">
        <v>165</v>
      </c>
      <c r="E65" s="58">
        <v>40</v>
      </c>
    </row>
    <row r="66" spans="4:5" x14ac:dyDescent="0.25">
      <c r="D66" s="57" t="s">
        <v>166</v>
      </c>
      <c r="E66" s="58">
        <v>40</v>
      </c>
    </row>
    <row r="67" spans="4:5" x14ac:dyDescent="0.25">
      <c r="D67" s="57" t="s">
        <v>167</v>
      </c>
      <c r="E67" s="58">
        <v>35</v>
      </c>
    </row>
    <row r="68" spans="4:5" x14ac:dyDescent="0.25">
      <c r="D68" s="57" t="s">
        <v>168</v>
      </c>
      <c r="E68" s="58">
        <v>70</v>
      </c>
    </row>
    <row r="69" spans="4:5" x14ac:dyDescent="0.25">
      <c r="D69" s="57" t="s">
        <v>169</v>
      </c>
      <c r="E69" s="58">
        <v>26</v>
      </c>
    </row>
    <row r="70" spans="4:5" x14ac:dyDescent="0.25">
      <c r="D70" s="57" t="s">
        <v>170</v>
      </c>
      <c r="E70" s="58">
        <v>35</v>
      </c>
    </row>
    <row r="71" spans="4:5" x14ac:dyDescent="0.25">
      <c r="D71" s="57" t="s">
        <v>171</v>
      </c>
      <c r="E71" s="58">
        <v>45</v>
      </c>
    </row>
    <row r="72" spans="4:5" x14ac:dyDescent="0.25">
      <c r="D72" s="57" t="s">
        <v>172</v>
      </c>
      <c r="E72" s="58">
        <v>40</v>
      </c>
    </row>
    <row r="73" spans="4:5" x14ac:dyDescent="0.25">
      <c r="D73" s="57" t="s">
        <v>173</v>
      </c>
      <c r="E73" s="58">
        <v>35</v>
      </c>
    </row>
    <row r="74" spans="4:5" x14ac:dyDescent="0.25">
      <c r="D74" s="57" t="s">
        <v>174</v>
      </c>
      <c r="E74" s="58">
        <v>60</v>
      </c>
    </row>
    <row r="75" spans="4:5" x14ac:dyDescent="0.25">
      <c r="D75" s="57" t="s">
        <v>175</v>
      </c>
      <c r="E75" s="58">
        <v>35</v>
      </c>
    </row>
    <row r="76" spans="4:5" x14ac:dyDescent="0.25">
      <c r="D76" s="57" t="s">
        <v>176</v>
      </c>
      <c r="E76" s="58">
        <v>45</v>
      </c>
    </row>
    <row r="77" spans="4:5" x14ac:dyDescent="0.25">
      <c r="D77" s="57" t="s">
        <v>177</v>
      </c>
      <c r="E77" s="58">
        <v>70</v>
      </c>
    </row>
    <row r="78" spans="4:5" x14ac:dyDescent="0.25">
      <c r="D78" s="57" t="s">
        <v>178</v>
      </c>
      <c r="E78" s="58">
        <v>30</v>
      </c>
    </row>
    <row r="79" spans="4:5" x14ac:dyDescent="0.25">
      <c r="D79" s="57" t="s">
        <v>179</v>
      </c>
      <c r="E79" s="58">
        <v>30</v>
      </c>
    </row>
    <row r="80" spans="4:5" x14ac:dyDescent="0.25">
      <c r="D80" s="57" t="s">
        <v>180</v>
      </c>
      <c r="E80" s="58">
        <v>50</v>
      </c>
    </row>
    <row r="81" spans="4:5" x14ac:dyDescent="0.25">
      <c r="D81" s="57" t="s">
        <v>181</v>
      </c>
      <c r="E81" s="58">
        <v>70</v>
      </c>
    </row>
    <row r="82" spans="4:5" x14ac:dyDescent="0.25">
      <c r="D82" s="57" t="s">
        <v>182</v>
      </c>
      <c r="E82" s="58">
        <v>60</v>
      </c>
    </row>
    <row r="83" spans="4:5" x14ac:dyDescent="0.25">
      <c r="D83" s="57" t="s">
        <v>183</v>
      </c>
      <c r="E83" s="58">
        <v>30</v>
      </c>
    </row>
    <row r="84" spans="4:5" x14ac:dyDescent="0.25">
      <c r="D84" s="57" t="s">
        <v>184</v>
      </c>
      <c r="E84" s="58">
        <v>30</v>
      </c>
    </row>
    <row r="85" spans="4:5" x14ac:dyDescent="0.25">
      <c r="D85" s="57" t="s">
        <v>185</v>
      </c>
      <c r="E85" s="58">
        <v>50</v>
      </c>
    </row>
    <row r="86" spans="4:5" x14ac:dyDescent="0.25">
      <c r="D86" s="57" t="s">
        <v>186</v>
      </c>
      <c r="E86" s="58">
        <v>45</v>
      </c>
    </row>
    <row r="87" spans="4:5" x14ac:dyDescent="0.25">
      <c r="D87" s="57" t="s">
        <v>187</v>
      </c>
      <c r="E87" s="58">
        <v>30</v>
      </c>
    </row>
    <row r="88" spans="4:5" x14ac:dyDescent="0.25">
      <c r="D88" s="57" t="s">
        <v>188</v>
      </c>
      <c r="E88" s="58">
        <v>30</v>
      </c>
    </row>
    <row r="89" spans="4:5" x14ac:dyDescent="0.25">
      <c r="D89" s="57" t="s">
        <v>189</v>
      </c>
      <c r="E89" s="58">
        <v>70</v>
      </c>
    </row>
    <row r="90" spans="4:5" x14ac:dyDescent="0.25">
      <c r="D90" s="57" t="s">
        <v>190</v>
      </c>
      <c r="E90" s="58">
        <v>40</v>
      </c>
    </row>
    <row r="91" spans="4:5" x14ac:dyDescent="0.25">
      <c r="D91" s="57" t="s">
        <v>191</v>
      </c>
      <c r="E91" s="58">
        <v>50</v>
      </c>
    </row>
    <row r="92" spans="4:5" x14ac:dyDescent="0.25">
      <c r="D92" s="57" t="s">
        <v>192</v>
      </c>
      <c r="E92" s="58">
        <v>30</v>
      </c>
    </row>
    <row r="93" spans="4:5" x14ac:dyDescent="0.25">
      <c r="D93" s="57" t="s">
        <v>193</v>
      </c>
      <c r="E93" s="58">
        <v>20</v>
      </c>
    </row>
    <row r="94" spans="4:5" x14ac:dyDescent="0.25">
      <c r="D94" s="57" t="s">
        <v>194</v>
      </c>
      <c r="E94" s="58">
        <v>35</v>
      </c>
    </row>
    <row r="95" spans="4:5" x14ac:dyDescent="0.25">
      <c r="D95" s="57" t="s">
        <v>195</v>
      </c>
      <c r="E95" s="58">
        <v>20</v>
      </c>
    </row>
    <row r="96" spans="4:5" x14ac:dyDescent="0.25">
      <c r="D96" s="57" t="s">
        <v>196</v>
      </c>
      <c r="E96" s="58">
        <v>7</v>
      </c>
    </row>
    <row r="97" spans="4:5" x14ac:dyDescent="0.25">
      <c r="D97" s="57" t="s">
        <v>197</v>
      </c>
      <c r="E97" s="58">
        <v>20</v>
      </c>
    </row>
    <row r="98" spans="4:5" x14ac:dyDescent="0.25">
      <c r="D98" s="57" t="s">
        <v>198</v>
      </c>
      <c r="E98" s="58">
        <v>45</v>
      </c>
    </row>
    <row r="99" spans="4:5" x14ac:dyDescent="0.25">
      <c r="D99" s="57" t="s">
        <v>199</v>
      </c>
      <c r="E99" s="58">
        <v>30</v>
      </c>
    </row>
    <row r="100" spans="4:5" x14ac:dyDescent="0.25">
      <c r="D100" s="57" t="s">
        <v>200</v>
      </c>
      <c r="E100" s="58">
        <v>30</v>
      </c>
    </row>
    <row r="101" spans="4:5" x14ac:dyDescent="0.25">
      <c r="D101" s="57" t="s">
        <v>201</v>
      </c>
      <c r="E101" s="58">
        <v>22</v>
      </c>
    </row>
    <row r="102" spans="4:5" x14ac:dyDescent="0.25">
      <c r="D102" s="57" t="s">
        <v>202</v>
      </c>
      <c r="E102" s="58">
        <v>20</v>
      </c>
    </row>
    <row r="103" spans="4:5" x14ac:dyDescent="0.25">
      <c r="D103" s="57" t="s">
        <v>203</v>
      </c>
      <c r="E103" s="58">
        <v>70</v>
      </c>
    </row>
    <row r="104" spans="4:5" x14ac:dyDescent="0.25">
      <c r="D104" s="57" t="s">
        <v>204</v>
      </c>
      <c r="E104" s="58">
        <v>50</v>
      </c>
    </row>
    <row r="105" spans="4:5" x14ac:dyDescent="0.25">
      <c r="D105" s="57" t="s">
        <v>205</v>
      </c>
      <c r="E105" s="58">
        <v>20</v>
      </c>
    </row>
    <row r="106" spans="4:5" x14ac:dyDescent="0.25">
      <c r="D106" s="57" t="s">
        <v>206</v>
      </c>
      <c r="E106" s="58">
        <v>35</v>
      </c>
    </row>
    <row r="107" spans="4:5" x14ac:dyDescent="0.25">
      <c r="D107" s="57" t="s">
        <v>207</v>
      </c>
      <c r="E107" s="58">
        <v>35</v>
      </c>
    </row>
    <row r="108" spans="4:5" x14ac:dyDescent="0.25">
      <c r="D108" s="57" t="s">
        <v>208</v>
      </c>
      <c r="E108" s="58">
        <v>70</v>
      </c>
    </row>
    <row r="109" spans="4:5" x14ac:dyDescent="0.25">
      <c r="D109" s="57" t="s">
        <v>209</v>
      </c>
      <c r="E109" s="58">
        <v>24</v>
      </c>
    </row>
    <row r="110" spans="4:5" x14ac:dyDescent="0.25">
      <c r="D110" s="57" t="s">
        <v>210</v>
      </c>
      <c r="E110" s="58">
        <v>30</v>
      </c>
    </row>
    <row r="111" spans="4:5" x14ac:dyDescent="0.25">
      <c r="D111" s="57" t="s">
        <v>211</v>
      </c>
      <c r="E111" s="58">
        <v>24</v>
      </c>
    </row>
    <row r="112" spans="4:5" x14ac:dyDescent="0.25">
      <c r="D112" s="57" t="s">
        <v>212</v>
      </c>
      <c r="E112" s="58">
        <v>40</v>
      </c>
    </row>
    <row r="113" spans="4:5" x14ac:dyDescent="0.25">
      <c r="D113" s="57" t="s">
        <v>213</v>
      </c>
      <c r="E113" s="58">
        <v>20</v>
      </c>
    </row>
    <row r="114" spans="4:5" x14ac:dyDescent="0.25">
      <c r="D114" s="57" t="s">
        <v>214</v>
      </c>
      <c r="E114" s="58">
        <v>30</v>
      </c>
    </row>
    <row r="115" spans="4:5" x14ac:dyDescent="0.25">
      <c r="D115" s="57" t="s">
        <v>215</v>
      </c>
      <c r="E115" s="58">
        <v>30</v>
      </c>
    </row>
    <row r="116" spans="4:5" x14ac:dyDescent="0.25">
      <c r="D116" s="57" t="s">
        <v>216</v>
      </c>
      <c r="E116" s="58">
        <v>20</v>
      </c>
    </row>
    <row r="117" spans="4:5" x14ac:dyDescent="0.25">
      <c r="D117" s="57" t="s">
        <v>217</v>
      </c>
      <c r="E117" s="58">
        <v>20</v>
      </c>
    </row>
    <row r="118" spans="4:5" x14ac:dyDescent="0.25">
      <c r="D118" s="57" t="s">
        <v>218</v>
      </c>
      <c r="E118" s="58">
        <v>20</v>
      </c>
    </row>
    <row r="119" spans="4:5" x14ac:dyDescent="0.25">
      <c r="D119" s="57" t="s">
        <v>219</v>
      </c>
      <c r="E119" s="58">
        <v>30</v>
      </c>
    </row>
    <row r="120" spans="4:5" x14ac:dyDescent="0.25">
      <c r="D120" s="57" t="s">
        <v>220</v>
      </c>
      <c r="E120" s="58">
        <v>30</v>
      </c>
    </row>
    <row r="121" spans="4:5" x14ac:dyDescent="0.25">
      <c r="D121" s="57" t="s">
        <v>221</v>
      </c>
      <c r="E121" s="58">
        <v>45</v>
      </c>
    </row>
    <row r="122" spans="4:5" x14ac:dyDescent="0.25">
      <c r="D122" s="57" t="s">
        <v>222</v>
      </c>
      <c r="E122" s="58">
        <v>20</v>
      </c>
    </row>
    <row r="123" spans="4:5" x14ac:dyDescent="0.25">
      <c r="D123" s="57" t="s">
        <v>223</v>
      </c>
      <c r="E123" s="58">
        <v>35</v>
      </c>
    </row>
    <row r="124" spans="4:5" x14ac:dyDescent="0.25">
      <c r="D124" s="57" t="s">
        <v>224</v>
      </c>
      <c r="E124" s="58">
        <v>26</v>
      </c>
    </row>
    <row r="125" spans="4:5" x14ac:dyDescent="0.25">
      <c r="D125" s="57" t="s">
        <v>225</v>
      </c>
      <c r="E125" s="58">
        <v>24</v>
      </c>
    </row>
    <row r="126" spans="4:5" x14ac:dyDescent="0.25">
      <c r="D126" s="57" t="s">
        <v>226</v>
      </c>
      <c r="E126" s="58">
        <v>30</v>
      </c>
    </row>
    <row r="127" spans="4:5" x14ac:dyDescent="0.25">
      <c r="D127" s="57" t="s">
        <v>227</v>
      </c>
      <c r="E127" s="58">
        <v>30</v>
      </c>
    </row>
    <row r="128" spans="4:5" x14ac:dyDescent="0.25">
      <c r="D128" s="57" t="s">
        <v>228</v>
      </c>
      <c r="E128" s="58">
        <v>20</v>
      </c>
    </row>
    <row r="129" spans="4:5" x14ac:dyDescent="0.25">
      <c r="D129" s="57" t="s">
        <v>229</v>
      </c>
      <c r="E129" s="58">
        <v>40</v>
      </c>
    </row>
    <row r="130" spans="4:5" x14ac:dyDescent="0.25">
      <c r="D130" s="57" t="s">
        <v>230</v>
      </c>
      <c r="E130" s="58">
        <v>22</v>
      </c>
    </row>
    <row r="131" spans="4:5" x14ac:dyDescent="0.25">
      <c r="D131" s="57" t="s">
        <v>231</v>
      </c>
      <c r="E131" s="58">
        <v>20</v>
      </c>
    </row>
    <row r="132" spans="4:5" x14ac:dyDescent="0.25">
      <c r="D132" s="57" t="s">
        <v>232</v>
      </c>
      <c r="E132" s="58">
        <v>26</v>
      </c>
    </row>
    <row r="133" spans="4:5" x14ac:dyDescent="0.25">
      <c r="D133" s="57" t="s">
        <v>233</v>
      </c>
      <c r="E133" s="58">
        <v>45</v>
      </c>
    </row>
    <row r="134" spans="4:5" x14ac:dyDescent="0.25">
      <c r="D134" s="57" t="s">
        <v>234</v>
      </c>
      <c r="E134" s="58">
        <v>30</v>
      </c>
    </row>
    <row r="135" spans="4:5" x14ac:dyDescent="0.25">
      <c r="D135" s="57" t="s">
        <v>235</v>
      </c>
      <c r="E135" s="58">
        <v>16</v>
      </c>
    </row>
    <row r="136" spans="4:5" x14ac:dyDescent="0.25">
      <c r="D136" s="57" t="s">
        <v>236</v>
      </c>
      <c r="E136" s="58">
        <v>40</v>
      </c>
    </row>
    <row r="137" spans="4:5" x14ac:dyDescent="0.25">
      <c r="D137" s="57" t="s">
        <v>237</v>
      </c>
      <c r="E137" s="58">
        <v>35</v>
      </c>
    </row>
    <row r="138" spans="4:5" x14ac:dyDescent="0.25">
      <c r="D138" s="57" t="s">
        <v>238</v>
      </c>
      <c r="E138" s="58">
        <v>70</v>
      </c>
    </row>
    <row r="139" spans="4:5" x14ac:dyDescent="0.25">
      <c r="D139" s="57" t="s">
        <v>239</v>
      </c>
      <c r="E139" s="58">
        <v>60</v>
      </c>
    </row>
    <row r="140" spans="4:5" x14ac:dyDescent="0.25">
      <c r="D140" s="57" t="s">
        <v>240</v>
      </c>
      <c r="E140" s="58">
        <v>45</v>
      </c>
    </row>
    <row r="141" spans="4:5" x14ac:dyDescent="0.25">
      <c r="D141" s="57" t="s">
        <v>241</v>
      </c>
      <c r="E141" s="58">
        <v>50</v>
      </c>
    </row>
    <row r="142" spans="4:5" x14ac:dyDescent="0.25">
      <c r="D142" s="57" t="s">
        <v>242</v>
      </c>
      <c r="E142" s="58">
        <v>22</v>
      </c>
    </row>
    <row r="143" spans="4:5" x14ac:dyDescent="0.25">
      <c r="D143" s="57" t="s">
        <v>243</v>
      </c>
      <c r="E143" s="58">
        <v>40</v>
      </c>
    </row>
    <row r="144" spans="4:5" x14ac:dyDescent="0.25">
      <c r="D144" s="57" t="s">
        <v>22</v>
      </c>
      <c r="E144" s="58">
        <v>50</v>
      </c>
    </row>
    <row r="145" spans="4:5" x14ac:dyDescent="0.25">
      <c r="D145" s="57" t="s">
        <v>244</v>
      </c>
      <c r="E145" s="58">
        <v>60</v>
      </c>
    </row>
    <row r="146" spans="4:5" x14ac:dyDescent="0.25">
      <c r="D146" s="57" t="s">
        <v>245</v>
      </c>
      <c r="E146" s="58">
        <v>30</v>
      </c>
    </row>
    <row r="147" spans="4:5" x14ac:dyDescent="0.25">
      <c r="D147" s="57" t="s">
        <v>246</v>
      </c>
      <c r="E147" s="58">
        <v>80</v>
      </c>
    </row>
    <row r="148" spans="4:5" x14ac:dyDescent="0.25">
      <c r="D148" s="57" t="s">
        <v>247</v>
      </c>
      <c r="E148" s="58">
        <v>45</v>
      </c>
    </row>
    <row r="149" spans="4:5" x14ac:dyDescent="0.25">
      <c r="D149" s="57" t="s">
        <v>248</v>
      </c>
      <c r="E149" s="58">
        <v>30</v>
      </c>
    </row>
    <row r="150" spans="4:5" x14ac:dyDescent="0.25">
      <c r="D150" s="57" t="s">
        <v>249</v>
      </c>
      <c r="E150" s="58">
        <v>50</v>
      </c>
    </row>
    <row r="151" spans="4:5" x14ac:dyDescent="0.25">
      <c r="D151" s="57" t="s">
        <v>250</v>
      </c>
      <c r="E151" s="58">
        <v>40</v>
      </c>
    </row>
    <row r="152" spans="4:5" x14ac:dyDescent="0.25">
      <c r="D152" s="57" t="s">
        <v>251</v>
      </c>
      <c r="E152" s="58">
        <v>30</v>
      </c>
    </row>
    <row r="153" spans="4:5" x14ac:dyDescent="0.25">
      <c r="D153" s="57" t="s">
        <v>252</v>
      </c>
      <c r="E153" s="58">
        <v>22</v>
      </c>
    </row>
    <row r="154" spans="4:5" x14ac:dyDescent="0.25">
      <c r="D154" s="57" t="s">
        <v>253</v>
      </c>
      <c r="E154" s="58">
        <v>50</v>
      </c>
    </row>
    <row r="155" spans="4:5" x14ac:dyDescent="0.25">
      <c r="D155" s="57" t="s">
        <v>254</v>
      </c>
      <c r="E155" s="58">
        <v>60</v>
      </c>
    </row>
    <row r="156" spans="4:5" x14ac:dyDescent="0.25">
      <c r="D156" s="57" t="s">
        <v>255</v>
      </c>
      <c r="E156" s="58">
        <v>55</v>
      </c>
    </row>
    <row r="157" spans="4:5" x14ac:dyDescent="0.25">
      <c r="D157" s="57" t="s">
        <v>256</v>
      </c>
      <c r="E157" s="58">
        <v>22</v>
      </c>
    </row>
    <row r="158" spans="4:5" x14ac:dyDescent="0.25">
      <c r="D158" s="57" t="s">
        <v>257</v>
      </c>
      <c r="E158" s="58">
        <v>20</v>
      </c>
    </row>
    <row r="159" spans="4:5" x14ac:dyDescent="0.25">
      <c r="D159" s="57" t="s">
        <v>258</v>
      </c>
      <c r="E159" s="58">
        <v>60</v>
      </c>
    </row>
    <row r="160" spans="4:5" x14ac:dyDescent="0.25">
      <c r="D160" s="57" t="s">
        <v>259</v>
      </c>
      <c r="E160" s="58">
        <v>30</v>
      </c>
    </row>
    <row r="161" spans="4:5" x14ac:dyDescent="0.25">
      <c r="D161" s="57" t="s">
        <v>260</v>
      </c>
      <c r="E161" s="58">
        <v>45</v>
      </c>
    </row>
    <row r="162" spans="4:5" x14ac:dyDescent="0.25">
      <c r="D162" s="57" t="s">
        <v>261</v>
      </c>
      <c r="E162" s="58">
        <v>60</v>
      </c>
    </row>
    <row r="163" spans="4:5" x14ac:dyDescent="0.25">
      <c r="D163" s="57" t="s">
        <v>262</v>
      </c>
      <c r="E163" s="58">
        <v>20</v>
      </c>
    </row>
    <row r="164" spans="4:5" x14ac:dyDescent="0.25">
      <c r="D164" s="57" t="s">
        <v>263</v>
      </c>
      <c r="E164" s="58">
        <v>60</v>
      </c>
    </row>
    <row r="165" spans="4:5" x14ac:dyDescent="0.25">
      <c r="D165" s="57" t="s">
        <v>264</v>
      </c>
      <c r="E165" s="58">
        <v>70</v>
      </c>
    </row>
    <row r="166" spans="4:5" x14ac:dyDescent="0.25">
      <c r="D166" s="57" t="s">
        <v>265</v>
      </c>
      <c r="E166" s="58">
        <v>22</v>
      </c>
    </row>
    <row r="167" spans="4:5" x14ac:dyDescent="0.25">
      <c r="D167" s="57" t="s">
        <v>266</v>
      </c>
      <c r="E167" s="58">
        <v>20</v>
      </c>
    </row>
    <row r="168" spans="4:5" x14ac:dyDescent="0.25">
      <c r="D168" s="57" t="s">
        <v>267</v>
      </c>
      <c r="E168" s="58">
        <v>40</v>
      </c>
    </row>
    <row r="169" spans="4:5" x14ac:dyDescent="0.25">
      <c r="D169" s="57" t="s">
        <v>268</v>
      </c>
      <c r="E169" s="58">
        <v>70</v>
      </c>
    </row>
    <row r="170" spans="4:5" x14ac:dyDescent="0.25">
      <c r="D170" s="57" t="s">
        <v>269</v>
      </c>
      <c r="E170" s="58">
        <v>35</v>
      </c>
    </row>
    <row r="171" spans="4:5" x14ac:dyDescent="0.25">
      <c r="D171" s="57" t="s">
        <v>270</v>
      </c>
      <c r="E171" s="58">
        <v>20</v>
      </c>
    </row>
    <row r="172" spans="4:5" x14ac:dyDescent="0.25">
      <c r="D172" s="57" t="s">
        <v>271</v>
      </c>
      <c r="E172" s="58">
        <v>40</v>
      </c>
    </row>
    <row r="173" spans="4:5" x14ac:dyDescent="0.25">
      <c r="D173" s="57" t="s">
        <v>272</v>
      </c>
      <c r="E173" s="58">
        <v>40</v>
      </c>
    </row>
    <row r="174" spans="4:5" x14ac:dyDescent="0.25">
      <c r="D174" s="57" t="s">
        <v>273</v>
      </c>
      <c r="E174" s="58">
        <v>60</v>
      </c>
    </row>
    <row r="175" spans="4:5" x14ac:dyDescent="0.25">
      <c r="D175" s="57" t="s">
        <v>274</v>
      </c>
      <c r="E175" s="58">
        <v>22</v>
      </c>
    </row>
    <row r="176" spans="4:5" x14ac:dyDescent="0.25">
      <c r="D176" s="57" t="s">
        <v>275</v>
      </c>
      <c r="E176" s="58">
        <v>30</v>
      </c>
    </row>
    <row r="177" spans="4:5" x14ac:dyDescent="0.25">
      <c r="D177" s="57" t="s">
        <v>276</v>
      </c>
      <c r="E177" s="58">
        <v>30</v>
      </c>
    </row>
    <row r="178" spans="4:5" x14ac:dyDescent="0.25">
      <c r="D178" s="57" t="s">
        <v>277</v>
      </c>
      <c r="E178" s="58">
        <v>20</v>
      </c>
    </row>
    <row r="179" spans="4:5" x14ac:dyDescent="0.25">
      <c r="D179" s="57" t="s">
        <v>278</v>
      </c>
      <c r="E179" s="58">
        <v>30</v>
      </c>
    </row>
    <row r="180" spans="4:5" x14ac:dyDescent="0.25">
      <c r="D180" s="57" t="s">
        <v>279</v>
      </c>
      <c r="E180" s="58">
        <v>30</v>
      </c>
    </row>
    <row r="181" spans="4:5" x14ac:dyDescent="0.25">
      <c r="D181" s="57" t="s">
        <v>280</v>
      </c>
      <c r="E181" s="58">
        <v>40</v>
      </c>
    </row>
    <row r="182" spans="4:5" x14ac:dyDescent="0.25">
      <c r="D182" s="57" t="s">
        <v>281</v>
      </c>
      <c r="E182" s="58">
        <v>26</v>
      </c>
    </row>
    <row r="183" spans="4:5" x14ac:dyDescent="0.25">
      <c r="D183" s="57" t="s">
        <v>282</v>
      </c>
      <c r="E183" s="58">
        <v>50</v>
      </c>
    </row>
    <row r="184" spans="4:5" x14ac:dyDescent="0.25">
      <c r="D184" s="57" t="s">
        <v>283</v>
      </c>
      <c r="E184" s="58">
        <v>30</v>
      </c>
    </row>
    <row r="185" spans="4:5" x14ac:dyDescent="0.25">
      <c r="D185" s="57" t="s">
        <v>284</v>
      </c>
      <c r="E185" s="58">
        <v>50</v>
      </c>
    </row>
    <row r="186" spans="4:5" x14ac:dyDescent="0.25">
      <c r="D186" s="57" t="s">
        <v>285</v>
      </c>
      <c r="E186" s="58">
        <v>35</v>
      </c>
    </row>
    <row r="187" spans="4:5" x14ac:dyDescent="0.25">
      <c r="D187" s="57" t="s">
        <v>286</v>
      </c>
      <c r="E187" s="58">
        <v>35</v>
      </c>
    </row>
    <row r="188" spans="4:5" x14ac:dyDescent="0.25">
      <c r="D188" s="57" t="s">
        <v>287</v>
      </c>
      <c r="E188" s="58">
        <v>35</v>
      </c>
    </row>
    <row r="189" spans="4:5" x14ac:dyDescent="0.25">
      <c r="D189" s="57" t="s">
        <v>288</v>
      </c>
      <c r="E189" s="58">
        <v>35</v>
      </c>
    </row>
    <row r="190" spans="4:5" x14ac:dyDescent="0.25">
      <c r="D190" s="57" t="s">
        <v>289</v>
      </c>
      <c r="E190" s="58">
        <v>60</v>
      </c>
    </row>
    <row r="191" spans="4:5" x14ac:dyDescent="0.25">
      <c r="D191" s="57" t="s">
        <v>290</v>
      </c>
      <c r="E191" s="58">
        <v>30</v>
      </c>
    </row>
    <row r="192" spans="4:5" x14ac:dyDescent="0.25">
      <c r="D192" s="57" t="s">
        <v>291</v>
      </c>
      <c r="E192" s="58">
        <v>60</v>
      </c>
    </row>
    <row r="193" spans="4:5" x14ac:dyDescent="0.25">
      <c r="D193" s="57" t="s">
        <v>292</v>
      </c>
      <c r="E193" s="58">
        <v>70</v>
      </c>
    </row>
    <row r="194" spans="4:5" x14ac:dyDescent="0.25">
      <c r="D194" s="57" t="s">
        <v>293</v>
      </c>
      <c r="E194" s="58">
        <v>30</v>
      </c>
    </row>
    <row r="195" spans="4:5" x14ac:dyDescent="0.25">
      <c r="D195" s="57" t="s">
        <v>294</v>
      </c>
      <c r="E195" s="58">
        <v>30</v>
      </c>
    </row>
    <row r="196" spans="4:5" x14ac:dyDescent="0.25">
      <c r="D196" s="57" t="s">
        <v>295</v>
      </c>
      <c r="E196" s="58">
        <v>20</v>
      </c>
    </row>
    <row r="197" spans="4:5" x14ac:dyDescent="0.25">
      <c r="D197" s="57" t="s">
        <v>296</v>
      </c>
      <c r="E197" s="58">
        <v>20</v>
      </c>
    </row>
    <row r="198" spans="4:5" x14ac:dyDescent="0.25">
      <c r="D198" s="57" t="s">
        <v>297</v>
      </c>
      <c r="E198" s="58">
        <v>45</v>
      </c>
    </row>
    <row r="199" spans="4:5" x14ac:dyDescent="0.25">
      <c r="D199" s="57" t="s">
        <v>298</v>
      </c>
      <c r="E199" s="58">
        <v>30</v>
      </c>
    </row>
    <row r="200" spans="4:5" x14ac:dyDescent="0.25">
      <c r="D200" s="57" t="s">
        <v>299</v>
      </c>
      <c r="E200" s="58">
        <v>30</v>
      </c>
    </row>
    <row r="201" spans="4:5" x14ac:dyDescent="0.25">
      <c r="D201" s="57" t="s">
        <v>300</v>
      </c>
      <c r="E201" s="58">
        <v>26</v>
      </c>
    </row>
    <row r="202" spans="4:5" x14ac:dyDescent="0.25">
      <c r="D202" s="57" t="s">
        <v>301</v>
      </c>
      <c r="E202" s="58">
        <v>22</v>
      </c>
    </row>
    <row r="203" spans="4:5" x14ac:dyDescent="0.25">
      <c r="D203" s="57" t="s">
        <v>302</v>
      </c>
      <c r="E203" s="58">
        <v>35</v>
      </c>
    </row>
    <row r="204" spans="4:5" x14ac:dyDescent="0.25">
      <c r="D204" s="57" t="s">
        <v>303</v>
      </c>
      <c r="E204" s="58">
        <v>45</v>
      </c>
    </row>
    <row r="205" spans="4:5" x14ac:dyDescent="0.25">
      <c r="D205" s="57" t="s">
        <v>304</v>
      </c>
      <c r="E205" s="58">
        <v>20</v>
      </c>
    </row>
    <row r="206" spans="4:5" x14ac:dyDescent="0.25">
      <c r="D206" s="57" t="s">
        <v>305</v>
      </c>
      <c r="E206" s="58">
        <v>20</v>
      </c>
    </row>
    <row r="207" spans="4:5" x14ac:dyDescent="0.25">
      <c r="D207" s="57" t="s">
        <v>306</v>
      </c>
      <c r="E207" s="58">
        <v>60</v>
      </c>
    </row>
    <row r="208" spans="4:5" x14ac:dyDescent="0.25">
      <c r="D208" s="57" t="s">
        <v>307</v>
      </c>
      <c r="E208" s="58">
        <v>30</v>
      </c>
    </row>
    <row r="209" spans="4:5" x14ac:dyDescent="0.25">
      <c r="D209" s="57" t="s">
        <v>308</v>
      </c>
      <c r="E209" s="58">
        <v>20</v>
      </c>
    </row>
    <row r="210" spans="4:5" x14ac:dyDescent="0.25">
      <c r="D210" s="57" t="s">
        <v>309</v>
      </c>
      <c r="E210" s="58">
        <v>50</v>
      </c>
    </row>
    <row r="211" spans="4:5" x14ac:dyDescent="0.25">
      <c r="D211" s="57" t="s">
        <v>310</v>
      </c>
      <c r="E211" s="58">
        <v>50</v>
      </c>
    </row>
    <row r="212" spans="4:5" x14ac:dyDescent="0.25">
      <c r="D212" s="57" t="s">
        <v>311</v>
      </c>
      <c r="E212" s="58">
        <v>30</v>
      </c>
    </row>
    <row r="213" spans="4:5" x14ac:dyDescent="0.25">
      <c r="D213" s="57" t="s">
        <v>312</v>
      </c>
      <c r="E213" s="58">
        <v>20</v>
      </c>
    </row>
    <row r="214" spans="4:5" x14ac:dyDescent="0.25">
      <c r="D214" s="57" t="s">
        <v>313</v>
      </c>
      <c r="E214" s="58">
        <v>40</v>
      </c>
    </row>
    <row r="215" spans="4:5" x14ac:dyDescent="0.25">
      <c r="D215" s="57" t="s">
        <v>314</v>
      </c>
      <c r="E215" s="58">
        <v>70</v>
      </c>
    </row>
    <row r="216" spans="4:5" x14ac:dyDescent="0.25">
      <c r="D216" s="57" t="s">
        <v>315</v>
      </c>
      <c r="E216" s="58">
        <v>20</v>
      </c>
    </row>
    <row r="217" spans="4:5" x14ac:dyDescent="0.25">
      <c r="D217" s="57" t="s">
        <v>316</v>
      </c>
      <c r="E217" s="58">
        <v>30</v>
      </c>
    </row>
    <row r="218" spans="4:5" x14ac:dyDescent="0.25">
      <c r="D218" s="57" t="s">
        <v>317</v>
      </c>
      <c r="E218" s="58">
        <v>70</v>
      </c>
    </row>
    <row r="219" spans="4:5" x14ac:dyDescent="0.25">
      <c r="D219" s="57" t="s">
        <v>318</v>
      </c>
      <c r="E219" s="58">
        <v>30</v>
      </c>
    </row>
    <row r="220" spans="4:5" x14ac:dyDescent="0.25">
      <c r="D220" s="57" t="s">
        <v>319</v>
      </c>
      <c r="E220" s="58">
        <v>30</v>
      </c>
    </row>
    <row r="221" spans="4:5" x14ac:dyDescent="0.25">
      <c r="D221" s="57" t="s">
        <v>320</v>
      </c>
      <c r="E221" s="58">
        <v>70</v>
      </c>
    </row>
    <row r="222" spans="4:5" x14ac:dyDescent="0.25">
      <c r="D222" s="57" t="s">
        <v>321</v>
      </c>
      <c r="E222" s="58">
        <v>30</v>
      </c>
    </row>
    <row r="223" spans="4:5" x14ac:dyDescent="0.25">
      <c r="D223" s="57" t="s">
        <v>322</v>
      </c>
      <c r="E223" s="58">
        <v>20</v>
      </c>
    </row>
    <row r="224" spans="4:5" x14ac:dyDescent="0.25">
      <c r="D224" s="57" t="s">
        <v>323</v>
      </c>
      <c r="E224" s="58">
        <v>35</v>
      </c>
    </row>
    <row r="225" spans="4:5" x14ac:dyDescent="0.25">
      <c r="D225" s="57" t="s">
        <v>324</v>
      </c>
      <c r="E225" s="58">
        <v>7</v>
      </c>
    </row>
    <row r="226" spans="4:5" x14ac:dyDescent="0.25">
      <c r="D226" s="57" t="s">
        <v>325</v>
      </c>
      <c r="E226" s="58">
        <v>40</v>
      </c>
    </row>
    <row r="227" spans="4:5" x14ac:dyDescent="0.25">
      <c r="D227" s="57" t="s">
        <v>326</v>
      </c>
      <c r="E227" s="58">
        <v>30</v>
      </c>
    </row>
    <row r="228" spans="4:5" x14ac:dyDescent="0.25">
      <c r="D228" s="57" t="s">
        <v>327</v>
      </c>
      <c r="E228" s="58">
        <v>70</v>
      </c>
    </row>
    <row r="229" spans="4:5" x14ac:dyDescent="0.25">
      <c r="D229" s="57" t="s">
        <v>328</v>
      </c>
      <c r="E229" s="58">
        <v>70</v>
      </c>
    </row>
    <row r="230" spans="4:5" x14ac:dyDescent="0.25">
      <c r="D230" s="57" t="s">
        <v>329</v>
      </c>
      <c r="E230" s="58">
        <v>20</v>
      </c>
    </row>
    <row r="231" spans="4:5" x14ac:dyDescent="0.25">
      <c r="D231" s="57" t="s">
        <v>330</v>
      </c>
      <c r="E231" s="58">
        <v>70</v>
      </c>
    </row>
    <row r="232" spans="4:5" x14ac:dyDescent="0.25">
      <c r="D232" s="57" t="s">
        <v>331</v>
      </c>
      <c r="E232" s="58">
        <v>20</v>
      </c>
    </row>
    <row r="233" spans="4:5" x14ac:dyDescent="0.25">
      <c r="D233" s="57" t="s">
        <v>332</v>
      </c>
      <c r="E233" s="58">
        <v>40</v>
      </c>
    </row>
    <row r="234" spans="4:5" x14ac:dyDescent="0.25">
      <c r="D234" s="57" t="s">
        <v>333</v>
      </c>
      <c r="E234" s="58">
        <v>20</v>
      </c>
    </row>
    <row r="235" spans="4:5" x14ac:dyDescent="0.25">
      <c r="D235" s="57" t="s">
        <v>334</v>
      </c>
      <c r="E235" s="58">
        <v>50</v>
      </c>
    </row>
    <row r="236" spans="4:5" x14ac:dyDescent="0.25">
      <c r="D236" s="57" t="s">
        <v>335</v>
      </c>
      <c r="E236" s="58">
        <v>22</v>
      </c>
    </row>
    <row r="237" spans="4:5" x14ac:dyDescent="0.25">
      <c r="D237" s="57" t="s">
        <v>336</v>
      </c>
      <c r="E237" s="58">
        <v>30</v>
      </c>
    </row>
    <row r="238" spans="4:5" x14ac:dyDescent="0.25">
      <c r="D238" s="57" t="s">
        <v>337</v>
      </c>
      <c r="E238" s="58">
        <v>60</v>
      </c>
    </row>
    <row r="239" spans="4:5" x14ac:dyDescent="0.25">
      <c r="D239" s="57" t="s">
        <v>338</v>
      </c>
      <c r="E239" s="58">
        <v>50</v>
      </c>
    </row>
    <row r="240" spans="4:5" x14ac:dyDescent="0.25">
      <c r="D240" s="57" t="s">
        <v>339</v>
      </c>
      <c r="E240" s="58">
        <v>20</v>
      </c>
    </row>
    <row r="241" spans="4:5" x14ac:dyDescent="0.25">
      <c r="D241" s="57" t="s">
        <v>340</v>
      </c>
      <c r="E241" s="58">
        <v>30</v>
      </c>
    </row>
    <row r="242" spans="4:5" x14ac:dyDescent="0.25">
      <c r="D242" s="57" t="s">
        <v>341</v>
      </c>
      <c r="E242" s="58">
        <v>40</v>
      </c>
    </row>
    <row r="243" spans="4:5" x14ac:dyDescent="0.25">
      <c r="D243" s="57" t="s">
        <v>342</v>
      </c>
      <c r="E243" s="58">
        <v>35</v>
      </c>
    </row>
    <row r="244" spans="4:5" x14ac:dyDescent="0.25">
      <c r="D244" s="57" t="s">
        <v>343</v>
      </c>
      <c r="E244" s="58">
        <v>40</v>
      </c>
    </row>
    <row r="245" spans="4:5" x14ac:dyDescent="0.25">
      <c r="D245" s="57" t="s">
        <v>344</v>
      </c>
      <c r="E245" s="58">
        <v>35</v>
      </c>
    </row>
    <row r="246" spans="4:5" x14ac:dyDescent="0.25">
      <c r="D246" s="57" t="s">
        <v>345</v>
      </c>
      <c r="E246" s="58">
        <v>40</v>
      </c>
    </row>
    <row r="247" spans="4:5" x14ac:dyDescent="0.25">
      <c r="D247" s="57" t="s">
        <v>346</v>
      </c>
      <c r="E247" s="58">
        <v>35</v>
      </c>
    </row>
  </sheetData>
  <sheetProtection algorithmName="SHA-512" hashValue="QeVgGTfNl8rcbeY2Zzt/ENm7kw7bj6KkBbR8mDIgbAMve1Yf0fsrrkZ6P/s9vTmOazA60kvbdLLaPvkaqJT+WA==" saltValue="CGh7xcu7VrPYRn+xNEYYXw==" spinCount="100000" sheet="1" objects="1" scenarios="1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8A6C-2130-4053-8A2B-A65608580468}">
  <dimension ref="A1:M192"/>
  <sheetViews>
    <sheetView workbookViewId="0">
      <selection activeCell="B189" sqref="B189"/>
    </sheetView>
  </sheetViews>
  <sheetFormatPr defaultRowHeight="15" x14ac:dyDescent="0.25"/>
  <cols>
    <col min="1" max="1" width="9.5703125" style="7" customWidth="1"/>
    <col min="2" max="9" width="24.5703125" style="7" customWidth="1"/>
  </cols>
  <sheetData>
    <row r="1" spans="1:13" ht="15" customHeight="1" x14ac:dyDescent="0.25">
      <c r="A1" s="210" t="s">
        <v>650</v>
      </c>
      <c r="B1" s="210"/>
      <c r="C1" s="210"/>
      <c r="D1" s="210"/>
      <c r="E1" s="210"/>
      <c r="F1" s="210"/>
      <c r="G1" s="210"/>
      <c r="H1" s="210"/>
      <c r="I1" s="74"/>
    </row>
    <row r="2" spans="1:13" ht="25.5" x14ac:dyDescent="0.25">
      <c r="A2" s="60" t="s">
        <v>347</v>
      </c>
      <c r="B2" s="75" t="s">
        <v>348</v>
      </c>
      <c r="C2" s="80" t="s">
        <v>349</v>
      </c>
      <c r="D2" s="75" t="s">
        <v>350</v>
      </c>
      <c r="E2" s="75" t="s">
        <v>351</v>
      </c>
      <c r="F2" s="76" t="s">
        <v>352</v>
      </c>
      <c r="G2" s="76" t="s">
        <v>353</v>
      </c>
      <c r="H2" s="75" t="s">
        <v>354</v>
      </c>
      <c r="I2" s="75" t="s">
        <v>649</v>
      </c>
    </row>
    <row r="3" spans="1:13" x14ac:dyDescent="0.25">
      <c r="A3" s="7" t="s">
        <v>355</v>
      </c>
      <c r="B3" s="77" t="s">
        <v>95</v>
      </c>
      <c r="C3" s="78">
        <v>51060.35</v>
      </c>
      <c r="D3" s="78">
        <v>35742.25</v>
      </c>
      <c r="E3" s="78">
        <v>25530.18</v>
      </c>
      <c r="F3" s="78">
        <v>20271.72</v>
      </c>
      <c r="G3" s="78">
        <v>13514.48</v>
      </c>
      <c r="H3" s="78">
        <v>6757.24</v>
      </c>
      <c r="I3" s="79">
        <f>AVERAGE(C3:H3)</f>
        <v>25479.37</v>
      </c>
    </row>
    <row r="4" spans="1:13" x14ac:dyDescent="0.25">
      <c r="A4" s="7" t="s">
        <v>355</v>
      </c>
      <c r="B4" s="77" t="s">
        <v>97</v>
      </c>
      <c r="C4" s="78">
        <v>39066.449999999997</v>
      </c>
      <c r="D4" s="78">
        <v>26729.68</v>
      </c>
      <c r="E4" s="78">
        <v>20561.29</v>
      </c>
      <c r="F4" s="78">
        <v>16449.03</v>
      </c>
      <c r="G4" s="78">
        <v>12336.77</v>
      </c>
      <c r="H4" s="78">
        <v>8224.52</v>
      </c>
      <c r="I4" s="79">
        <f t="shared" ref="I4:I67" si="0">AVERAGE(C4:H4)</f>
        <v>20561.290000000005</v>
      </c>
    </row>
    <row r="5" spans="1:13" x14ac:dyDescent="0.25">
      <c r="A5" s="7" t="s">
        <v>355</v>
      </c>
      <c r="B5" s="77" t="s">
        <v>99</v>
      </c>
      <c r="C5" s="78">
        <v>36226.78</v>
      </c>
      <c r="D5" s="78">
        <v>29159.27</v>
      </c>
      <c r="E5" s="78">
        <v>21822.27</v>
      </c>
      <c r="F5" s="78">
        <v>29159.27</v>
      </c>
      <c r="G5" s="78">
        <v>19349.46</v>
      </c>
      <c r="H5" s="78">
        <v>19348.169999999998</v>
      </c>
      <c r="I5" s="79">
        <f t="shared" si="0"/>
        <v>25844.203333333338</v>
      </c>
    </row>
    <row r="6" spans="1:13" x14ac:dyDescent="0.25">
      <c r="A6" s="7" t="s">
        <v>355</v>
      </c>
      <c r="B6" s="77" t="s">
        <v>100</v>
      </c>
      <c r="C6" s="78">
        <v>28925.62</v>
      </c>
      <c r="D6" s="78">
        <v>26684.94</v>
      </c>
      <c r="E6" s="78">
        <v>25055.3</v>
      </c>
      <c r="F6" s="78">
        <v>21796.09</v>
      </c>
      <c r="G6" s="78">
        <v>18944.259999999998</v>
      </c>
      <c r="H6" s="78">
        <v>14666.53</v>
      </c>
      <c r="I6" s="79">
        <f t="shared" si="0"/>
        <v>22678.789999999997</v>
      </c>
    </row>
    <row r="7" spans="1:13" x14ac:dyDescent="0.25">
      <c r="A7" s="7" t="s">
        <v>355</v>
      </c>
      <c r="B7" s="77" t="s">
        <v>102</v>
      </c>
      <c r="C7" s="78">
        <v>12152.04</v>
      </c>
      <c r="D7" s="78">
        <v>10244.23</v>
      </c>
      <c r="E7" s="78">
        <v>8707.6</v>
      </c>
      <c r="F7" s="78">
        <v>5392.48</v>
      </c>
      <c r="G7" s="78">
        <v>4561.1400000000003</v>
      </c>
      <c r="H7" s="78">
        <v>3404.01</v>
      </c>
      <c r="I7" s="79">
        <f t="shared" si="0"/>
        <v>7410.2500000000009</v>
      </c>
    </row>
    <row r="8" spans="1:13" x14ac:dyDescent="0.25">
      <c r="A8" s="7" t="s">
        <v>355</v>
      </c>
      <c r="B8" s="77" t="s">
        <v>107</v>
      </c>
      <c r="C8" s="78">
        <v>23437.59</v>
      </c>
      <c r="D8" s="78">
        <v>16036.24</v>
      </c>
      <c r="E8" s="78">
        <v>12335.57</v>
      </c>
      <c r="F8" s="78">
        <v>9868.4599999999991</v>
      </c>
      <c r="G8" s="78">
        <v>7401.35</v>
      </c>
      <c r="H8" s="78">
        <v>4933.8999999999996</v>
      </c>
      <c r="I8" s="79">
        <f t="shared" si="0"/>
        <v>12335.518333333333</v>
      </c>
    </row>
    <row r="9" spans="1:13" x14ac:dyDescent="0.25">
      <c r="A9" s="7" t="s">
        <v>355</v>
      </c>
      <c r="B9" s="77" t="s">
        <v>111</v>
      </c>
      <c r="C9" s="78">
        <v>8390.06</v>
      </c>
      <c r="D9" s="78">
        <v>7131.62</v>
      </c>
      <c r="E9" s="78">
        <v>5418.23</v>
      </c>
      <c r="F9" s="78">
        <v>5031.72</v>
      </c>
      <c r="G9" s="78">
        <v>4257.6099999999997</v>
      </c>
      <c r="H9" s="78">
        <v>2322.33</v>
      </c>
      <c r="I9" s="79">
        <f t="shared" si="0"/>
        <v>5425.2616666666663</v>
      </c>
    </row>
    <row r="10" spans="1:13" x14ac:dyDescent="0.25">
      <c r="A10" s="7" t="s">
        <v>355</v>
      </c>
      <c r="B10" s="77" t="s">
        <v>112</v>
      </c>
      <c r="C10" s="78">
        <v>15150.6</v>
      </c>
      <c r="D10" s="78">
        <v>12878</v>
      </c>
      <c r="E10" s="78">
        <v>9568.7900000000009</v>
      </c>
      <c r="F10" s="78">
        <v>4749.78</v>
      </c>
      <c r="G10" s="78">
        <v>3521.06</v>
      </c>
      <c r="H10" s="78">
        <v>1760.54</v>
      </c>
      <c r="I10" s="79">
        <f t="shared" si="0"/>
        <v>7938.1283333333331</v>
      </c>
    </row>
    <row r="11" spans="1:13" x14ac:dyDescent="0.25">
      <c r="A11" s="7" t="s">
        <v>355</v>
      </c>
      <c r="B11" s="77" t="s">
        <v>114</v>
      </c>
      <c r="C11" s="78">
        <v>9041.48</v>
      </c>
      <c r="D11" s="78">
        <v>7685.26</v>
      </c>
      <c r="E11" s="78">
        <v>6532.47</v>
      </c>
      <c r="F11" s="78">
        <v>5552.6</v>
      </c>
      <c r="G11" s="78">
        <v>4719.71</v>
      </c>
      <c r="H11" s="78">
        <v>3775.77</v>
      </c>
      <c r="I11" s="79">
        <f t="shared" si="0"/>
        <v>6217.8816666666653</v>
      </c>
      <c r="M11" s="87"/>
    </row>
    <row r="12" spans="1:13" x14ac:dyDescent="0.25">
      <c r="A12" s="7" t="s">
        <v>355</v>
      </c>
      <c r="B12" s="77" t="s">
        <v>115</v>
      </c>
      <c r="C12" s="78">
        <v>43967.57</v>
      </c>
      <c r="D12" s="78">
        <v>37719.769999999997</v>
      </c>
      <c r="E12" s="78">
        <v>33925.370000000003</v>
      </c>
      <c r="F12" s="78">
        <v>32988.870000000003</v>
      </c>
      <c r="G12" s="78">
        <v>29321.96</v>
      </c>
      <c r="H12" s="78">
        <v>18668.63</v>
      </c>
      <c r="I12" s="79">
        <f t="shared" si="0"/>
        <v>32765.361666666664</v>
      </c>
    </row>
    <row r="13" spans="1:13" x14ac:dyDescent="0.25">
      <c r="A13" s="7" t="s">
        <v>355</v>
      </c>
      <c r="B13" s="77" t="s">
        <v>116</v>
      </c>
      <c r="C13" s="78">
        <v>19210.66</v>
      </c>
      <c r="D13" s="78">
        <v>17169.64</v>
      </c>
      <c r="E13" s="78">
        <v>15779.97</v>
      </c>
      <c r="F13" s="78">
        <v>14325.41</v>
      </c>
      <c r="G13" s="78">
        <v>10625.83</v>
      </c>
      <c r="H13" s="78">
        <v>8011.1</v>
      </c>
      <c r="I13" s="79">
        <f t="shared" si="0"/>
        <v>14187.101666666669</v>
      </c>
    </row>
    <row r="14" spans="1:13" x14ac:dyDescent="0.25">
      <c r="A14" s="7" t="s">
        <v>355</v>
      </c>
      <c r="B14" s="77" t="s">
        <v>119</v>
      </c>
      <c r="C14" s="78">
        <v>34485.17</v>
      </c>
      <c r="D14" s="78">
        <v>31074.58</v>
      </c>
      <c r="E14" s="78">
        <v>29584.82</v>
      </c>
      <c r="F14" s="78">
        <v>26608.75</v>
      </c>
      <c r="G14" s="78">
        <v>22998.15</v>
      </c>
      <c r="H14" s="78">
        <v>18732.439999999999</v>
      </c>
      <c r="I14" s="79">
        <f t="shared" si="0"/>
        <v>27247.318333333333</v>
      </c>
    </row>
    <row r="15" spans="1:13" x14ac:dyDescent="0.25">
      <c r="A15" s="7" t="s">
        <v>355</v>
      </c>
      <c r="B15" s="77" t="s">
        <v>121</v>
      </c>
      <c r="C15" s="78">
        <v>23499.69</v>
      </c>
      <c r="D15" s="78">
        <v>15999.35</v>
      </c>
      <c r="E15" s="78">
        <v>12399.61</v>
      </c>
      <c r="F15" s="78">
        <v>9899.94</v>
      </c>
      <c r="G15" s="78">
        <v>7399.61</v>
      </c>
      <c r="H15" s="78">
        <v>4899.9399999999996</v>
      </c>
      <c r="I15" s="79">
        <f t="shared" si="0"/>
        <v>12349.69</v>
      </c>
    </row>
    <row r="16" spans="1:13" x14ac:dyDescent="0.25">
      <c r="A16" s="7" t="s">
        <v>355</v>
      </c>
      <c r="B16" s="77" t="s">
        <v>122</v>
      </c>
      <c r="C16" s="78">
        <v>22690</v>
      </c>
      <c r="D16" s="78">
        <v>19730</v>
      </c>
      <c r="E16" s="78">
        <v>15640</v>
      </c>
      <c r="F16" s="78">
        <v>11390</v>
      </c>
      <c r="G16" s="78">
        <v>8160</v>
      </c>
      <c r="H16" s="78">
        <v>4620</v>
      </c>
      <c r="I16" s="79">
        <f t="shared" si="0"/>
        <v>13705</v>
      </c>
    </row>
    <row r="17" spans="1:9" x14ac:dyDescent="0.25">
      <c r="A17" s="7" t="s">
        <v>355</v>
      </c>
      <c r="B17" s="77" t="s">
        <v>123</v>
      </c>
      <c r="C17" s="78">
        <v>21698.11</v>
      </c>
      <c r="D17" s="78">
        <v>20017.84</v>
      </c>
      <c r="E17" s="78">
        <v>18794.849999999999</v>
      </c>
      <c r="F17" s="78">
        <v>21698.11</v>
      </c>
      <c r="G17" s="78">
        <v>13418.74</v>
      </c>
      <c r="H17" s="78">
        <v>11001.87</v>
      </c>
      <c r="I17" s="79">
        <f t="shared" si="0"/>
        <v>17771.586666666666</v>
      </c>
    </row>
    <row r="18" spans="1:9" x14ac:dyDescent="0.25">
      <c r="A18" s="7" t="s">
        <v>355</v>
      </c>
      <c r="B18" s="77" t="s">
        <v>124</v>
      </c>
      <c r="C18" s="78">
        <v>25920</v>
      </c>
      <c r="D18" s="78">
        <v>21600</v>
      </c>
      <c r="E18" s="78">
        <v>18000</v>
      </c>
      <c r="F18" s="78">
        <v>15000</v>
      </c>
      <c r="G18" s="78">
        <v>12000</v>
      </c>
      <c r="H18" s="78">
        <v>9600</v>
      </c>
      <c r="I18" s="79">
        <f t="shared" si="0"/>
        <v>17020</v>
      </c>
    </row>
    <row r="19" spans="1:9" x14ac:dyDescent="0.25">
      <c r="A19" s="7" t="s">
        <v>355</v>
      </c>
      <c r="B19" s="77" t="s">
        <v>125</v>
      </c>
      <c r="C19" s="78">
        <v>34157.56</v>
      </c>
      <c r="D19" s="78">
        <v>29538.42</v>
      </c>
      <c r="E19" s="78">
        <v>28444.39</v>
      </c>
      <c r="F19" s="78">
        <v>29538.42</v>
      </c>
      <c r="G19" s="78">
        <v>28444.39</v>
      </c>
      <c r="H19" s="78">
        <v>22245.31</v>
      </c>
      <c r="I19" s="79">
        <f t="shared" si="0"/>
        <v>28728.081666666665</v>
      </c>
    </row>
    <row r="20" spans="1:9" x14ac:dyDescent="0.25">
      <c r="A20" s="7" t="s">
        <v>355</v>
      </c>
      <c r="B20" s="77" t="s">
        <v>126</v>
      </c>
      <c r="C20" s="78">
        <v>8254.8700000000008</v>
      </c>
      <c r="D20" s="78">
        <v>7088.56</v>
      </c>
      <c r="E20" s="78">
        <v>6372.65</v>
      </c>
      <c r="F20" s="78">
        <v>5705.15</v>
      </c>
      <c r="G20" s="78">
        <v>4866.53</v>
      </c>
      <c r="H20" s="78">
        <v>3860.61</v>
      </c>
      <c r="I20" s="79">
        <f t="shared" si="0"/>
        <v>6024.7283333333335</v>
      </c>
    </row>
    <row r="21" spans="1:9" x14ac:dyDescent="0.25">
      <c r="A21" s="7" t="s">
        <v>355</v>
      </c>
      <c r="B21" s="77" t="s">
        <v>127</v>
      </c>
      <c r="C21" s="78">
        <v>18415.07</v>
      </c>
      <c r="D21" s="78">
        <v>16565.12</v>
      </c>
      <c r="E21" s="78">
        <v>12598.51</v>
      </c>
      <c r="F21" s="78">
        <v>11802.43</v>
      </c>
      <c r="G21" s="78">
        <v>5932.15</v>
      </c>
      <c r="H21" s="78">
        <v>5210.7</v>
      </c>
      <c r="I21" s="79">
        <f t="shared" si="0"/>
        <v>11753.996666666668</v>
      </c>
    </row>
    <row r="22" spans="1:9" x14ac:dyDescent="0.25">
      <c r="A22" s="7" t="s">
        <v>355</v>
      </c>
      <c r="B22" s="77" t="s">
        <v>128</v>
      </c>
      <c r="C22" s="78">
        <v>29811.71</v>
      </c>
      <c r="D22" s="78">
        <v>20397.169999999998</v>
      </c>
      <c r="E22" s="78">
        <v>15689.91</v>
      </c>
      <c r="F22" s="78">
        <v>7590.06</v>
      </c>
      <c r="G22" s="78">
        <v>5691.06</v>
      </c>
      <c r="H22" s="78">
        <v>3792.05</v>
      </c>
      <c r="I22" s="79">
        <f t="shared" si="0"/>
        <v>13828.659999999998</v>
      </c>
    </row>
    <row r="23" spans="1:9" x14ac:dyDescent="0.25">
      <c r="A23" s="7" t="s">
        <v>355</v>
      </c>
      <c r="B23" s="77" t="s">
        <v>129</v>
      </c>
      <c r="C23" s="78">
        <v>18623.8</v>
      </c>
      <c r="D23" s="78">
        <v>15520.7</v>
      </c>
      <c r="E23" s="78">
        <v>13968.5</v>
      </c>
      <c r="F23" s="78">
        <v>12416.3</v>
      </c>
      <c r="G23" s="78">
        <v>11796.2</v>
      </c>
      <c r="H23" s="78">
        <v>10864.1</v>
      </c>
      <c r="I23" s="79">
        <f t="shared" si="0"/>
        <v>13864.933333333334</v>
      </c>
    </row>
    <row r="24" spans="1:9" x14ac:dyDescent="0.25">
      <c r="A24" s="7" t="s">
        <v>355</v>
      </c>
      <c r="B24" s="77" t="s">
        <v>130</v>
      </c>
      <c r="C24" s="78">
        <v>37372.43</v>
      </c>
      <c r="D24" s="78">
        <v>32061.8</v>
      </c>
      <c r="E24" s="78">
        <v>28836.560000000001</v>
      </c>
      <c r="F24" s="78">
        <v>28040.54</v>
      </c>
      <c r="G24" s="78">
        <v>24923.67</v>
      </c>
      <c r="H24" s="78">
        <v>15868.34</v>
      </c>
      <c r="I24" s="79">
        <f t="shared" si="0"/>
        <v>27850.556666666667</v>
      </c>
    </row>
    <row r="25" spans="1:9" x14ac:dyDescent="0.25">
      <c r="A25" s="7" t="s">
        <v>355</v>
      </c>
      <c r="B25" s="77" t="s">
        <v>132</v>
      </c>
      <c r="C25" s="78">
        <v>5582.85</v>
      </c>
      <c r="D25" s="78">
        <v>5210.66</v>
      </c>
      <c r="E25" s="78">
        <v>4838.4799999999996</v>
      </c>
      <c r="F25" s="78">
        <v>4466.2700000000004</v>
      </c>
      <c r="G25" s="78">
        <v>4208.3500000000004</v>
      </c>
      <c r="H25" s="78">
        <v>3823.35</v>
      </c>
      <c r="I25" s="79">
        <f t="shared" si="0"/>
        <v>4688.3266666666668</v>
      </c>
    </row>
    <row r="26" spans="1:9" x14ac:dyDescent="0.25">
      <c r="A26" s="7" t="s">
        <v>355</v>
      </c>
      <c r="B26" s="77" t="s">
        <v>133</v>
      </c>
      <c r="C26" s="78">
        <v>25990</v>
      </c>
      <c r="D26" s="78">
        <v>21650</v>
      </c>
      <c r="E26" s="78">
        <v>19060</v>
      </c>
      <c r="F26" s="78">
        <v>18190</v>
      </c>
      <c r="G26" s="78">
        <v>17320</v>
      </c>
      <c r="H26" s="78">
        <v>9960</v>
      </c>
      <c r="I26" s="79">
        <f t="shared" si="0"/>
        <v>18695</v>
      </c>
    </row>
    <row r="27" spans="1:9" x14ac:dyDescent="0.25">
      <c r="A27" s="7" t="s">
        <v>355</v>
      </c>
      <c r="B27" s="77" t="s">
        <v>134</v>
      </c>
      <c r="C27" s="78">
        <v>8090.92</v>
      </c>
      <c r="D27" s="78">
        <v>5884.34</v>
      </c>
      <c r="E27" s="78">
        <v>4751.17</v>
      </c>
      <c r="F27" s="78">
        <v>3589.78</v>
      </c>
      <c r="G27" s="78">
        <v>3226.66</v>
      </c>
      <c r="H27" s="78">
        <v>2565.0500000000002</v>
      </c>
      <c r="I27" s="79">
        <f t="shared" si="0"/>
        <v>4684.6533333333327</v>
      </c>
    </row>
    <row r="28" spans="1:9" x14ac:dyDescent="0.25">
      <c r="A28" s="7" t="s">
        <v>355</v>
      </c>
      <c r="B28" s="77" t="s">
        <v>135</v>
      </c>
      <c r="C28" s="78">
        <v>50493.03</v>
      </c>
      <c r="D28" s="78">
        <v>49967.31</v>
      </c>
      <c r="E28" s="78">
        <v>49389.03</v>
      </c>
      <c r="F28" s="78">
        <v>42120.25</v>
      </c>
      <c r="G28" s="78">
        <v>30686.86</v>
      </c>
      <c r="H28" s="78">
        <v>27558.61</v>
      </c>
      <c r="I28" s="79">
        <f t="shared" si="0"/>
        <v>41702.514999999992</v>
      </c>
    </row>
    <row r="29" spans="1:9" x14ac:dyDescent="0.25">
      <c r="A29" s="7" t="s">
        <v>355</v>
      </c>
      <c r="B29" s="77" t="s">
        <v>136</v>
      </c>
      <c r="C29" s="78">
        <v>41062.44</v>
      </c>
      <c r="D29" s="78">
        <v>36497.22</v>
      </c>
      <c r="E29" s="78">
        <v>31935.25</v>
      </c>
      <c r="F29" s="78">
        <v>22050.33</v>
      </c>
      <c r="G29" s="78">
        <v>20947.82</v>
      </c>
      <c r="H29" s="78">
        <v>19900.43</v>
      </c>
      <c r="I29" s="79">
        <f t="shared" si="0"/>
        <v>28732.248333333333</v>
      </c>
    </row>
    <row r="30" spans="1:9" x14ac:dyDescent="0.25">
      <c r="A30" s="7" t="s">
        <v>355</v>
      </c>
      <c r="B30" s="77" t="s">
        <v>137</v>
      </c>
      <c r="C30" s="78">
        <v>8066.47</v>
      </c>
      <c r="D30" s="78">
        <v>6856.5</v>
      </c>
      <c r="E30" s="78">
        <v>5828.02</v>
      </c>
      <c r="F30" s="78">
        <v>4953.82</v>
      </c>
      <c r="G30" s="78">
        <v>4210.75</v>
      </c>
      <c r="H30" s="78">
        <v>3368.6</v>
      </c>
      <c r="I30" s="79">
        <f t="shared" si="0"/>
        <v>5547.3600000000006</v>
      </c>
    </row>
    <row r="31" spans="1:9" x14ac:dyDescent="0.25">
      <c r="A31" s="7" t="s">
        <v>355</v>
      </c>
      <c r="B31" s="77" t="s">
        <v>138</v>
      </c>
      <c r="C31" s="78">
        <v>42991.73</v>
      </c>
      <c r="D31" s="78">
        <v>35000</v>
      </c>
      <c r="E31" s="78">
        <v>35000</v>
      </c>
      <c r="F31" s="78">
        <v>25500</v>
      </c>
      <c r="G31" s="78">
        <v>20000</v>
      </c>
      <c r="H31" s="78">
        <v>20000</v>
      </c>
      <c r="I31" s="79">
        <f t="shared" si="0"/>
        <v>29748.62166666667</v>
      </c>
    </row>
    <row r="32" spans="1:9" x14ac:dyDescent="0.25">
      <c r="A32" s="7" t="s">
        <v>355</v>
      </c>
      <c r="B32" s="77" t="s">
        <v>139</v>
      </c>
      <c r="C32" s="78">
        <v>14303.08</v>
      </c>
      <c r="D32" s="78">
        <v>9995.59</v>
      </c>
      <c r="E32" s="78">
        <v>8228.41</v>
      </c>
      <c r="F32" s="78">
        <v>6958.26</v>
      </c>
      <c r="G32" s="78">
        <v>5787.5</v>
      </c>
      <c r="H32" s="78">
        <v>4594.66</v>
      </c>
      <c r="I32" s="79">
        <f t="shared" si="0"/>
        <v>8311.25</v>
      </c>
    </row>
    <row r="33" spans="1:9" x14ac:dyDescent="0.25">
      <c r="A33" s="7" t="s">
        <v>355</v>
      </c>
      <c r="B33" s="77" t="s">
        <v>140</v>
      </c>
      <c r="C33" s="78">
        <v>21864.47</v>
      </c>
      <c r="D33" s="78">
        <v>20107.7</v>
      </c>
      <c r="E33" s="78">
        <v>17991.099999999999</v>
      </c>
      <c r="F33" s="78">
        <v>16932.8</v>
      </c>
      <c r="G33" s="78">
        <v>13228.75</v>
      </c>
      <c r="H33" s="78">
        <v>11641.3</v>
      </c>
      <c r="I33" s="79">
        <f t="shared" si="0"/>
        <v>16961.02</v>
      </c>
    </row>
    <row r="34" spans="1:9" x14ac:dyDescent="0.25">
      <c r="A34" s="7" t="s">
        <v>355</v>
      </c>
      <c r="B34" s="77" t="s">
        <v>141</v>
      </c>
      <c r="C34" s="78">
        <v>24557.51</v>
      </c>
      <c r="D34" s="78">
        <v>17190.25</v>
      </c>
      <c r="E34" s="78">
        <v>12278.75</v>
      </c>
      <c r="F34" s="78">
        <v>10029.33</v>
      </c>
      <c r="G34" s="78">
        <v>8544.99</v>
      </c>
      <c r="H34" s="78">
        <v>4920.3500000000004</v>
      </c>
      <c r="I34" s="79">
        <f t="shared" si="0"/>
        <v>12920.196666666669</v>
      </c>
    </row>
    <row r="35" spans="1:9" x14ac:dyDescent="0.25">
      <c r="A35" s="7" t="s">
        <v>355</v>
      </c>
      <c r="B35" s="77" t="s">
        <v>143</v>
      </c>
      <c r="C35" s="78">
        <v>33915.68</v>
      </c>
      <c r="D35" s="78">
        <v>25951.48</v>
      </c>
      <c r="E35" s="78">
        <v>11305.84</v>
      </c>
      <c r="F35" s="78">
        <v>11305.84</v>
      </c>
      <c r="G35" s="78">
        <v>10175.26</v>
      </c>
      <c r="H35" s="78">
        <v>4522.33</v>
      </c>
      <c r="I35" s="79">
        <f t="shared" si="0"/>
        <v>16196.071666666665</v>
      </c>
    </row>
    <row r="36" spans="1:9" x14ac:dyDescent="0.25">
      <c r="A36" s="7" t="s">
        <v>355</v>
      </c>
      <c r="B36" s="77" t="s">
        <v>144</v>
      </c>
      <c r="C36" s="78">
        <v>11570.24</v>
      </c>
      <c r="D36" s="78">
        <v>10123.959999999999</v>
      </c>
      <c r="E36" s="78">
        <v>8677.68</v>
      </c>
      <c r="F36" s="78">
        <v>9100</v>
      </c>
      <c r="G36" s="78">
        <v>9100</v>
      </c>
      <c r="H36" s="78" t="s">
        <v>651</v>
      </c>
      <c r="I36" s="79">
        <f>AVERAGE(C35:H36)</f>
        <v>13249.846363636363</v>
      </c>
    </row>
    <row r="37" spans="1:9" x14ac:dyDescent="0.25">
      <c r="A37" s="7" t="s">
        <v>355</v>
      </c>
      <c r="B37" s="77" t="s">
        <v>145</v>
      </c>
      <c r="C37" s="78">
        <v>37740.26</v>
      </c>
      <c r="D37" s="78">
        <v>26418.18</v>
      </c>
      <c r="E37" s="78">
        <v>18870.13</v>
      </c>
      <c r="F37" s="78">
        <v>14983.45</v>
      </c>
      <c r="G37" s="78">
        <v>9988.9599999999991</v>
      </c>
      <c r="H37" s="78">
        <v>4994.4799999999996</v>
      </c>
      <c r="I37" s="79">
        <f t="shared" si="0"/>
        <v>18832.576666666668</v>
      </c>
    </row>
    <row r="38" spans="1:9" x14ac:dyDescent="0.25">
      <c r="A38" s="7" t="s">
        <v>355</v>
      </c>
      <c r="B38" s="77" t="s">
        <v>147</v>
      </c>
      <c r="C38" s="78">
        <v>33117.760000000002</v>
      </c>
      <c r="D38" s="78">
        <v>22659.52</v>
      </c>
      <c r="E38" s="78">
        <v>17430.400000000001</v>
      </c>
      <c r="F38" s="78">
        <v>15373.6</v>
      </c>
      <c r="G38" s="78">
        <v>11310.57</v>
      </c>
      <c r="H38" s="78">
        <v>7686.78</v>
      </c>
      <c r="I38" s="79">
        <f t="shared" si="0"/>
        <v>17929.771666666667</v>
      </c>
    </row>
    <row r="39" spans="1:9" x14ac:dyDescent="0.25">
      <c r="A39" s="7" t="s">
        <v>355</v>
      </c>
      <c r="B39" s="77" t="s">
        <v>356</v>
      </c>
      <c r="C39" s="78">
        <v>15155.76</v>
      </c>
      <c r="D39" s="78">
        <v>10216.67</v>
      </c>
      <c r="E39" s="78">
        <v>7140.7</v>
      </c>
      <c r="F39" s="78">
        <v>4550.8500000000004</v>
      </c>
      <c r="G39" s="78">
        <v>4266.96</v>
      </c>
      <c r="H39" s="78">
        <v>4150.41</v>
      </c>
      <c r="I39" s="79">
        <f t="shared" si="0"/>
        <v>7580.2250000000013</v>
      </c>
    </row>
    <row r="40" spans="1:9" x14ac:dyDescent="0.25">
      <c r="A40" s="7" t="s">
        <v>355</v>
      </c>
      <c r="B40" s="77" t="s">
        <v>149</v>
      </c>
      <c r="C40" s="78">
        <v>19173.86</v>
      </c>
      <c r="D40" s="78">
        <v>15186.67</v>
      </c>
      <c r="E40" s="78">
        <v>13585.17</v>
      </c>
      <c r="F40" s="78">
        <v>11994.71</v>
      </c>
      <c r="G40" s="78">
        <v>11199.48</v>
      </c>
      <c r="H40" s="78">
        <v>7996.47</v>
      </c>
      <c r="I40" s="79">
        <f t="shared" si="0"/>
        <v>13189.393333333333</v>
      </c>
    </row>
    <row r="41" spans="1:9" x14ac:dyDescent="0.25">
      <c r="A41" s="7" t="s">
        <v>355</v>
      </c>
      <c r="B41" s="77" t="s">
        <v>152</v>
      </c>
      <c r="C41" s="78">
        <v>6905.56</v>
      </c>
      <c r="D41" s="78">
        <v>6598.65</v>
      </c>
      <c r="E41" s="78">
        <v>5370.99</v>
      </c>
      <c r="F41" s="78">
        <v>4143.34</v>
      </c>
      <c r="G41" s="78">
        <v>3836.42</v>
      </c>
      <c r="H41" s="78">
        <v>3069.14</v>
      </c>
      <c r="I41" s="79">
        <f t="shared" si="0"/>
        <v>4987.3499999999995</v>
      </c>
    </row>
    <row r="42" spans="1:9" x14ac:dyDescent="0.25">
      <c r="A42" s="7" t="s">
        <v>355</v>
      </c>
      <c r="B42" s="77" t="s">
        <v>153</v>
      </c>
      <c r="C42" s="78">
        <v>10957.78</v>
      </c>
      <c r="D42" s="78">
        <v>9314.11</v>
      </c>
      <c r="E42" s="78">
        <v>7916.99</v>
      </c>
      <c r="F42" s="78">
        <v>6729.44</v>
      </c>
      <c r="G42" s="78">
        <v>5720.02</v>
      </c>
      <c r="H42" s="78">
        <v>4576.0200000000004</v>
      </c>
      <c r="I42" s="79">
        <f t="shared" si="0"/>
        <v>7535.7266666666665</v>
      </c>
    </row>
    <row r="43" spans="1:9" x14ac:dyDescent="0.25">
      <c r="A43" s="7" t="s">
        <v>355</v>
      </c>
      <c r="B43" s="77" t="s">
        <v>154</v>
      </c>
      <c r="C43" s="78">
        <v>21729.16</v>
      </c>
      <c r="D43" s="78">
        <v>18284.53</v>
      </c>
      <c r="E43" s="78">
        <v>15848.18</v>
      </c>
      <c r="F43" s="78">
        <v>12809.23</v>
      </c>
      <c r="G43" s="78">
        <v>12809.23</v>
      </c>
      <c r="H43" s="78">
        <v>5827.21</v>
      </c>
      <c r="I43" s="79">
        <f t="shared" si="0"/>
        <v>14551.256666666668</v>
      </c>
    </row>
    <row r="44" spans="1:9" x14ac:dyDescent="0.25">
      <c r="A44" s="7" t="s">
        <v>355</v>
      </c>
      <c r="B44" s="77" t="s">
        <v>155</v>
      </c>
      <c r="C44" s="78">
        <v>35907.42</v>
      </c>
      <c r="D44" s="78">
        <v>28253.47</v>
      </c>
      <c r="E44" s="78">
        <v>21733.439999999999</v>
      </c>
      <c r="F44" s="78">
        <v>17386.75</v>
      </c>
      <c r="G44" s="78">
        <v>13040.06</v>
      </c>
      <c r="H44" s="78">
        <v>8693.3700000000008</v>
      </c>
      <c r="I44" s="79">
        <f t="shared" si="0"/>
        <v>20835.751666666667</v>
      </c>
    </row>
    <row r="45" spans="1:9" x14ac:dyDescent="0.25">
      <c r="A45" s="7" t="s">
        <v>355</v>
      </c>
      <c r="B45" s="77" t="s">
        <v>156</v>
      </c>
      <c r="C45" s="78">
        <v>8167.37</v>
      </c>
      <c r="D45" s="78">
        <v>6942.27</v>
      </c>
      <c r="E45" s="78">
        <v>5900.93</v>
      </c>
      <c r="F45" s="78">
        <v>5015.79</v>
      </c>
      <c r="G45" s="78">
        <v>4236.43</v>
      </c>
      <c r="H45" s="78">
        <v>3410.74</v>
      </c>
      <c r="I45" s="79">
        <f t="shared" si="0"/>
        <v>5612.2550000000001</v>
      </c>
    </row>
    <row r="46" spans="1:9" x14ac:dyDescent="0.25">
      <c r="A46" s="7" t="s">
        <v>355</v>
      </c>
      <c r="B46" s="77" t="s">
        <v>157</v>
      </c>
      <c r="C46" s="78">
        <v>8228.07</v>
      </c>
      <c r="D46" s="78">
        <v>7357.33</v>
      </c>
      <c r="E46" s="78">
        <v>6741.45</v>
      </c>
      <c r="F46" s="78">
        <v>6768.44</v>
      </c>
      <c r="G46" s="78">
        <v>5283.41</v>
      </c>
      <c r="H46" s="78">
        <v>3939.2</v>
      </c>
      <c r="I46" s="79">
        <f t="shared" si="0"/>
        <v>6386.3166666666657</v>
      </c>
    </row>
    <row r="47" spans="1:9" x14ac:dyDescent="0.25">
      <c r="A47" s="7" t="s">
        <v>355</v>
      </c>
      <c r="B47" s="77" t="s">
        <v>159</v>
      </c>
      <c r="C47" s="78">
        <v>48702.17</v>
      </c>
      <c r="D47" s="78">
        <v>45320.18</v>
      </c>
      <c r="E47" s="78">
        <v>39265.15</v>
      </c>
      <c r="F47" s="78">
        <v>35926.199999999997</v>
      </c>
      <c r="G47" s="78">
        <v>32531.82</v>
      </c>
      <c r="H47" s="78">
        <v>25321.46</v>
      </c>
      <c r="I47" s="79">
        <f t="shared" si="0"/>
        <v>37844.496666666666</v>
      </c>
    </row>
    <row r="48" spans="1:9" x14ac:dyDescent="0.25">
      <c r="A48" s="7" t="s">
        <v>355</v>
      </c>
      <c r="B48" s="77" t="s">
        <v>160</v>
      </c>
      <c r="C48" s="78">
        <v>29000</v>
      </c>
      <c r="D48" s="78">
        <v>26500</v>
      </c>
      <c r="E48" s="78">
        <v>24500</v>
      </c>
      <c r="F48" s="78">
        <v>22500</v>
      </c>
      <c r="G48" s="78">
        <v>20000</v>
      </c>
      <c r="H48" s="78">
        <v>7000</v>
      </c>
      <c r="I48" s="79">
        <f t="shared" si="0"/>
        <v>21583.333333333332</v>
      </c>
    </row>
    <row r="49" spans="1:9" x14ac:dyDescent="0.25">
      <c r="A49" s="7" t="s">
        <v>355</v>
      </c>
      <c r="B49" s="77" t="s">
        <v>162</v>
      </c>
      <c r="C49" s="78">
        <v>6574.43</v>
      </c>
      <c r="D49" s="78">
        <v>5259.55</v>
      </c>
      <c r="E49" s="78">
        <v>2629.76</v>
      </c>
      <c r="F49" s="78">
        <v>5259.55</v>
      </c>
      <c r="G49" s="78">
        <v>2629.76</v>
      </c>
      <c r="H49" s="78">
        <v>2629.76</v>
      </c>
      <c r="I49" s="79">
        <f t="shared" si="0"/>
        <v>4163.8016666666672</v>
      </c>
    </row>
    <row r="50" spans="1:9" x14ac:dyDescent="0.25">
      <c r="A50" s="7" t="s">
        <v>355</v>
      </c>
      <c r="B50" s="77" t="s">
        <v>163</v>
      </c>
      <c r="C50" s="78">
        <v>22034.35</v>
      </c>
      <c r="D50" s="78">
        <v>20643.16</v>
      </c>
      <c r="E50" s="78">
        <v>19292.82</v>
      </c>
      <c r="F50" s="78">
        <v>17790.8</v>
      </c>
      <c r="G50" s="78">
        <v>14786.78</v>
      </c>
      <c r="H50" s="78">
        <v>10645.32</v>
      </c>
      <c r="I50" s="79">
        <f t="shared" si="0"/>
        <v>17532.204999999998</v>
      </c>
    </row>
    <row r="51" spans="1:9" x14ac:dyDescent="0.25">
      <c r="A51" s="7" t="s">
        <v>355</v>
      </c>
      <c r="B51" s="77" t="s">
        <v>164</v>
      </c>
      <c r="C51" s="78">
        <v>36986.93</v>
      </c>
      <c r="D51" s="78">
        <v>31812.45</v>
      </c>
      <c r="E51" s="78">
        <v>28476.23</v>
      </c>
      <c r="F51" s="78">
        <v>27662.52</v>
      </c>
      <c r="G51" s="78">
        <v>24733.16</v>
      </c>
      <c r="H51" s="78">
        <v>15741.63</v>
      </c>
      <c r="I51" s="79">
        <f t="shared" si="0"/>
        <v>27568.820000000003</v>
      </c>
    </row>
    <row r="52" spans="1:9" x14ac:dyDescent="0.25">
      <c r="A52" s="7" t="s">
        <v>355</v>
      </c>
      <c r="B52" s="77" t="s">
        <v>165</v>
      </c>
      <c r="C52" s="78">
        <v>27810</v>
      </c>
      <c r="D52" s="78">
        <v>20219.419999999998</v>
      </c>
      <c r="E52" s="78">
        <v>15410.69</v>
      </c>
      <c r="F52" s="78">
        <v>12447.25</v>
      </c>
      <c r="G52" s="78">
        <v>9107.2000000000007</v>
      </c>
      <c r="H52" s="78">
        <v>5731.79</v>
      </c>
      <c r="I52" s="79">
        <f t="shared" si="0"/>
        <v>15121.058333333332</v>
      </c>
    </row>
    <row r="53" spans="1:9" x14ac:dyDescent="0.25">
      <c r="A53" s="7" t="s">
        <v>355</v>
      </c>
      <c r="B53" s="77" t="s">
        <v>167</v>
      </c>
      <c r="C53" s="78">
        <v>10235.870000000001</v>
      </c>
      <c r="D53" s="78">
        <v>8874.5</v>
      </c>
      <c r="E53" s="78">
        <v>7011.58</v>
      </c>
      <c r="F53" s="78">
        <v>5138.41</v>
      </c>
      <c r="G53" s="78">
        <v>4708.51</v>
      </c>
      <c r="H53" s="78">
        <v>2866.05</v>
      </c>
      <c r="I53" s="79">
        <f t="shared" si="0"/>
        <v>6472.4866666666676</v>
      </c>
    </row>
    <row r="54" spans="1:9" x14ac:dyDescent="0.25">
      <c r="A54" s="7" t="s">
        <v>355</v>
      </c>
      <c r="B54" s="77" t="s">
        <v>169</v>
      </c>
      <c r="C54" s="78">
        <v>21374.79</v>
      </c>
      <c r="D54" s="78">
        <v>17813.52</v>
      </c>
      <c r="E54" s="78">
        <v>14193.45</v>
      </c>
      <c r="F54" s="78">
        <v>12370.82</v>
      </c>
      <c r="G54" s="78">
        <v>9896.17</v>
      </c>
      <c r="H54" s="78">
        <v>7917.43</v>
      </c>
      <c r="I54" s="79">
        <f t="shared" si="0"/>
        <v>13927.696666666665</v>
      </c>
    </row>
    <row r="55" spans="1:9" x14ac:dyDescent="0.25">
      <c r="A55" s="7" t="s">
        <v>355</v>
      </c>
      <c r="B55" s="77" t="s">
        <v>171</v>
      </c>
      <c r="C55" s="78">
        <v>26154.21</v>
      </c>
      <c r="D55" s="78">
        <v>18422.810000000001</v>
      </c>
      <c r="E55" s="78">
        <v>14778.01</v>
      </c>
      <c r="F55" s="78">
        <v>23172.1</v>
      </c>
      <c r="G55" s="78">
        <v>12127.25</v>
      </c>
      <c r="H55" s="78">
        <v>9962.4599999999991</v>
      </c>
      <c r="I55" s="79">
        <f t="shared" si="0"/>
        <v>17436.14</v>
      </c>
    </row>
    <row r="56" spans="1:9" x14ac:dyDescent="0.25">
      <c r="A56" s="7" t="s">
        <v>355</v>
      </c>
      <c r="B56" s="77" t="s">
        <v>172</v>
      </c>
      <c r="C56" s="78">
        <v>22795.84</v>
      </c>
      <c r="D56" s="78">
        <v>21085.9</v>
      </c>
      <c r="E56" s="78">
        <v>20208.099999999999</v>
      </c>
      <c r="F56" s="78">
        <v>19274.04</v>
      </c>
      <c r="G56" s="78">
        <v>17914.599999999999</v>
      </c>
      <c r="H56" s="78">
        <v>16710.099999999999</v>
      </c>
      <c r="I56" s="79">
        <f t="shared" si="0"/>
        <v>19664.763333333336</v>
      </c>
    </row>
    <row r="57" spans="1:9" x14ac:dyDescent="0.25">
      <c r="A57" s="7" t="s">
        <v>355</v>
      </c>
      <c r="B57" s="77" t="s">
        <v>173</v>
      </c>
      <c r="C57" s="78">
        <v>35669.25</v>
      </c>
      <c r="D57" s="78">
        <v>28535.41</v>
      </c>
      <c r="E57" s="78">
        <v>23779.5</v>
      </c>
      <c r="F57" s="78">
        <v>28535.41</v>
      </c>
      <c r="G57" s="78">
        <v>22828.33</v>
      </c>
      <c r="H57" s="78">
        <v>17121.240000000002</v>
      </c>
      <c r="I57" s="79">
        <f t="shared" si="0"/>
        <v>26078.190000000002</v>
      </c>
    </row>
    <row r="58" spans="1:9" x14ac:dyDescent="0.25">
      <c r="A58" s="7" t="s">
        <v>355</v>
      </c>
      <c r="B58" s="77" t="s">
        <v>174</v>
      </c>
      <c r="C58" s="78">
        <v>7928.47</v>
      </c>
      <c r="D58" s="78">
        <v>7161.2</v>
      </c>
      <c r="E58" s="78">
        <v>5498.78</v>
      </c>
      <c r="F58" s="78">
        <v>5243.02</v>
      </c>
      <c r="G58" s="78">
        <v>3196.97</v>
      </c>
      <c r="H58" s="78">
        <v>1918.15</v>
      </c>
      <c r="I58" s="79">
        <f t="shared" si="0"/>
        <v>5157.7650000000003</v>
      </c>
    </row>
    <row r="59" spans="1:9" x14ac:dyDescent="0.25">
      <c r="A59" s="7" t="s">
        <v>355</v>
      </c>
      <c r="B59" s="77" t="s">
        <v>175</v>
      </c>
      <c r="C59" s="78">
        <v>31907.4</v>
      </c>
      <c r="D59" s="78">
        <v>27266.82</v>
      </c>
      <c r="E59" s="78">
        <v>22914.52</v>
      </c>
      <c r="F59" s="78">
        <v>19493.8</v>
      </c>
      <c r="G59" s="78">
        <v>18388.43</v>
      </c>
      <c r="H59" s="78">
        <v>10795.46</v>
      </c>
      <c r="I59" s="79">
        <f t="shared" si="0"/>
        <v>21794.404999999999</v>
      </c>
    </row>
    <row r="60" spans="1:9" x14ac:dyDescent="0.25">
      <c r="A60" s="7" t="s">
        <v>355</v>
      </c>
      <c r="B60" s="77" t="s">
        <v>180</v>
      </c>
      <c r="C60" s="78">
        <v>17159.48</v>
      </c>
      <c r="D60" s="78">
        <v>16172.38</v>
      </c>
      <c r="E60" s="78">
        <v>15244.17</v>
      </c>
      <c r="F60" s="78">
        <v>14366.28</v>
      </c>
      <c r="G60" s="78">
        <v>10902.92</v>
      </c>
      <c r="H60" s="78">
        <v>7997.83</v>
      </c>
      <c r="I60" s="79">
        <f t="shared" si="0"/>
        <v>13640.51</v>
      </c>
    </row>
    <row r="61" spans="1:9" x14ac:dyDescent="0.25">
      <c r="A61" s="7" t="s">
        <v>355</v>
      </c>
      <c r="B61" s="77" t="s">
        <v>182</v>
      </c>
      <c r="C61" s="78">
        <v>21150.43</v>
      </c>
      <c r="D61" s="78">
        <v>16464.04</v>
      </c>
      <c r="E61" s="78">
        <v>14076.77</v>
      </c>
      <c r="F61" s="78">
        <v>10308.4</v>
      </c>
      <c r="G61" s="78">
        <v>10578.32</v>
      </c>
      <c r="H61" s="78">
        <v>5186.1000000000004</v>
      </c>
      <c r="I61" s="79">
        <f t="shared" si="0"/>
        <v>12960.676666666668</v>
      </c>
    </row>
    <row r="62" spans="1:9" x14ac:dyDescent="0.25">
      <c r="A62" s="7" t="s">
        <v>355</v>
      </c>
      <c r="B62" s="77" t="s">
        <v>184</v>
      </c>
      <c r="C62" s="78">
        <v>57596</v>
      </c>
      <c r="D62" s="78">
        <v>51312.800000000003</v>
      </c>
      <c r="E62" s="78">
        <v>36652</v>
      </c>
      <c r="F62" s="78">
        <v>33510.400000000001</v>
      </c>
      <c r="G62" s="78">
        <v>21991.200000000001</v>
      </c>
      <c r="H62" s="78">
        <v>15708</v>
      </c>
      <c r="I62" s="79">
        <f t="shared" si="0"/>
        <v>36128.400000000001</v>
      </c>
    </row>
    <row r="63" spans="1:9" x14ac:dyDescent="0.25">
      <c r="A63" s="7" t="s">
        <v>355</v>
      </c>
      <c r="B63" s="77" t="s">
        <v>185</v>
      </c>
      <c r="C63" s="78">
        <v>11704.24</v>
      </c>
      <c r="D63" s="78">
        <v>9948.61</v>
      </c>
      <c r="E63" s="78">
        <v>8456.31</v>
      </c>
      <c r="F63" s="78">
        <v>7187.86</v>
      </c>
      <c r="G63" s="78">
        <v>6109.69</v>
      </c>
      <c r="H63" s="78">
        <v>4887.75</v>
      </c>
      <c r="I63" s="79">
        <f t="shared" si="0"/>
        <v>8049.0766666666668</v>
      </c>
    </row>
    <row r="64" spans="1:9" x14ac:dyDescent="0.25">
      <c r="A64" s="7" t="s">
        <v>355</v>
      </c>
      <c r="B64" s="77" t="s">
        <v>186</v>
      </c>
      <c r="C64" s="78">
        <v>19968.849999999999</v>
      </c>
      <c r="D64" s="78">
        <v>15975.09</v>
      </c>
      <c r="E64" s="78">
        <v>12780.07</v>
      </c>
      <c r="F64" s="78">
        <v>10224.049999999999</v>
      </c>
      <c r="G64" s="78">
        <v>7156.84</v>
      </c>
      <c r="H64" s="78">
        <v>5725.48</v>
      </c>
      <c r="I64" s="79">
        <f t="shared" si="0"/>
        <v>11971.729999999998</v>
      </c>
    </row>
    <row r="65" spans="1:9" x14ac:dyDescent="0.25">
      <c r="A65" s="7" t="s">
        <v>355</v>
      </c>
      <c r="B65" s="77" t="s">
        <v>187</v>
      </c>
      <c r="C65" s="78">
        <v>12352.39</v>
      </c>
      <c r="D65" s="78">
        <v>10981.35</v>
      </c>
      <c r="E65" s="78">
        <v>9985.7999999999993</v>
      </c>
      <c r="F65" s="78">
        <v>10973.25</v>
      </c>
      <c r="G65" s="78">
        <v>9608.34</v>
      </c>
      <c r="H65" s="78">
        <v>8303.1200000000008</v>
      </c>
      <c r="I65" s="79">
        <f t="shared" si="0"/>
        <v>10367.374999999998</v>
      </c>
    </row>
    <row r="66" spans="1:9" x14ac:dyDescent="0.25">
      <c r="A66" s="7" t="s">
        <v>355</v>
      </c>
      <c r="B66" s="77" t="s">
        <v>188</v>
      </c>
      <c r="C66" s="78">
        <v>34290.559999999998</v>
      </c>
      <c r="D66" s="78">
        <v>32383.96</v>
      </c>
      <c r="E66" s="78">
        <v>22859.26</v>
      </c>
      <c r="F66" s="78">
        <v>32439.27</v>
      </c>
      <c r="G66" s="78">
        <v>22859.26</v>
      </c>
      <c r="H66" s="78">
        <v>14117.27</v>
      </c>
      <c r="I66" s="79">
        <f t="shared" si="0"/>
        <v>26491.596666666665</v>
      </c>
    </row>
    <row r="67" spans="1:9" x14ac:dyDescent="0.25">
      <c r="A67" s="7" t="s">
        <v>355</v>
      </c>
      <c r="B67" s="77" t="s">
        <v>189</v>
      </c>
      <c r="C67" s="78">
        <v>13043</v>
      </c>
      <c r="D67" s="78">
        <v>8695</v>
      </c>
      <c r="E67" s="78">
        <v>6967</v>
      </c>
      <c r="F67" s="78">
        <v>8067</v>
      </c>
      <c r="G67" s="78">
        <v>6600</v>
      </c>
      <c r="H67" s="78">
        <v>4924</v>
      </c>
      <c r="I67" s="79">
        <f t="shared" si="0"/>
        <v>8049.333333333333</v>
      </c>
    </row>
    <row r="68" spans="1:9" x14ac:dyDescent="0.25">
      <c r="A68" s="7" t="s">
        <v>355</v>
      </c>
      <c r="B68" s="77" t="s">
        <v>190</v>
      </c>
      <c r="C68" s="78">
        <v>20904.29</v>
      </c>
      <c r="D68" s="78">
        <v>17934.099999999999</v>
      </c>
      <c r="E68" s="78">
        <v>16137.94</v>
      </c>
      <c r="F68" s="78">
        <v>15676.11</v>
      </c>
      <c r="G68" s="78">
        <v>13943.2</v>
      </c>
      <c r="H68" s="78">
        <v>8880.4599999999991</v>
      </c>
      <c r="I68" s="79">
        <f t="shared" ref="I68:I131" si="1">AVERAGE(C68:H68)</f>
        <v>15579.35</v>
      </c>
    </row>
    <row r="69" spans="1:9" x14ac:dyDescent="0.25">
      <c r="A69" s="7" t="s">
        <v>355</v>
      </c>
      <c r="B69" s="77" t="s">
        <v>191</v>
      </c>
      <c r="C69" s="78">
        <v>8235</v>
      </c>
      <c r="D69" s="78">
        <v>7083.6</v>
      </c>
      <c r="E69" s="78">
        <v>6038.3</v>
      </c>
      <c r="F69" s="78">
        <v>5245.1</v>
      </c>
      <c r="G69" s="78">
        <v>4415</v>
      </c>
      <c r="H69" s="78">
        <v>3701.7</v>
      </c>
      <c r="I69" s="79">
        <f t="shared" si="1"/>
        <v>5786.45</v>
      </c>
    </row>
    <row r="70" spans="1:9" x14ac:dyDescent="0.25">
      <c r="A70" s="7" t="s">
        <v>355</v>
      </c>
      <c r="B70" s="77" t="s">
        <v>193</v>
      </c>
      <c r="C70" s="78">
        <v>21957.77</v>
      </c>
      <c r="D70" s="78">
        <v>18664.11</v>
      </c>
      <c r="E70" s="78">
        <v>15864.49</v>
      </c>
      <c r="F70" s="78">
        <v>13484.82</v>
      </c>
      <c r="G70" s="78">
        <v>11462.09</v>
      </c>
      <c r="H70" s="78">
        <v>9742.7800000000007</v>
      </c>
      <c r="I70" s="79">
        <f t="shared" si="1"/>
        <v>15196.01</v>
      </c>
    </row>
    <row r="71" spans="1:9" x14ac:dyDescent="0.25">
      <c r="A71" s="7" t="s">
        <v>355</v>
      </c>
      <c r="B71" s="77" t="s">
        <v>195</v>
      </c>
      <c r="C71" s="78">
        <v>17047.46</v>
      </c>
      <c r="D71" s="78">
        <v>15446.44</v>
      </c>
      <c r="E71" s="78">
        <v>13575.76</v>
      </c>
      <c r="F71" s="78">
        <v>12257.53</v>
      </c>
      <c r="G71" s="78">
        <v>11815.27</v>
      </c>
      <c r="H71" s="78">
        <v>5335.96</v>
      </c>
      <c r="I71" s="79">
        <f t="shared" si="1"/>
        <v>12579.736666666669</v>
      </c>
    </row>
    <row r="72" spans="1:9" x14ac:dyDescent="0.25">
      <c r="A72" s="7" t="s">
        <v>355</v>
      </c>
      <c r="B72" s="77" t="s">
        <v>196</v>
      </c>
      <c r="C72" s="78">
        <v>82848.98</v>
      </c>
      <c r="D72" s="78">
        <v>70420.87</v>
      </c>
      <c r="E72" s="78">
        <v>66278.39</v>
      </c>
      <c r="F72" s="78">
        <v>62135.91</v>
      </c>
      <c r="G72" s="78">
        <v>57993.43</v>
      </c>
      <c r="H72" s="78">
        <v>49708.46</v>
      </c>
      <c r="I72" s="79">
        <f t="shared" si="1"/>
        <v>64897.67333333334</v>
      </c>
    </row>
    <row r="73" spans="1:9" x14ac:dyDescent="0.25">
      <c r="A73" s="7" t="s">
        <v>355</v>
      </c>
      <c r="B73" s="77" t="s">
        <v>198</v>
      </c>
      <c r="C73" s="78">
        <v>17823.150000000001</v>
      </c>
      <c r="D73" s="78">
        <v>15128.57</v>
      </c>
      <c r="E73" s="78">
        <v>12877.24</v>
      </c>
      <c r="F73" s="78">
        <v>10945.65</v>
      </c>
      <c r="G73" s="78">
        <v>9303.7900000000009</v>
      </c>
      <c r="H73" s="78">
        <v>7443.04</v>
      </c>
      <c r="I73" s="79">
        <f t="shared" si="1"/>
        <v>12253.573333333332</v>
      </c>
    </row>
    <row r="74" spans="1:9" x14ac:dyDescent="0.25">
      <c r="A74" s="7" t="s">
        <v>355</v>
      </c>
      <c r="B74" s="77" t="s">
        <v>199</v>
      </c>
      <c r="C74" s="78">
        <v>43095.73</v>
      </c>
      <c r="D74" s="78">
        <v>43095.73</v>
      </c>
      <c r="E74" s="78">
        <v>40707.15</v>
      </c>
      <c r="F74" s="78">
        <v>40031.54</v>
      </c>
      <c r="G74" s="78">
        <v>19393.07</v>
      </c>
      <c r="H74" s="78">
        <v>19393.07</v>
      </c>
      <c r="I74" s="79">
        <f t="shared" si="1"/>
        <v>34286.04833333334</v>
      </c>
    </row>
    <row r="75" spans="1:9" x14ac:dyDescent="0.25">
      <c r="A75" s="7" t="s">
        <v>355</v>
      </c>
      <c r="B75" s="77" t="s">
        <v>200</v>
      </c>
      <c r="C75" s="78">
        <v>31729.8</v>
      </c>
      <c r="D75" s="78">
        <v>29863.4</v>
      </c>
      <c r="E75" s="78">
        <v>26130.41</v>
      </c>
      <c r="F75" s="78">
        <v>26130.41</v>
      </c>
      <c r="G75" s="78">
        <v>22397.5</v>
      </c>
      <c r="H75" s="78">
        <v>18645.580000000002</v>
      </c>
      <c r="I75" s="79">
        <f t="shared" si="1"/>
        <v>25816.183333333338</v>
      </c>
    </row>
    <row r="76" spans="1:9" x14ac:dyDescent="0.25">
      <c r="A76" s="7" t="s">
        <v>355</v>
      </c>
      <c r="B76" s="77" t="s">
        <v>201</v>
      </c>
      <c r="C76" s="78">
        <v>27512.87</v>
      </c>
      <c r="D76" s="78">
        <v>24535.98</v>
      </c>
      <c r="E76" s="78">
        <v>22359.71</v>
      </c>
      <c r="F76" s="78">
        <v>20728.2</v>
      </c>
      <c r="G76" s="78">
        <v>19605.669999999998</v>
      </c>
      <c r="H76" s="78">
        <v>11648.95</v>
      </c>
      <c r="I76" s="79">
        <f t="shared" si="1"/>
        <v>21065.23</v>
      </c>
    </row>
    <row r="77" spans="1:9" x14ac:dyDescent="0.25">
      <c r="A77" s="7" t="s">
        <v>355</v>
      </c>
      <c r="B77" s="77" t="s">
        <v>203</v>
      </c>
      <c r="C77" s="78">
        <v>12396.69</v>
      </c>
      <c r="D77" s="78">
        <v>10330.58</v>
      </c>
      <c r="E77" s="78">
        <v>8264.4599999999991</v>
      </c>
      <c r="F77" s="78">
        <v>12396.69</v>
      </c>
      <c r="G77" s="78">
        <v>8264.4599999999991</v>
      </c>
      <c r="H77" s="78">
        <v>6198.34</v>
      </c>
      <c r="I77" s="79">
        <f t="shared" si="1"/>
        <v>9641.8700000000008</v>
      </c>
    </row>
    <row r="78" spans="1:9" x14ac:dyDescent="0.25">
      <c r="A78" s="7" t="s">
        <v>355</v>
      </c>
      <c r="B78" s="77" t="s">
        <v>204</v>
      </c>
      <c r="C78" s="78">
        <v>11742.45</v>
      </c>
      <c r="D78" s="78">
        <v>9981.07</v>
      </c>
      <c r="E78" s="78">
        <v>8483.92</v>
      </c>
      <c r="F78" s="78">
        <v>7211.33</v>
      </c>
      <c r="G78" s="78">
        <v>6129.63</v>
      </c>
      <c r="H78" s="78">
        <v>4903.7</v>
      </c>
      <c r="I78" s="79">
        <f t="shared" si="1"/>
        <v>8075.3499999999995</v>
      </c>
    </row>
    <row r="79" spans="1:9" x14ac:dyDescent="0.25">
      <c r="A79" s="7" t="s">
        <v>355</v>
      </c>
      <c r="B79" s="77" t="s">
        <v>206</v>
      </c>
      <c r="C79" s="78">
        <v>42014.62</v>
      </c>
      <c r="D79" s="78">
        <v>35034.269999999997</v>
      </c>
      <c r="E79" s="78">
        <v>32007.98</v>
      </c>
      <c r="F79" s="78">
        <v>35034.269999999997</v>
      </c>
      <c r="G79" s="78">
        <v>32007.98</v>
      </c>
      <c r="H79" s="78">
        <v>21007.31</v>
      </c>
      <c r="I79" s="79">
        <f t="shared" si="1"/>
        <v>32851.071666666663</v>
      </c>
    </row>
    <row r="80" spans="1:9" x14ac:dyDescent="0.25">
      <c r="A80" s="7" t="s">
        <v>355</v>
      </c>
      <c r="B80" s="77" t="s">
        <v>207</v>
      </c>
      <c r="C80" s="78">
        <v>19681.28</v>
      </c>
      <c r="D80" s="78">
        <v>16729.080000000002</v>
      </c>
      <c r="E80" s="78">
        <v>14986.72</v>
      </c>
      <c r="F80" s="78">
        <v>14846.66</v>
      </c>
      <c r="G80" s="78">
        <v>13976.97</v>
      </c>
      <c r="H80" s="78">
        <v>4558.46</v>
      </c>
      <c r="I80" s="79">
        <f t="shared" si="1"/>
        <v>14129.861666666669</v>
      </c>
    </row>
    <row r="81" spans="1:9" x14ac:dyDescent="0.25">
      <c r="A81" s="7" t="s">
        <v>355</v>
      </c>
      <c r="B81" s="77" t="s">
        <v>208</v>
      </c>
      <c r="C81" s="78">
        <v>12396.69</v>
      </c>
      <c r="D81" s="78">
        <v>10330.58</v>
      </c>
      <c r="E81" s="78">
        <v>8264.4599999999991</v>
      </c>
      <c r="F81" s="78">
        <v>12396.69</v>
      </c>
      <c r="G81" s="78">
        <v>8264.4599999999991</v>
      </c>
      <c r="H81" s="78">
        <v>6198.34</v>
      </c>
      <c r="I81" s="79">
        <f t="shared" si="1"/>
        <v>9641.8700000000008</v>
      </c>
    </row>
    <row r="82" spans="1:9" x14ac:dyDescent="0.25">
      <c r="A82" s="7" t="s">
        <v>355</v>
      </c>
      <c r="B82" s="77" t="s">
        <v>209</v>
      </c>
      <c r="C82" s="78">
        <v>33726.06</v>
      </c>
      <c r="D82" s="78">
        <v>31629.46</v>
      </c>
      <c r="E82" s="78">
        <v>27774.400000000001</v>
      </c>
      <c r="F82" s="78">
        <v>27774.400000000001</v>
      </c>
      <c r="G82" s="78">
        <v>23806.63</v>
      </c>
      <c r="H82" s="78">
        <v>19838.849999999999</v>
      </c>
      <c r="I82" s="79">
        <f t="shared" si="1"/>
        <v>27424.966666666671</v>
      </c>
    </row>
    <row r="83" spans="1:9" x14ac:dyDescent="0.25">
      <c r="A83" s="7" t="s">
        <v>355</v>
      </c>
      <c r="B83" s="77" t="s">
        <v>210</v>
      </c>
      <c r="C83" s="78">
        <v>32488.63</v>
      </c>
      <c r="D83" s="78">
        <v>23012.77</v>
      </c>
      <c r="E83" s="78">
        <v>20088.79</v>
      </c>
      <c r="F83" s="78">
        <v>17468.04</v>
      </c>
      <c r="G83" s="78">
        <v>14175.87</v>
      </c>
      <c r="H83" s="78">
        <v>14019.92</v>
      </c>
      <c r="I83" s="79">
        <f t="shared" si="1"/>
        <v>20209.003333333334</v>
      </c>
    </row>
    <row r="84" spans="1:9" x14ac:dyDescent="0.25">
      <c r="A84" s="7" t="s">
        <v>355</v>
      </c>
      <c r="B84" s="77" t="s">
        <v>211</v>
      </c>
      <c r="C84" s="78">
        <v>38636.35</v>
      </c>
      <c r="D84" s="78">
        <v>36363.629999999997</v>
      </c>
      <c r="E84" s="78">
        <v>31818.18</v>
      </c>
      <c r="F84" s="78">
        <v>36363.629999999997</v>
      </c>
      <c r="G84" s="78">
        <v>32954.53</v>
      </c>
      <c r="H84" s="78">
        <v>11363.62</v>
      </c>
      <c r="I84" s="79">
        <f t="shared" si="1"/>
        <v>31249.99</v>
      </c>
    </row>
    <row r="85" spans="1:9" x14ac:dyDescent="0.25">
      <c r="A85" s="7" t="s">
        <v>355</v>
      </c>
      <c r="B85" s="77" t="s">
        <v>212</v>
      </c>
      <c r="C85" s="78">
        <v>27129.43</v>
      </c>
      <c r="D85" s="78">
        <v>23249.919999999998</v>
      </c>
      <c r="E85" s="78">
        <v>21022.59</v>
      </c>
      <c r="F85" s="78">
        <v>20450.16</v>
      </c>
      <c r="G85" s="78">
        <v>18174</v>
      </c>
      <c r="H85" s="78">
        <v>11570.7</v>
      </c>
      <c r="I85" s="79">
        <f t="shared" si="1"/>
        <v>20266.133333333335</v>
      </c>
    </row>
    <row r="86" spans="1:9" x14ac:dyDescent="0.25">
      <c r="A86" s="7" t="s">
        <v>355</v>
      </c>
      <c r="B86" s="77" t="s">
        <v>213</v>
      </c>
      <c r="C86" s="78">
        <v>18724.41</v>
      </c>
      <c r="D86" s="78">
        <v>15915.75</v>
      </c>
      <c r="E86" s="78">
        <v>13528.38</v>
      </c>
      <c r="F86" s="78">
        <v>11499.12</v>
      </c>
      <c r="G86" s="78">
        <v>9774.25</v>
      </c>
      <c r="H86" s="78">
        <v>7819.4</v>
      </c>
      <c r="I86" s="79">
        <f t="shared" si="1"/>
        <v>12876.885</v>
      </c>
    </row>
    <row r="87" spans="1:9" x14ac:dyDescent="0.25">
      <c r="A87" s="7" t="s">
        <v>355</v>
      </c>
      <c r="B87" s="77" t="s">
        <v>214</v>
      </c>
      <c r="C87" s="78">
        <v>18167.16</v>
      </c>
      <c r="D87" s="78">
        <v>13782.44</v>
      </c>
      <c r="E87" s="78">
        <v>11268.12</v>
      </c>
      <c r="F87" s="78">
        <v>13782.44</v>
      </c>
      <c r="G87" s="78">
        <v>11268.12</v>
      </c>
      <c r="H87" s="78">
        <v>4054.35</v>
      </c>
      <c r="I87" s="79">
        <f t="shared" si="1"/>
        <v>12053.771666666667</v>
      </c>
    </row>
    <row r="88" spans="1:9" x14ac:dyDescent="0.25">
      <c r="A88" s="7" t="s">
        <v>355</v>
      </c>
      <c r="B88" s="77" t="s">
        <v>216</v>
      </c>
      <c r="C88" s="78">
        <v>50460.08</v>
      </c>
      <c r="D88" s="78">
        <v>38095.06</v>
      </c>
      <c r="E88" s="78">
        <v>27667.39</v>
      </c>
      <c r="F88" s="78">
        <v>20820.25</v>
      </c>
      <c r="G88" s="78">
        <v>19250.23</v>
      </c>
      <c r="H88" s="78">
        <v>15829.6</v>
      </c>
      <c r="I88" s="79">
        <f t="shared" si="1"/>
        <v>28687.101666666669</v>
      </c>
    </row>
    <row r="89" spans="1:9" x14ac:dyDescent="0.25">
      <c r="A89" s="7" t="s">
        <v>355</v>
      </c>
      <c r="B89" s="77" t="s">
        <v>217</v>
      </c>
      <c r="C89" s="78">
        <v>31340.94</v>
      </c>
      <c r="D89" s="78">
        <v>26639.8</v>
      </c>
      <c r="E89" s="78">
        <v>22643.83</v>
      </c>
      <c r="F89" s="78">
        <v>19247.25</v>
      </c>
      <c r="G89" s="78">
        <v>16360.16</v>
      </c>
      <c r="H89" s="78">
        <v>13088.13</v>
      </c>
      <c r="I89" s="79">
        <f t="shared" si="1"/>
        <v>21553.351666666669</v>
      </c>
    </row>
    <row r="90" spans="1:9" x14ac:dyDescent="0.25">
      <c r="A90" s="7" t="s">
        <v>355</v>
      </c>
      <c r="B90" s="77" t="s">
        <v>218</v>
      </c>
      <c r="C90" s="78">
        <v>41322.32</v>
      </c>
      <c r="D90" s="78">
        <v>37190.1</v>
      </c>
      <c r="E90" s="78">
        <v>33057.86</v>
      </c>
      <c r="F90" s="78">
        <v>33057.86</v>
      </c>
      <c r="G90" s="78">
        <v>28925.62</v>
      </c>
      <c r="H90" s="78">
        <v>24793.39</v>
      </c>
      <c r="I90" s="79">
        <f t="shared" si="1"/>
        <v>33057.858333333337</v>
      </c>
    </row>
    <row r="91" spans="1:9" x14ac:dyDescent="0.25">
      <c r="A91" s="7" t="s">
        <v>355</v>
      </c>
      <c r="B91" s="77" t="s">
        <v>219</v>
      </c>
      <c r="C91" s="78">
        <v>18760.439999999999</v>
      </c>
      <c r="D91" s="78">
        <v>17317.330000000002</v>
      </c>
      <c r="E91" s="78">
        <v>15874.22</v>
      </c>
      <c r="F91" s="78">
        <v>14431.11</v>
      </c>
      <c r="G91" s="78">
        <v>10823.33</v>
      </c>
      <c r="H91" s="78">
        <v>7215.56</v>
      </c>
      <c r="I91" s="79">
        <f t="shared" si="1"/>
        <v>14070.331666666667</v>
      </c>
    </row>
    <row r="92" spans="1:9" x14ac:dyDescent="0.25">
      <c r="A92" s="7" t="s">
        <v>355</v>
      </c>
      <c r="B92" s="77" t="s">
        <v>220</v>
      </c>
      <c r="C92" s="78">
        <v>12757.12</v>
      </c>
      <c r="D92" s="78">
        <v>10821.11</v>
      </c>
      <c r="E92" s="78">
        <v>9115.89</v>
      </c>
      <c r="F92" s="78">
        <v>8256.86</v>
      </c>
      <c r="G92" s="78">
        <v>7243.99</v>
      </c>
      <c r="H92" s="78">
        <v>6538.82</v>
      </c>
      <c r="I92" s="79">
        <f t="shared" si="1"/>
        <v>9122.2983333333341</v>
      </c>
    </row>
    <row r="93" spans="1:9" x14ac:dyDescent="0.25">
      <c r="A93" s="7" t="s">
        <v>355</v>
      </c>
      <c r="B93" s="77" t="s">
        <v>221</v>
      </c>
      <c r="C93" s="78">
        <v>14023.42</v>
      </c>
      <c r="D93" s="78">
        <v>11645.03</v>
      </c>
      <c r="E93" s="78">
        <v>10919.19</v>
      </c>
      <c r="F93" s="78">
        <v>13996.12</v>
      </c>
      <c r="G93" s="78">
        <v>10928.66</v>
      </c>
      <c r="H93" s="78">
        <v>7172.35</v>
      </c>
      <c r="I93" s="79">
        <f t="shared" si="1"/>
        <v>11447.461666666668</v>
      </c>
    </row>
    <row r="94" spans="1:9" x14ac:dyDescent="0.25">
      <c r="A94" s="7" t="s">
        <v>355</v>
      </c>
      <c r="B94" s="77" t="s">
        <v>222</v>
      </c>
      <c r="C94" s="78">
        <v>17314.03</v>
      </c>
      <c r="D94" s="78">
        <v>11983.07</v>
      </c>
      <c r="E94" s="78">
        <v>8631.6</v>
      </c>
      <c r="F94" s="78">
        <v>12113.38</v>
      </c>
      <c r="G94" s="78">
        <v>8700.7900000000009</v>
      </c>
      <c r="H94" s="78">
        <v>4217.03</v>
      </c>
      <c r="I94" s="79">
        <f t="shared" si="1"/>
        <v>10493.316666666666</v>
      </c>
    </row>
    <row r="95" spans="1:9" x14ac:dyDescent="0.25">
      <c r="A95" s="7" t="s">
        <v>355</v>
      </c>
      <c r="B95" s="77" t="s">
        <v>223</v>
      </c>
      <c r="C95" s="78">
        <v>18760</v>
      </c>
      <c r="D95" s="78">
        <v>17500</v>
      </c>
      <c r="E95" s="78">
        <v>15000</v>
      </c>
      <c r="F95" s="78">
        <v>12000</v>
      </c>
      <c r="G95" s="78">
        <v>12000</v>
      </c>
      <c r="H95" s="78">
        <v>5000</v>
      </c>
      <c r="I95" s="79">
        <f t="shared" si="1"/>
        <v>13376.666666666666</v>
      </c>
    </row>
    <row r="96" spans="1:9" x14ac:dyDescent="0.25">
      <c r="A96" s="7" t="s">
        <v>355</v>
      </c>
      <c r="B96" s="77" t="s">
        <v>224</v>
      </c>
      <c r="C96" s="78">
        <v>39916.6</v>
      </c>
      <c r="D96" s="78">
        <v>33057.85</v>
      </c>
      <c r="E96" s="78">
        <v>28925.62</v>
      </c>
      <c r="F96" s="78">
        <v>33057.85</v>
      </c>
      <c r="G96" s="78">
        <v>29958.67</v>
      </c>
      <c r="H96" s="78">
        <v>15338.54</v>
      </c>
      <c r="I96" s="79">
        <f t="shared" si="1"/>
        <v>30042.521666666664</v>
      </c>
    </row>
    <row r="97" spans="1:9" x14ac:dyDescent="0.25">
      <c r="A97" s="7" t="s">
        <v>355</v>
      </c>
      <c r="B97" s="77" t="s">
        <v>225</v>
      </c>
      <c r="C97" s="78">
        <v>53966.080000000002</v>
      </c>
      <c r="D97" s="78">
        <v>36924.160000000003</v>
      </c>
      <c r="E97" s="78">
        <v>28403.200000000001</v>
      </c>
      <c r="F97" s="78">
        <v>22722.560000000001</v>
      </c>
      <c r="G97" s="78">
        <v>17041.919999999998</v>
      </c>
      <c r="H97" s="78">
        <v>11361.28</v>
      </c>
      <c r="I97" s="79">
        <f t="shared" si="1"/>
        <v>28403.199999999997</v>
      </c>
    </row>
    <row r="98" spans="1:9" x14ac:dyDescent="0.25">
      <c r="A98" s="7" t="s">
        <v>355</v>
      </c>
      <c r="B98" s="77" t="s">
        <v>226</v>
      </c>
      <c r="C98" s="78">
        <v>16324.61</v>
      </c>
      <c r="D98" s="78">
        <v>14004.88</v>
      </c>
      <c r="E98" s="78">
        <v>12596.06</v>
      </c>
      <c r="F98" s="78">
        <v>12516.07</v>
      </c>
      <c r="G98" s="78">
        <v>10886.88</v>
      </c>
      <c r="H98" s="78">
        <v>7094.67</v>
      </c>
      <c r="I98" s="79">
        <f t="shared" si="1"/>
        <v>12237.195</v>
      </c>
    </row>
    <row r="99" spans="1:9" x14ac:dyDescent="0.25">
      <c r="A99" s="7" t="s">
        <v>355</v>
      </c>
      <c r="B99" s="77" t="s">
        <v>227</v>
      </c>
      <c r="C99" s="78">
        <v>21103.9</v>
      </c>
      <c r="D99" s="78">
        <v>14069.18</v>
      </c>
      <c r="E99" s="78">
        <v>10683.86</v>
      </c>
      <c r="F99" s="78">
        <v>10511.94</v>
      </c>
      <c r="G99" s="78">
        <v>7386.43</v>
      </c>
      <c r="H99" s="78">
        <v>2972.1</v>
      </c>
      <c r="I99" s="79">
        <f t="shared" si="1"/>
        <v>11121.235000000001</v>
      </c>
    </row>
    <row r="100" spans="1:9" x14ac:dyDescent="0.25">
      <c r="A100" s="7" t="s">
        <v>355</v>
      </c>
      <c r="B100" s="77" t="s">
        <v>228</v>
      </c>
      <c r="C100" s="78">
        <v>31614.67</v>
      </c>
      <c r="D100" s="78">
        <v>21076.75</v>
      </c>
      <c r="E100" s="78">
        <v>10538.17</v>
      </c>
      <c r="F100" s="78">
        <v>21076.75</v>
      </c>
      <c r="G100" s="78">
        <v>8430.57</v>
      </c>
      <c r="H100" s="78">
        <v>6322.93</v>
      </c>
      <c r="I100" s="79">
        <f t="shared" si="1"/>
        <v>16509.973333333332</v>
      </c>
    </row>
    <row r="101" spans="1:9" x14ac:dyDescent="0.25">
      <c r="A101" s="7" t="s">
        <v>355</v>
      </c>
      <c r="B101" s="77" t="s">
        <v>229</v>
      </c>
      <c r="C101" s="78">
        <v>33877.72</v>
      </c>
      <c r="D101" s="78">
        <v>23714.400000000001</v>
      </c>
      <c r="E101" s="78">
        <v>16938.86</v>
      </c>
      <c r="F101" s="78">
        <v>13812.03</v>
      </c>
      <c r="G101" s="78">
        <v>8899.94</v>
      </c>
      <c r="H101" s="78">
        <v>4832.21</v>
      </c>
      <c r="I101" s="79">
        <f t="shared" si="1"/>
        <v>17012.526666666668</v>
      </c>
    </row>
    <row r="102" spans="1:9" x14ac:dyDescent="0.25">
      <c r="A102" s="7" t="s">
        <v>355</v>
      </c>
      <c r="B102" s="77" t="s">
        <v>230</v>
      </c>
      <c r="C102" s="78">
        <v>26956.799999999999</v>
      </c>
      <c r="D102" s="78">
        <v>22464</v>
      </c>
      <c r="E102" s="78">
        <v>18720</v>
      </c>
      <c r="F102" s="78">
        <v>15600</v>
      </c>
      <c r="G102" s="78">
        <v>12480</v>
      </c>
      <c r="H102" s="78">
        <v>9984</v>
      </c>
      <c r="I102" s="79">
        <f t="shared" si="1"/>
        <v>17700.8</v>
      </c>
    </row>
    <row r="103" spans="1:9" x14ac:dyDescent="0.25">
      <c r="A103" s="7" t="s">
        <v>355</v>
      </c>
      <c r="B103" s="77" t="s">
        <v>232</v>
      </c>
      <c r="C103" s="78">
        <v>39935.480000000003</v>
      </c>
      <c r="D103" s="78">
        <v>33950.19</v>
      </c>
      <c r="E103" s="78">
        <v>28650.959999999999</v>
      </c>
      <c r="F103" s="78">
        <v>25919.74</v>
      </c>
      <c r="G103" s="78">
        <v>21375.09</v>
      </c>
      <c r="H103" s="78">
        <v>19387.77</v>
      </c>
      <c r="I103" s="79">
        <f t="shared" si="1"/>
        <v>28203.205000000002</v>
      </c>
    </row>
    <row r="104" spans="1:9" x14ac:dyDescent="0.25">
      <c r="A104" s="7" t="s">
        <v>355</v>
      </c>
      <c r="B104" s="77" t="s">
        <v>233</v>
      </c>
      <c r="C104" s="78">
        <v>17748.2</v>
      </c>
      <c r="D104" s="78">
        <v>12910.01</v>
      </c>
      <c r="E104" s="78">
        <v>12120.15</v>
      </c>
      <c r="F104" s="78">
        <v>11915.88</v>
      </c>
      <c r="G104" s="78">
        <v>10962.61</v>
      </c>
      <c r="H104" s="78">
        <v>6297.46</v>
      </c>
      <c r="I104" s="79">
        <f t="shared" si="1"/>
        <v>11992.385000000002</v>
      </c>
    </row>
    <row r="105" spans="1:9" x14ac:dyDescent="0.25">
      <c r="A105" s="7" t="s">
        <v>355</v>
      </c>
      <c r="B105" s="77" t="s">
        <v>234</v>
      </c>
      <c r="C105" s="78">
        <v>18469.580000000002</v>
      </c>
      <c r="D105" s="78">
        <v>17048.84</v>
      </c>
      <c r="E105" s="78">
        <v>15628.11</v>
      </c>
      <c r="F105" s="78">
        <v>14207.37</v>
      </c>
      <c r="G105" s="78">
        <v>10655.52</v>
      </c>
      <c r="H105" s="78">
        <v>7103.69</v>
      </c>
      <c r="I105" s="79">
        <f t="shared" si="1"/>
        <v>13852.184999999999</v>
      </c>
    </row>
    <row r="106" spans="1:9" x14ac:dyDescent="0.25">
      <c r="A106" s="7" t="s">
        <v>355</v>
      </c>
      <c r="B106" s="77" t="s">
        <v>357</v>
      </c>
      <c r="C106" s="78">
        <v>25784.02</v>
      </c>
      <c r="D106" s="78">
        <v>21916.42</v>
      </c>
      <c r="E106" s="78">
        <v>18628.95</v>
      </c>
      <c r="F106" s="78">
        <v>15834.61</v>
      </c>
      <c r="G106" s="78">
        <v>13459.42</v>
      </c>
      <c r="H106" s="78">
        <v>10767.53</v>
      </c>
      <c r="I106" s="79">
        <f t="shared" si="1"/>
        <v>17731.825000000001</v>
      </c>
    </row>
    <row r="107" spans="1:9" x14ac:dyDescent="0.25">
      <c r="A107" s="7" t="s">
        <v>355</v>
      </c>
      <c r="B107" s="77" t="s">
        <v>236</v>
      </c>
      <c r="C107" s="78">
        <v>19171.240000000002</v>
      </c>
      <c r="D107" s="78">
        <v>13419.87</v>
      </c>
      <c r="E107" s="78">
        <v>9585.6200000000008</v>
      </c>
      <c r="F107" s="78">
        <v>5751.37</v>
      </c>
      <c r="G107" s="78">
        <v>3834.25</v>
      </c>
      <c r="H107" s="78">
        <v>1917.12</v>
      </c>
      <c r="I107" s="79">
        <f t="shared" si="1"/>
        <v>8946.5783333333347</v>
      </c>
    </row>
    <row r="108" spans="1:9" x14ac:dyDescent="0.25">
      <c r="A108" s="7" t="s">
        <v>355</v>
      </c>
      <c r="B108" s="77" t="s">
        <v>237</v>
      </c>
      <c r="C108" s="78">
        <v>25177.69</v>
      </c>
      <c r="D108" s="78">
        <v>21161.16</v>
      </c>
      <c r="E108" s="78">
        <v>18272.21</v>
      </c>
      <c r="F108" s="78">
        <v>16588.84</v>
      </c>
      <c r="G108" s="78">
        <v>12588.84</v>
      </c>
      <c r="H108" s="78">
        <v>12588.84</v>
      </c>
      <c r="I108" s="79">
        <f t="shared" si="1"/>
        <v>17729.596666666665</v>
      </c>
    </row>
    <row r="109" spans="1:9" x14ac:dyDescent="0.25">
      <c r="A109" s="7" t="s">
        <v>355</v>
      </c>
      <c r="B109" s="77" t="s">
        <v>239</v>
      </c>
      <c r="C109" s="78">
        <v>10995.46</v>
      </c>
      <c r="D109" s="78">
        <v>9312.14</v>
      </c>
      <c r="E109" s="78">
        <v>7915.32</v>
      </c>
      <c r="F109" s="78">
        <v>6728.02</v>
      </c>
      <c r="G109" s="78">
        <v>5718.82</v>
      </c>
      <c r="H109" s="78">
        <v>4575.05</v>
      </c>
      <c r="I109" s="79">
        <f t="shared" si="1"/>
        <v>7540.8016666666672</v>
      </c>
    </row>
    <row r="110" spans="1:9" x14ac:dyDescent="0.25">
      <c r="A110" s="7" t="s">
        <v>355</v>
      </c>
      <c r="B110" s="77" t="s">
        <v>240</v>
      </c>
      <c r="C110" s="78">
        <v>39887.980000000003</v>
      </c>
      <c r="D110" s="78">
        <v>27291.77</v>
      </c>
      <c r="E110" s="78">
        <v>20993.67</v>
      </c>
      <c r="F110" s="78">
        <v>19758.75</v>
      </c>
      <c r="G110" s="78">
        <v>14819.06</v>
      </c>
      <c r="H110" s="78">
        <v>9879.3700000000008</v>
      </c>
      <c r="I110" s="79">
        <f t="shared" si="1"/>
        <v>22105.100000000002</v>
      </c>
    </row>
    <row r="111" spans="1:9" x14ac:dyDescent="0.25">
      <c r="A111" s="7" t="s">
        <v>355</v>
      </c>
      <c r="B111" s="77" t="s">
        <v>241</v>
      </c>
      <c r="C111" s="78">
        <v>14028.51</v>
      </c>
      <c r="D111" s="78">
        <v>12059.34</v>
      </c>
      <c r="E111" s="78">
        <v>10499.36</v>
      </c>
      <c r="F111" s="78">
        <v>12059.34</v>
      </c>
      <c r="G111" s="78">
        <v>10499.36</v>
      </c>
      <c r="H111" s="78">
        <v>7499.72</v>
      </c>
      <c r="I111" s="79">
        <f t="shared" si="1"/>
        <v>11107.605000000001</v>
      </c>
    </row>
    <row r="112" spans="1:9" x14ac:dyDescent="0.25">
      <c r="A112" s="7" t="s">
        <v>355</v>
      </c>
      <c r="B112" s="77" t="s">
        <v>242</v>
      </c>
      <c r="C112" s="78">
        <v>61983.47</v>
      </c>
      <c r="D112" s="78">
        <v>61983.47</v>
      </c>
      <c r="E112" s="78">
        <v>61983.47</v>
      </c>
      <c r="F112" s="78">
        <v>61983.47</v>
      </c>
      <c r="G112" s="78">
        <v>30991.73</v>
      </c>
      <c r="H112" s="78">
        <v>30991.73</v>
      </c>
      <c r="I112" s="79">
        <f t="shared" si="1"/>
        <v>51652.889999999992</v>
      </c>
    </row>
    <row r="113" spans="1:9" x14ac:dyDescent="0.25">
      <c r="A113" s="7" t="s">
        <v>355</v>
      </c>
      <c r="B113" s="77" t="s">
        <v>243</v>
      </c>
      <c r="C113" s="78">
        <v>9107.2999999999993</v>
      </c>
      <c r="D113" s="78">
        <v>7224.7</v>
      </c>
      <c r="E113" s="78">
        <v>6008.1</v>
      </c>
      <c r="F113" s="78">
        <v>5100.2</v>
      </c>
      <c r="G113" s="78">
        <v>4104.2</v>
      </c>
      <c r="H113" s="78">
        <v>3020.3</v>
      </c>
      <c r="I113" s="79">
        <f t="shared" si="1"/>
        <v>5760.8</v>
      </c>
    </row>
    <row r="114" spans="1:9" x14ac:dyDescent="0.25">
      <c r="A114" s="7" t="s">
        <v>355</v>
      </c>
      <c r="B114" s="77" t="s">
        <v>22</v>
      </c>
      <c r="C114" s="78">
        <v>6380.22</v>
      </c>
      <c r="D114" s="78">
        <v>5220.18</v>
      </c>
      <c r="E114" s="78">
        <v>3480.12</v>
      </c>
      <c r="F114" s="78">
        <v>3480.12</v>
      </c>
      <c r="G114" s="78">
        <v>3480.12</v>
      </c>
      <c r="H114" s="78">
        <v>1160.1500000000001</v>
      </c>
      <c r="I114" s="79">
        <f t="shared" si="1"/>
        <v>3866.8183333333332</v>
      </c>
    </row>
    <row r="115" spans="1:9" x14ac:dyDescent="0.25">
      <c r="A115" s="7" t="s">
        <v>355</v>
      </c>
      <c r="B115" s="77" t="s">
        <v>244</v>
      </c>
      <c r="C115" s="78">
        <v>27122.7</v>
      </c>
      <c r="D115" s="78">
        <v>20453.54</v>
      </c>
      <c r="E115" s="78">
        <v>16568.59</v>
      </c>
      <c r="F115" s="78">
        <v>13254.87</v>
      </c>
      <c r="G115" s="78">
        <v>10855.28</v>
      </c>
      <c r="H115" s="78">
        <v>7770.1</v>
      </c>
      <c r="I115" s="79">
        <f t="shared" si="1"/>
        <v>16004.18</v>
      </c>
    </row>
    <row r="116" spans="1:9" x14ac:dyDescent="0.25">
      <c r="A116" s="7" t="s">
        <v>355</v>
      </c>
      <c r="B116" s="77" t="s">
        <v>246</v>
      </c>
      <c r="C116" s="78">
        <v>10838.08</v>
      </c>
      <c r="D116" s="78">
        <v>9297.98</v>
      </c>
      <c r="E116" s="78">
        <v>8560.99</v>
      </c>
      <c r="F116" s="78">
        <v>8132.89</v>
      </c>
      <c r="G116" s="78">
        <v>7227.91</v>
      </c>
      <c r="H116" s="78">
        <v>4606.18</v>
      </c>
      <c r="I116" s="79">
        <f t="shared" si="1"/>
        <v>8110.6716666666653</v>
      </c>
    </row>
    <row r="117" spans="1:9" x14ac:dyDescent="0.25">
      <c r="A117" s="7" t="s">
        <v>355</v>
      </c>
      <c r="B117" s="77" t="s">
        <v>247</v>
      </c>
      <c r="C117" s="78">
        <v>18450.96</v>
      </c>
      <c r="D117" s="78">
        <v>15683.31</v>
      </c>
      <c r="E117" s="78">
        <v>11331.19</v>
      </c>
      <c r="F117" s="78">
        <v>13330.81</v>
      </c>
      <c r="G117" s="78">
        <v>9631.51</v>
      </c>
      <c r="H117" s="78">
        <v>7705.21</v>
      </c>
      <c r="I117" s="79">
        <f t="shared" si="1"/>
        <v>12688.831666666667</v>
      </c>
    </row>
    <row r="118" spans="1:9" x14ac:dyDescent="0.25">
      <c r="A118" s="7" t="s">
        <v>355</v>
      </c>
      <c r="B118" s="77" t="s">
        <v>248</v>
      </c>
      <c r="C118" s="78">
        <v>45598.02</v>
      </c>
      <c r="D118" s="78">
        <v>39118.54</v>
      </c>
      <c r="E118" s="78">
        <v>35183.43</v>
      </c>
      <c r="F118" s="78">
        <v>34307.949999999997</v>
      </c>
      <c r="G118" s="78">
        <v>30409.31</v>
      </c>
      <c r="H118" s="78">
        <v>19415.63</v>
      </c>
      <c r="I118" s="79">
        <f t="shared" si="1"/>
        <v>34005.480000000003</v>
      </c>
    </row>
    <row r="119" spans="1:9" x14ac:dyDescent="0.25">
      <c r="A119" s="7" t="s">
        <v>355</v>
      </c>
      <c r="B119" s="77" t="s">
        <v>249</v>
      </c>
      <c r="C119" s="78">
        <v>10687</v>
      </c>
      <c r="D119" s="78">
        <v>8813.5</v>
      </c>
      <c r="E119" s="78">
        <v>7711.2</v>
      </c>
      <c r="F119" s="78">
        <v>6758.1</v>
      </c>
      <c r="G119" s="78">
        <v>6114</v>
      </c>
      <c r="H119" s="78">
        <v>3571.8</v>
      </c>
      <c r="I119" s="79">
        <f t="shared" si="1"/>
        <v>7275.9333333333343</v>
      </c>
    </row>
    <row r="120" spans="1:9" x14ac:dyDescent="0.25">
      <c r="A120" s="7" t="s">
        <v>355</v>
      </c>
      <c r="B120" s="77" t="s">
        <v>250</v>
      </c>
      <c r="C120" s="78">
        <v>36001.730000000003</v>
      </c>
      <c r="D120" s="78">
        <v>34476.230000000003</v>
      </c>
      <c r="E120" s="78">
        <v>28984.43</v>
      </c>
      <c r="F120" s="78">
        <v>22577.34</v>
      </c>
      <c r="G120" s="78">
        <v>9763.18</v>
      </c>
      <c r="H120" s="78">
        <v>8847.8799999999992</v>
      </c>
      <c r="I120" s="79">
        <f t="shared" si="1"/>
        <v>23441.798333333336</v>
      </c>
    </row>
    <row r="121" spans="1:9" x14ac:dyDescent="0.25">
      <c r="A121" s="7" t="s">
        <v>355</v>
      </c>
      <c r="B121" s="77" t="s">
        <v>251</v>
      </c>
      <c r="C121" s="78">
        <v>36191.230000000003</v>
      </c>
      <c r="D121" s="78">
        <v>30159.360000000001</v>
      </c>
      <c r="E121" s="78">
        <v>25132.799999999999</v>
      </c>
      <c r="F121" s="78">
        <v>20944</v>
      </c>
      <c r="G121" s="78">
        <v>16755.2</v>
      </c>
      <c r="H121" s="78">
        <v>13404.16</v>
      </c>
      <c r="I121" s="79">
        <f t="shared" si="1"/>
        <v>23764.458333333332</v>
      </c>
    </row>
    <row r="122" spans="1:9" x14ac:dyDescent="0.25">
      <c r="A122" s="7" t="s">
        <v>355</v>
      </c>
      <c r="B122" s="77" t="s">
        <v>252</v>
      </c>
      <c r="C122" s="78">
        <v>41984.3</v>
      </c>
      <c r="D122" s="78">
        <v>28726.1</v>
      </c>
      <c r="E122" s="78">
        <v>22097</v>
      </c>
      <c r="F122" s="78">
        <v>17677.599999999999</v>
      </c>
      <c r="G122" s="78">
        <v>13258.2</v>
      </c>
      <c r="H122" s="78">
        <v>8838.7999999999993</v>
      </c>
      <c r="I122" s="79">
        <f t="shared" si="1"/>
        <v>22097</v>
      </c>
    </row>
    <row r="123" spans="1:9" x14ac:dyDescent="0.25">
      <c r="A123" s="7" t="s">
        <v>355</v>
      </c>
      <c r="B123" s="77" t="s">
        <v>253</v>
      </c>
      <c r="C123" s="78">
        <v>26733.54</v>
      </c>
      <c r="D123" s="78">
        <v>21386.83</v>
      </c>
      <c r="E123" s="78">
        <v>17376.8</v>
      </c>
      <c r="F123" s="78">
        <v>13366.77</v>
      </c>
      <c r="G123" s="78">
        <v>12030.09</v>
      </c>
      <c r="H123" s="78">
        <v>8020.06</v>
      </c>
      <c r="I123" s="79">
        <f t="shared" si="1"/>
        <v>16485.681666666667</v>
      </c>
    </row>
    <row r="124" spans="1:9" x14ac:dyDescent="0.25">
      <c r="A124" s="7" t="s">
        <v>355</v>
      </c>
      <c r="B124" s="77" t="s">
        <v>254</v>
      </c>
      <c r="C124" s="78">
        <v>25465.7</v>
      </c>
      <c r="D124" s="78">
        <v>17826</v>
      </c>
      <c r="E124" s="78">
        <v>12732.86</v>
      </c>
      <c r="F124" s="78">
        <v>10336.08</v>
      </c>
      <c r="G124" s="78">
        <v>6890.73</v>
      </c>
      <c r="H124" s="78">
        <v>3445.36</v>
      </c>
      <c r="I124" s="79">
        <f t="shared" si="1"/>
        <v>12782.788333333332</v>
      </c>
    </row>
    <row r="125" spans="1:9" x14ac:dyDescent="0.25">
      <c r="A125" s="7" t="s">
        <v>355</v>
      </c>
      <c r="B125" s="77" t="s">
        <v>255</v>
      </c>
      <c r="C125" s="78">
        <v>9005.51</v>
      </c>
      <c r="D125" s="78">
        <v>7654.68</v>
      </c>
      <c r="E125" s="78">
        <v>6506.48</v>
      </c>
      <c r="F125" s="78">
        <v>5530.5</v>
      </c>
      <c r="G125" s="78">
        <v>4700.92</v>
      </c>
      <c r="H125" s="78">
        <v>3760.74</v>
      </c>
      <c r="I125" s="79">
        <f t="shared" si="1"/>
        <v>6193.1383333333333</v>
      </c>
    </row>
    <row r="126" spans="1:9" x14ac:dyDescent="0.25">
      <c r="A126" s="7" t="s">
        <v>355</v>
      </c>
      <c r="B126" s="77" t="s">
        <v>258</v>
      </c>
      <c r="C126" s="78">
        <v>10300.41</v>
      </c>
      <c r="D126" s="78">
        <v>7950</v>
      </c>
      <c r="E126" s="78">
        <v>6890</v>
      </c>
      <c r="F126" s="78">
        <v>6230</v>
      </c>
      <c r="G126" s="78">
        <v>4617.72</v>
      </c>
      <c r="H126" s="78">
        <v>2050.9299999999998</v>
      </c>
      <c r="I126" s="79">
        <f t="shared" si="1"/>
        <v>6339.8433333333332</v>
      </c>
    </row>
    <row r="127" spans="1:9" x14ac:dyDescent="0.25">
      <c r="A127" s="7" t="s">
        <v>355</v>
      </c>
      <c r="B127" s="77" t="s">
        <v>259</v>
      </c>
      <c r="C127" s="78">
        <v>18311.259999999998</v>
      </c>
      <c r="D127" s="78">
        <v>15388.72</v>
      </c>
      <c r="E127" s="78">
        <v>12234.41</v>
      </c>
      <c r="F127" s="78">
        <v>12522.86</v>
      </c>
      <c r="G127" s="78">
        <v>6908.51</v>
      </c>
      <c r="H127" s="78">
        <v>4556.7</v>
      </c>
      <c r="I127" s="79">
        <f t="shared" si="1"/>
        <v>11653.743333333334</v>
      </c>
    </row>
    <row r="128" spans="1:9" x14ac:dyDescent="0.25">
      <c r="A128" s="7" t="s">
        <v>355</v>
      </c>
      <c r="B128" s="77" t="s">
        <v>261</v>
      </c>
      <c r="C128" s="78">
        <v>9506.86</v>
      </c>
      <c r="D128" s="78">
        <v>7135.36</v>
      </c>
      <c r="E128" s="78">
        <v>5456.16</v>
      </c>
      <c r="F128" s="78">
        <v>5331.74</v>
      </c>
      <c r="G128" s="78">
        <v>4563.24</v>
      </c>
      <c r="H128" s="78">
        <v>3635.28</v>
      </c>
      <c r="I128" s="79">
        <f t="shared" si="1"/>
        <v>5938.1066666666666</v>
      </c>
    </row>
    <row r="129" spans="1:9" x14ac:dyDescent="0.25">
      <c r="A129" s="7" t="s">
        <v>355</v>
      </c>
      <c r="B129" s="77" t="s">
        <v>262</v>
      </c>
      <c r="C129" s="78">
        <v>20440.48</v>
      </c>
      <c r="D129" s="78">
        <v>17374.400000000001</v>
      </c>
      <c r="E129" s="78">
        <v>14768.24</v>
      </c>
      <c r="F129" s="78">
        <v>12553.01</v>
      </c>
      <c r="G129" s="78">
        <v>10670.06</v>
      </c>
      <c r="H129" s="78">
        <v>8536.0400000000009</v>
      </c>
      <c r="I129" s="79">
        <f t="shared" si="1"/>
        <v>14057.038333333336</v>
      </c>
    </row>
    <row r="130" spans="1:9" x14ac:dyDescent="0.25">
      <c r="A130" s="7" t="s">
        <v>355</v>
      </c>
      <c r="B130" s="77" t="s">
        <v>263</v>
      </c>
      <c r="C130" s="78">
        <v>12245.2</v>
      </c>
      <c r="D130" s="78">
        <v>10781.1</v>
      </c>
      <c r="E130" s="78">
        <v>9982.5</v>
      </c>
      <c r="F130" s="78">
        <v>8385.2999999999993</v>
      </c>
      <c r="G130" s="78">
        <v>6987.75</v>
      </c>
      <c r="H130" s="78">
        <v>6388.8</v>
      </c>
      <c r="I130" s="79">
        <f t="shared" si="1"/>
        <v>9128.4416666666675</v>
      </c>
    </row>
    <row r="131" spans="1:9" x14ac:dyDescent="0.25">
      <c r="A131" s="7" t="s">
        <v>355</v>
      </c>
      <c r="B131" s="77" t="s">
        <v>264</v>
      </c>
      <c r="C131" s="78">
        <v>7198.34</v>
      </c>
      <c r="D131" s="78">
        <v>5278.79</v>
      </c>
      <c r="E131" s="78">
        <v>4798.8999999999996</v>
      </c>
      <c r="F131" s="78">
        <v>5278.79</v>
      </c>
      <c r="G131" s="78">
        <v>3599.18</v>
      </c>
      <c r="H131" s="78">
        <v>2399.44</v>
      </c>
      <c r="I131" s="79">
        <f t="shared" si="1"/>
        <v>4758.9066666666668</v>
      </c>
    </row>
    <row r="132" spans="1:9" x14ac:dyDescent="0.25">
      <c r="A132" s="7" t="s">
        <v>355</v>
      </c>
      <c r="B132" s="77" t="s">
        <v>265</v>
      </c>
      <c r="C132" s="78">
        <v>52787.96</v>
      </c>
      <c r="D132" s="78">
        <v>49188.800000000003</v>
      </c>
      <c r="E132" s="78">
        <v>45589.54</v>
      </c>
      <c r="F132" s="78">
        <v>44389.89</v>
      </c>
      <c r="G132" s="78">
        <v>43190.16</v>
      </c>
      <c r="H132" s="78">
        <v>43190.16</v>
      </c>
      <c r="I132" s="79">
        <f t="shared" ref="I132:I189" si="2">AVERAGE(C132:H132)</f>
        <v>46389.418333333335</v>
      </c>
    </row>
    <row r="133" spans="1:9" x14ac:dyDescent="0.25">
      <c r="A133" s="7" t="s">
        <v>355</v>
      </c>
      <c r="B133" s="77" t="s">
        <v>266</v>
      </c>
      <c r="C133" s="78">
        <v>41984.3</v>
      </c>
      <c r="D133" s="78">
        <v>28726.1</v>
      </c>
      <c r="E133" s="78">
        <v>22097</v>
      </c>
      <c r="F133" s="78">
        <v>17677.599999999999</v>
      </c>
      <c r="G133" s="78">
        <v>13258.2</v>
      </c>
      <c r="H133" s="78">
        <v>8838.7999999999993</v>
      </c>
      <c r="I133" s="79">
        <f t="shared" si="2"/>
        <v>22097</v>
      </c>
    </row>
    <row r="134" spans="1:9" x14ac:dyDescent="0.25">
      <c r="A134" s="7" t="s">
        <v>355</v>
      </c>
      <c r="B134" s="77" t="s">
        <v>268</v>
      </c>
      <c r="C134" s="78">
        <v>8005.22</v>
      </c>
      <c r="D134" s="78">
        <v>6727.54</v>
      </c>
      <c r="E134" s="78">
        <v>5969.99</v>
      </c>
      <c r="F134" s="78">
        <v>5505.72</v>
      </c>
      <c r="G134" s="78">
        <v>4240.05</v>
      </c>
      <c r="H134" s="78">
        <v>3762.91</v>
      </c>
      <c r="I134" s="79">
        <f t="shared" si="2"/>
        <v>5701.9049999999997</v>
      </c>
    </row>
    <row r="135" spans="1:9" x14ac:dyDescent="0.25">
      <c r="A135" s="7" t="s">
        <v>355</v>
      </c>
      <c r="B135" s="77" t="s">
        <v>270</v>
      </c>
      <c r="C135" s="78">
        <v>35656.74</v>
      </c>
      <c r="D135" s="78">
        <v>30589.91</v>
      </c>
      <c r="E135" s="78">
        <v>27512.73</v>
      </c>
      <c r="F135" s="78">
        <v>26753.24</v>
      </c>
      <c r="G135" s="78">
        <v>23779.48</v>
      </c>
      <c r="H135" s="78">
        <v>15139.84</v>
      </c>
      <c r="I135" s="79">
        <f t="shared" si="2"/>
        <v>26571.99</v>
      </c>
    </row>
    <row r="136" spans="1:9" x14ac:dyDescent="0.25">
      <c r="A136" s="7" t="s">
        <v>355</v>
      </c>
      <c r="B136" s="77" t="s">
        <v>272</v>
      </c>
      <c r="C136" s="78">
        <v>10315.89</v>
      </c>
      <c r="D136" s="78">
        <v>8422</v>
      </c>
      <c r="E136" s="78">
        <v>7500</v>
      </c>
      <c r="F136" s="78">
        <v>6511.79</v>
      </c>
      <c r="G136" s="78">
        <v>5535.02</v>
      </c>
      <c r="H136" s="78">
        <v>4428.01</v>
      </c>
      <c r="I136" s="79">
        <f t="shared" si="2"/>
        <v>7118.7849999999999</v>
      </c>
    </row>
    <row r="137" spans="1:9" x14ac:dyDescent="0.25">
      <c r="A137" s="7" t="s">
        <v>355</v>
      </c>
      <c r="B137" s="77" t="s">
        <v>273</v>
      </c>
      <c r="C137" s="78">
        <v>54235.5</v>
      </c>
      <c r="D137" s="78">
        <v>34090.92</v>
      </c>
      <c r="E137" s="78">
        <v>23243.8</v>
      </c>
      <c r="F137" s="78">
        <v>12396.7</v>
      </c>
      <c r="G137" s="78">
        <v>4338.84</v>
      </c>
      <c r="H137" s="78">
        <v>2066.12</v>
      </c>
      <c r="I137" s="79">
        <f t="shared" si="2"/>
        <v>21728.646666666664</v>
      </c>
    </row>
    <row r="138" spans="1:9" x14ac:dyDescent="0.25">
      <c r="A138" s="7" t="s">
        <v>355</v>
      </c>
      <c r="B138" s="77" t="s">
        <v>274</v>
      </c>
      <c r="C138" s="78">
        <v>22892.41</v>
      </c>
      <c r="D138" s="78">
        <v>21366.25</v>
      </c>
      <c r="E138" s="78">
        <v>19840.09</v>
      </c>
      <c r="F138" s="78">
        <v>22599.08</v>
      </c>
      <c r="G138" s="78">
        <v>19370.64</v>
      </c>
      <c r="H138" s="78">
        <v>12102.73</v>
      </c>
      <c r="I138" s="79">
        <f t="shared" si="2"/>
        <v>19695.2</v>
      </c>
    </row>
    <row r="139" spans="1:9" x14ac:dyDescent="0.25">
      <c r="A139" s="7" t="s">
        <v>355</v>
      </c>
      <c r="B139" s="77" t="s">
        <v>278</v>
      </c>
      <c r="C139" s="78">
        <v>13560.97</v>
      </c>
      <c r="D139" s="78">
        <v>10503.41</v>
      </c>
      <c r="E139" s="78">
        <v>8696.02</v>
      </c>
      <c r="F139" s="78">
        <v>13560.97</v>
      </c>
      <c r="G139" s="78">
        <v>10503.41</v>
      </c>
      <c r="H139" s="78">
        <v>8696.02</v>
      </c>
      <c r="I139" s="79">
        <f t="shared" si="2"/>
        <v>10920.133333333333</v>
      </c>
    </row>
    <row r="140" spans="1:9" x14ac:dyDescent="0.25">
      <c r="A140" s="7" t="s">
        <v>355</v>
      </c>
      <c r="B140" s="77" t="s">
        <v>279</v>
      </c>
      <c r="C140" s="78">
        <v>21745.82</v>
      </c>
      <c r="D140" s="78">
        <v>18959.11</v>
      </c>
      <c r="E140" s="78">
        <v>16172.39</v>
      </c>
      <c r="F140" s="78">
        <v>10511.94</v>
      </c>
      <c r="G140" s="78">
        <v>9442.84</v>
      </c>
      <c r="H140" s="78">
        <v>8373.75</v>
      </c>
      <c r="I140" s="79">
        <f t="shared" si="2"/>
        <v>14200.974999999999</v>
      </c>
    </row>
    <row r="141" spans="1:9" x14ac:dyDescent="0.25">
      <c r="A141" s="7" t="s">
        <v>355</v>
      </c>
      <c r="B141" s="77" t="s">
        <v>280</v>
      </c>
      <c r="C141" s="78">
        <v>28809.55</v>
      </c>
      <c r="D141" s="78">
        <v>26810.09</v>
      </c>
      <c r="E141" s="78">
        <v>24114.76</v>
      </c>
      <c r="F141" s="78">
        <v>19670.43</v>
      </c>
      <c r="G141" s="78">
        <v>15910.57</v>
      </c>
      <c r="H141" s="78">
        <v>10191.81</v>
      </c>
      <c r="I141" s="79">
        <f t="shared" si="2"/>
        <v>20917.868333333332</v>
      </c>
    </row>
    <row r="142" spans="1:9" x14ac:dyDescent="0.25">
      <c r="A142" s="7" t="s">
        <v>355</v>
      </c>
      <c r="B142" s="77" t="s">
        <v>281</v>
      </c>
      <c r="C142" s="78">
        <v>34450</v>
      </c>
      <c r="D142" s="78">
        <v>31500</v>
      </c>
      <c r="E142" s="78">
        <v>25320</v>
      </c>
      <c r="F142" s="78">
        <v>29490</v>
      </c>
      <c r="G142" s="78">
        <v>21220</v>
      </c>
      <c r="H142" s="78">
        <v>18530</v>
      </c>
      <c r="I142" s="79">
        <f t="shared" si="2"/>
        <v>26751.666666666668</v>
      </c>
    </row>
    <row r="143" spans="1:9" x14ac:dyDescent="0.25">
      <c r="A143" s="7" t="s">
        <v>355</v>
      </c>
      <c r="B143" s="77" t="s">
        <v>283</v>
      </c>
      <c r="C143" s="78">
        <v>41416.94</v>
      </c>
      <c r="D143" s="78">
        <v>39259.5</v>
      </c>
      <c r="E143" s="78">
        <v>37194</v>
      </c>
      <c r="F143" s="78">
        <v>30992.73</v>
      </c>
      <c r="G143" s="78">
        <v>22729.27</v>
      </c>
      <c r="H143" s="78">
        <v>20651.25</v>
      </c>
      <c r="I143" s="79">
        <f t="shared" si="2"/>
        <v>32040.615000000002</v>
      </c>
    </row>
    <row r="144" spans="1:9" x14ac:dyDescent="0.25">
      <c r="A144" s="7" t="s">
        <v>355</v>
      </c>
      <c r="B144" s="77" t="s">
        <v>284</v>
      </c>
      <c r="C144" s="78">
        <v>13200</v>
      </c>
      <c r="D144" s="78">
        <v>10955</v>
      </c>
      <c r="E144" s="78">
        <v>7771.82</v>
      </c>
      <c r="F144" s="78">
        <v>6867.17</v>
      </c>
      <c r="G144" s="78">
        <v>5417.19</v>
      </c>
      <c r="H144" s="78">
        <v>3851.98</v>
      </c>
      <c r="I144" s="79">
        <f t="shared" si="2"/>
        <v>8010.5266666666676</v>
      </c>
    </row>
    <row r="145" spans="1:9" x14ac:dyDescent="0.25">
      <c r="A145" s="7" t="s">
        <v>355</v>
      </c>
      <c r="B145" s="77" t="s">
        <v>286</v>
      </c>
      <c r="C145" s="78">
        <v>23801.8</v>
      </c>
      <c r="D145" s="78">
        <v>20822.349999999999</v>
      </c>
      <c r="E145" s="78">
        <v>18852.8</v>
      </c>
      <c r="F145" s="78">
        <v>17895.349999999999</v>
      </c>
      <c r="G145" s="78">
        <v>15763.45</v>
      </c>
      <c r="H145" s="78">
        <v>10092</v>
      </c>
      <c r="I145" s="79">
        <f t="shared" si="2"/>
        <v>17871.291666666664</v>
      </c>
    </row>
    <row r="146" spans="1:9" x14ac:dyDescent="0.25">
      <c r="A146" s="7" t="s">
        <v>355</v>
      </c>
      <c r="B146" s="77" t="s">
        <v>287</v>
      </c>
      <c r="C146" s="78">
        <v>28122.03</v>
      </c>
      <c r="D146" s="78">
        <v>20022.669999999998</v>
      </c>
      <c r="E146" s="78">
        <v>13137.62</v>
      </c>
      <c r="F146" s="78">
        <v>9197.34</v>
      </c>
      <c r="G146" s="78">
        <v>4833.7</v>
      </c>
      <c r="H146" s="78">
        <v>2218.2800000000002</v>
      </c>
      <c r="I146" s="79">
        <f t="shared" si="2"/>
        <v>12921.94</v>
      </c>
    </row>
    <row r="147" spans="1:9" x14ac:dyDescent="0.25">
      <c r="A147" s="7" t="s">
        <v>355</v>
      </c>
      <c r="B147" s="77" t="s">
        <v>288</v>
      </c>
      <c r="C147" s="78">
        <v>45500</v>
      </c>
      <c r="D147" s="78">
        <v>43000</v>
      </c>
      <c r="E147" s="78">
        <v>40000</v>
      </c>
      <c r="F147" s="78">
        <v>30000</v>
      </c>
      <c r="G147" s="78">
        <v>20000</v>
      </c>
      <c r="H147" s="78">
        <v>20000</v>
      </c>
      <c r="I147" s="79">
        <f t="shared" si="2"/>
        <v>33083.333333333336</v>
      </c>
    </row>
    <row r="148" spans="1:9" x14ac:dyDescent="0.25">
      <c r="A148" s="7" t="s">
        <v>355</v>
      </c>
      <c r="B148" s="77" t="s">
        <v>289</v>
      </c>
      <c r="C148" s="78">
        <v>9556.64</v>
      </c>
      <c r="D148" s="78">
        <v>8123.14</v>
      </c>
      <c r="E148" s="78">
        <v>6904.67</v>
      </c>
      <c r="F148" s="78">
        <v>5868.97</v>
      </c>
      <c r="G148" s="78">
        <v>4988.62</v>
      </c>
      <c r="H148" s="78">
        <v>3990.9</v>
      </c>
      <c r="I148" s="79">
        <f t="shared" si="2"/>
        <v>6572.1566666666668</v>
      </c>
    </row>
    <row r="149" spans="1:9" x14ac:dyDescent="0.25">
      <c r="A149" s="7" t="s">
        <v>355</v>
      </c>
      <c r="B149" s="77" t="s">
        <v>290</v>
      </c>
      <c r="C149" s="78">
        <v>29542.89</v>
      </c>
      <c r="D149" s="78">
        <v>28284.57</v>
      </c>
      <c r="E149" s="78">
        <v>25684.04</v>
      </c>
      <c r="F149" s="78">
        <v>21646.93</v>
      </c>
      <c r="G149" s="78">
        <v>19455.36</v>
      </c>
      <c r="H149" s="78">
        <v>18952.03</v>
      </c>
      <c r="I149" s="79">
        <f t="shared" si="2"/>
        <v>23927.636666666669</v>
      </c>
    </row>
    <row r="150" spans="1:9" x14ac:dyDescent="0.25">
      <c r="A150" s="7" t="s">
        <v>355</v>
      </c>
      <c r="B150" s="77" t="s">
        <v>291</v>
      </c>
      <c r="C150" s="78">
        <v>10830.25</v>
      </c>
      <c r="D150" s="78">
        <v>9330.67</v>
      </c>
      <c r="E150" s="78">
        <v>8516.09</v>
      </c>
      <c r="F150" s="78">
        <v>6109.37</v>
      </c>
      <c r="G150" s="78">
        <v>5553.97</v>
      </c>
      <c r="H150" s="78">
        <v>2221.59</v>
      </c>
      <c r="I150" s="79">
        <f t="shared" si="2"/>
        <v>7093.6566666666668</v>
      </c>
    </row>
    <row r="151" spans="1:9" x14ac:dyDescent="0.25">
      <c r="A151" s="7" t="s">
        <v>355</v>
      </c>
      <c r="B151" s="77" t="s">
        <v>292</v>
      </c>
      <c r="C151" s="78">
        <v>12396.69</v>
      </c>
      <c r="D151" s="78">
        <v>10330.58</v>
      </c>
      <c r="E151" s="78">
        <v>8264.4599999999991</v>
      </c>
      <c r="F151" s="78">
        <v>12396.69</v>
      </c>
      <c r="G151" s="78">
        <v>8264.4599999999991</v>
      </c>
      <c r="H151" s="78">
        <v>6198.34</v>
      </c>
      <c r="I151" s="79">
        <f t="shared" si="2"/>
        <v>9641.8700000000008</v>
      </c>
    </row>
    <row r="152" spans="1:9" x14ac:dyDescent="0.25">
      <c r="A152" s="7" t="s">
        <v>355</v>
      </c>
      <c r="B152" s="77" t="s">
        <v>293</v>
      </c>
      <c r="C152" s="78">
        <v>18002.75</v>
      </c>
      <c r="D152" s="78">
        <v>15361.7</v>
      </c>
      <c r="E152" s="78">
        <v>13952.14</v>
      </c>
      <c r="F152" s="78">
        <v>13582.55</v>
      </c>
      <c r="G152" s="78">
        <v>11521.27</v>
      </c>
      <c r="H152" s="78">
        <v>10001.23</v>
      </c>
      <c r="I152" s="79">
        <f t="shared" si="2"/>
        <v>13736.94</v>
      </c>
    </row>
    <row r="153" spans="1:9" x14ac:dyDescent="0.25">
      <c r="A153" s="7" t="s">
        <v>355</v>
      </c>
      <c r="B153" s="77" t="s">
        <v>294</v>
      </c>
      <c r="C153" s="78">
        <v>29972.880000000001</v>
      </c>
      <c r="D153" s="78">
        <v>27389.01</v>
      </c>
      <c r="E153" s="78">
        <v>16536.759999999998</v>
      </c>
      <c r="F153" s="78">
        <v>14469.66</v>
      </c>
      <c r="G153" s="78">
        <v>12402.57</v>
      </c>
      <c r="H153" s="78">
        <v>12402.57</v>
      </c>
      <c r="I153" s="79">
        <f t="shared" si="2"/>
        <v>18862.241666666669</v>
      </c>
    </row>
    <row r="154" spans="1:9" x14ac:dyDescent="0.25">
      <c r="A154" s="7" t="s">
        <v>355</v>
      </c>
      <c r="B154" s="77" t="s">
        <v>297</v>
      </c>
      <c r="C154" s="78">
        <v>30381.39</v>
      </c>
      <c r="D154" s="78">
        <v>20787.27</v>
      </c>
      <c r="E154" s="78">
        <v>15990.21</v>
      </c>
      <c r="F154" s="78">
        <v>12792.17</v>
      </c>
      <c r="G154" s="78">
        <v>9594.1200000000008</v>
      </c>
      <c r="H154" s="78">
        <v>6396.08</v>
      </c>
      <c r="I154" s="79">
        <f t="shared" si="2"/>
        <v>15990.206666666665</v>
      </c>
    </row>
    <row r="155" spans="1:9" x14ac:dyDescent="0.25">
      <c r="A155" s="7" t="s">
        <v>355</v>
      </c>
      <c r="B155" s="77" t="s">
        <v>299</v>
      </c>
      <c r="C155" s="78">
        <v>16124.65</v>
      </c>
      <c r="D155" s="78">
        <v>14547.73</v>
      </c>
      <c r="E155" s="78">
        <v>13092.63</v>
      </c>
      <c r="F155" s="78">
        <v>11783.35</v>
      </c>
      <c r="G155" s="78">
        <v>10605.01</v>
      </c>
      <c r="H155" s="78">
        <v>9544.51</v>
      </c>
      <c r="I155" s="79">
        <f t="shared" si="2"/>
        <v>12616.313333333332</v>
      </c>
    </row>
    <row r="156" spans="1:9" x14ac:dyDescent="0.25">
      <c r="A156" s="7" t="s">
        <v>355</v>
      </c>
      <c r="B156" s="77" t="s">
        <v>300</v>
      </c>
      <c r="C156" s="78">
        <v>39083</v>
      </c>
      <c r="D156" s="78">
        <v>39083</v>
      </c>
      <c r="E156" s="78">
        <v>39083</v>
      </c>
      <c r="F156" s="78">
        <v>29925.49</v>
      </c>
      <c r="G156" s="78">
        <v>15495.85</v>
      </c>
      <c r="H156" s="78">
        <v>15495.85</v>
      </c>
      <c r="I156" s="79">
        <f t="shared" si="2"/>
        <v>29694.365000000002</v>
      </c>
    </row>
    <row r="157" spans="1:9" x14ac:dyDescent="0.25">
      <c r="A157" s="7" t="s">
        <v>355</v>
      </c>
      <c r="B157" s="77" t="s">
        <v>301</v>
      </c>
      <c r="C157" s="78">
        <v>36260.32</v>
      </c>
      <c r="D157" s="78">
        <v>32231.39</v>
      </c>
      <c r="E157" s="78">
        <v>28202.46</v>
      </c>
      <c r="F157" s="78">
        <v>24173.55</v>
      </c>
      <c r="G157" s="78">
        <v>16096.2</v>
      </c>
      <c r="H157" s="78">
        <v>9090.9</v>
      </c>
      <c r="I157" s="79">
        <f t="shared" si="2"/>
        <v>24342.469999999998</v>
      </c>
    </row>
    <row r="158" spans="1:9" x14ac:dyDescent="0.25">
      <c r="A158" s="7" t="s">
        <v>355</v>
      </c>
      <c r="B158" s="77" t="s">
        <v>303</v>
      </c>
      <c r="C158" s="78">
        <v>17747.599999999999</v>
      </c>
      <c r="D158" s="78">
        <v>12910.17</v>
      </c>
      <c r="E158" s="78">
        <v>12120.3</v>
      </c>
      <c r="F158" s="78">
        <v>11327.72</v>
      </c>
      <c r="G158" s="78">
        <v>10962.74</v>
      </c>
      <c r="H158" s="78">
        <v>6297.54</v>
      </c>
      <c r="I158" s="79">
        <f t="shared" si="2"/>
        <v>11894.344999999999</v>
      </c>
    </row>
    <row r="159" spans="1:9" x14ac:dyDescent="0.25">
      <c r="A159" s="7" t="s">
        <v>355</v>
      </c>
      <c r="B159" s="77" t="s">
        <v>304</v>
      </c>
      <c r="C159" s="78">
        <v>26875</v>
      </c>
      <c r="D159" s="78">
        <v>22037.5</v>
      </c>
      <c r="E159" s="78">
        <v>19350</v>
      </c>
      <c r="F159" s="78">
        <v>22037.5</v>
      </c>
      <c r="G159" s="78">
        <v>19350</v>
      </c>
      <c r="H159" s="78">
        <v>11105.36</v>
      </c>
      <c r="I159" s="79">
        <f t="shared" si="2"/>
        <v>20125.893333333333</v>
      </c>
    </row>
    <row r="160" spans="1:9" x14ac:dyDescent="0.25">
      <c r="A160" s="7" t="s">
        <v>355</v>
      </c>
      <c r="B160" s="77" t="s">
        <v>306</v>
      </c>
      <c r="C160" s="78">
        <v>12138.29</v>
      </c>
      <c r="D160" s="78">
        <v>9564.84</v>
      </c>
      <c r="E160" s="78">
        <v>8902.15</v>
      </c>
      <c r="F160" s="78">
        <v>7278.56</v>
      </c>
      <c r="G160" s="78">
        <v>7146.02</v>
      </c>
      <c r="H160" s="78">
        <v>3379.72</v>
      </c>
      <c r="I160" s="79">
        <f t="shared" si="2"/>
        <v>8068.2633333333333</v>
      </c>
    </row>
    <row r="161" spans="1:9" ht="30" x14ac:dyDescent="0.25">
      <c r="A161" s="7" t="s">
        <v>355</v>
      </c>
      <c r="B161" s="77" t="s">
        <v>307</v>
      </c>
      <c r="C161" s="78">
        <v>14572.19</v>
      </c>
      <c r="D161" s="78">
        <v>9692.9699999999993</v>
      </c>
      <c r="E161" s="78">
        <v>9030.64</v>
      </c>
      <c r="F161" s="78">
        <v>8071.12</v>
      </c>
      <c r="G161" s="78">
        <v>4857.3100000000004</v>
      </c>
      <c r="H161" s="78">
        <v>3528.31</v>
      </c>
      <c r="I161" s="79">
        <f t="shared" si="2"/>
        <v>8292.09</v>
      </c>
    </row>
    <row r="162" spans="1:9" x14ac:dyDescent="0.25">
      <c r="A162" s="7" t="s">
        <v>355</v>
      </c>
      <c r="B162" s="77" t="s">
        <v>308</v>
      </c>
      <c r="C162" s="78">
        <v>33868.800000000003</v>
      </c>
      <c r="D162" s="78">
        <v>28224</v>
      </c>
      <c r="E162" s="78">
        <v>23520</v>
      </c>
      <c r="F162" s="78">
        <v>19600</v>
      </c>
      <c r="G162" s="78">
        <v>15680</v>
      </c>
      <c r="H162" s="78">
        <v>12544</v>
      </c>
      <c r="I162" s="79">
        <f t="shared" si="2"/>
        <v>22239.466666666664</v>
      </c>
    </row>
    <row r="163" spans="1:9" ht="30" x14ac:dyDescent="0.25">
      <c r="A163" s="7" t="s">
        <v>355</v>
      </c>
      <c r="B163" s="77" t="s">
        <v>310</v>
      </c>
      <c r="C163" s="78">
        <v>12586.38</v>
      </c>
      <c r="D163" s="78">
        <v>10698.43</v>
      </c>
      <c r="E163" s="78">
        <v>9093.66</v>
      </c>
      <c r="F163" s="78">
        <v>7729.62</v>
      </c>
      <c r="G163" s="78">
        <v>7729.62</v>
      </c>
      <c r="H163" s="78">
        <v>7729.62</v>
      </c>
      <c r="I163" s="79">
        <f t="shared" si="2"/>
        <v>9261.2216666666664</v>
      </c>
    </row>
    <row r="164" spans="1:9" ht="30" x14ac:dyDescent="0.25">
      <c r="A164" s="7" t="s">
        <v>355</v>
      </c>
      <c r="B164" s="77" t="s">
        <v>358</v>
      </c>
      <c r="C164" s="78">
        <v>34450.080000000002</v>
      </c>
      <c r="D164" s="78">
        <v>31324.66</v>
      </c>
      <c r="E164" s="78">
        <v>29758.03</v>
      </c>
      <c r="F164" s="78">
        <v>31324.66</v>
      </c>
      <c r="G164" s="78">
        <v>29758.03</v>
      </c>
      <c r="H164" s="78">
        <v>23493.18</v>
      </c>
      <c r="I164" s="79">
        <f t="shared" si="2"/>
        <v>30018.10666666667</v>
      </c>
    </row>
    <row r="165" spans="1:9" x14ac:dyDescent="0.25">
      <c r="A165" s="7" t="s">
        <v>355</v>
      </c>
      <c r="B165" s="77" t="s">
        <v>314</v>
      </c>
      <c r="C165" s="78">
        <v>5751.8</v>
      </c>
      <c r="D165" s="78">
        <v>5112.71</v>
      </c>
      <c r="E165" s="78">
        <v>3834.52</v>
      </c>
      <c r="F165" s="78">
        <v>5751.8</v>
      </c>
      <c r="G165" s="78">
        <v>5112.71</v>
      </c>
      <c r="H165" s="78">
        <v>3195.44</v>
      </c>
      <c r="I165" s="79">
        <f t="shared" si="2"/>
        <v>4793.163333333333</v>
      </c>
    </row>
    <row r="166" spans="1:9" x14ac:dyDescent="0.25">
      <c r="A166" s="7" t="s">
        <v>355</v>
      </c>
      <c r="B166" s="77" t="s">
        <v>315</v>
      </c>
      <c r="C166" s="78">
        <v>32203.43</v>
      </c>
      <c r="D166" s="78">
        <v>27291.040000000001</v>
      </c>
      <c r="E166" s="78">
        <v>23128</v>
      </c>
      <c r="F166" s="78">
        <v>1960</v>
      </c>
      <c r="G166" s="78">
        <v>16072</v>
      </c>
      <c r="H166" s="78">
        <v>13179.04</v>
      </c>
      <c r="I166" s="79">
        <f t="shared" si="2"/>
        <v>18972.251666666667</v>
      </c>
    </row>
    <row r="167" spans="1:9" x14ac:dyDescent="0.25">
      <c r="A167" s="7" t="s">
        <v>355</v>
      </c>
      <c r="B167" s="77" t="s">
        <v>316</v>
      </c>
      <c r="C167" s="78">
        <v>43632</v>
      </c>
      <c r="D167" s="78">
        <v>36360</v>
      </c>
      <c r="E167" s="78">
        <v>30300</v>
      </c>
      <c r="F167" s="78">
        <v>25250</v>
      </c>
      <c r="G167" s="78">
        <v>20200</v>
      </c>
      <c r="H167" s="78">
        <v>16160</v>
      </c>
      <c r="I167" s="79">
        <f t="shared" si="2"/>
        <v>28650.333333333332</v>
      </c>
    </row>
    <row r="168" spans="1:9" x14ac:dyDescent="0.25">
      <c r="A168" s="7" t="s">
        <v>355</v>
      </c>
      <c r="B168" s="77" t="s">
        <v>317</v>
      </c>
      <c r="C168" s="78">
        <v>15001.41</v>
      </c>
      <c r="D168" s="78">
        <v>12751.21</v>
      </c>
      <c r="E168" s="78">
        <v>9474.56</v>
      </c>
      <c r="F168" s="78">
        <v>4703.0200000000004</v>
      </c>
      <c r="G168" s="78">
        <v>3486.38</v>
      </c>
      <c r="H168" s="78">
        <v>1743.2</v>
      </c>
      <c r="I168" s="79">
        <f t="shared" si="2"/>
        <v>7859.9633333333322</v>
      </c>
    </row>
    <row r="169" spans="1:9" ht="30" x14ac:dyDescent="0.25">
      <c r="A169" s="7" t="s">
        <v>355</v>
      </c>
      <c r="B169" s="77" t="s">
        <v>318</v>
      </c>
      <c r="C169" s="78">
        <v>25006.47</v>
      </c>
      <c r="D169" s="78">
        <v>21671.95</v>
      </c>
      <c r="E169" s="78">
        <v>17987.05</v>
      </c>
      <c r="F169" s="78">
        <v>18014.21</v>
      </c>
      <c r="G169" s="78">
        <v>15295.4</v>
      </c>
      <c r="H169" s="78">
        <v>12459.24</v>
      </c>
      <c r="I169" s="79">
        <f t="shared" si="2"/>
        <v>18405.719999999998</v>
      </c>
    </row>
    <row r="170" spans="1:9" x14ac:dyDescent="0.25">
      <c r="A170" s="7" t="s">
        <v>355</v>
      </c>
      <c r="B170" s="77" t="s">
        <v>319</v>
      </c>
      <c r="C170" s="78">
        <v>22003.72</v>
      </c>
      <c r="D170" s="78">
        <v>18703.16</v>
      </c>
      <c r="E170" s="78">
        <v>15897.7</v>
      </c>
      <c r="F170" s="78">
        <v>13513.03</v>
      </c>
      <c r="G170" s="78">
        <v>11486.07</v>
      </c>
      <c r="H170" s="78">
        <v>9188.86</v>
      </c>
      <c r="I170" s="79">
        <f t="shared" si="2"/>
        <v>15132.089999999998</v>
      </c>
    </row>
    <row r="171" spans="1:9" x14ac:dyDescent="0.25">
      <c r="A171" s="7" t="s">
        <v>355</v>
      </c>
      <c r="B171" s="77" t="s">
        <v>320</v>
      </c>
      <c r="C171" s="78">
        <v>12178.28</v>
      </c>
      <c r="D171" s="78">
        <v>9458.15</v>
      </c>
      <c r="E171" s="78">
        <v>8877.41</v>
      </c>
      <c r="F171" s="78">
        <v>8770.0499999999993</v>
      </c>
      <c r="G171" s="78">
        <v>6070.03</v>
      </c>
      <c r="H171" s="78">
        <v>5420.81</v>
      </c>
      <c r="I171" s="79">
        <f t="shared" si="2"/>
        <v>8462.4549999999999</v>
      </c>
    </row>
    <row r="172" spans="1:9" ht="30" x14ac:dyDescent="0.25">
      <c r="A172" s="7" t="s">
        <v>355</v>
      </c>
      <c r="B172" s="77" t="s">
        <v>321</v>
      </c>
      <c r="C172" s="78">
        <v>21845.8</v>
      </c>
      <c r="D172" s="78">
        <v>18568.93</v>
      </c>
      <c r="E172" s="78">
        <v>15783.59</v>
      </c>
      <c r="F172" s="78">
        <v>13416.05</v>
      </c>
      <c r="G172" s="78">
        <v>11403.64</v>
      </c>
      <c r="H172" s="78">
        <v>9122.91</v>
      </c>
      <c r="I172" s="79">
        <f t="shared" si="2"/>
        <v>15023.486666666666</v>
      </c>
    </row>
    <row r="173" spans="1:9" x14ac:dyDescent="0.25">
      <c r="A173" s="7" t="s">
        <v>355</v>
      </c>
      <c r="B173" s="77" t="s">
        <v>322</v>
      </c>
      <c r="C173" s="78">
        <v>39810.35</v>
      </c>
      <c r="D173" s="78">
        <v>33175.300000000003</v>
      </c>
      <c r="E173" s="78">
        <v>27646.080000000002</v>
      </c>
      <c r="F173" s="78">
        <v>23038.400000000001</v>
      </c>
      <c r="G173" s="78">
        <v>18430.72</v>
      </c>
      <c r="H173" s="78">
        <v>14744.58</v>
      </c>
      <c r="I173" s="79">
        <f t="shared" si="2"/>
        <v>26140.904999999999</v>
      </c>
    </row>
    <row r="174" spans="1:9" x14ac:dyDescent="0.25">
      <c r="A174" s="7" t="s">
        <v>355</v>
      </c>
      <c r="B174" s="77" t="s">
        <v>323</v>
      </c>
      <c r="C174" s="78">
        <v>13254.03</v>
      </c>
      <c r="D174" s="78">
        <v>11286.49</v>
      </c>
      <c r="E174" s="78">
        <v>9532.31</v>
      </c>
      <c r="F174" s="78">
        <v>8095.02</v>
      </c>
      <c r="G174" s="78">
        <v>6924.99</v>
      </c>
      <c r="H174" s="78">
        <v>5880.88</v>
      </c>
      <c r="I174" s="79">
        <f t="shared" si="2"/>
        <v>9162.2866666666669</v>
      </c>
    </row>
    <row r="175" spans="1:9" x14ac:dyDescent="0.25">
      <c r="A175" s="7" t="s">
        <v>355</v>
      </c>
      <c r="B175" s="77" t="s">
        <v>324</v>
      </c>
      <c r="C175" s="78">
        <v>32246.84</v>
      </c>
      <c r="D175" s="78">
        <v>27577.49</v>
      </c>
      <c r="E175" s="78">
        <v>24804.26</v>
      </c>
      <c r="F175" s="78">
        <v>24127.32</v>
      </c>
      <c r="G175" s="78">
        <v>21447.37</v>
      </c>
      <c r="H175" s="78">
        <v>13659.76</v>
      </c>
      <c r="I175" s="79">
        <f t="shared" si="2"/>
        <v>23977.173333333336</v>
      </c>
    </row>
    <row r="176" spans="1:9" x14ac:dyDescent="0.25">
      <c r="A176" s="7" t="s">
        <v>355</v>
      </c>
      <c r="B176" s="77" t="s">
        <v>325</v>
      </c>
      <c r="C176" s="78">
        <v>23282.55</v>
      </c>
      <c r="D176" s="78">
        <v>17539.23</v>
      </c>
      <c r="E176" s="78">
        <v>13187.55</v>
      </c>
      <c r="F176" s="78">
        <v>9675.2900000000009</v>
      </c>
      <c r="G176" s="78">
        <v>7134.97</v>
      </c>
      <c r="H176" s="78">
        <v>3909.88</v>
      </c>
      <c r="I176" s="79">
        <f t="shared" si="2"/>
        <v>12454.911666666667</v>
      </c>
    </row>
    <row r="177" spans="1:9" x14ac:dyDescent="0.25">
      <c r="A177" s="7" t="s">
        <v>355</v>
      </c>
      <c r="B177" s="77" t="s">
        <v>326</v>
      </c>
      <c r="C177" s="78">
        <v>27819.62</v>
      </c>
      <c r="D177" s="78">
        <v>23560.43</v>
      </c>
      <c r="E177" s="78">
        <v>20636.59</v>
      </c>
      <c r="F177" s="78">
        <v>20066.29</v>
      </c>
      <c r="G177" s="78">
        <v>18274.7</v>
      </c>
      <c r="H177" s="78">
        <v>12771.98</v>
      </c>
      <c r="I177" s="79">
        <f t="shared" si="2"/>
        <v>20521.601666666666</v>
      </c>
    </row>
    <row r="178" spans="1:9" x14ac:dyDescent="0.25">
      <c r="A178" s="7" t="s">
        <v>355</v>
      </c>
      <c r="B178" s="77" t="s">
        <v>329</v>
      </c>
      <c r="C178" s="78">
        <v>20393.39</v>
      </c>
      <c r="D178" s="78">
        <v>17334.400000000001</v>
      </c>
      <c r="E178" s="78">
        <v>14734.22</v>
      </c>
      <c r="F178" s="78">
        <v>12524.1</v>
      </c>
      <c r="G178" s="78">
        <v>10645.48</v>
      </c>
      <c r="H178" s="78">
        <v>8516.39</v>
      </c>
      <c r="I178" s="79">
        <f t="shared" si="2"/>
        <v>14024.663333333332</v>
      </c>
    </row>
    <row r="179" spans="1:9" x14ac:dyDescent="0.25">
      <c r="A179" s="7" t="s">
        <v>355</v>
      </c>
      <c r="B179" s="77" t="s">
        <v>333</v>
      </c>
      <c r="C179" s="78">
        <v>31449.040000000001</v>
      </c>
      <c r="D179" s="78">
        <v>28898.52</v>
      </c>
      <c r="E179" s="78">
        <v>26980.13</v>
      </c>
      <c r="F179" s="78">
        <v>24954.81</v>
      </c>
      <c r="G179" s="78">
        <v>23894.98</v>
      </c>
      <c r="H179" s="78">
        <v>23174.79</v>
      </c>
      <c r="I179" s="79">
        <f t="shared" si="2"/>
        <v>26558.71166666667</v>
      </c>
    </row>
    <row r="180" spans="1:9" x14ac:dyDescent="0.25">
      <c r="A180" s="7" t="s">
        <v>355</v>
      </c>
      <c r="B180" s="77" t="s">
        <v>335</v>
      </c>
      <c r="C180" s="78">
        <v>53028.76</v>
      </c>
      <c r="D180" s="78">
        <v>45074.44</v>
      </c>
      <c r="E180" s="78">
        <v>39771.57</v>
      </c>
      <c r="F180" s="78">
        <v>31817.25</v>
      </c>
      <c r="G180" s="78">
        <v>26514.38</v>
      </c>
      <c r="H180" s="78">
        <v>21211.5</v>
      </c>
      <c r="I180" s="79">
        <f t="shared" si="2"/>
        <v>36236.316666666673</v>
      </c>
    </row>
    <row r="181" spans="1:9" x14ac:dyDescent="0.25">
      <c r="A181" s="7" t="s">
        <v>355</v>
      </c>
      <c r="B181" s="77" t="s">
        <v>336</v>
      </c>
      <c r="C181" s="78">
        <v>32307.59</v>
      </c>
      <c r="D181" s="78">
        <v>29081.11</v>
      </c>
      <c r="E181" s="78">
        <v>24196.73</v>
      </c>
      <c r="F181" s="78">
        <v>23739.62</v>
      </c>
      <c r="G181" s="78">
        <v>19088.91</v>
      </c>
      <c r="H181" s="78">
        <v>15273.06</v>
      </c>
      <c r="I181" s="79">
        <f t="shared" si="2"/>
        <v>23947.836666666666</v>
      </c>
    </row>
    <row r="182" spans="1:9" x14ac:dyDescent="0.25">
      <c r="A182" s="7" t="s">
        <v>355</v>
      </c>
      <c r="B182" s="77" t="s">
        <v>338</v>
      </c>
      <c r="C182" s="78">
        <v>11058.6</v>
      </c>
      <c r="D182" s="78">
        <v>9399.7999999999993</v>
      </c>
      <c r="E182" s="78">
        <v>7989.8</v>
      </c>
      <c r="F182" s="78">
        <v>6791.36</v>
      </c>
      <c r="G182" s="78">
        <v>5772.65</v>
      </c>
      <c r="H182" s="78">
        <v>4618.12</v>
      </c>
      <c r="I182" s="79">
        <f t="shared" si="2"/>
        <v>7605.0550000000003</v>
      </c>
    </row>
    <row r="183" spans="1:9" x14ac:dyDescent="0.25">
      <c r="A183" s="7" t="s">
        <v>355</v>
      </c>
      <c r="B183" s="77" t="s">
        <v>339</v>
      </c>
      <c r="C183" s="78">
        <v>39256.199999999997</v>
      </c>
      <c r="D183" s="78">
        <v>36330.57</v>
      </c>
      <c r="E183" s="78">
        <v>33787.43</v>
      </c>
      <c r="F183" s="78">
        <v>33057.85</v>
      </c>
      <c r="G183" s="78">
        <v>27898.5</v>
      </c>
      <c r="H183" s="78">
        <v>21885.77</v>
      </c>
      <c r="I183" s="79">
        <f t="shared" si="2"/>
        <v>32036.05333333333</v>
      </c>
    </row>
    <row r="184" spans="1:9" x14ac:dyDescent="0.25">
      <c r="A184" s="7" t="s">
        <v>355</v>
      </c>
      <c r="B184" s="77" t="s">
        <v>340</v>
      </c>
      <c r="C184" s="78">
        <v>26055.95</v>
      </c>
      <c r="D184" s="78">
        <v>23752.6</v>
      </c>
      <c r="E184" s="78">
        <v>21024.54</v>
      </c>
      <c r="F184" s="78">
        <v>19648.79</v>
      </c>
      <c r="G184" s="78">
        <v>18095.849999999999</v>
      </c>
      <c r="H184" s="78">
        <v>11123.28</v>
      </c>
      <c r="I184" s="79">
        <f t="shared" si="2"/>
        <v>19950.168333333335</v>
      </c>
    </row>
    <row r="185" spans="1:9" x14ac:dyDescent="0.25">
      <c r="A185" s="7" t="s">
        <v>355</v>
      </c>
      <c r="B185" s="77" t="s">
        <v>342</v>
      </c>
      <c r="C185" s="78">
        <v>28137.93</v>
      </c>
      <c r="D185" s="78">
        <v>22510.33</v>
      </c>
      <c r="E185" s="78">
        <v>18008.27</v>
      </c>
      <c r="F185" s="78">
        <v>17106.97</v>
      </c>
      <c r="G185" s="78">
        <v>11524.23</v>
      </c>
      <c r="H185" s="78">
        <v>9220.2199999999993</v>
      </c>
      <c r="I185" s="79">
        <f t="shared" si="2"/>
        <v>17751.325000000001</v>
      </c>
    </row>
    <row r="186" spans="1:9" x14ac:dyDescent="0.25">
      <c r="A186" s="7" t="s">
        <v>355</v>
      </c>
      <c r="B186" s="77" t="s">
        <v>343</v>
      </c>
      <c r="C186" s="78">
        <v>22702.03</v>
      </c>
      <c r="D186" s="78">
        <v>19696.27</v>
      </c>
      <c r="E186" s="78">
        <v>17619.189999999999</v>
      </c>
      <c r="F186" s="78">
        <v>16043.38</v>
      </c>
      <c r="G186" s="78">
        <v>10602.27</v>
      </c>
      <c r="H186" s="78">
        <v>7345.26</v>
      </c>
      <c r="I186" s="79">
        <f t="shared" si="2"/>
        <v>15668.066666666668</v>
      </c>
    </row>
    <row r="187" spans="1:9" x14ac:dyDescent="0.25">
      <c r="A187" s="7" t="s">
        <v>355</v>
      </c>
      <c r="B187" s="77" t="s">
        <v>344</v>
      </c>
      <c r="C187" s="78">
        <v>47875.49</v>
      </c>
      <c r="D187" s="78">
        <v>45609.52</v>
      </c>
      <c r="E187" s="78">
        <v>43343.55</v>
      </c>
      <c r="F187" s="78">
        <v>41077.57</v>
      </c>
      <c r="G187" s="78">
        <v>38811.589999999997</v>
      </c>
      <c r="H187" s="78">
        <v>36545.620000000003</v>
      </c>
      <c r="I187" s="79">
        <f t="shared" si="2"/>
        <v>42210.556666666664</v>
      </c>
    </row>
    <row r="188" spans="1:9" x14ac:dyDescent="0.25">
      <c r="A188" s="7" t="s">
        <v>355</v>
      </c>
      <c r="B188" s="77" t="s">
        <v>345</v>
      </c>
      <c r="C188" s="78">
        <v>12000</v>
      </c>
      <c r="D188" s="78">
        <v>10200</v>
      </c>
      <c r="E188" s="78">
        <v>8670</v>
      </c>
      <c r="F188" s="78">
        <v>7369.5</v>
      </c>
      <c r="G188" s="78">
        <v>6234.08</v>
      </c>
      <c r="H188" s="78">
        <v>5324.46</v>
      </c>
      <c r="I188" s="79">
        <f t="shared" si="2"/>
        <v>8299.6733333333341</v>
      </c>
    </row>
    <row r="189" spans="1:9" x14ac:dyDescent="0.25">
      <c r="A189" s="7" t="s">
        <v>355</v>
      </c>
      <c r="B189" s="77" t="s">
        <v>346</v>
      </c>
      <c r="C189" s="78">
        <v>27497.19</v>
      </c>
      <c r="D189" s="78">
        <v>19104.21</v>
      </c>
      <c r="E189" s="78">
        <v>8804.08</v>
      </c>
      <c r="F189" s="78">
        <v>8804.08</v>
      </c>
      <c r="G189" s="78">
        <v>5742.15</v>
      </c>
      <c r="H189" s="78">
        <v>3825.71</v>
      </c>
      <c r="I189" s="79">
        <f t="shared" si="2"/>
        <v>12296.236666666666</v>
      </c>
    </row>
    <row r="191" spans="1:9" x14ac:dyDescent="0.25">
      <c r="I191" s="75" t="s">
        <v>652</v>
      </c>
    </row>
    <row r="192" spans="1:9" x14ac:dyDescent="0.25">
      <c r="I192" s="81">
        <f>AVERAGE(I2:I189)</f>
        <v>17285.248893210191</v>
      </c>
    </row>
  </sheetData>
  <sheetProtection algorithmName="SHA-512" hashValue="WIOCNL5Rjh9BnNFHQ0oy2Wm5CSWsoXInZxmDLCkgijQJjwhOxmOQU0lLi5j34OSjYW4rZWAee+zP8hZ0KRHwpg==" saltValue="C0jl7rxHNZaCYrDjbKEIGg==" spinCount="100000" sheet="1" objects="1" scenarios="1"/>
  <mergeCells count="1">
    <mergeCell ref="A1:H1"/>
  </mergeCells>
  <pageMargins left="0.511811024" right="0.511811024" top="0.78740157499999996" bottom="0.78740157499999996" header="0.31496062000000002" footer="0.31496062000000002"/>
  <ignoredErrors>
    <ignoredError sqref="I3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C8BF-78EC-4255-AF0D-4F4C3CD8A2E0}">
  <dimension ref="A1:E1409"/>
  <sheetViews>
    <sheetView topLeftCell="A55" zoomScaleNormal="100" workbookViewId="0">
      <selection activeCell="E2" sqref="E2"/>
    </sheetView>
  </sheetViews>
  <sheetFormatPr defaultColWidth="8.5703125" defaultRowHeight="15" x14ac:dyDescent="0.25"/>
  <cols>
    <col min="1" max="1" width="31.5703125" style="10" customWidth="1"/>
    <col min="2" max="2" width="29.140625" style="10" customWidth="1"/>
    <col min="3" max="3" width="23.140625" style="84" customWidth="1"/>
    <col min="4" max="4" width="19.7109375" style="78" customWidth="1"/>
    <col min="5" max="5" width="17.7109375" customWidth="1"/>
  </cols>
  <sheetData>
    <row r="1" spans="1:5" ht="32.25" thickBot="1" x14ac:dyDescent="0.3">
      <c r="A1" s="14" t="s">
        <v>359</v>
      </c>
      <c r="B1" s="14" t="s">
        <v>360</v>
      </c>
      <c r="C1" s="14" t="s">
        <v>361</v>
      </c>
      <c r="D1" s="85" t="s">
        <v>362</v>
      </c>
      <c r="E1" s="64" t="s">
        <v>653</v>
      </c>
    </row>
    <row r="2" spans="1:5" ht="16.5" thickBot="1" x14ac:dyDescent="0.3">
      <c r="A2" s="61" t="s">
        <v>363</v>
      </c>
      <c r="B2" s="61" t="s">
        <v>364</v>
      </c>
      <c r="C2" s="82" t="str">
        <f>IFERROR(VLOOKUP(B2,'VTN2025'!B:I,8,FALSE),"-")</f>
        <v>-</v>
      </c>
      <c r="D2" s="83">
        <f t="shared" ref="D2:D33" si="0">AVERAGEIF($A:$A,A2,$C:$C)</f>
        <v>35312.424166666664</v>
      </c>
      <c r="E2" s="62">
        <v>17285.25</v>
      </c>
    </row>
    <row r="3" spans="1:5" ht="16.5" thickBot="1" x14ac:dyDescent="0.3">
      <c r="A3" s="61" t="s">
        <v>363</v>
      </c>
      <c r="B3" s="61" t="s">
        <v>365</v>
      </c>
      <c r="C3" s="82">
        <f>IFERROR(VLOOKUP(B3,'VTN2025'!B:I,8,FALSE),"-")</f>
        <v>28728.081666666665</v>
      </c>
      <c r="D3" s="83">
        <f t="shared" si="0"/>
        <v>35312.424166666664</v>
      </c>
    </row>
    <row r="4" spans="1:5" ht="16.5" thickBot="1" x14ac:dyDescent="0.3">
      <c r="A4" s="61" t="s">
        <v>363</v>
      </c>
      <c r="B4" s="61" t="s">
        <v>366</v>
      </c>
      <c r="C4" s="82">
        <f>IFERROR(VLOOKUP(B4,'VTN2025'!B:I,8,FALSE),"-")</f>
        <v>64897.67333333334</v>
      </c>
      <c r="D4" s="83">
        <f t="shared" si="0"/>
        <v>35312.424166666664</v>
      </c>
    </row>
    <row r="5" spans="1:5" ht="16.5" thickBot="1" x14ac:dyDescent="0.3">
      <c r="A5" s="61" t="s">
        <v>363</v>
      </c>
      <c r="B5" s="61" t="s">
        <v>367</v>
      </c>
      <c r="C5" s="82">
        <f>IFERROR(VLOOKUP(B5,'VTN2025'!B:I,8,FALSE),"-")</f>
        <v>21065.23</v>
      </c>
      <c r="D5" s="83">
        <f t="shared" si="0"/>
        <v>35312.424166666664</v>
      </c>
    </row>
    <row r="6" spans="1:5" ht="16.5" thickBot="1" x14ac:dyDescent="0.3">
      <c r="A6" s="61" t="s">
        <v>363</v>
      </c>
      <c r="B6" s="61" t="s">
        <v>368</v>
      </c>
      <c r="C6" s="82">
        <f>IFERROR(VLOOKUP(B6,'VTN2025'!B:I,8,FALSE),"-")</f>
        <v>26558.71166666667</v>
      </c>
      <c r="D6" s="83">
        <f t="shared" si="0"/>
        <v>35312.424166666664</v>
      </c>
    </row>
    <row r="7" spans="1:5" ht="16.5" thickBot="1" x14ac:dyDescent="0.3">
      <c r="A7" s="61" t="s">
        <v>369</v>
      </c>
      <c r="B7" s="61" t="s">
        <v>370</v>
      </c>
      <c r="C7" s="82">
        <f>IFERROR(VLOOKUP(B7,'VTN2025'!B:I,8,FALSE),"-")</f>
        <v>12335.518333333333</v>
      </c>
      <c r="D7" s="83">
        <f t="shared" si="0"/>
        <v>16428.559999999998</v>
      </c>
    </row>
    <row r="8" spans="1:5" ht="16.5" thickBot="1" x14ac:dyDescent="0.3">
      <c r="A8" s="61" t="s">
        <v>369</v>
      </c>
      <c r="B8" s="61" t="s">
        <v>371</v>
      </c>
      <c r="C8" s="82" t="str">
        <f>IFERROR(VLOOKUP(B8,'VTN2025'!B:I,8,FALSE),"-")</f>
        <v>-</v>
      </c>
      <c r="D8" s="83">
        <f t="shared" si="0"/>
        <v>16428.559999999998</v>
      </c>
    </row>
    <row r="9" spans="1:5" ht="16.5" thickBot="1" x14ac:dyDescent="0.3">
      <c r="A9" s="61" t="s">
        <v>369</v>
      </c>
      <c r="B9" s="61" t="s">
        <v>372</v>
      </c>
      <c r="C9" s="82" t="str">
        <f>IFERROR(VLOOKUP(B9,'VTN2025'!B:I,8,FALSE),"-")</f>
        <v>-</v>
      </c>
      <c r="D9" s="83">
        <f t="shared" si="0"/>
        <v>16428.559999999998</v>
      </c>
    </row>
    <row r="10" spans="1:5" ht="16.5" thickBot="1" x14ac:dyDescent="0.3">
      <c r="A10" s="61" t="s">
        <v>369</v>
      </c>
      <c r="B10" s="61" t="s">
        <v>373</v>
      </c>
      <c r="C10" s="82" t="str">
        <f>IFERROR(VLOOKUP(B10,'VTN2025'!B:I,8,FALSE),"-")</f>
        <v>-</v>
      </c>
      <c r="D10" s="83">
        <f t="shared" si="0"/>
        <v>16428.559999999998</v>
      </c>
    </row>
    <row r="11" spans="1:5" ht="16.5" thickBot="1" x14ac:dyDescent="0.3">
      <c r="A11" s="61" t="s">
        <v>369</v>
      </c>
      <c r="B11" s="61" t="s">
        <v>374</v>
      </c>
      <c r="C11" s="82" t="str">
        <f>IFERROR(VLOOKUP(B11,'VTN2025'!B:I,8,FALSE),"-")</f>
        <v>-</v>
      </c>
      <c r="D11" s="83">
        <f t="shared" si="0"/>
        <v>16428.559999999998</v>
      </c>
    </row>
    <row r="12" spans="1:5" ht="16.5" thickBot="1" x14ac:dyDescent="0.3">
      <c r="A12" s="61" t="s">
        <v>369</v>
      </c>
      <c r="B12" s="61" t="s">
        <v>375</v>
      </c>
      <c r="C12" s="82">
        <f>IFERROR(VLOOKUP(B12,'VTN2025'!B:I,8,FALSE),"-")</f>
        <v>20521.601666666666</v>
      </c>
      <c r="D12" s="83">
        <f t="shared" si="0"/>
        <v>16428.559999999998</v>
      </c>
    </row>
    <row r="13" spans="1:5" ht="16.5" thickBot="1" x14ac:dyDescent="0.3">
      <c r="A13" s="61" t="s">
        <v>376</v>
      </c>
      <c r="B13" s="61" t="s">
        <v>377</v>
      </c>
      <c r="C13" s="82">
        <f>IFERROR(VLOOKUP(B13,'VTN2025'!B:I,8,FALSE),"-")</f>
        <v>36128.400000000001</v>
      </c>
      <c r="D13" s="83">
        <f t="shared" si="0"/>
        <v>22250.207142857143</v>
      </c>
    </row>
    <row r="14" spans="1:5" ht="16.5" thickBot="1" x14ac:dyDescent="0.3">
      <c r="A14" s="61" t="s">
        <v>376</v>
      </c>
      <c r="B14" s="61" t="s">
        <v>378</v>
      </c>
      <c r="C14" s="82">
        <f>IFERROR(VLOOKUP(B14,'VTN2025'!B:I,8,FALSE),"-")</f>
        <v>20209.003333333334</v>
      </c>
      <c r="D14" s="83">
        <f t="shared" si="0"/>
        <v>22250.207142857143</v>
      </c>
    </row>
    <row r="15" spans="1:5" ht="16.5" thickBot="1" x14ac:dyDescent="0.3">
      <c r="A15" s="61" t="s">
        <v>376</v>
      </c>
      <c r="B15" s="61" t="s">
        <v>379</v>
      </c>
      <c r="C15" s="82">
        <f>IFERROR(VLOOKUP(B15,'VTN2025'!B:I,8,FALSE),"-")</f>
        <v>11121.235000000001</v>
      </c>
      <c r="D15" s="83">
        <f t="shared" si="0"/>
        <v>22250.207142857143</v>
      </c>
    </row>
    <row r="16" spans="1:5" ht="16.5" thickBot="1" x14ac:dyDescent="0.3">
      <c r="A16" s="61" t="s">
        <v>376</v>
      </c>
      <c r="B16" s="61" t="s">
        <v>380</v>
      </c>
      <c r="C16" s="82">
        <f>IFERROR(VLOOKUP(B16,'VTN2025'!B:I,8,FALSE),"-")</f>
        <v>14200.974999999999</v>
      </c>
      <c r="D16" s="83">
        <f t="shared" si="0"/>
        <v>22250.207142857143</v>
      </c>
    </row>
    <row r="17" spans="1:4" ht="16.5" thickBot="1" x14ac:dyDescent="0.3">
      <c r="A17" s="61" t="s">
        <v>376</v>
      </c>
      <c r="B17" s="61" t="s">
        <v>381</v>
      </c>
      <c r="C17" s="82">
        <f>IFERROR(VLOOKUP(B17,'VTN2025'!B:I,8,FALSE),"-")</f>
        <v>20125.893333333333</v>
      </c>
      <c r="D17" s="83">
        <f t="shared" si="0"/>
        <v>22250.207142857143</v>
      </c>
    </row>
    <row r="18" spans="1:4" ht="16.5" thickBot="1" x14ac:dyDescent="0.3">
      <c r="A18" s="61" t="s">
        <v>376</v>
      </c>
      <c r="B18" s="61" t="s">
        <v>382</v>
      </c>
      <c r="C18" s="82">
        <f>IFERROR(VLOOKUP(B18,'VTN2025'!B:I,8,FALSE),"-")</f>
        <v>30018.10666666667</v>
      </c>
      <c r="D18" s="83">
        <f t="shared" si="0"/>
        <v>22250.207142857143</v>
      </c>
    </row>
    <row r="19" spans="1:4" ht="16.5" thickBot="1" x14ac:dyDescent="0.3">
      <c r="A19" s="61" t="s">
        <v>376</v>
      </c>
      <c r="B19" s="61" t="s">
        <v>383</v>
      </c>
      <c r="C19" s="82">
        <f>IFERROR(VLOOKUP(B19,'VTN2025'!B:I,8,FALSE),"-")</f>
        <v>23947.836666666666</v>
      </c>
      <c r="D19" s="83">
        <f t="shared" si="0"/>
        <v>22250.207142857143</v>
      </c>
    </row>
    <row r="20" spans="1:4" ht="16.5" thickBot="1" x14ac:dyDescent="0.3">
      <c r="A20" s="61" t="s">
        <v>384</v>
      </c>
      <c r="B20" s="61" t="s">
        <v>385</v>
      </c>
      <c r="C20" s="82">
        <f>IFERROR(VLOOKUP(B20,'VTN2025'!B:I,8,FALSE),"-")</f>
        <v>27247.318333333333</v>
      </c>
      <c r="D20" s="83">
        <f t="shared" si="0"/>
        <v>26736.144</v>
      </c>
    </row>
    <row r="21" spans="1:4" ht="16.5" thickBot="1" x14ac:dyDescent="0.3">
      <c r="A21" s="61" t="s">
        <v>384</v>
      </c>
      <c r="B21" s="61" t="s">
        <v>386</v>
      </c>
      <c r="C21" s="82">
        <f>IFERROR(VLOOKUP(B21,'VTN2025'!B:I,8,FALSE),"-")</f>
        <v>22097</v>
      </c>
      <c r="D21" s="83">
        <f t="shared" si="0"/>
        <v>26736.144</v>
      </c>
    </row>
    <row r="22" spans="1:4" ht="16.5" thickBot="1" x14ac:dyDescent="0.3">
      <c r="A22" s="61" t="s">
        <v>384</v>
      </c>
      <c r="B22" s="61" t="s">
        <v>387</v>
      </c>
      <c r="C22" s="82">
        <f>IFERROR(VLOOKUP(B22,'VTN2025'!B:I,8,FALSE),"-")</f>
        <v>29694.365000000002</v>
      </c>
      <c r="D22" s="83">
        <f t="shared" si="0"/>
        <v>26736.144</v>
      </c>
    </row>
    <row r="23" spans="1:4" ht="16.5" thickBot="1" x14ac:dyDescent="0.3">
      <c r="A23" s="61" t="s">
        <v>384</v>
      </c>
      <c r="B23" s="61" t="s">
        <v>388</v>
      </c>
      <c r="C23" s="82">
        <f>IFERROR(VLOOKUP(B23,'VTN2025'!B:I,8,FALSE),"-")</f>
        <v>18405.719999999998</v>
      </c>
      <c r="D23" s="83">
        <f t="shared" si="0"/>
        <v>26736.144</v>
      </c>
    </row>
    <row r="24" spans="1:4" ht="16.5" thickBot="1" x14ac:dyDescent="0.3">
      <c r="A24" s="61" t="s">
        <v>384</v>
      </c>
      <c r="B24" s="61" t="s">
        <v>389</v>
      </c>
      <c r="C24" s="82">
        <f>IFERROR(VLOOKUP(B24,'VTN2025'!B:I,8,FALSE),"-")</f>
        <v>36236.316666666673</v>
      </c>
      <c r="D24" s="83">
        <f t="shared" si="0"/>
        <v>26736.144</v>
      </c>
    </row>
    <row r="25" spans="1:4" ht="16.5" thickBot="1" x14ac:dyDescent="0.3">
      <c r="A25" s="61" t="s">
        <v>370</v>
      </c>
      <c r="B25" s="61" t="s">
        <v>369</v>
      </c>
      <c r="C25" s="82">
        <f>IFERROR(VLOOKUP(B25,'VTN2025'!B:I,8,FALSE),"-")</f>
        <v>20561.290000000005</v>
      </c>
      <c r="D25" s="83">
        <f t="shared" si="0"/>
        <v>16676.490000000002</v>
      </c>
    </row>
    <row r="26" spans="1:4" ht="16.5" thickBot="1" x14ac:dyDescent="0.3">
      <c r="A26" s="61" t="s">
        <v>370</v>
      </c>
      <c r="B26" s="61" t="s">
        <v>372</v>
      </c>
      <c r="C26" s="82" t="str">
        <f>IFERROR(VLOOKUP(B26,'VTN2025'!B:I,8,FALSE),"-")</f>
        <v>-</v>
      </c>
      <c r="D26" s="83">
        <f t="shared" si="0"/>
        <v>16676.490000000002</v>
      </c>
    </row>
    <row r="27" spans="1:4" ht="16.5" thickBot="1" x14ac:dyDescent="0.3">
      <c r="A27" s="61" t="s">
        <v>370</v>
      </c>
      <c r="B27" s="61" t="s">
        <v>390</v>
      </c>
      <c r="C27" s="82">
        <f>IFERROR(VLOOKUP(B27,'VTN2025'!B:I,8,FALSE),"-")</f>
        <v>8946.5783333333347</v>
      </c>
      <c r="D27" s="83">
        <f t="shared" si="0"/>
        <v>16676.490000000002</v>
      </c>
    </row>
    <row r="28" spans="1:4" ht="16.5" thickBot="1" x14ac:dyDescent="0.3">
      <c r="A28" s="61" t="s">
        <v>370</v>
      </c>
      <c r="B28" s="61" t="s">
        <v>391</v>
      </c>
      <c r="C28" s="82" t="str">
        <f>IFERROR(VLOOKUP(B28,'VTN2025'!B:I,8,FALSE),"-")</f>
        <v>-</v>
      </c>
      <c r="D28" s="83">
        <f t="shared" si="0"/>
        <v>16676.490000000002</v>
      </c>
    </row>
    <row r="29" spans="1:4" ht="16.5" thickBot="1" x14ac:dyDescent="0.3">
      <c r="A29" s="61" t="s">
        <v>370</v>
      </c>
      <c r="B29" s="61" t="s">
        <v>375</v>
      </c>
      <c r="C29" s="82">
        <f>IFERROR(VLOOKUP(B29,'VTN2025'!B:I,8,FALSE),"-")</f>
        <v>20521.601666666666</v>
      </c>
      <c r="D29" s="83">
        <f t="shared" si="0"/>
        <v>16676.490000000002</v>
      </c>
    </row>
    <row r="30" spans="1:4" ht="16.5" thickBot="1" x14ac:dyDescent="0.3">
      <c r="A30" s="61" t="s">
        <v>392</v>
      </c>
      <c r="B30" s="61" t="s">
        <v>393</v>
      </c>
      <c r="C30" s="82">
        <f>IFERROR(VLOOKUP(B30,'VTN2025'!B:I,8,FALSE),"-")</f>
        <v>28203.205000000002</v>
      </c>
      <c r="D30" s="83">
        <f t="shared" si="0"/>
        <v>28242.77888888889</v>
      </c>
    </row>
    <row r="31" spans="1:4" ht="16.5" thickBot="1" x14ac:dyDescent="0.3">
      <c r="A31" s="61" t="s">
        <v>392</v>
      </c>
      <c r="B31" s="61" t="s">
        <v>394</v>
      </c>
      <c r="C31" s="82">
        <f>IFERROR(VLOOKUP(B31,'VTN2025'!B:I,8,FALSE),"-")</f>
        <v>23441.798333333336</v>
      </c>
      <c r="D31" s="83">
        <f t="shared" si="0"/>
        <v>28242.77888888889</v>
      </c>
    </row>
    <row r="32" spans="1:4" ht="16.5" thickBot="1" x14ac:dyDescent="0.3">
      <c r="A32" s="61" t="s">
        <v>392</v>
      </c>
      <c r="B32" s="61" t="s">
        <v>395</v>
      </c>
      <c r="C32" s="82">
        <f>IFERROR(VLOOKUP(B32,'VTN2025'!B:I,8,FALSE),"-")</f>
        <v>33083.333333333336</v>
      </c>
      <c r="D32" s="83">
        <f t="shared" si="0"/>
        <v>28242.77888888889</v>
      </c>
    </row>
    <row r="33" spans="1:4" ht="16.5" thickBot="1" x14ac:dyDescent="0.3">
      <c r="A33" s="61" t="s">
        <v>396</v>
      </c>
      <c r="B33" s="61" t="s">
        <v>397</v>
      </c>
      <c r="C33" s="82">
        <f>IFERROR(VLOOKUP(B33,'VTN2025'!B:I,8,FALSE),"-")</f>
        <v>6386.3166666666657</v>
      </c>
      <c r="D33" s="83">
        <f t="shared" si="0"/>
        <v>7685.1866666666656</v>
      </c>
    </row>
    <row r="34" spans="1:4" ht="16.5" thickBot="1" x14ac:dyDescent="0.3">
      <c r="A34" s="61" t="s">
        <v>396</v>
      </c>
      <c r="B34" s="61" t="s">
        <v>398</v>
      </c>
      <c r="C34" s="82">
        <f>IFERROR(VLOOKUP(B34,'VTN2025'!B:I,8,FALSE),"-")</f>
        <v>7540.8016666666672</v>
      </c>
      <c r="D34" s="83">
        <f t="shared" ref="D34:D60" si="1">AVERAGEIF($A:$A,A34,$C:$C)</f>
        <v>7685.1866666666656</v>
      </c>
    </row>
    <row r="35" spans="1:4" ht="16.5" thickBot="1" x14ac:dyDescent="0.3">
      <c r="A35" s="61" t="s">
        <v>396</v>
      </c>
      <c r="B35" s="61" t="s">
        <v>399</v>
      </c>
      <c r="C35" s="82">
        <f>IFERROR(VLOOKUP(B35,'VTN2025'!B:I,8,FALSE),"-")</f>
        <v>9128.4416666666675</v>
      </c>
      <c r="D35" s="83">
        <f t="shared" si="1"/>
        <v>7685.1866666666656</v>
      </c>
    </row>
    <row r="36" spans="1:4" ht="16.5" thickBot="1" x14ac:dyDescent="0.3">
      <c r="A36" s="61" t="s">
        <v>396</v>
      </c>
      <c r="B36" s="61" t="s">
        <v>400</v>
      </c>
      <c r="C36" s="82" t="str">
        <f>IFERROR(VLOOKUP(B36,'VTN2025'!B:I,8,FALSE),"-")</f>
        <v>-</v>
      </c>
      <c r="D36" s="83">
        <f t="shared" si="1"/>
        <v>7685.1866666666656</v>
      </c>
    </row>
    <row r="37" spans="1:4" ht="16.5" thickBot="1" x14ac:dyDescent="0.3">
      <c r="A37" s="61" t="s">
        <v>401</v>
      </c>
      <c r="B37" s="61" t="s">
        <v>402</v>
      </c>
      <c r="C37" s="82">
        <f>IFERROR(VLOOKUP(B37,'VTN2025'!B:I,8,FALSE),"-")</f>
        <v>4163.8016666666672</v>
      </c>
      <c r="D37" s="83">
        <f t="shared" si="1"/>
        <v>5780.6287499999999</v>
      </c>
    </row>
    <row r="38" spans="1:4" ht="16.5" thickBot="1" x14ac:dyDescent="0.3">
      <c r="A38" s="61" t="s">
        <v>401</v>
      </c>
      <c r="B38" s="61" t="s">
        <v>403</v>
      </c>
      <c r="C38" s="82" t="str">
        <f>IFERROR(VLOOKUP(B38,'VTN2025'!B:I,8,FALSE),"-")</f>
        <v>-</v>
      </c>
      <c r="D38" s="83">
        <f t="shared" si="1"/>
        <v>5780.6287499999999</v>
      </c>
    </row>
    <row r="39" spans="1:4" ht="16.5" thickBot="1" x14ac:dyDescent="0.3">
      <c r="A39" s="61" t="s">
        <v>401</v>
      </c>
      <c r="B39" s="61" t="s">
        <v>404</v>
      </c>
      <c r="C39" s="82">
        <f>IFERROR(VLOOKUP(B39,'VTN2025'!B:I,8,FALSE),"-")</f>
        <v>6339.8433333333332</v>
      </c>
      <c r="D39" s="83">
        <f t="shared" si="1"/>
        <v>5780.6287499999999</v>
      </c>
    </row>
    <row r="40" spans="1:4" ht="16.5" thickBot="1" x14ac:dyDescent="0.3">
      <c r="A40" s="61" t="s">
        <v>401</v>
      </c>
      <c r="B40" s="61" t="s">
        <v>405</v>
      </c>
      <c r="C40" s="82">
        <f>IFERROR(VLOOKUP(B40,'VTN2025'!B:I,8,FALSE),"-")</f>
        <v>4758.9066666666668</v>
      </c>
      <c r="D40" s="83">
        <f t="shared" si="1"/>
        <v>5780.6287499999999</v>
      </c>
    </row>
    <row r="41" spans="1:4" ht="16.5" thickBot="1" x14ac:dyDescent="0.3">
      <c r="A41" s="61" t="s">
        <v>401</v>
      </c>
      <c r="B41" s="61" t="s">
        <v>406</v>
      </c>
      <c r="C41" s="82">
        <f>IFERROR(VLOOKUP(B41,'VTN2025'!B:I,8,FALSE),"-")</f>
        <v>7859.9633333333322</v>
      </c>
      <c r="D41" s="83">
        <f t="shared" si="1"/>
        <v>5780.6287499999999</v>
      </c>
    </row>
    <row r="42" spans="1:4" ht="16.5" thickBot="1" x14ac:dyDescent="0.3">
      <c r="A42" s="61" t="s">
        <v>401</v>
      </c>
      <c r="B42" s="61" t="s">
        <v>407</v>
      </c>
      <c r="C42" s="82" t="str">
        <f>IFERROR(VLOOKUP(B42,'VTN2025'!B:I,8,FALSE),"-")</f>
        <v>-</v>
      </c>
      <c r="D42" s="83">
        <f t="shared" si="1"/>
        <v>5780.6287499999999</v>
      </c>
    </row>
    <row r="43" spans="1:4" ht="16.5" thickBot="1" x14ac:dyDescent="0.3">
      <c r="A43" s="61" t="s">
        <v>408</v>
      </c>
      <c r="B43" s="61" t="s">
        <v>409</v>
      </c>
      <c r="C43" s="82" t="str">
        <f>IFERROR(VLOOKUP(B43,'VTN2025'!B:I,8,FALSE),"-")</f>
        <v>-</v>
      </c>
      <c r="D43" s="83">
        <f t="shared" si="1"/>
        <v>8279.8808333333345</v>
      </c>
    </row>
    <row r="44" spans="1:4" ht="16.5" thickBot="1" x14ac:dyDescent="0.3">
      <c r="A44" s="61" t="s">
        <v>408</v>
      </c>
      <c r="B44" s="61" t="s">
        <v>410</v>
      </c>
      <c r="C44" s="82">
        <f>IFERROR(VLOOKUP(B44,'VTN2025'!B:I,8,FALSE),"-")</f>
        <v>8049.333333333333</v>
      </c>
      <c r="D44" s="83">
        <f t="shared" si="1"/>
        <v>8279.8808333333345</v>
      </c>
    </row>
    <row r="45" spans="1:4" ht="16.5" thickBot="1" x14ac:dyDescent="0.3">
      <c r="A45" s="61" t="s">
        <v>408</v>
      </c>
      <c r="B45" s="61" t="s">
        <v>411</v>
      </c>
      <c r="C45" s="82">
        <f>IFERROR(VLOOKUP(B45,'VTN2025'!B:I,8,FALSE),"-")</f>
        <v>5786.45</v>
      </c>
      <c r="D45" s="83">
        <f t="shared" si="1"/>
        <v>8279.8808333333345</v>
      </c>
    </row>
    <row r="46" spans="1:4" ht="16.5" thickBot="1" x14ac:dyDescent="0.3">
      <c r="A46" s="61" t="s">
        <v>408</v>
      </c>
      <c r="B46" s="61" t="s">
        <v>412</v>
      </c>
      <c r="C46" s="82">
        <f>IFERROR(VLOOKUP(B46,'VTN2025'!B:I,8,FALSE),"-")</f>
        <v>9641.8700000000008</v>
      </c>
      <c r="D46" s="83">
        <f t="shared" si="1"/>
        <v>8279.8808333333345</v>
      </c>
    </row>
    <row r="47" spans="1:4" ht="16.5" thickBot="1" x14ac:dyDescent="0.3">
      <c r="A47" s="61" t="s">
        <v>408</v>
      </c>
      <c r="B47" s="61" t="s">
        <v>413</v>
      </c>
      <c r="C47" s="82">
        <f>IFERROR(VLOOKUP(B47,'VTN2025'!B:I,8,FALSE),"-")</f>
        <v>9641.8700000000008</v>
      </c>
      <c r="D47" s="83">
        <f t="shared" si="1"/>
        <v>8279.8808333333345</v>
      </c>
    </row>
    <row r="48" spans="1:4" ht="16.5" thickBot="1" x14ac:dyDescent="0.3">
      <c r="A48" s="61" t="s">
        <v>408</v>
      </c>
      <c r="B48" s="61" t="s">
        <v>414</v>
      </c>
      <c r="C48" s="82" t="str">
        <f>IFERROR(VLOOKUP(B48,'VTN2025'!B:I,8,FALSE),"-")</f>
        <v>-</v>
      </c>
      <c r="D48" s="83">
        <f t="shared" si="1"/>
        <v>8279.8808333333345</v>
      </c>
    </row>
    <row r="49" spans="1:5" ht="16.5" thickBot="1" x14ac:dyDescent="0.3">
      <c r="A49" s="61" t="s">
        <v>408</v>
      </c>
      <c r="B49" s="61" t="s">
        <v>415</v>
      </c>
      <c r="C49" s="82" t="str">
        <f>IFERROR(VLOOKUP(B49,'VTN2025'!B:I,8,FALSE),"-")</f>
        <v>-</v>
      </c>
      <c r="D49" s="83">
        <f t="shared" si="1"/>
        <v>8279.8808333333345</v>
      </c>
    </row>
    <row r="50" spans="1:5" ht="16.5" thickBot="1" x14ac:dyDescent="0.3">
      <c r="A50" s="61" t="s">
        <v>416</v>
      </c>
      <c r="B50" s="61" t="s">
        <v>417</v>
      </c>
      <c r="C50" s="82">
        <f>IFERROR(VLOOKUP(B50,'VTN2025'!B:I,8,FALSE),"-")</f>
        <v>5547.3600000000006</v>
      </c>
      <c r="D50" s="83">
        <f t="shared" si="1"/>
        <v>7727.2489999999989</v>
      </c>
    </row>
    <row r="51" spans="1:5" ht="16.5" thickBot="1" x14ac:dyDescent="0.3">
      <c r="A51" s="61" t="s">
        <v>416</v>
      </c>
      <c r="B51" s="61" t="s">
        <v>398</v>
      </c>
      <c r="C51" s="82">
        <f>IFERROR(VLOOKUP(B51,'VTN2025'!B:I,8,FALSE),"-")</f>
        <v>7540.8016666666672</v>
      </c>
      <c r="D51" s="83">
        <f t="shared" si="1"/>
        <v>7727.2489999999989</v>
      </c>
    </row>
    <row r="52" spans="1:5" ht="16.5" thickBot="1" x14ac:dyDescent="0.3">
      <c r="A52" s="61" t="s">
        <v>416</v>
      </c>
      <c r="B52" s="61" t="s">
        <v>418</v>
      </c>
      <c r="C52" s="82">
        <f>IFERROR(VLOOKUP(B52,'VTN2025'!B:I,8,FALSE),"-")</f>
        <v>12782.788333333332</v>
      </c>
      <c r="D52" s="83">
        <f t="shared" si="1"/>
        <v>7727.2489999999989</v>
      </c>
    </row>
    <row r="53" spans="1:5" ht="16.5" thickBot="1" x14ac:dyDescent="0.3">
      <c r="A53" s="61" t="s">
        <v>416</v>
      </c>
      <c r="B53" s="61" t="s">
        <v>419</v>
      </c>
      <c r="C53" s="82">
        <f>IFERROR(VLOOKUP(B53,'VTN2025'!B:I,8,FALSE),"-")</f>
        <v>6193.1383333333333</v>
      </c>
      <c r="D53" s="83">
        <f t="shared" si="1"/>
        <v>7727.2489999999989</v>
      </c>
    </row>
    <row r="54" spans="1:5" ht="16.5" thickBot="1" x14ac:dyDescent="0.3">
      <c r="A54" s="61" t="s">
        <v>416</v>
      </c>
      <c r="B54" s="61" t="s">
        <v>420</v>
      </c>
      <c r="C54" s="82">
        <f>IFERROR(VLOOKUP(B54,'VTN2025'!B:I,8,FALSE),"-")</f>
        <v>6572.1566666666668</v>
      </c>
      <c r="D54" s="83">
        <f t="shared" si="1"/>
        <v>7727.2489999999989</v>
      </c>
    </row>
    <row r="55" spans="1:5" ht="16.5" thickBot="1" x14ac:dyDescent="0.3">
      <c r="A55" s="61" t="s">
        <v>416</v>
      </c>
      <c r="B55" s="61" t="s">
        <v>421</v>
      </c>
      <c r="C55" s="82" t="str">
        <f>IFERROR(VLOOKUP(B55,'VTN2025'!B:I,8,FALSE),"-")</f>
        <v>-</v>
      </c>
      <c r="D55" s="83">
        <f t="shared" si="1"/>
        <v>7727.2489999999989</v>
      </c>
    </row>
    <row r="56" spans="1:5" ht="16.5" thickBot="1" x14ac:dyDescent="0.3">
      <c r="A56" s="61" t="s">
        <v>422</v>
      </c>
      <c r="B56" s="61" t="s">
        <v>385</v>
      </c>
      <c r="C56" s="82">
        <f>IFERROR(VLOOKUP(B56,'VTN2025'!B:I,8,FALSE),"-")</f>
        <v>27247.318333333333</v>
      </c>
      <c r="D56" s="83">
        <f t="shared" si="1"/>
        <v>26010.473333333332</v>
      </c>
    </row>
    <row r="57" spans="1:5" ht="16.5" thickBot="1" x14ac:dyDescent="0.3">
      <c r="A57" s="61" t="s">
        <v>422</v>
      </c>
      <c r="B57" s="61" t="s">
        <v>423</v>
      </c>
      <c r="C57" s="82">
        <f>IFERROR(VLOOKUP(B57,'VTN2025'!B:I,8,FALSE),"-")</f>
        <v>28687.101666666669</v>
      </c>
      <c r="D57" s="83">
        <f t="shared" si="1"/>
        <v>26010.473333333332</v>
      </c>
    </row>
    <row r="58" spans="1:5" ht="16.5" thickBot="1" x14ac:dyDescent="0.3">
      <c r="A58" s="61" t="s">
        <v>422</v>
      </c>
      <c r="B58" s="61" t="s">
        <v>386</v>
      </c>
      <c r="C58" s="82">
        <f>IFERROR(VLOOKUP(B58,'VTN2025'!B:I,8,FALSE),"-")</f>
        <v>22097</v>
      </c>
      <c r="D58" s="83">
        <f t="shared" si="1"/>
        <v>26010.473333333332</v>
      </c>
    </row>
    <row r="59" spans="1:5" ht="16.5" thickBot="1" x14ac:dyDescent="0.3">
      <c r="A59" s="61" t="s">
        <v>424</v>
      </c>
      <c r="B59" s="61" t="s">
        <v>425</v>
      </c>
      <c r="C59" s="82">
        <f>IFERROR(VLOOKUP(B59,'VTN2025'!B:I,8,FALSE),"-")</f>
        <v>12053.771666666667</v>
      </c>
      <c r="D59" s="83">
        <f t="shared" si="1"/>
        <v>12145.483333333334</v>
      </c>
    </row>
    <row r="60" spans="1:5" ht="16.5" thickBot="1" x14ac:dyDescent="0.3">
      <c r="A60" s="61" t="s">
        <v>424</v>
      </c>
      <c r="B60" s="61" t="s">
        <v>426</v>
      </c>
      <c r="C60" s="82">
        <f>IFERROR(VLOOKUP(B60,'VTN2025'!B:I,8,FALSE),"-")</f>
        <v>12237.195</v>
      </c>
      <c r="D60" s="83">
        <f t="shared" si="1"/>
        <v>12145.483333333334</v>
      </c>
    </row>
    <row r="61" spans="1:5" ht="16.5" thickBot="1" x14ac:dyDescent="0.3">
      <c r="A61" s="61" t="s">
        <v>427</v>
      </c>
      <c r="B61" s="61" t="s">
        <v>428</v>
      </c>
      <c r="C61" s="82" t="str">
        <f>IFERROR(VLOOKUP(B61,'VTN2025'!B:I,8,FALSE),"-")</f>
        <v>-</v>
      </c>
      <c r="D61" s="65">
        <v>15732.82</v>
      </c>
      <c r="E61" s="63" t="s">
        <v>640</v>
      </c>
    </row>
    <row r="62" spans="1:5" ht="16.5" thickBot="1" x14ac:dyDescent="0.3">
      <c r="A62" s="61" t="s">
        <v>427</v>
      </c>
      <c r="B62" s="61" t="s">
        <v>429</v>
      </c>
      <c r="C62" s="82" t="str">
        <f>IFERROR(VLOOKUP(B62,'VTN2025'!B:I,8,FALSE),"-")</f>
        <v>-</v>
      </c>
      <c r="D62" s="65">
        <v>15732.82</v>
      </c>
      <c r="E62" s="63" t="s">
        <v>640</v>
      </c>
    </row>
    <row r="63" spans="1:5" ht="16.5" thickBot="1" x14ac:dyDescent="0.3">
      <c r="A63" s="61" t="s">
        <v>385</v>
      </c>
      <c r="B63" s="61" t="s">
        <v>384</v>
      </c>
      <c r="C63" s="82">
        <f>IFERROR(VLOOKUP(B63,'VTN2025'!B:I,8,FALSE),"-")</f>
        <v>22678.789999999997</v>
      </c>
      <c r="D63" s="83">
        <f t="shared" ref="D63:D126" si="2">AVERAGEIF($A:$A,A63,$C:$C)</f>
        <v>26960.120952380956</v>
      </c>
    </row>
    <row r="64" spans="1:5" ht="16.5" thickBot="1" x14ac:dyDescent="0.3">
      <c r="A64" s="61" t="s">
        <v>385</v>
      </c>
      <c r="B64" s="61" t="s">
        <v>422</v>
      </c>
      <c r="C64" s="82">
        <f>IFERROR(VLOOKUP(B64,'VTN2025'!B:I,8,FALSE),"-")</f>
        <v>32765.361666666664</v>
      </c>
      <c r="D64" s="83">
        <f t="shared" si="2"/>
        <v>26960.120952380956</v>
      </c>
    </row>
    <row r="65" spans="1:4" ht="16.5" thickBot="1" x14ac:dyDescent="0.3">
      <c r="A65" s="61" t="s">
        <v>385</v>
      </c>
      <c r="B65" s="61" t="s">
        <v>430</v>
      </c>
      <c r="C65" s="82">
        <f>IFERROR(VLOOKUP(B65,'VTN2025'!B:I,8,FALSE),"-")</f>
        <v>27850.556666666667</v>
      </c>
      <c r="D65" s="83">
        <f t="shared" si="2"/>
        <v>26960.120952380956</v>
      </c>
    </row>
    <row r="66" spans="1:4" ht="16.5" thickBot="1" x14ac:dyDescent="0.3">
      <c r="A66" s="61" t="s">
        <v>385</v>
      </c>
      <c r="B66" s="61" t="s">
        <v>423</v>
      </c>
      <c r="C66" s="82">
        <f>IFERROR(VLOOKUP(B66,'VTN2025'!B:I,8,FALSE),"-")</f>
        <v>28687.101666666669</v>
      </c>
      <c r="D66" s="83">
        <f t="shared" si="2"/>
        <v>26960.120952380956</v>
      </c>
    </row>
    <row r="67" spans="1:4" ht="16.5" thickBot="1" x14ac:dyDescent="0.3">
      <c r="A67" s="61" t="s">
        <v>385</v>
      </c>
      <c r="B67" s="61" t="s">
        <v>386</v>
      </c>
      <c r="C67" s="82">
        <f>IFERROR(VLOOKUP(B67,'VTN2025'!B:I,8,FALSE),"-")</f>
        <v>22097</v>
      </c>
      <c r="D67" s="83">
        <f t="shared" si="2"/>
        <v>26960.120952380956</v>
      </c>
    </row>
    <row r="68" spans="1:4" ht="16.5" thickBot="1" x14ac:dyDescent="0.3">
      <c r="A68" s="61" t="s">
        <v>385</v>
      </c>
      <c r="B68" s="61" t="s">
        <v>431</v>
      </c>
      <c r="C68" s="82" t="str">
        <f>IFERROR(VLOOKUP(B68,'VTN2025'!B:I,8,FALSE),"-")</f>
        <v>-</v>
      </c>
      <c r="D68" s="83">
        <f t="shared" si="2"/>
        <v>26960.120952380956</v>
      </c>
    </row>
    <row r="69" spans="1:4" ht="16.5" thickBot="1" x14ac:dyDescent="0.3">
      <c r="A69" s="61" t="s">
        <v>385</v>
      </c>
      <c r="B69" s="61" t="s">
        <v>388</v>
      </c>
      <c r="C69" s="82">
        <f>IFERROR(VLOOKUP(B69,'VTN2025'!B:I,8,FALSE),"-")</f>
        <v>18405.719999999998</v>
      </c>
      <c r="D69" s="83">
        <f t="shared" si="2"/>
        <v>26960.120952380956</v>
      </c>
    </row>
    <row r="70" spans="1:4" ht="16.5" thickBot="1" x14ac:dyDescent="0.3">
      <c r="A70" s="61" t="s">
        <v>385</v>
      </c>
      <c r="B70" s="61" t="s">
        <v>389</v>
      </c>
      <c r="C70" s="82">
        <f>IFERROR(VLOOKUP(B70,'VTN2025'!B:I,8,FALSE),"-")</f>
        <v>36236.316666666673</v>
      </c>
      <c r="D70" s="83">
        <f t="shared" si="2"/>
        <v>26960.120952380956</v>
      </c>
    </row>
    <row r="71" spans="1:4" ht="16.5" thickBot="1" x14ac:dyDescent="0.3">
      <c r="A71" s="61" t="s">
        <v>371</v>
      </c>
      <c r="B71" s="61" t="s">
        <v>369</v>
      </c>
      <c r="C71" s="82">
        <f>IFERROR(VLOOKUP(B71,'VTN2025'!B:I,8,FALSE),"-")</f>
        <v>20561.290000000005</v>
      </c>
      <c r="D71" s="83">
        <f t="shared" si="2"/>
        <v>21167.162142857145</v>
      </c>
    </row>
    <row r="72" spans="1:4" ht="16.5" thickBot="1" x14ac:dyDescent="0.3">
      <c r="A72" s="61" t="s">
        <v>371</v>
      </c>
      <c r="B72" s="61" t="s">
        <v>432</v>
      </c>
      <c r="C72" s="82">
        <f>IFERROR(VLOOKUP(B72,'VTN2025'!B:I,8,FALSE),"-")</f>
        <v>20835.751666666667</v>
      </c>
      <c r="D72" s="83">
        <f t="shared" si="2"/>
        <v>21167.162142857145</v>
      </c>
    </row>
    <row r="73" spans="1:4" ht="16.5" thickBot="1" x14ac:dyDescent="0.3">
      <c r="A73" s="61" t="s">
        <v>371</v>
      </c>
      <c r="B73" s="61" t="s">
        <v>373</v>
      </c>
      <c r="C73" s="82" t="str">
        <f>IFERROR(VLOOKUP(B73,'VTN2025'!B:I,8,FALSE),"-")</f>
        <v>-</v>
      </c>
      <c r="D73" s="83">
        <f t="shared" si="2"/>
        <v>21167.162142857145</v>
      </c>
    </row>
    <row r="74" spans="1:4" ht="16.5" thickBot="1" x14ac:dyDescent="0.3">
      <c r="A74" s="61" t="s">
        <v>371</v>
      </c>
      <c r="B74" s="61" t="s">
        <v>433</v>
      </c>
      <c r="C74" s="82">
        <f>IFERROR(VLOOKUP(B74,'VTN2025'!B:I,8,FALSE),"-")</f>
        <v>15196.01</v>
      </c>
      <c r="D74" s="83">
        <f t="shared" si="2"/>
        <v>21167.162142857145</v>
      </c>
    </row>
    <row r="75" spans="1:4" ht="16.5" thickBot="1" x14ac:dyDescent="0.3">
      <c r="A75" s="61" t="s">
        <v>371</v>
      </c>
      <c r="B75" s="61" t="s">
        <v>434</v>
      </c>
      <c r="C75" s="82">
        <f>IFERROR(VLOOKUP(B75,'VTN2025'!B:I,8,FALSE),"-")</f>
        <v>17731.825000000001</v>
      </c>
      <c r="D75" s="83">
        <f t="shared" si="2"/>
        <v>21167.162142857145</v>
      </c>
    </row>
    <row r="76" spans="1:4" ht="16.5" thickBot="1" x14ac:dyDescent="0.3">
      <c r="A76" s="61" t="s">
        <v>371</v>
      </c>
      <c r="B76" s="61" t="s">
        <v>435</v>
      </c>
      <c r="C76" s="82" t="str">
        <f>IFERROR(VLOOKUP(B76,'VTN2025'!B:I,8,FALSE),"-")</f>
        <v>-</v>
      </c>
      <c r="D76" s="83">
        <f t="shared" si="2"/>
        <v>21167.162142857145</v>
      </c>
    </row>
    <row r="77" spans="1:4" ht="16.5" thickBot="1" x14ac:dyDescent="0.3">
      <c r="A77" s="61" t="s">
        <v>371</v>
      </c>
      <c r="B77" s="61" t="s">
        <v>436</v>
      </c>
      <c r="C77" s="82">
        <f>IFERROR(VLOOKUP(B77,'VTN2025'!B:I,8,FALSE),"-")</f>
        <v>26571.99</v>
      </c>
      <c r="D77" s="83">
        <f t="shared" si="2"/>
        <v>21167.162142857145</v>
      </c>
    </row>
    <row r="78" spans="1:4" ht="16.5" thickBot="1" x14ac:dyDescent="0.3">
      <c r="A78" s="61" t="s">
        <v>371</v>
      </c>
      <c r="B78" s="61" t="s">
        <v>437</v>
      </c>
      <c r="C78" s="82">
        <f>IFERROR(VLOOKUP(B78,'VTN2025'!B:I,8,FALSE),"-")</f>
        <v>26751.666666666668</v>
      </c>
      <c r="D78" s="83">
        <f t="shared" si="2"/>
        <v>21167.162142857145</v>
      </c>
    </row>
    <row r="79" spans="1:4" ht="16.5" thickBot="1" x14ac:dyDescent="0.3">
      <c r="A79" s="61" t="s">
        <v>371</v>
      </c>
      <c r="B79" s="61" t="s">
        <v>374</v>
      </c>
      <c r="C79" s="82" t="str">
        <f>IFERROR(VLOOKUP(B79,'VTN2025'!B:I,8,FALSE),"-")</f>
        <v>-</v>
      </c>
      <c r="D79" s="83">
        <f t="shared" si="2"/>
        <v>21167.162142857145</v>
      </c>
    </row>
    <row r="80" spans="1:4" ht="16.5" thickBot="1" x14ac:dyDescent="0.3">
      <c r="A80" s="61" t="s">
        <v>371</v>
      </c>
      <c r="B80" s="61" t="s">
        <v>375</v>
      </c>
      <c r="C80" s="82">
        <f>IFERROR(VLOOKUP(B80,'VTN2025'!B:I,8,FALSE),"-")</f>
        <v>20521.601666666666</v>
      </c>
      <c r="D80" s="83">
        <f t="shared" si="2"/>
        <v>21167.162142857145</v>
      </c>
    </row>
    <row r="81" spans="1:4" ht="16.5" thickBot="1" x14ac:dyDescent="0.3">
      <c r="A81" s="61" t="s">
        <v>371</v>
      </c>
      <c r="B81" s="61" t="s">
        <v>438</v>
      </c>
      <c r="C81" s="82" t="str">
        <f>IFERROR(VLOOKUP(B81,'VTN2025'!B:I,8,FALSE),"-")</f>
        <v>-</v>
      </c>
      <c r="D81" s="83">
        <f t="shared" si="2"/>
        <v>21167.162142857145</v>
      </c>
    </row>
    <row r="82" spans="1:4" ht="16.5" thickBot="1" x14ac:dyDescent="0.3">
      <c r="A82" s="61" t="s">
        <v>364</v>
      </c>
      <c r="B82" s="61" t="s">
        <v>363</v>
      </c>
      <c r="C82" s="82">
        <f>IFERROR(VLOOKUP(B82,'VTN2025'!B:I,8,FALSE),"-")</f>
        <v>25479.37</v>
      </c>
      <c r="D82" s="83">
        <f t="shared" si="2"/>
        <v>32438.061666666665</v>
      </c>
    </row>
    <row r="83" spans="1:4" ht="16.5" thickBot="1" x14ac:dyDescent="0.3">
      <c r="A83" s="61" t="s">
        <v>364</v>
      </c>
      <c r="B83" s="61" t="s">
        <v>365</v>
      </c>
      <c r="C83" s="82">
        <f>IFERROR(VLOOKUP(B83,'VTN2025'!B:I,8,FALSE),"-")</f>
        <v>28728.081666666665</v>
      </c>
      <c r="D83" s="83">
        <f t="shared" si="2"/>
        <v>32438.061666666665</v>
      </c>
    </row>
    <row r="84" spans="1:4" ht="16.5" thickBot="1" x14ac:dyDescent="0.3">
      <c r="A84" s="61" t="s">
        <v>364</v>
      </c>
      <c r="B84" s="61" t="s">
        <v>439</v>
      </c>
      <c r="C84" s="82">
        <f>IFERROR(VLOOKUP(B84,'VTN2025'!B:I,8,FALSE),"-")</f>
        <v>18695</v>
      </c>
      <c r="D84" s="83">
        <f t="shared" si="2"/>
        <v>32438.061666666665</v>
      </c>
    </row>
    <row r="85" spans="1:4" ht="16.5" thickBot="1" x14ac:dyDescent="0.3">
      <c r="A85" s="61" t="s">
        <v>364</v>
      </c>
      <c r="B85" s="61" t="s">
        <v>366</v>
      </c>
      <c r="C85" s="82">
        <f>IFERROR(VLOOKUP(B85,'VTN2025'!B:I,8,FALSE),"-")</f>
        <v>64897.67333333334</v>
      </c>
      <c r="D85" s="83">
        <f t="shared" si="2"/>
        <v>32438.061666666665</v>
      </c>
    </row>
    <row r="86" spans="1:4" ht="16.5" thickBot="1" x14ac:dyDescent="0.3">
      <c r="A86" s="61" t="s">
        <v>364</v>
      </c>
      <c r="B86" s="61" t="s">
        <v>440</v>
      </c>
      <c r="C86" s="82">
        <f>IFERROR(VLOOKUP(B86,'VTN2025'!B:I,8,FALSE),"-")</f>
        <v>32851.071666666663</v>
      </c>
      <c r="D86" s="83">
        <f t="shared" si="2"/>
        <v>32438.061666666665</v>
      </c>
    </row>
    <row r="87" spans="1:4" ht="16.5" thickBot="1" x14ac:dyDescent="0.3">
      <c r="A87" s="61" t="s">
        <v>364</v>
      </c>
      <c r="B87" s="61" t="s">
        <v>441</v>
      </c>
      <c r="C87" s="82">
        <f>IFERROR(VLOOKUP(B87,'VTN2025'!B:I,8,FALSE),"-")</f>
        <v>23977.173333333336</v>
      </c>
      <c r="D87" s="83">
        <f t="shared" si="2"/>
        <v>32438.061666666665</v>
      </c>
    </row>
    <row r="88" spans="1:4" ht="16.5" thickBot="1" x14ac:dyDescent="0.3">
      <c r="A88" s="61" t="s">
        <v>442</v>
      </c>
      <c r="B88" s="61" t="s">
        <v>443</v>
      </c>
      <c r="C88" s="82">
        <f>IFERROR(VLOOKUP(B88,'VTN2025'!B:I,8,FALSE),"-")</f>
        <v>13249.846363636363</v>
      </c>
      <c r="D88" s="83">
        <f t="shared" si="2"/>
        <v>16064.048232323234</v>
      </c>
    </row>
    <row r="89" spans="1:4" ht="16.5" thickBot="1" x14ac:dyDescent="0.3">
      <c r="A89" s="61" t="s">
        <v>442</v>
      </c>
      <c r="B89" s="61" t="s">
        <v>444</v>
      </c>
      <c r="C89" s="82">
        <f>IFERROR(VLOOKUP(B89,'VTN2025'!B:I,8,FALSE),"-")</f>
        <v>17929.771666666667</v>
      </c>
      <c r="D89" s="83">
        <f t="shared" si="2"/>
        <v>16064.048232323234</v>
      </c>
    </row>
    <row r="90" spans="1:4" ht="16.5" thickBot="1" x14ac:dyDescent="0.3">
      <c r="A90" s="61" t="s">
        <v>442</v>
      </c>
      <c r="B90" s="61" t="s">
        <v>445</v>
      </c>
      <c r="C90" s="82">
        <f>IFERROR(VLOOKUP(B90,'VTN2025'!B:I,8,FALSE),"-")</f>
        <v>17012.526666666668</v>
      </c>
      <c r="D90" s="83">
        <f t="shared" si="2"/>
        <v>16064.048232323234</v>
      </c>
    </row>
    <row r="91" spans="1:4" ht="16.5" thickBot="1" x14ac:dyDescent="0.3">
      <c r="A91" s="61" t="s">
        <v>442</v>
      </c>
      <c r="B91" s="61" t="s">
        <v>446</v>
      </c>
      <c r="C91" s="82" t="str">
        <f>IFERROR(VLOOKUP(B91,'VTN2025'!B:I,8,FALSE),"-")</f>
        <v>-</v>
      </c>
      <c r="D91" s="83">
        <f t="shared" si="2"/>
        <v>16064.048232323234</v>
      </c>
    </row>
    <row r="92" spans="1:4" ht="16.5" thickBot="1" x14ac:dyDescent="0.3">
      <c r="A92" s="61" t="s">
        <v>447</v>
      </c>
      <c r="B92" s="61" t="s">
        <v>448</v>
      </c>
      <c r="C92" s="82">
        <f>IFERROR(VLOOKUP(B92,'VTN2025'!B:I,8,FALSE),"-")</f>
        <v>15121.058333333332</v>
      </c>
      <c r="D92" s="83">
        <f t="shared" si="2"/>
        <v>13755.742083333333</v>
      </c>
    </row>
    <row r="93" spans="1:4" ht="16.5" thickBot="1" x14ac:dyDescent="0.3">
      <c r="A93" s="61" t="s">
        <v>447</v>
      </c>
      <c r="B93" s="61" t="s">
        <v>449</v>
      </c>
      <c r="C93" s="82" t="str">
        <f>IFERROR(VLOOKUP(B93,'VTN2025'!B:I,8,FALSE),"-")</f>
        <v>-</v>
      </c>
      <c r="D93" s="83">
        <f t="shared" si="2"/>
        <v>13755.742083333333</v>
      </c>
    </row>
    <row r="94" spans="1:4" ht="16.5" thickBot="1" x14ac:dyDescent="0.3">
      <c r="A94" s="61" t="s">
        <v>447</v>
      </c>
      <c r="B94" s="61" t="s">
        <v>450</v>
      </c>
      <c r="C94" s="82">
        <f>IFERROR(VLOOKUP(B94,'VTN2025'!B:I,8,FALSE),"-")</f>
        <v>14070.331666666667</v>
      </c>
      <c r="D94" s="83">
        <f t="shared" si="2"/>
        <v>13755.742083333333</v>
      </c>
    </row>
    <row r="95" spans="1:4" ht="16.5" thickBot="1" x14ac:dyDescent="0.3">
      <c r="A95" s="61" t="s">
        <v>447</v>
      </c>
      <c r="B95" s="61" t="s">
        <v>451</v>
      </c>
      <c r="C95" s="82">
        <f>IFERROR(VLOOKUP(B95,'VTN2025'!B:I,8,FALSE),"-")</f>
        <v>13376.666666666666</v>
      </c>
      <c r="D95" s="83">
        <f t="shared" si="2"/>
        <v>13755.742083333333</v>
      </c>
    </row>
    <row r="96" spans="1:4" ht="16.5" thickBot="1" x14ac:dyDescent="0.3">
      <c r="A96" s="61" t="s">
        <v>447</v>
      </c>
      <c r="B96" s="61" t="s">
        <v>452</v>
      </c>
      <c r="C96" s="82">
        <f>IFERROR(VLOOKUP(B96,'VTN2025'!B:I,8,FALSE),"-")</f>
        <v>12454.911666666667</v>
      </c>
      <c r="D96" s="83">
        <f t="shared" si="2"/>
        <v>13755.742083333333</v>
      </c>
    </row>
    <row r="97" spans="1:4" ht="16.5" thickBot="1" x14ac:dyDescent="0.3">
      <c r="A97" s="61" t="s">
        <v>453</v>
      </c>
      <c r="B97" s="61" t="s">
        <v>454</v>
      </c>
      <c r="C97" s="82" t="str">
        <f>IFERROR(VLOOKUP(B97,'VTN2025'!B:I,8,FALSE),"-")</f>
        <v>-</v>
      </c>
      <c r="D97" s="83">
        <f t="shared" si="2"/>
        <v>8686.7425000000003</v>
      </c>
    </row>
    <row r="98" spans="1:4" ht="16.5" thickBot="1" x14ac:dyDescent="0.3">
      <c r="A98" s="61" t="s">
        <v>453</v>
      </c>
      <c r="B98" s="61" t="s">
        <v>455</v>
      </c>
      <c r="C98" s="82" t="str">
        <f>IFERROR(VLOOKUP(B98,'VTN2025'!B:I,8,FALSE),"-")</f>
        <v>-</v>
      </c>
      <c r="D98" s="83">
        <f t="shared" si="2"/>
        <v>8686.7425000000003</v>
      </c>
    </row>
    <row r="99" spans="1:4" ht="16.5" thickBot="1" x14ac:dyDescent="0.3">
      <c r="A99" s="61" t="s">
        <v>453</v>
      </c>
      <c r="B99" s="61" t="s">
        <v>456</v>
      </c>
      <c r="C99" s="82">
        <f>IFERROR(VLOOKUP(B99,'VTN2025'!B:I,8,FALSE),"-")</f>
        <v>4684.6533333333327</v>
      </c>
      <c r="D99" s="83">
        <f t="shared" si="2"/>
        <v>8686.7425000000003</v>
      </c>
    </row>
    <row r="100" spans="1:4" ht="16.5" thickBot="1" x14ac:dyDescent="0.3">
      <c r="A100" s="61" t="s">
        <v>453</v>
      </c>
      <c r="B100" s="61" t="s">
        <v>457</v>
      </c>
      <c r="C100" s="82">
        <f>IFERROR(VLOOKUP(B100,'VTN2025'!B:I,8,FALSE),"-")</f>
        <v>12688.831666666667</v>
      </c>
      <c r="D100" s="83">
        <f t="shared" si="2"/>
        <v>8686.7425000000003</v>
      </c>
    </row>
    <row r="101" spans="1:4" ht="16.5" thickBot="1" x14ac:dyDescent="0.3">
      <c r="A101" s="61" t="s">
        <v>453</v>
      </c>
      <c r="B101" s="61" t="s">
        <v>458</v>
      </c>
      <c r="C101" s="82" t="str">
        <f>IFERROR(VLOOKUP(B101,'VTN2025'!B:I,8,FALSE),"-")</f>
        <v>-</v>
      </c>
      <c r="D101" s="83">
        <f t="shared" si="2"/>
        <v>8686.7425000000003</v>
      </c>
    </row>
    <row r="102" spans="1:4" ht="16.5" thickBot="1" x14ac:dyDescent="0.3">
      <c r="A102" s="61" t="s">
        <v>365</v>
      </c>
      <c r="B102" s="61" t="s">
        <v>363</v>
      </c>
      <c r="C102" s="82">
        <f>IFERROR(VLOOKUP(B102,'VTN2025'!B:I,8,FALSE),"-")</f>
        <v>25479.37</v>
      </c>
      <c r="D102" s="83">
        <f t="shared" si="2"/>
        <v>32408.934000000001</v>
      </c>
    </row>
    <row r="103" spans="1:4" ht="16.5" thickBot="1" x14ac:dyDescent="0.3">
      <c r="A103" s="61" t="s">
        <v>365</v>
      </c>
      <c r="B103" s="61" t="s">
        <v>364</v>
      </c>
      <c r="C103" s="82" t="str">
        <f>IFERROR(VLOOKUP(B103,'VTN2025'!B:I,8,FALSE),"-")</f>
        <v>-</v>
      </c>
      <c r="D103" s="83">
        <f t="shared" si="2"/>
        <v>32408.934000000001</v>
      </c>
    </row>
    <row r="104" spans="1:4" ht="16.5" thickBot="1" x14ac:dyDescent="0.3">
      <c r="A104" s="61" t="s">
        <v>365</v>
      </c>
      <c r="B104" s="61" t="s">
        <v>366</v>
      </c>
      <c r="C104" s="82">
        <f>IFERROR(VLOOKUP(B104,'VTN2025'!B:I,8,FALSE),"-")</f>
        <v>64897.67333333334</v>
      </c>
      <c r="D104" s="83">
        <f t="shared" si="2"/>
        <v>32408.934000000001</v>
      </c>
    </row>
    <row r="105" spans="1:4" ht="16.5" thickBot="1" x14ac:dyDescent="0.3">
      <c r="A105" s="61" t="s">
        <v>365</v>
      </c>
      <c r="B105" s="61" t="s">
        <v>367</v>
      </c>
      <c r="C105" s="82">
        <f>IFERROR(VLOOKUP(B105,'VTN2025'!B:I,8,FALSE),"-")</f>
        <v>21065.23</v>
      </c>
      <c r="D105" s="83">
        <f t="shared" si="2"/>
        <v>32408.934000000001</v>
      </c>
    </row>
    <row r="106" spans="1:4" ht="16.5" thickBot="1" x14ac:dyDescent="0.3">
      <c r="A106" s="61" t="s">
        <v>365</v>
      </c>
      <c r="B106" s="61" t="s">
        <v>440</v>
      </c>
      <c r="C106" s="82">
        <f>IFERROR(VLOOKUP(B106,'VTN2025'!B:I,8,FALSE),"-")</f>
        <v>32851.071666666663</v>
      </c>
      <c r="D106" s="83">
        <f t="shared" si="2"/>
        <v>32408.934000000001</v>
      </c>
    </row>
    <row r="107" spans="1:4" ht="16.5" thickBot="1" x14ac:dyDescent="0.3">
      <c r="A107" s="61" t="s">
        <v>365</v>
      </c>
      <c r="B107" s="61" t="s">
        <v>459</v>
      </c>
      <c r="C107" s="82">
        <f>IFERROR(VLOOKUP(B107,'VTN2025'!B:I,8,FALSE),"-")</f>
        <v>17751.325000000001</v>
      </c>
      <c r="D107" s="83">
        <f t="shared" si="2"/>
        <v>32408.934000000001</v>
      </c>
    </row>
    <row r="108" spans="1:4" ht="16.5" thickBot="1" x14ac:dyDescent="0.3">
      <c r="A108" s="61" t="s">
        <v>460</v>
      </c>
      <c r="B108" s="61" t="s">
        <v>461</v>
      </c>
      <c r="C108" s="82">
        <f>IFERROR(VLOOKUP(B108,'VTN2025'!B:I,8,FALSE),"-")</f>
        <v>13828.659999999998</v>
      </c>
      <c r="D108" s="83">
        <f t="shared" si="2"/>
        <v>13323.244583333333</v>
      </c>
    </row>
    <row r="109" spans="1:4" ht="16.5" thickBot="1" x14ac:dyDescent="0.3">
      <c r="A109" s="61" t="s">
        <v>460</v>
      </c>
      <c r="B109" s="61" t="s">
        <v>462</v>
      </c>
      <c r="C109" s="82">
        <f>IFERROR(VLOOKUP(B109,'VTN2025'!B:I,8,FALSE),"-")</f>
        <v>5157.7650000000003</v>
      </c>
      <c r="D109" s="83">
        <f t="shared" si="2"/>
        <v>13323.244583333333</v>
      </c>
    </row>
    <row r="110" spans="1:4" ht="16.5" thickBot="1" x14ac:dyDescent="0.3">
      <c r="A110" s="61" t="s">
        <v>460</v>
      </c>
      <c r="B110" s="61" t="s">
        <v>463</v>
      </c>
      <c r="C110" s="82">
        <f>IFERROR(VLOOKUP(B110,'VTN2025'!B:I,8,FALSE),"-")</f>
        <v>11971.729999999998</v>
      </c>
      <c r="D110" s="83">
        <f t="shared" si="2"/>
        <v>13323.244583333333</v>
      </c>
    </row>
    <row r="111" spans="1:4" ht="16.5" thickBot="1" x14ac:dyDescent="0.3">
      <c r="A111" s="61" t="s">
        <v>460</v>
      </c>
      <c r="B111" s="61" t="s">
        <v>464</v>
      </c>
      <c r="C111" s="82">
        <f>IFERROR(VLOOKUP(B111,'VTN2025'!B:I,8,FALSE),"-")</f>
        <v>11107.605000000001</v>
      </c>
      <c r="D111" s="83">
        <f t="shared" si="2"/>
        <v>13323.244583333333</v>
      </c>
    </row>
    <row r="112" spans="1:4" ht="16.5" thickBot="1" x14ac:dyDescent="0.3">
      <c r="A112" s="61" t="s">
        <v>460</v>
      </c>
      <c r="B112" s="61" t="s">
        <v>465</v>
      </c>
      <c r="C112" s="82">
        <f>IFERROR(VLOOKUP(B112,'VTN2025'!B:I,8,FALSE),"-")</f>
        <v>23764.458333333332</v>
      </c>
      <c r="D112" s="83">
        <f t="shared" si="2"/>
        <v>13323.244583333333</v>
      </c>
    </row>
    <row r="113" spans="1:4" ht="16.5" thickBot="1" x14ac:dyDescent="0.3">
      <c r="A113" s="61" t="s">
        <v>460</v>
      </c>
      <c r="B113" s="61" t="s">
        <v>466</v>
      </c>
      <c r="C113" s="82">
        <f>IFERROR(VLOOKUP(B113,'VTN2025'!B:I,8,FALSE),"-")</f>
        <v>16485.681666666667</v>
      </c>
      <c r="D113" s="83">
        <f t="shared" si="2"/>
        <v>13323.244583333333</v>
      </c>
    </row>
    <row r="114" spans="1:4" ht="16.5" thickBot="1" x14ac:dyDescent="0.3">
      <c r="A114" s="61" t="s">
        <v>460</v>
      </c>
      <c r="B114" s="61" t="s">
        <v>467</v>
      </c>
      <c r="C114" s="82">
        <f>IFERROR(VLOOKUP(B114,'VTN2025'!B:I,8,FALSE),"-")</f>
        <v>11653.743333333334</v>
      </c>
      <c r="D114" s="83">
        <f t="shared" si="2"/>
        <v>13323.244583333333</v>
      </c>
    </row>
    <row r="115" spans="1:4" ht="16.5" thickBot="1" x14ac:dyDescent="0.3">
      <c r="A115" s="61" t="s">
        <v>460</v>
      </c>
      <c r="B115" s="61" t="s">
        <v>468</v>
      </c>
      <c r="C115" s="82">
        <f>IFERROR(VLOOKUP(B115,'VTN2025'!B:I,8,FALSE),"-")</f>
        <v>12616.313333333332</v>
      </c>
      <c r="D115" s="83">
        <f t="shared" si="2"/>
        <v>13323.244583333333</v>
      </c>
    </row>
    <row r="116" spans="1:4" ht="16.5" thickBot="1" x14ac:dyDescent="0.3">
      <c r="A116" s="61" t="s">
        <v>469</v>
      </c>
      <c r="B116" s="61" t="s">
        <v>430</v>
      </c>
      <c r="C116" s="82">
        <f>IFERROR(VLOOKUP(B116,'VTN2025'!B:I,8,FALSE),"-")</f>
        <v>27850.556666666667</v>
      </c>
      <c r="D116" s="83">
        <f t="shared" si="2"/>
        <v>29457.542500000003</v>
      </c>
    </row>
    <row r="117" spans="1:4" ht="16.5" thickBot="1" x14ac:dyDescent="0.3">
      <c r="A117" s="61" t="s">
        <v>469</v>
      </c>
      <c r="B117" s="61" t="s">
        <v>470</v>
      </c>
      <c r="C117" s="82" t="str">
        <f>IFERROR(VLOOKUP(B117,'VTN2025'!B:I,8,FALSE),"-")</f>
        <v>-</v>
      </c>
      <c r="D117" s="83">
        <f t="shared" si="2"/>
        <v>29457.542500000003</v>
      </c>
    </row>
    <row r="118" spans="1:4" ht="16.5" thickBot="1" x14ac:dyDescent="0.3">
      <c r="A118" s="61" t="s">
        <v>469</v>
      </c>
      <c r="B118" s="61" t="s">
        <v>471</v>
      </c>
      <c r="C118" s="82">
        <f>IFERROR(VLOOKUP(B118,'VTN2025'!B:I,8,FALSE),"-")</f>
        <v>31249.99</v>
      </c>
      <c r="D118" s="83">
        <f t="shared" si="2"/>
        <v>29457.542500000003</v>
      </c>
    </row>
    <row r="119" spans="1:4" ht="16.5" thickBot="1" x14ac:dyDescent="0.3">
      <c r="A119" s="61" t="s">
        <v>469</v>
      </c>
      <c r="B119" s="61" t="s">
        <v>423</v>
      </c>
      <c r="C119" s="82">
        <f>IFERROR(VLOOKUP(B119,'VTN2025'!B:I,8,FALSE),"-")</f>
        <v>28687.101666666669</v>
      </c>
      <c r="D119" s="83">
        <f t="shared" si="2"/>
        <v>29457.542500000003</v>
      </c>
    </row>
    <row r="120" spans="1:4" ht="16.5" thickBot="1" x14ac:dyDescent="0.3">
      <c r="A120" s="61" t="s">
        <v>469</v>
      </c>
      <c r="B120" s="61" t="s">
        <v>472</v>
      </c>
      <c r="C120" s="82">
        <f>IFERROR(VLOOKUP(B120,'VTN2025'!B:I,8,FALSE),"-")</f>
        <v>30042.521666666664</v>
      </c>
      <c r="D120" s="83">
        <f t="shared" si="2"/>
        <v>29457.542500000003</v>
      </c>
    </row>
    <row r="121" spans="1:4" ht="16.5" thickBot="1" x14ac:dyDescent="0.3">
      <c r="A121" s="61" t="s">
        <v>473</v>
      </c>
      <c r="B121" s="61" t="s">
        <v>456</v>
      </c>
      <c r="C121" s="82">
        <f>IFERROR(VLOOKUP(B121,'VTN2025'!B:I,8,FALSE),"-")</f>
        <v>4684.6533333333327</v>
      </c>
      <c r="D121" s="83">
        <f t="shared" si="2"/>
        <v>11578.045</v>
      </c>
    </row>
    <row r="122" spans="1:4" ht="16.5" thickBot="1" x14ac:dyDescent="0.3">
      <c r="A122" s="61" t="s">
        <v>473</v>
      </c>
      <c r="B122" s="61" t="s">
        <v>474</v>
      </c>
      <c r="C122" s="82">
        <f>IFERROR(VLOOKUP(B122,'VTN2025'!B:I,8,FALSE),"-")</f>
        <v>7580.2250000000013</v>
      </c>
      <c r="D122" s="83">
        <f t="shared" si="2"/>
        <v>11578.045</v>
      </c>
    </row>
    <row r="123" spans="1:4" ht="16.5" thickBot="1" x14ac:dyDescent="0.3">
      <c r="A123" s="61" t="s">
        <v>473</v>
      </c>
      <c r="B123" s="61" t="s">
        <v>475</v>
      </c>
      <c r="C123" s="82">
        <f>IFERROR(VLOOKUP(B123,'VTN2025'!B:I,8,FALSE),"-")</f>
        <v>13640.51</v>
      </c>
      <c r="D123" s="83">
        <f t="shared" si="2"/>
        <v>11578.045</v>
      </c>
    </row>
    <row r="124" spans="1:4" ht="16.5" thickBot="1" x14ac:dyDescent="0.3">
      <c r="A124" s="61" t="s">
        <v>473</v>
      </c>
      <c r="B124" s="61" t="s">
        <v>425</v>
      </c>
      <c r="C124" s="82">
        <f>IFERROR(VLOOKUP(B124,'VTN2025'!B:I,8,FALSE),"-")</f>
        <v>12053.771666666667</v>
      </c>
      <c r="D124" s="83">
        <f t="shared" si="2"/>
        <v>11578.045</v>
      </c>
    </row>
    <row r="125" spans="1:4" ht="16.5" thickBot="1" x14ac:dyDescent="0.3">
      <c r="A125" s="61" t="s">
        <v>473</v>
      </c>
      <c r="B125" s="61" t="s">
        <v>426</v>
      </c>
      <c r="C125" s="82">
        <f>IFERROR(VLOOKUP(B125,'VTN2025'!B:I,8,FALSE),"-")</f>
        <v>12237.195</v>
      </c>
      <c r="D125" s="83">
        <f t="shared" si="2"/>
        <v>11578.045</v>
      </c>
    </row>
    <row r="126" spans="1:4" ht="16.5" thickBot="1" x14ac:dyDescent="0.3">
      <c r="A126" s="61" t="s">
        <v>473</v>
      </c>
      <c r="B126" s="61" t="s">
        <v>457</v>
      </c>
      <c r="C126" s="82">
        <f>IFERROR(VLOOKUP(B126,'VTN2025'!B:I,8,FALSE),"-")</f>
        <v>12688.831666666667</v>
      </c>
      <c r="D126" s="83">
        <f t="shared" si="2"/>
        <v>11578.045</v>
      </c>
    </row>
    <row r="127" spans="1:4" ht="16.5" thickBot="1" x14ac:dyDescent="0.3">
      <c r="A127" s="61" t="s">
        <v>473</v>
      </c>
      <c r="B127" s="61" t="s">
        <v>476</v>
      </c>
      <c r="C127" s="82">
        <f>IFERROR(VLOOKUP(B127,'VTN2025'!B:I,8,FALSE),"-")</f>
        <v>21728.646666666664</v>
      </c>
      <c r="D127" s="83">
        <f t="shared" ref="D127:D190" si="3">AVERAGEIF($A:$A,A127,$C:$C)</f>
        <v>11578.045</v>
      </c>
    </row>
    <row r="128" spans="1:4" ht="16.5" thickBot="1" x14ac:dyDescent="0.3">
      <c r="A128" s="61" t="s">
        <v>473</v>
      </c>
      <c r="B128" s="61" t="s">
        <v>477</v>
      </c>
      <c r="C128" s="82">
        <f>IFERROR(VLOOKUP(B128,'VTN2025'!B:I,8,FALSE),"-")</f>
        <v>8010.5266666666676</v>
      </c>
      <c r="D128" s="83">
        <f t="shared" si="3"/>
        <v>11578.045</v>
      </c>
    </row>
    <row r="129" spans="1:4" ht="16.5" thickBot="1" x14ac:dyDescent="0.3">
      <c r="A129" s="61" t="s">
        <v>461</v>
      </c>
      <c r="B129" s="61" t="s">
        <v>460</v>
      </c>
      <c r="C129" s="82">
        <f>IFERROR(VLOOKUP(B129,'VTN2025'!B:I,8,FALSE),"-")</f>
        <v>6024.7283333333335</v>
      </c>
      <c r="D129" s="83">
        <f t="shared" si="3"/>
        <v>9573.4743333333336</v>
      </c>
    </row>
    <row r="130" spans="1:4" ht="16.5" thickBot="1" x14ac:dyDescent="0.3">
      <c r="A130" s="61" t="s">
        <v>461</v>
      </c>
      <c r="B130" s="61" t="s">
        <v>478</v>
      </c>
      <c r="C130" s="82">
        <f>IFERROR(VLOOKUP(B130,'VTN2025'!B:I,8,FALSE),"-")</f>
        <v>8311.25</v>
      </c>
      <c r="D130" s="83">
        <f t="shared" si="3"/>
        <v>9573.4743333333336</v>
      </c>
    </row>
    <row r="131" spans="1:4" ht="16.5" thickBot="1" x14ac:dyDescent="0.3">
      <c r="A131" s="61" t="s">
        <v>461</v>
      </c>
      <c r="B131" s="61" t="s">
        <v>479</v>
      </c>
      <c r="C131" s="82" t="str">
        <f>IFERROR(VLOOKUP(B131,'VTN2025'!B:I,8,FALSE),"-")</f>
        <v>-</v>
      </c>
      <c r="D131" s="83">
        <f t="shared" si="3"/>
        <v>9573.4743333333336</v>
      </c>
    </row>
    <row r="132" spans="1:4" ht="16.5" thickBot="1" x14ac:dyDescent="0.3">
      <c r="A132" s="61" t="s">
        <v>461</v>
      </c>
      <c r="B132" s="61" t="s">
        <v>464</v>
      </c>
      <c r="C132" s="82">
        <f>IFERROR(VLOOKUP(B132,'VTN2025'!B:I,8,FALSE),"-")</f>
        <v>11107.605000000001</v>
      </c>
      <c r="D132" s="83">
        <f t="shared" si="3"/>
        <v>9573.4743333333336</v>
      </c>
    </row>
    <row r="133" spans="1:4" ht="16.5" thickBot="1" x14ac:dyDescent="0.3">
      <c r="A133" s="61" t="s">
        <v>461</v>
      </c>
      <c r="B133" s="61" t="s">
        <v>466</v>
      </c>
      <c r="C133" s="82">
        <f>IFERROR(VLOOKUP(B133,'VTN2025'!B:I,8,FALSE),"-")</f>
        <v>16485.681666666667</v>
      </c>
      <c r="D133" s="83">
        <f t="shared" si="3"/>
        <v>9573.4743333333336</v>
      </c>
    </row>
    <row r="134" spans="1:4" ht="16.5" thickBot="1" x14ac:dyDescent="0.3">
      <c r="A134" s="61" t="s">
        <v>461</v>
      </c>
      <c r="B134" s="61" t="s">
        <v>480</v>
      </c>
      <c r="C134" s="82">
        <f>IFERROR(VLOOKUP(B134,'VTN2025'!B:I,8,FALSE),"-")</f>
        <v>5938.1066666666666</v>
      </c>
      <c r="D134" s="83">
        <f t="shared" si="3"/>
        <v>9573.4743333333336</v>
      </c>
    </row>
    <row r="135" spans="1:4" ht="16.5" thickBot="1" x14ac:dyDescent="0.3">
      <c r="A135" s="61" t="s">
        <v>481</v>
      </c>
      <c r="B135" s="61" t="s">
        <v>482</v>
      </c>
      <c r="C135" s="82">
        <f>IFERROR(VLOOKUP(B135,'VTN2025'!B:I,8,FALSE),"-")</f>
        <v>18832.576666666668</v>
      </c>
      <c r="D135" s="83">
        <f t="shared" si="3"/>
        <v>20084.816388888888</v>
      </c>
    </row>
    <row r="136" spans="1:4" ht="16.5" thickBot="1" x14ac:dyDescent="0.3">
      <c r="A136" s="61" t="s">
        <v>481</v>
      </c>
      <c r="B136" s="61" t="s">
        <v>483</v>
      </c>
      <c r="C136" s="82">
        <f>IFERROR(VLOOKUP(B136,'VTN2025'!B:I,8,FALSE),"-")</f>
        <v>13927.696666666665</v>
      </c>
      <c r="D136" s="83">
        <f t="shared" si="3"/>
        <v>20084.816388888888</v>
      </c>
    </row>
    <row r="137" spans="1:4" ht="16.5" thickBot="1" x14ac:dyDescent="0.3">
      <c r="A137" s="61" t="s">
        <v>481</v>
      </c>
      <c r="B137" s="61" t="s">
        <v>484</v>
      </c>
      <c r="C137" s="82">
        <f>IFERROR(VLOOKUP(B137,'VTN2025'!B:I,8,FALSE),"-")</f>
        <v>26491.596666666665</v>
      </c>
      <c r="D137" s="83">
        <f t="shared" si="3"/>
        <v>20084.816388888888</v>
      </c>
    </row>
    <row r="138" spans="1:4" ht="16.5" thickBot="1" x14ac:dyDescent="0.3">
      <c r="A138" s="61" t="s">
        <v>481</v>
      </c>
      <c r="B138" s="61" t="s">
        <v>485</v>
      </c>
      <c r="C138" s="82" t="str">
        <f>IFERROR(VLOOKUP(B138,'VTN2025'!B:I,8,FALSE),"-")</f>
        <v>-</v>
      </c>
      <c r="D138" s="83">
        <f t="shared" si="3"/>
        <v>20084.816388888888</v>
      </c>
    </row>
    <row r="139" spans="1:4" ht="16.5" thickBot="1" x14ac:dyDescent="0.3">
      <c r="A139" s="61" t="s">
        <v>481</v>
      </c>
      <c r="B139" s="61" t="s">
        <v>380</v>
      </c>
      <c r="C139" s="82">
        <f>IFERROR(VLOOKUP(B139,'VTN2025'!B:I,8,FALSE),"-")</f>
        <v>14200.974999999999</v>
      </c>
      <c r="D139" s="83">
        <f t="shared" si="3"/>
        <v>20084.816388888888</v>
      </c>
    </row>
    <row r="140" spans="1:4" ht="16.5" thickBot="1" x14ac:dyDescent="0.3">
      <c r="A140" s="61" t="s">
        <v>481</v>
      </c>
      <c r="B140" s="61" t="s">
        <v>486</v>
      </c>
      <c r="C140" s="82">
        <f>IFERROR(VLOOKUP(B140,'VTN2025'!B:I,8,FALSE),"-")</f>
        <v>28650.333333333332</v>
      </c>
      <c r="D140" s="83">
        <f t="shared" si="3"/>
        <v>20084.816388888888</v>
      </c>
    </row>
    <row r="141" spans="1:4" ht="16.5" thickBot="1" x14ac:dyDescent="0.3">
      <c r="A141" s="61" t="s">
        <v>481</v>
      </c>
      <c r="B141" s="61" t="s">
        <v>388</v>
      </c>
      <c r="C141" s="82">
        <f>IFERROR(VLOOKUP(B141,'VTN2025'!B:I,8,FALSE),"-")</f>
        <v>18405.719999999998</v>
      </c>
      <c r="D141" s="83">
        <f t="shared" si="3"/>
        <v>20084.816388888888</v>
      </c>
    </row>
    <row r="142" spans="1:4" ht="16.5" thickBot="1" x14ac:dyDescent="0.3">
      <c r="A142" s="61" t="s">
        <v>430</v>
      </c>
      <c r="B142" s="61" t="s">
        <v>385</v>
      </c>
      <c r="C142" s="82">
        <f>IFERROR(VLOOKUP(B142,'VTN2025'!B:I,8,FALSE),"-")</f>
        <v>27247.318333333333</v>
      </c>
      <c r="D142" s="83">
        <f t="shared" si="3"/>
        <v>24921.437666666669</v>
      </c>
    </row>
    <row r="143" spans="1:4" ht="16.5" thickBot="1" x14ac:dyDescent="0.3">
      <c r="A143" s="61" t="s">
        <v>430</v>
      </c>
      <c r="B143" s="61" t="s">
        <v>469</v>
      </c>
      <c r="C143" s="82">
        <f>IFERROR(VLOOKUP(B143,'VTN2025'!B:I,8,FALSE),"-")</f>
        <v>17771.586666666666</v>
      </c>
      <c r="D143" s="83">
        <f t="shared" si="3"/>
        <v>24921.437666666669</v>
      </c>
    </row>
    <row r="144" spans="1:4" ht="16.5" thickBot="1" x14ac:dyDescent="0.3">
      <c r="A144" s="61" t="s">
        <v>430</v>
      </c>
      <c r="B144" s="61" t="s">
        <v>470</v>
      </c>
      <c r="C144" s="82" t="str">
        <f>IFERROR(VLOOKUP(B144,'VTN2025'!B:I,8,FALSE),"-")</f>
        <v>-</v>
      </c>
      <c r="D144" s="83">
        <f t="shared" si="3"/>
        <v>24921.437666666669</v>
      </c>
    </row>
    <row r="145" spans="1:4" ht="16.5" thickBot="1" x14ac:dyDescent="0.3">
      <c r="A145" s="61" t="s">
        <v>430</v>
      </c>
      <c r="B145" s="61" t="s">
        <v>423</v>
      </c>
      <c r="C145" s="82">
        <f>IFERROR(VLOOKUP(B145,'VTN2025'!B:I,8,FALSE),"-")</f>
        <v>28687.101666666669</v>
      </c>
      <c r="D145" s="83">
        <f t="shared" si="3"/>
        <v>24921.437666666669</v>
      </c>
    </row>
    <row r="146" spans="1:4" ht="16.5" thickBot="1" x14ac:dyDescent="0.3">
      <c r="A146" s="61" t="s">
        <v>430</v>
      </c>
      <c r="B146" s="61" t="s">
        <v>431</v>
      </c>
      <c r="C146" s="82" t="str">
        <f>IFERROR(VLOOKUP(B146,'VTN2025'!B:I,8,FALSE),"-")</f>
        <v>-</v>
      </c>
      <c r="D146" s="83">
        <f t="shared" si="3"/>
        <v>24921.437666666669</v>
      </c>
    </row>
    <row r="147" spans="1:4" ht="16.5" thickBot="1" x14ac:dyDescent="0.3">
      <c r="A147" s="61" t="s">
        <v>430</v>
      </c>
      <c r="B147" s="61" t="s">
        <v>487</v>
      </c>
      <c r="C147" s="82">
        <f>IFERROR(VLOOKUP(B147,'VTN2025'!B:I,8,FALSE),"-")</f>
        <v>24342.469999999998</v>
      </c>
      <c r="D147" s="83">
        <f t="shared" si="3"/>
        <v>24921.437666666669</v>
      </c>
    </row>
    <row r="148" spans="1:4" ht="16.5" thickBot="1" x14ac:dyDescent="0.3">
      <c r="A148" s="61" t="s">
        <v>430</v>
      </c>
      <c r="B148" s="61" t="s">
        <v>368</v>
      </c>
      <c r="C148" s="82">
        <f>IFERROR(VLOOKUP(B148,'VTN2025'!B:I,8,FALSE),"-")</f>
        <v>26558.71166666667</v>
      </c>
      <c r="D148" s="83">
        <f t="shared" si="3"/>
        <v>24921.437666666669</v>
      </c>
    </row>
    <row r="149" spans="1:4" ht="16.5" thickBot="1" x14ac:dyDescent="0.3">
      <c r="A149" s="61" t="s">
        <v>454</v>
      </c>
      <c r="B149" s="61" t="s">
        <v>453</v>
      </c>
      <c r="C149" s="82">
        <f>IFERROR(VLOOKUP(B149,'VTN2025'!B:I,8,FALSE),"-")</f>
        <v>17020</v>
      </c>
      <c r="D149" s="83">
        <f t="shared" si="3"/>
        <v>10561.38875</v>
      </c>
    </row>
    <row r="150" spans="1:4" ht="16.5" thickBot="1" x14ac:dyDescent="0.3">
      <c r="A150" s="61" t="s">
        <v>454</v>
      </c>
      <c r="B150" s="61" t="s">
        <v>456</v>
      </c>
      <c r="C150" s="82">
        <f>IFERROR(VLOOKUP(B150,'VTN2025'!B:I,8,FALSE),"-")</f>
        <v>4684.6533333333327</v>
      </c>
      <c r="D150" s="83">
        <f t="shared" si="3"/>
        <v>10561.38875</v>
      </c>
    </row>
    <row r="151" spans="1:4" ht="16.5" thickBot="1" x14ac:dyDescent="0.3">
      <c r="A151" s="61" t="s">
        <v>454</v>
      </c>
      <c r="B151" s="61" t="s">
        <v>474</v>
      </c>
      <c r="C151" s="82">
        <f>IFERROR(VLOOKUP(B151,'VTN2025'!B:I,8,FALSE),"-")</f>
        <v>7580.2250000000013</v>
      </c>
      <c r="D151" s="83">
        <f t="shared" si="3"/>
        <v>10561.38875</v>
      </c>
    </row>
    <row r="152" spans="1:4" ht="16.5" thickBot="1" x14ac:dyDescent="0.3">
      <c r="A152" s="61" t="s">
        <v>454</v>
      </c>
      <c r="B152" s="61" t="s">
        <v>488</v>
      </c>
      <c r="C152" s="82">
        <f>IFERROR(VLOOKUP(B152,'VTN2025'!B:I,8,FALSE),"-")</f>
        <v>12960.676666666668</v>
      </c>
      <c r="D152" s="83">
        <f t="shared" si="3"/>
        <v>10561.38875</v>
      </c>
    </row>
    <row r="153" spans="1:4" ht="16.5" thickBot="1" x14ac:dyDescent="0.3">
      <c r="A153" s="61" t="s">
        <v>454</v>
      </c>
      <c r="B153" s="61" t="s">
        <v>458</v>
      </c>
      <c r="C153" s="82" t="str">
        <f>IFERROR(VLOOKUP(B153,'VTN2025'!B:I,8,FALSE),"-")</f>
        <v>-</v>
      </c>
      <c r="D153" s="83">
        <f t="shared" si="3"/>
        <v>10561.38875</v>
      </c>
    </row>
    <row r="154" spans="1:4" ht="16.5" thickBot="1" x14ac:dyDescent="0.3">
      <c r="A154" s="61" t="s">
        <v>454</v>
      </c>
      <c r="B154" s="61" t="s">
        <v>489</v>
      </c>
      <c r="C154" s="82" t="str">
        <f>IFERROR(VLOOKUP(B154,'VTN2025'!B:I,8,FALSE),"-")</f>
        <v>-</v>
      </c>
      <c r="D154" s="83">
        <f t="shared" si="3"/>
        <v>10561.38875</v>
      </c>
    </row>
    <row r="155" spans="1:4" ht="16.5" thickBot="1" x14ac:dyDescent="0.3">
      <c r="A155" s="61" t="s">
        <v>490</v>
      </c>
      <c r="B155" s="61" t="s">
        <v>491</v>
      </c>
      <c r="C155" s="82">
        <f>IFERROR(VLOOKUP(B155,'VTN2025'!B:I,8,FALSE),"-")</f>
        <v>12579.736666666669</v>
      </c>
      <c r="D155" s="83">
        <f t="shared" si="3"/>
        <v>9876.9766666666674</v>
      </c>
    </row>
    <row r="156" spans="1:4" ht="16.5" thickBot="1" x14ac:dyDescent="0.3">
      <c r="A156" s="61" t="s">
        <v>490</v>
      </c>
      <c r="B156" s="61" t="s">
        <v>404</v>
      </c>
      <c r="C156" s="82">
        <f>IFERROR(VLOOKUP(B156,'VTN2025'!B:I,8,FALSE),"-")</f>
        <v>6339.8433333333332</v>
      </c>
      <c r="D156" s="83">
        <f t="shared" si="3"/>
        <v>9876.9766666666674</v>
      </c>
    </row>
    <row r="157" spans="1:4" ht="16.5" thickBot="1" x14ac:dyDescent="0.3">
      <c r="A157" s="61" t="s">
        <v>490</v>
      </c>
      <c r="B157" s="61" t="s">
        <v>492</v>
      </c>
      <c r="C157" s="82">
        <f>IFERROR(VLOOKUP(B157,'VTN2025'!B:I,8,FALSE),"-")</f>
        <v>8292.09</v>
      </c>
      <c r="D157" s="83">
        <f t="shared" si="3"/>
        <v>9876.9766666666674</v>
      </c>
    </row>
    <row r="158" spans="1:4" ht="16.5" thickBot="1" x14ac:dyDescent="0.3">
      <c r="A158" s="61" t="s">
        <v>490</v>
      </c>
      <c r="B158" s="61" t="s">
        <v>493</v>
      </c>
      <c r="C158" s="82">
        <f>IFERROR(VLOOKUP(B158,'VTN2025'!B:I,8,FALSE),"-")</f>
        <v>12296.236666666666</v>
      </c>
      <c r="D158" s="83">
        <f t="shared" si="3"/>
        <v>9876.9766666666674</v>
      </c>
    </row>
    <row r="159" spans="1:4" ht="16.5" thickBot="1" x14ac:dyDescent="0.3">
      <c r="A159" s="61" t="s">
        <v>439</v>
      </c>
      <c r="B159" s="61" t="s">
        <v>364</v>
      </c>
      <c r="C159" s="82" t="str">
        <f>IFERROR(VLOOKUP(B159,'VTN2025'!B:I,8,FALSE),"-")</f>
        <v>-</v>
      </c>
      <c r="D159" s="83">
        <f t="shared" si="3"/>
        <v>25082.023055555557</v>
      </c>
    </row>
    <row r="160" spans="1:4" ht="16.5" thickBot="1" x14ac:dyDescent="0.3">
      <c r="A160" s="61" t="s">
        <v>439</v>
      </c>
      <c r="B160" s="61" t="s">
        <v>494</v>
      </c>
      <c r="C160" s="82" t="str">
        <f>IFERROR(VLOOKUP(B160,'VTN2025'!B:I,8,FALSE),"-")</f>
        <v>-</v>
      </c>
      <c r="D160" s="83">
        <f t="shared" si="3"/>
        <v>25082.023055555557</v>
      </c>
    </row>
    <row r="161" spans="1:4" ht="16.5" thickBot="1" x14ac:dyDescent="0.3">
      <c r="A161" s="61" t="s">
        <v>439</v>
      </c>
      <c r="B161" s="61" t="s">
        <v>495</v>
      </c>
      <c r="C161" s="82">
        <f>IFERROR(VLOOKUP(B161,'VTN2025'!B:I,8,FALSE),"-")</f>
        <v>26078.190000000002</v>
      </c>
      <c r="D161" s="83">
        <f t="shared" si="3"/>
        <v>25082.023055555557</v>
      </c>
    </row>
    <row r="162" spans="1:4" ht="16.5" thickBot="1" x14ac:dyDescent="0.3">
      <c r="A162" s="61" t="s">
        <v>439</v>
      </c>
      <c r="B162" s="61" t="s">
        <v>440</v>
      </c>
      <c r="C162" s="82">
        <f>IFERROR(VLOOKUP(B162,'VTN2025'!B:I,8,FALSE),"-")</f>
        <v>32851.071666666663</v>
      </c>
      <c r="D162" s="83">
        <f t="shared" si="3"/>
        <v>25082.023055555557</v>
      </c>
    </row>
    <row r="163" spans="1:4" ht="16.5" thickBot="1" x14ac:dyDescent="0.3">
      <c r="A163" s="61" t="s">
        <v>439</v>
      </c>
      <c r="B163" s="61" t="s">
        <v>496</v>
      </c>
      <c r="C163" s="82">
        <f>IFERROR(VLOOKUP(B163,'VTN2025'!B:I,8,FALSE),"-")</f>
        <v>32040.615000000002</v>
      </c>
      <c r="D163" s="83">
        <f t="shared" si="3"/>
        <v>25082.023055555557</v>
      </c>
    </row>
    <row r="164" spans="1:4" ht="16.5" thickBot="1" x14ac:dyDescent="0.3">
      <c r="A164" s="61" t="s">
        <v>439</v>
      </c>
      <c r="B164" s="61" t="s">
        <v>441</v>
      </c>
      <c r="C164" s="82">
        <f>IFERROR(VLOOKUP(B164,'VTN2025'!B:I,8,FALSE),"-")</f>
        <v>23977.173333333336</v>
      </c>
      <c r="D164" s="83">
        <f t="shared" si="3"/>
        <v>25082.023055555557</v>
      </c>
    </row>
    <row r="165" spans="1:4" ht="16.5" thickBot="1" x14ac:dyDescent="0.3">
      <c r="A165" s="61" t="s">
        <v>439</v>
      </c>
      <c r="B165" s="61" t="s">
        <v>375</v>
      </c>
      <c r="C165" s="82">
        <f>IFERROR(VLOOKUP(B165,'VTN2025'!B:I,8,FALSE),"-")</f>
        <v>20521.601666666666</v>
      </c>
      <c r="D165" s="83">
        <f t="shared" si="3"/>
        <v>25082.023055555557</v>
      </c>
    </row>
    <row r="166" spans="1:4" ht="16.5" thickBot="1" x14ac:dyDescent="0.3">
      <c r="A166" s="61" t="s">
        <v>439</v>
      </c>
      <c r="B166" s="61" t="s">
        <v>497</v>
      </c>
      <c r="C166" s="82">
        <f>IFERROR(VLOOKUP(B166,'VTN2025'!B:I,8,FALSE),"-")</f>
        <v>15023.486666666666</v>
      </c>
      <c r="D166" s="83">
        <f t="shared" si="3"/>
        <v>25082.023055555557</v>
      </c>
    </row>
    <row r="167" spans="1:4" ht="16.5" thickBot="1" x14ac:dyDescent="0.3">
      <c r="A167" s="61" t="s">
        <v>456</v>
      </c>
      <c r="B167" s="61" t="s">
        <v>453</v>
      </c>
      <c r="C167" s="82">
        <f>IFERROR(VLOOKUP(B167,'VTN2025'!B:I,8,FALSE),"-")</f>
        <v>17020</v>
      </c>
      <c r="D167" s="83">
        <f t="shared" si="3"/>
        <v>11410.715999999999</v>
      </c>
    </row>
    <row r="168" spans="1:4" ht="16.5" thickBot="1" x14ac:dyDescent="0.3">
      <c r="A168" s="61" t="s">
        <v>456</v>
      </c>
      <c r="B168" s="61" t="s">
        <v>473</v>
      </c>
      <c r="C168" s="82">
        <f>IFERROR(VLOOKUP(B168,'VTN2025'!B:I,8,FALSE),"-")</f>
        <v>11753.996666666668</v>
      </c>
      <c r="D168" s="83">
        <f t="shared" si="3"/>
        <v>11410.715999999999</v>
      </c>
    </row>
    <row r="169" spans="1:4" ht="16.5" thickBot="1" x14ac:dyDescent="0.3">
      <c r="A169" s="61" t="s">
        <v>456</v>
      </c>
      <c r="B169" s="61" t="s">
        <v>454</v>
      </c>
      <c r="C169" s="82" t="str">
        <f>IFERROR(VLOOKUP(B169,'VTN2025'!B:I,8,FALSE),"-")</f>
        <v>-</v>
      </c>
      <c r="D169" s="83">
        <f t="shared" si="3"/>
        <v>11410.715999999999</v>
      </c>
    </row>
    <row r="170" spans="1:4" ht="16.5" thickBot="1" x14ac:dyDescent="0.3">
      <c r="A170" s="61" t="s">
        <v>456</v>
      </c>
      <c r="B170" s="61" t="s">
        <v>474</v>
      </c>
      <c r="C170" s="82">
        <f>IFERROR(VLOOKUP(B170,'VTN2025'!B:I,8,FALSE),"-")</f>
        <v>7580.2250000000013</v>
      </c>
      <c r="D170" s="83">
        <f t="shared" si="3"/>
        <v>11410.715999999999</v>
      </c>
    </row>
    <row r="171" spans="1:4" ht="16.5" thickBot="1" x14ac:dyDescent="0.3">
      <c r="A171" s="61" t="s">
        <v>456</v>
      </c>
      <c r="B171" s="61" t="s">
        <v>457</v>
      </c>
      <c r="C171" s="82">
        <f>IFERROR(VLOOKUP(B171,'VTN2025'!B:I,8,FALSE),"-")</f>
        <v>12688.831666666667</v>
      </c>
      <c r="D171" s="83">
        <f t="shared" si="3"/>
        <v>11410.715999999999</v>
      </c>
    </row>
    <row r="172" spans="1:4" ht="16.5" thickBot="1" x14ac:dyDescent="0.3">
      <c r="A172" s="61" t="s">
        <v>456</v>
      </c>
      <c r="B172" s="61" t="s">
        <v>477</v>
      </c>
      <c r="C172" s="82">
        <f>IFERROR(VLOOKUP(B172,'VTN2025'!B:I,8,FALSE),"-")</f>
        <v>8010.5266666666676</v>
      </c>
      <c r="D172" s="83">
        <f t="shared" si="3"/>
        <v>11410.715999999999</v>
      </c>
    </row>
    <row r="173" spans="1:4" ht="16.5" thickBot="1" x14ac:dyDescent="0.3">
      <c r="A173" s="61" t="s">
        <v>498</v>
      </c>
      <c r="B173" s="61" t="s">
        <v>499</v>
      </c>
      <c r="C173" s="82">
        <f>IFERROR(VLOOKUP(B173,'VTN2025'!B:I,8,FALSE),"-")</f>
        <v>37844.496666666666</v>
      </c>
      <c r="D173" s="83">
        <f t="shared" si="3"/>
        <v>28772.856111111116</v>
      </c>
    </row>
    <row r="174" spans="1:4" ht="16.5" thickBot="1" x14ac:dyDescent="0.3">
      <c r="A174" s="61" t="s">
        <v>498</v>
      </c>
      <c r="B174" s="61" t="s">
        <v>500</v>
      </c>
      <c r="C174" s="82">
        <f>IFERROR(VLOOKUP(B174,'VTN2025'!B:I,8,FALSE),"-")</f>
        <v>34286.04833333334</v>
      </c>
      <c r="D174" s="83">
        <f t="shared" si="3"/>
        <v>28772.856111111116</v>
      </c>
    </row>
    <row r="175" spans="1:4" ht="16.5" thickBot="1" x14ac:dyDescent="0.3">
      <c r="A175" s="61" t="s">
        <v>498</v>
      </c>
      <c r="B175" s="61" t="s">
        <v>501</v>
      </c>
      <c r="C175" s="82">
        <f>IFERROR(VLOOKUP(B175,'VTN2025'!B:I,8,FALSE),"-")</f>
        <v>25816.183333333338</v>
      </c>
      <c r="D175" s="83">
        <f t="shared" si="3"/>
        <v>28772.856111111116</v>
      </c>
    </row>
    <row r="176" spans="1:4" ht="16.5" thickBot="1" x14ac:dyDescent="0.3">
      <c r="A176" s="61" t="s">
        <v>498</v>
      </c>
      <c r="B176" s="61" t="s">
        <v>502</v>
      </c>
      <c r="C176" s="82">
        <f>IFERROR(VLOOKUP(B176,'VTN2025'!B:I,8,FALSE),"-")</f>
        <v>27424.966666666671</v>
      </c>
      <c r="D176" s="83">
        <f t="shared" si="3"/>
        <v>28772.856111111116</v>
      </c>
    </row>
    <row r="177" spans="1:4" ht="16.5" thickBot="1" x14ac:dyDescent="0.3">
      <c r="A177" s="61" t="s">
        <v>498</v>
      </c>
      <c r="B177" s="61" t="s">
        <v>503</v>
      </c>
      <c r="C177" s="82">
        <f>IFERROR(VLOOKUP(B177,'VTN2025'!B:I,8,FALSE),"-")</f>
        <v>28403.199999999997</v>
      </c>
      <c r="D177" s="83">
        <f t="shared" si="3"/>
        <v>28772.856111111116</v>
      </c>
    </row>
    <row r="178" spans="1:4" ht="16.5" thickBot="1" x14ac:dyDescent="0.3">
      <c r="A178" s="61" t="s">
        <v>498</v>
      </c>
      <c r="B178" s="61" t="s">
        <v>504</v>
      </c>
      <c r="C178" s="82" t="str">
        <f>IFERROR(VLOOKUP(B178,'VTN2025'!B:I,8,FALSE),"-")</f>
        <v>-</v>
      </c>
      <c r="D178" s="83">
        <f t="shared" si="3"/>
        <v>28772.856111111116</v>
      </c>
    </row>
    <row r="179" spans="1:4" ht="16.5" thickBot="1" x14ac:dyDescent="0.3">
      <c r="A179" s="61" t="s">
        <v>498</v>
      </c>
      <c r="B179" s="61" t="s">
        <v>505</v>
      </c>
      <c r="C179" s="82">
        <f>IFERROR(VLOOKUP(B179,'VTN2025'!B:I,8,FALSE),"-")</f>
        <v>18862.241666666669</v>
      </c>
      <c r="D179" s="83">
        <f t="shared" si="3"/>
        <v>28772.856111111116</v>
      </c>
    </row>
    <row r="180" spans="1:4" ht="16.5" thickBot="1" x14ac:dyDescent="0.3">
      <c r="A180" s="61" t="s">
        <v>506</v>
      </c>
      <c r="B180" s="61" t="s">
        <v>494</v>
      </c>
      <c r="C180" s="82" t="str">
        <f>IFERROR(VLOOKUP(B180,'VTN2025'!B:I,8,FALSE),"-")</f>
        <v>-</v>
      </c>
      <c r="D180" s="83">
        <f t="shared" si="3"/>
        <v>30450.670416666668</v>
      </c>
    </row>
    <row r="181" spans="1:4" ht="16.5" thickBot="1" x14ac:dyDescent="0.3">
      <c r="A181" s="61" t="s">
        <v>506</v>
      </c>
      <c r="B181" s="61" t="s">
        <v>433</v>
      </c>
      <c r="C181" s="82">
        <f>IFERROR(VLOOKUP(B181,'VTN2025'!B:I,8,FALSE),"-")</f>
        <v>15196.01</v>
      </c>
      <c r="D181" s="83">
        <f t="shared" si="3"/>
        <v>30450.670416666668</v>
      </c>
    </row>
    <row r="182" spans="1:4" ht="16.5" thickBot="1" x14ac:dyDescent="0.3">
      <c r="A182" s="61" t="s">
        <v>506</v>
      </c>
      <c r="B182" s="61" t="s">
        <v>366</v>
      </c>
      <c r="C182" s="82">
        <f>IFERROR(VLOOKUP(B182,'VTN2025'!B:I,8,FALSE),"-")</f>
        <v>64897.67333333334</v>
      </c>
      <c r="D182" s="83">
        <f t="shared" si="3"/>
        <v>30450.670416666668</v>
      </c>
    </row>
    <row r="183" spans="1:4" ht="16.5" thickBot="1" x14ac:dyDescent="0.3">
      <c r="A183" s="61" t="s">
        <v>506</v>
      </c>
      <c r="B183" s="61" t="s">
        <v>434</v>
      </c>
      <c r="C183" s="82">
        <f>IFERROR(VLOOKUP(B183,'VTN2025'!B:I,8,FALSE),"-")</f>
        <v>17731.825000000001</v>
      </c>
      <c r="D183" s="83">
        <f t="shared" si="3"/>
        <v>30450.670416666668</v>
      </c>
    </row>
    <row r="184" spans="1:4" ht="16.5" thickBot="1" x14ac:dyDescent="0.3">
      <c r="A184" s="61" t="s">
        <v>506</v>
      </c>
      <c r="B184" s="61" t="s">
        <v>441</v>
      </c>
      <c r="C184" s="82">
        <f>IFERROR(VLOOKUP(B184,'VTN2025'!B:I,8,FALSE),"-")</f>
        <v>23977.173333333336</v>
      </c>
      <c r="D184" s="83">
        <f t="shared" si="3"/>
        <v>30450.670416666668</v>
      </c>
    </row>
    <row r="185" spans="1:4" ht="16.5" thickBot="1" x14ac:dyDescent="0.3">
      <c r="A185" s="61" t="s">
        <v>417</v>
      </c>
      <c r="B185" s="61" t="s">
        <v>416</v>
      </c>
      <c r="C185" s="82">
        <f>IFERROR(VLOOKUP(B185,'VTN2025'!B:I,8,FALSE),"-")</f>
        <v>6217.8816666666653</v>
      </c>
      <c r="D185" s="83">
        <f t="shared" si="3"/>
        <v>7947.4373333333324</v>
      </c>
    </row>
    <row r="186" spans="1:4" ht="16.5" thickBot="1" x14ac:dyDescent="0.3">
      <c r="A186" s="61" t="s">
        <v>417</v>
      </c>
      <c r="B186" s="61" t="s">
        <v>418</v>
      </c>
      <c r="C186" s="82">
        <f>IFERROR(VLOOKUP(B186,'VTN2025'!B:I,8,FALSE),"-")</f>
        <v>12782.788333333332</v>
      </c>
      <c r="D186" s="83">
        <f t="shared" si="3"/>
        <v>7947.4373333333324</v>
      </c>
    </row>
    <row r="187" spans="1:4" ht="16.5" thickBot="1" x14ac:dyDescent="0.3">
      <c r="A187" s="61" t="s">
        <v>417</v>
      </c>
      <c r="B187" s="61" t="s">
        <v>507</v>
      </c>
      <c r="C187" s="82">
        <f>IFERROR(VLOOKUP(B187,'VTN2025'!B:I,8,FALSE),"-")</f>
        <v>5701.9049999999997</v>
      </c>
      <c r="D187" s="83">
        <f t="shared" si="3"/>
        <v>7947.4373333333324</v>
      </c>
    </row>
    <row r="188" spans="1:4" ht="16.5" thickBot="1" x14ac:dyDescent="0.3">
      <c r="A188" s="61" t="s">
        <v>417</v>
      </c>
      <c r="B188" s="61" t="s">
        <v>420</v>
      </c>
      <c r="C188" s="82">
        <f>IFERROR(VLOOKUP(B188,'VTN2025'!B:I,8,FALSE),"-")</f>
        <v>6572.1566666666668</v>
      </c>
      <c r="D188" s="83">
        <f t="shared" si="3"/>
        <v>7947.4373333333324</v>
      </c>
    </row>
    <row r="189" spans="1:4" ht="16.5" thickBot="1" x14ac:dyDescent="0.3">
      <c r="A189" s="61" t="s">
        <v>417</v>
      </c>
      <c r="B189" s="61" t="s">
        <v>508</v>
      </c>
      <c r="C189" s="82">
        <f>IFERROR(VLOOKUP(B189,'VTN2025'!B:I,8,FALSE),"-")</f>
        <v>8462.4549999999999</v>
      </c>
      <c r="D189" s="83">
        <f t="shared" si="3"/>
        <v>7947.4373333333324</v>
      </c>
    </row>
    <row r="190" spans="1:4" ht="16.5" thickBot="1" x14ac:dyDescent="0.3">
      <c r="A190" s="61" t="s">
        <v>509</v>
      </c>
      <c r="B190" s="61" t="s">
        <v>510</v>
      </c>
      <c r="C190" s="82" t="str">
        <f>IFERROR(VLOOKUP(B190,'VTN2025'!B:I,8,FALSE),"-")</f>
        <v>-</v>
      </c>
      <c r="D190" s="83">
        <f t="shared" si="3"/>
        <v>38819.70416666667</v>
      </c>
    </row>
    <row r="191" spans="1:4" ht="16.5" thickBot="1" x14ac:dyDescent="0.3">
      <c r="A191" s="61" t="s">
        <v>509</v>
      </c>
      <c r="B191" s="61" t="s">
        <v>511</v>
      </c>
      <c r="C191" s="82" t="str">
        <f>IFERROR(VLOOKUP(B191,'VTN2025'!B:I,8,FALSE),"-")</f>
        <v>-</v>
      </c>
      <c r="D191" s="83">
        <f t="shared" ref="D191:D254" si="4">AVERAGEIF($A:$A,A191,$C:$C)</f>
        <v>38819.70416666667</v>
      </c>
    </row>
    <row r="192" spans="1:4" ht="16.5" thickBot="1" x14ac:dyDescent="0.3">
      <c r="A192" s="61" t="s">
        <v>509</v>
      </c>
      <c r="B192" s="61" t="s">
        <v>471</v>
      </c>
      <c r="C192" s="82">
        <f>IFERROR(VLOOKUP(B192,'VTN2025'!B:I,8,FALSE),"-")</f>
        <v>31249.99</v>
      </c>
      <c r="D192" s="83">
        <f t="shared" si="4"/>
        <v>38819.70416666667</v>
      </c>
    </row>
    <row r="193" spans="1:4" ht="16.5" thickBot="1" x14ac:dyDescent="0.3">
      <c r="A193" s="61" t="s">
        <v>509</v>
      </c>
      <c r="B193" s="61" t="s">
        <v>512</v>
      </c>
      <c r="C193" s="82">
        <f>IFERROR(VLOOKUP(B193,'VTN2025'!B:I,8,FALSE),"-")</f>
        <v>46389.418333333335</v>
      </c>
      <c r="D193" s="83">
        <f t="shared" si="4"/>
        <v>38819.70416666667</v>
      </c>
    </row>
    <row r="194" spans="1:4" ht="16.5" thickBot="1" x14ac:dyDescent="0.3">
      <c r="A194" s="61" t="s">
        <v>509</v>
      </c>
      <c r="B194" s="61" t="s">
        <v>513</v>
      </c>
      <c r="C194" s="82" t="str">
        <f>IFERROR(VLOOKUP(B194,'VTN2025'!B:I,8,FALSE),"-")</f>
        <v>-</v>
      </c>
      <c r="D194" s="83">
        <f t="shared" si="4"/>
        <v>38819.70416666667</v>
      </c>
    </row>
    <row r="195" spans="1:4" ht="16.5" thickBot="1" x14ac:dyDescent="0.3">
      <c r="A195" s="61" t="s">
        <v>509</v>
      </c>
      <c r="B195" s="61" t="s">
        <v>470</v>
      </c>
      <c r="C195" s="82" t="str">
        <f>IFERROR(VLOOKUP(B195,'VTN2025'!B:I,8,FALSE),"-")</f>
        <v>-</v>
      </c>
      <c r="D195" s="83">
        <f t="shared" si="4"/>
        <v>38819.70416666667</v>
      </c>
    </row>
    <row r="196" spans="1:4" ht="16.5" thickBot="1" x14ac:dyDescent="0.3">
      <c r="A196" s="61" t="s">
        <v>478</v>
      </c>
      <c r="B196" s="61" t="s">
        <v>461</v>
      </c>
      <c r="C196" s="82">
        <f>IFERROR(VLOOKUP(B196,'VTN2025'!B:I,8,FALSE),"-")</f>
        <v>13828.659999999998</v>
      </c>
      <c r="D196" s="83">
        <f t="shared" si="4"/>
        <v>12054.091333333334</v>
      </c>
    </row>
    <row r="197" spans="1:4" ht="16.5" thickBot="1" x14ac:dyDescent="0.3">
      <c r="A197" s="61" t="s">
        <v>478</v>
      </c>
      <c r="B197" s="61" t="s">
        <v>479</v>
      </c>
      <c r="C197" s="82" t="str">
        <f>IFERROR(VLOOKUP(B197,'VTN2025'!B:I,8,FALSE),"-")</f>
        <v>-</v>
      </c>
      <c r="D197" s="83">
        <f t="shared" si="4"/>
        <v>12054.091333333334</v>
      </c>
    </row>
    <row r="198" spans="1:4" ht="16.5" thickBot="1" x14ac:dyDescent="0.3">
      <c r="A198" s="61" t="s">
        <v>478</v>
      </c>
      <c r="B198" s="61" t="s">
        <v>514</v>
      </c>
      <c r="C198" s="82">
        <f>IFERROR(VLOOKUP(B198,'VTN2025'!B:I,8,FALSE),"-")</f>
        <v>11447.461666666668</v>
      </c>
      <c r="D198" s="83">
        <f t="shared" si="4"/>
        <v>12054.091333333334</v>
      </c>
    </row>
    <row r="199" spans="1:4" ht="16.5" thickBot="1" x14ac:dyDescent="0.3">
      <c r="A199" s="61" t="s">
        <v>478</v>
      </c>
      <c r="B199" s="61" t="s">
        <v>515</v>
      </c>
      <c r="C199" s="82">
        <f>IFERROR(VLOOKUP(B199,'VTN2025'!B:I,8,FALSE),"-")</f>
        <v>11992.385000000002</v>
      </c>
      <c r="D199" s="83">
        <f t="shared" si="4"/>
        <v>12054.091333333334</v>
      </c>
    </row>
    <row r="200" spans="1:4" ht="16.5" thickBot="1" x14ac:dyDescent="0.3">
      <c r="A200" s="61" t="s">
        <v>478</v>
      </c>
      <c r="B200" s="61" t="s">
        <v>464</v>
      </c>
      <c r="C200" s="82">
        <f>IFERROR(VLOOKUP(B200,'VTN2025'!B:I,8,FALSE),"-")</f>
        <v>11107.605000000001</v>
      </c>
      <c r="D200" s="83">
        <f t="shared" si="4"/>
        <v>12054.091333333334</v>
      </c>
    </row>
    <row r="201" spans="1:4" ht="16.5" thickBot="1" x14ac:dyDescent="0.3">
      <c r="A201" s="61" t="s">
        <v>478</v>
      </c>
      <c r="B201" s="61" t="s">
        <v>516</v>
      </c>
      <c r="C201" s="82">
        <f>IFERROR(VLOOKUP(B201,'VTN2025'!B:I,8,FALSE),"-")</f>
        <v>11894.344999999999</v>
      </c>
      <c r="D201" s="83">
        <f t="shared" si="4"/>
        <v>12054.091333333334</v>
      </c>
    </row>
    <row r="202" spans="1:4" ht="16.5" thickBot="1" x14ac:dyDescent="0.3">
      <c r="A202" s="61" t="s">
        <v>517</v>
      </c>
      <c r="B202" s="61" t="s">
        <v>518</v>
      </c>
      <c r="C202" s="82">
        <f>IFERROR(VLOOKUP(B202,'VTN2025'!B:I,8,FALSE),"-")</f>
        <v>17436.14</v>
      </c>
      <c r="D202" s="83">
        <f t="shared" si="4"/>
        <v>25891.796666666669</v>
      </c>
    </row>
    <row r="203" spans="1:4" ht="16.5" thickBot="1" x14ac:dyDescent="0.3">
      <c r="A203" s="61" t="s">
        <v>517</v>
      </c>
      <c r="B203" s="61" t="s">
        <v>500</v>
      </c>
      <c r="C203" s="82">
        <f>IFERROR(VLOOKUP(B203,'VTN2025'!B:I,8,FALSE),"-")</f>
        <v>34286.04833333334</v>
      </c>
      <c r="D203" s="83">
        <f t="shared" si="4"/>
        <v>25891.796666666669</v>
      </c>
    </row>
    <row r="204" spans="1:4" ht="16.5" thickBot="1" x14ac:dyDescent="0.3">
      <c r="A204" s="61" t="s">
        <v>517</v>
      </c>
      <c r="B204" s="61" t="s">
        <v>503</v>
      </c>
      <c r="C204" s="82">
        <f>IFERROR(VLOOKUP(B204,'VTN2025'!B:I,8,FALSE),"-")</f>
        <v>28403.199999999997</v>
      </c>
      <c r="D204" s="83">
        <f t="shared" si="4"/>
        <v>25891.796666666669</v>
      </c>
    </row>
    <row r="205" spans="1:4" ht="16.5" thickBot="1" x14ac:dyDescent="0.3">
      <c r="A205" s="61" t="s">
        <v>517</v>
      </c>
      <c r="B205" s="61" t="s">
        <v>394</v>
      </c>
      <c r="C205" s="82">
        <f>IFERROR(VLOOKUP(B205,'VTN2025'!B:I,8,FALSE),"-")</f>
        <v>23441.798333333336</v>
      </c>
      <c r="D205" s="83">
        <f t="shared" si="4"/>
        <v>25891.796666666669</v>
      </c>
    </row>
    <row r="206" spans="1:4" ht="16.5" thickBot="1" x14ac:dyDescent="0.3">
      <c r="A206" s="61" t="s">
        <v>517</v>
      </c>
      <c r="B206" s="61" t="s">
        <v>519</v>
      </c>
      <c r="C206" s="82" t="str">
        <f>IFERROR(VLOOKUP(B206,'VTN2025'!B:I,8,FALSE),"-")</f>
        <v>-</v>
      </c>
      <c r="D206" s="83">
        <f t="shared" si="4"/>
        <v>25891.796666666669</v>
      </c>
    </row>
    <row r="207" spans="1:4" ht="16.5" thickBot="1" x14ac:dyDescent="0.3">
      <c r="A207" s="61" t="s">
        <v>520</v>
      </c>
      <c r="B207" s="61" t="s">
        <v>483</v>
      </c>
      <c r="C207" s="82">
        <f>IFERROR(VLOOKUP(B207,'VTN2025'!B:I,8,FALSE),"-")</f>
        <v>13927.696666666665</v>
      </c>
      <c r="D207" s="83">
        <f t="shared" si="4"/>
        <v>20013.927</v>
      </c>
    </row>
    <row r="208" spans="1:4" ht="16.5" thickBot="1" x14ac:dyDescent="0.3">
      <c r="A208" s="61" t="s">
        <v>520</v>
      </c>
      <c r="B208" s="61" t="s">
        <v>521</v>
      </c>
      <c r="C208" s="82">
        <f>IFERROR(VLOOKUP(B208,'VTN2025'!B:I,8,FALSE),"-")</f>
        <v>12253.573333333332</v>
      </c>
      <c r="D208" s="83">
        <f t="shared" si="4"/>
        <v>20013.927</v>
      </c>
    </row>
    <row r="209" spans="1:4" ht="16.5" thickBot="1" x14ac:dyDescent="0.3">
      <c r="A209" s="61" t="s">
        <v>520</v>
      </c>
      <c r="B209" s="61" t="s">
        <v>386</v>
      </c>
      <c r="C209" s="82">
        <f>IFERROR(VLOOKUP(B209,'VTN2025'!B:I,8,FALSE),"-")</f>
        <v>22097</v>
      </c>
      <c r="D209" s="83">
        <f t="shared" si="4"/>
        <v>20013.927</v>
      </c>
    </row>
    <row r="210" spans="1:4" ht="16.5" thickBot="1" x14ac:dyDescent="0.3">
      <c r="A210" s="61" t="s">
        <v>520</v>
      </c>
      <c r="B210" s="61" t="s">
        <v>522</v>
      </c>
      <c r="C210" s="82">
        <f>IFERROR(VLOOKUP(B210,'VTN2025'!B:I,8,FALSE),"-")</f>
        <v>22097</v>
      </c>
      <c r="D210" s="83">
        <f t="shared" si="4"/>
        <v>20013.927</v>
      </c>
    </row>
    <row r="211" spans="1:4" ht="16.5" thickBot="1" x14ac:dyDescent="0.3">
      <c r="A211" s="61" t="s">
        <v>520</v>
      </c>
      <c r="B211" s="61" t="s">
        <v>387</v>
      </c>
      <c r="C211" s="82">
        <f>IFERROR(VLOOKUP(B211,'VTN2025'!B:I,8,FALSE),"-")</f>
        <v>29694.365000000002</v>
      </c>
      <c r="D211" s="83">
        <f t="shared" si="4"/>
        <v>20013.927</v>
      </c>
    </row>
    <row r="212" spans="1:4" ht="16.5" thickBot="1" x14ac:dyDescent="0.3">
      <c r="A212" s="61" t="s">
        <v>409</v>
      </c>
      <c r="B212" s="61" t="s">
        <v>408</v>
      </c>
      <c r="C212" s="82" t="str">
        <f>IFERROR(VLOOKUP(B212,'VTN2025'!B:I,8,FALSE),"-")</f>
        <v>-</v>
      </c>
      <c r="D212" s="83">
        <f t="shared" si="4"/>
        <v>9641.8700000000008</v>
      </c>
    </row>
    <row r="213" spans="1:4" ht="16.5" thickBot="1" x14ac:dyDescent="0.3">
      <c r="A213" s="61" t="s">
        <v>409</v>
      </c>
      <c r="B213" s="61" t="s">
        <v>523</v>
      </c>
      <c r="C213" s="82" t="str">
        <f>IFERROR(VLOOKUP(B213,'VTN2025'!B:I,8,FALSE),"-")</f>
        <v>-</v>
      </c>
      <c r="D213" s="83">
        <f t="shared" si="4"/>
        <v>9641.8700000000008</v>
      </c>
    </row>
    <row r="214" spans="1:4" ht="16.5" thickBot="1" x14ac:dyDescent="0.3">
      <c r="A214" s="61" t="s">
        <v>409</v>
      </c>
      <c r="B214" s="61" t="s">
        <v>524</v>
      </c>
      <c r="C214" s="82" t="str">
        <f>IFERROR(VLOOKUP(B214,'VTN2025'!B:I,8,FALSE),"-")</f>
        <v>-</v>
      </c>
      <c r="D214" s="83">
        <f t="shared" si="4"/>
        <v>9641.8700000000008</v>
      </c>
    </row>
    <row r="215" spans="1:4" ht="16.5" thickBot="1" x14ac:dyDescent="0.3">
      <c r="A215" s="61" t="s">
        <v>409</v>
      </c>
      <c r="B215" s="61" t="s">
        <v>413</v>
      </c>
      <c r="C215" s="82">
        <f>IFERROR(VLOOKUP(B215,'VTN2025'!B:I,8,FALSE),"-")</f>
        <v>9641.8700000000008</v>
      </c>
      <c r="D215" s="83">
        <f t="shared" si="4"/>
        <v>9641.8700000000008</v>
      </c>
    </row>
    <row r="216" spans="1:4" ht="16.5" thickBot="1" x14ac:dyDescent="0.3">
      <c r="A216" s="61" t="s">
        <v>409</v>
      </c>
      <c r="B216" s="61" t="s">
        <v>414</v>
      </c>
      <c r="C216" s="82" t="str">
        <f>IFERROR(VLOOKUP(B216,'VTN2025'!B:I,8,FALSE),"-")</f>
        <v>-</v>
      </c>
      <c r="D216" s="83">
        <f t="shared" si="4"/>
        <v>9641.8700000000008</v>
      </c>
    </row>
    <row r="217" spans="1:4" ht="16.5" thickBot="1" x14ac:dyDescent="0.3">
      <c r="A217" s="61" t="s">
        <v>409</v>
      </c>
      <c r="B217" s="61" t="s">
        <v>415</v>
      </c>
      <c r="C217" s="82" t="str">
        <f>IFERROR(VLOOKUP(B217,'VTN2025'!B:I,8,FALSE),"-")</f>
        <v>-</v>
      </c>
      <c r="D217" s="83">
        <f t="shared" si="4"/>
        <v>9641.8700000000008</v>
      </c>
    </row>
    <row r="218" spans="1:4" ht="16.5" thickBot="1" x14ac:dyDescent="0.3">
      <c r="A218" s="61" t="s">
        <v>525</v>
      </c>
      <c r="B218" s="61" t="s">
        <v>526</v>
      </c>
      <c r="C218" s="82" t="str">
        <f>IFERROR(VLOOKUP(B218,'VTN2025'!B:I,8,FALSE),"-")</f>
        <v>-</v>
      </c>
      <c r="D218" s="83">
        <f t="shared" si="4"/>
        <v>15579.35</v>
      </c>
    </row>
    <row r="219" spans="1:4" ht="16.5" thickBot="1" x14ac:dyDescent="0.3">
      <c r="A219" s="61" t="s">
        <v>525</v>
      </c>
      <c r="B219" s="61" t="s">
        <v>527</v>
      </c>
      <c r="C219" s="82">
        <f>IFERROR(VLOOKUP(B219,'VTN2025'!B:I,8,FALSE),"-")</f>
        <v>15579.35</v>
      </c>
      <c r="D219" s="83">
        <f t="shared" si="4"/>
        <v>15579.35</v>
      </c>
    </row>
    <row r="220" spans="1:4" ht="16.5" thickBot="1" x14ac:dyDescent="0.3">
      <c r="A220" s="61" t="s">
        <v>443</v>
      </c>
      <c r="B220" s="61" t="s">
        <v>442</v>
      </c>
      <c r="C220" s="82">
        <f>IFERROR(VLOOKUP(B220,'VTN2025'!B:I,8,FALSE),"-")</f>
        <v>12349.69</v>
      </c>
      <c r="D220" s="83">
        <f t="shared" si="4"/>
        <v>15015.459166666667</v>
      </c>
    </row>
    <row r="221" spans="1:4" ht="16.5" thickBot="1" x14ac:dyDescent="0.3">
      <c r="A221" s="61" t="s">
        <v>443</v>
      </c>
      <c r="B221" s="61" t="s">
        <v>444</v>
      </c>
      <c r="C221" s="82">
        <f>IFERROR(VLOOKUP(B221,'VTN2025'!B:I,8,FALSE),"-")</f>
        <v>17929.771666666667</v>
      </c>
      <c r="D221" s="83">
        <f t="shared" si="4"/>
        <v>15015.459166666667</v>
      </c>
    </row>
    <row r="222" spans="1:4" ht="16.5" thickBot="1" x14ac:dyDescent="0.3">
      <c r="A222" s="61" t="s">
        <v>443</v>
      </c>
      <c r="B222" s="61" t="s">
        <v>528</v>
      </c>
      <c r="C222" s="82">
        <f>IFERROR(VLOOKUP(B222,'VTN2025'!B:I,8,FALSE),"-")</f>
        <v>10920.133333333333</v>
      </c>
      <c r="D222" s="83">
        <f t="shared" si="4"/>
        <v>15015.459166666667</v>
      </c>
    </row>
    <row r="223" spans="1:4" ht="16.5" thickBot="1" x14ac:dyDescent="0.3">
      <c r="A223" s="61" t="s">
        <v>443</v>
      </c>
      <c r="B223" s="61" t="s">
        <v>505</v>
      </c>
      <c r="C223" s="82">
        <f>IFERROR(VLOOKUP(B223,'VTN2025'!B:I,8,FALSE),"-")</f>
        <v>18862.241666666669</v>
      </c>
      <c r="D223" s="83">
        <f t="shared" si="4"/>
        <v>15015.459166666667</v>
      </c>
    </row>
    <row r="224" spans="1:4" ht="16.5" thickBot="1" x14ac:dyDescent="0.3">
      <c r="A224" s="61" t="s">
        <v>443</v>
      </c>
      <c r="B224" s="61" t="s">
        <v>446</v>
      </c>
      <c r="C224" s="82" t="str">
        <f>IFERROR(VLOOKUP(B224,'VTN2025'!B:I,8,FALSE),"-")</f>
        <v>-</v>
      </c>
      <c r="D224" s="83">
        <f t="shared" si="4"/>
        <v>15015.459166666667</v>
      </c>
    </row>
    <row r="225" spans="1:4" ht="16.5" thickBot="1" x14ac:dyDescent="0.3">
      <c r="A225" s="61" t="s">
        <v>482</v>
      </c>
      <c r="B225" s="61" t="s">
        <v>481</v>
      </c>
      <c r="C225" s="82">
        <f>IFERROR(VLOOKUP(B225,'VTN2025'!B:I,8,FALSE),"-")</f>
        <v>13864.933333333334</v>
      </c>
      <c r="D225" s="83">
        <f t="shared" si="4"/>
        <v>13434.367777777778</v>
      </c>
    </row>
    <row r="226" spans="1:4" ht="16.5" thickBot="1" x14ac:dyDescent="0.3">
      <c r="A226" s="61" t="s">
        <v>482</v>
      </c>
      <c r="B226" s="61" t="s">
        <v>426</v>
      </c>
      <c r="C226" s="82">
        <f>IFERROR(VLOOKUP(B226,'VTN2025'!B:I,8,FALSE),"-")</f>
        <v>12237.195</v>
      </c>
      <c r="D226" s="83">
        <f t="shared" si="4"/>
        <v>13434.367777777778</v>
      </c>
    </row>
    <row r="227" spans="1:4" ht="16.5" thickBot="1" x14ac:dyDescent="0.3">
      <c r="A227" s="61" t="s">
        <v>482</v>
      </c>
      <c r="B227" s="61" t="s">
        <v>485</v>
      </c>
      <c r="C227" s="82" t="str">
        <f>IFERROR(VLOOKUP(B227,'VTN2025'!B:I,8,FALSE),"-")</f>
        <v>-</v>
      </c>
      <c r="D227" s="83">
        <f t="shared" si="4"/>
        <v>13434.367777777778</v>
      </c>
    </row>
    <row r="228" spans="1:4" ht="16.5" thickBot="1" x14ac:dyDescent="0.3">
      <c r="A228" s="61" t="s">
        <v>482</v>
      </c>
      <c r="B228" s="61" t="s">
        <v>380</v>
      </c>
      <c r="C228" s="82">
        <f>IFERROR(VLOOKUP(B228,'VTN2025'!B:I,8,FALSE),"-")</f>
        <v>14200.974999999999</v>
      </c>
      <c r="D228" s="83">
        <f t="shared" si="4"/>
        <v>13434.367777777778</v>
      </c>
    </row>
    <row r="229" spans="1:4" ht="16.5" thickBot="1" x14ac:dyDescent="0.3">
      <c r="A229" s="61" t="s">
        <v>529</v>
      </c>
      <c r="B229" s="61" t="s">
        <v>529</v>
      </c>
      <c r="C229" s="82" t="str">
        <f>IFERROR(VLOOKUP(B229,'VTN2025'!B:I,8,FALSE),"-")</f>
        <v>-</v>
      </c>
      <c r="D229" s="83">
        <f t="shared" si="4"/>
        <v>27914.083333333336</v>
      </c>
    </row>
    <row r="230" spans="1:4" ht="16.5" thickBot="1" x14ac:dyDescent="0.3">
      <c r="A230" s="61" t="s">
        <v>529</v>
      </c>
      <c r="B230" s="61" t="s">
        <v>530</v>
      </c>
      <c r="C230" s="82" t="str">
        <f>IFERROR(VLOOKUP(B230,'VTN2025'!B:I,8,FALSE),"-")</f>
        <v>-</v>
      </c>
      <c r="D230" s="83">
        <f t="shared" si="4"/>
        <v>27914.083333333336</v>
      </c>
    </row>
    <row r="231" spans="1:4" ht="16.5" thickBot="1" x14ac:dyDescent="0.3">
      <c r="A231" s="61" t="s">
        <v>529</v>
      </c>
      <c r="B231" s="61" t="s">
        <v>502</v>
      </c>
      <c r="C231" s="82">
        <f>IFERROR(VLOOKUP(B231,'VTN2025'!B:I,8,FALSE),"-")</f>
        <v>27424.966666666671</v>
      </c>
      <c r="D231" s="83">
        <f t="shared" si="4"/>
        <v>27914.083333333336</v>
      </c>
    </row>
    <row r="232" spans="1:4" ht="16.5" thickBot="1" x14ac:dyDescent="0.3">
      <c r="A232" s="61" t="s">
        <v>529</v>
      </c>
      <c r="B232" s="61" t="s">
        <v>531</v>
      </c>
      <c r="C232" s="82" t="str">
        <f>IFERROR(VLOOKUP(B232,'VTN2025'!B:I,8,FALSE),"-")</f>
        <v>-</v>
      </c>
      <c r="D232" s="83">
        <f t="shared" si="4"/>
        <v>27914.083333333336</v>
      </c>
    </row>
    <row r="233" spans="1:4" ht="16.5" thickBot="1" x14ac:dyDescent="0.3">
      <c r="A233" s="61" t="s">
        <v>529</v>
      </c>
      <c r="B233" s="61" t="s">
        <v>503</v>
      </c>
      <c r="C233" s="82">
        <f>IFERROR(VLOOKUP(B233,'VTN2025'!B:I,8,FALSE),"-")</f>
        <v>28403.199999999997</v>
      </c>
      <c r="D233" s="83">
        <f t="shared" si="4"/>
        <v>27914.083333333336</v>
      </c>
    </row>
    <row r="234" spans="1:4" ht="16.5" thickBot="1" x14ac:dyDescent="0.3">
      <c r="A234" s="61" t="s">
        <v>474</v>
      </c>
      <c r="B234" s="61" t="s">
        <v>473</v>
      </c>
      <c r="C234" s="82">
        <f>IFERROR(VLOOKUP(B234,'VTN2025'!B:I,8,FALSE),"-")</f>
        <v>11753.996666666668</v>
      </c>
      <c r="D234" s="83">
        <f t="shared" si="4"/>
        <v>15774.24772727273</v>
      </c>
    </row>
    <row r="235" spans="1:4" ht="16.5" thickBot="1" x14ac:dyDescent="0.3">
      <c r="A235" s="61" t="s">
        <v>474</v>
      </c>
      <c r="B235" s="61" t="s">
        <v>454</v>
      </c>
      <c r="C235" s="82" t="str">
        <f>IFERROR(VLOOKUP(B235,'VTN2025'!B:I,8,FALSE),"-")</f>
        <v>-</v>
      </c>
      <c r="D235" s="83">
        <f t="shared" si="4"/>
        <v>15774.24772727273</v>
      </c>
    </row>
    <row r="236" spans="1:4" ht="16.5" thickBot="1" x14ac:dyDescent="0.3">
      <c r="A236" s="61" t="s">
        <v>474</v>
      </c>
      <c r="B236" s="61" t="s">
        <v>456</v>
      </c>
      <c r="C236" s="82">
        <f>IFERROR(VLOOKUP(B236,'VTN2025'!B:I,8,FALSE),"-")</f>
        <v>4684.6533333333327</v>
      </c>
      <c r="D236" s="83">
        <f t="shared" si="4"/>
        <v>15774.24772727273</v>
      </c>
    </row>
    <row r="237" spans="1:4" ht="16.5" thickBot="1" x14ac:dyDescent="0.3">
      <c r="A237" s="61" t="s">
        <v>474</v>
      </c>
      <c r="B237" s="61" t="s">
        <v>488</v>
      </c>
      <c r="C237" s="82">
        <f>IFERROR(VLOOKUP(B237,'VTN2025'!B:I,8,FALSE),"-")</f>
        <v>12960.676666666668</v>
      </c>
      <c r="D237" s="83">
        <f t="shared" si="4"/>
        <v>15774.24772727273</v>
      </c>
    </row>
    <row r="238" spans="1:4" ht="16.5" thickBot="1" x14ac:dyDescent="0.3">
      <c r="A238" s="61" t="s">
        <v>474</v>
      </c>
      <c r="B238" s="61" t="s">
        <v>426</v>
      </c>
      <c r="C238" s="82">
        <f>IFERROR(VLOOKUP(B238,'VTN2025'!B:I,8,FALSE),"-")</f>
        <v>12237.195</v>
      </c>
      <c r="D238" s="83">
        <f t="shared" si="4"/>
        <v>15774.24772727273</v>
      </c>
    </row>
    <row r="239" spans="1:4" ht="16.5" thickBot="1" x14ac:dyDescent="0.3">
      <c r="A239" s="61" t="s">
        <v>474</v>
      </c>
      <c r="B239" s="61" t="s">
        <v>445</v>
      </c>
      <c r="C239" s="82">
        <f>IFERROR(VLOOKUP(B239,'VTN2025'!B:I,8,FALSE),"-")</f>
        <v>17012.526666666668</v>
      </c>
      <c r="D239" s="83">
        <f t="shared" si="4"/>
        <v>15774.24772727273</v>
      </c>
    </row>
    <row r="240" spans="1:4" ht="16.5" thickBot="1" x14ac:dyDescent="0.3">
      <c r="A240" s="61" t="s">
        <v>474</v>
      </c>
      <c r="B240" s="61" t="s">
        <v>532</v>
      </c>
      <c r="C240" s="82">
        <f>IFERROR(VLOOKUP(B240,'VTN2025'!B:I,8,FALSE),"-")</f>
        <v>16004.18</v>
      </c>
      <c r="D240" s="83">
        <f t="shared" si="4"/>
        <v>15774.24772727273</v>
      </c>
    </row>
    <row r="241" spans="1:4" ht="16.5" thickBot="1" x14ac:dyDescent="0.3">
      <c r="A241" s="61" t="s">
        <v>474</v>
      </c>
      <c r="B241" s="61" t="s">
        <v>533</v>
      </c>
      <c r="C241" s="82">
        <f>IFERROR(VLOOKUP(B241,'VTN2025'!B:I,8,FALSE),"-")</f>
        <v>34005.480000000003</v>
      </c>
      <c r="D241" s="83">
        <f t="shared" si="4"/>
        <v>15774.24772727273</v>
      </c>
    </row>
    <row r="242" spans="1:4" ht="16.5" thickBot="1" x14ac:dyDescent="0.3">
      <c r="A242" s="61" t="s">
        <v>474</v>
      </c>
      <c r="B242" s="61" t="s">
        <v>476</v>
      </c>
      <c r="C242" s="82">
        <f>IFERROR(VLOOKUP(B242,'VTN2025'!B:I,8,FALSE),"-")</f>
        <v>21728.646666666664</v>
      </c>
      <c r="D242" s="83">
        <f t="shared" si="4"/>
        <v>15774.24772727273</v>
      </c>
    </row>
    <row r="243" spans="1:4" ht="16.5" thickBot="1" x14ac:dyDescent="0.3">
      <c r="A243" s="61" t="s">
        <v>474</v>
      </c>
      <c r="B243" s="61" t="s">
        <v>380</v>
      </c>
      <c r="C243" s="82">
        <f>IFERROR(VLOOKUP(B243,'VTN2025'!B:I,8,FALSE),"-")</f>
        <v>14200.974999999999</v>
      </c>
      <c r="D243" s="83">
        <f t="shared" si="4"/>
        <v>15774.24772727273</v>
      </c>
    </row>
    <row r="244" spans="1:4" ht="16.5" thickBot="1" x14ac:dyDescent="0.3">
      <c r="A244" s="61" t="s">
        <v>474</v>
      </c>
      <c r="B244" s="61" t="s">
        <v>534</v>
      </c>
      <c r="C244" s="82">
        <f>IFERROR(VLOOKUP(B244,'VTN2025'!B:I,8,FALSE),"-")</f>
        <v>20917.868333333332</v>
      </c>
      <c r="D244" s="83">
        <f t="shared" si="4"/>
        <v>15774.24772727273</v>
      </c>
    </row>
    <row r="245" spans="1:4" ht="16.5" thickBot="1" x14ac:dyDescent="0.3">
      <c r="A245" s="61" t="s">
        <v>474</v>
      </c>
      <c r="B245" s="61" t="s">
        <v>477</v>
      </c>
      <c r="C245" s="82">
        <f>IFERROR(VLOOKUP(B245,'VTN2025'!B:I,8,FALSE),"-")</f>
        <v>8010.5266666666676</v>
      </c>
      <c r="D245" s="83">
        <f t="shared" si="4"/>
        <v>15774.24772727273</v>
      </c>
    </row>
    <row r="246" spans="1:4" ht="16.5" thickBot="1" x14ac:dyDescent="0.3">
      <c r="A246" s="61" t="s">
        <v>474</v>
      </c>
      <c r="B246" s="61" t="s">
        <v>446</v>
      </c>
      <c r="C246" s="82" t="str">
        <f>IFERROR(VLOOKUP(B246,'VTN2025'!B:I,8,FALSE),"-")</f>
        <v>-</v>
      </c>
      <c r="D246" s="83">
        <f t="shared" si="4"/>
        <v>15774.24772727273</v>
      </c>
    </row>
    <row r="247" spans="1:4" ht="16.5" thickBot="1" x14ac:dyDescent="0.3">
      <c r="A247" s="61" t="s">
        <v>535</v>
      </c>
      <c r="B247" s="61" t="s">
        <v>518</v>
      </c>
      <c r="C247" s="82">
        <f>IFERROR(VLOOKUP(B247,'VTN2025'!B:I,8,FALSE),"-")</f>
        <v>17436.14</v>
      </c>
      <c r="D247" s="83">
        <f t="shared" si="4"/>
        <v>21307.326428571429</v>
      </c>
    </row>
    <row r="248" spans="1:4" ht="16.5" thickBot="1" x14ac:dyDescent="0.3">
      <c r="A248" s="61" t="s">
        <v>535</v>
      </c>
      <c r="B248" s="61" t="s">
        <v>536</v>
      </c>
      <c r="C248" s="82">
        <f>IFERROR(VLOOKUP(B248,'VTN2025'!B:I,8,FALSE),"-")</f>
        <v>20266.133333333335</v>
      </c>
      <c r="D248" s="83">
        <f t="shared" si="4"/>
        <v>21307.326428571429</v>
      </c>
    </row>
    <row r="249" spans="1:4" ht="16.5" thickBot="1" x14ac:dyDescent="0.3">
      <c r="A249" s="61" t="s">
        <v>535</v>
      </c>
      <c r="B249" s="61" t="s">
        <v>537</v>
      </c>
      <c r="C249" s="82">
        <f>IFERROR(VLOOKUP(B249,'VTN2025'!B:I,8,FALSE),"-")</f>
        <v>22105.100000000002</v>
      </c>
      <c r="D249" s="83">
        <f t="shared" si="4"/>
        <v>21307.326428571429</v>
      </c>
    </row>
    <row r="250" spans="1:4" ht="16.5" thickBot="1" x14ac:dyDescent="0.3">
      <c r="A250" s="61" t="s">
        <v>535</v>
      </c>
      <c r="B250" s="61" t="s">
        <v>394</v>
      </c>
      <c r="C250" s="82">
        <f>IFERROR(VLOOKUP(B250,'VTN2025'!B:I,8,FALSE),"-")</f>
        <v>23441.798333333336</v>
      </c>
      <c r="D250" s="83">
        <f t="shared" si="4"/>
        <v>21307.326428571429</v>
      </c>
    </row>
    <row r="251" spans="1:4" ht="16.5" thickBot="1" x14ac:dyDescent="0.3">
      <c r="A251" s="61" t="s">
        <v>535</v>
      </c>
      <c r="B251" s="61" t="s">
        <v>496</v>
      </c>
      <c r="C251" s="82">
        <f>IFERROR(VLOOKUP(B251,'VTN2025'!B:I,8,FALSE),"-")</f>
        <v>32040.615000000002</v>
      </c>
      <c r="D251" s="83">
        <f t="shared" si="4"/>
        <v>21307.326428571429</v>
      </c>
    </row>
    <row r="252" spans="1:4" ht="16.5" thickBot="1" x14ac:dyDescent="0.3">
      <c r="A252" s="61" t="s">
        <v>535</v>
      </c>
      <c r="B252" s="61" t="s">
        <v>538</v>
      </c>
      <c r="C252" s="82">
        <f>IFERROR(VLOOKUP(B252,'VTN2025'!B:I,8,FALSE),"-")</f>
        <v>17871.291666666664</v>
      </c>
      <c r="D252" s="83">
        <f t="shared" si="4"/>
        <v>21307.326428571429</v>
      </c>
    </row>
    <row r="253" spans="1:4" ht="16.5" thickBot="1" x14ac:dyDescent="0.3">
      <c r="A253" s="61" t="s">
        <v>535</v>
      </c>
      <c r="B253" s="61" t="s">
        <v>539</v>
      </c>
      <c r="C253" s="82">
        <f>IFERROR(VLOOKUP(B253,'VTN2025'!B:I,8,FALSE),"-")</f>
        <v>15990.206666666665</v>
      </c>
      <c r="D253" s="83">
        <f t="shared" si="4"/>
        <v>21307.326428571429</v>
      </c>
    </row>
    <row r="254" spans="1:4" ht="16.5" thickBot="1" x14ac:dyDescent="0.3">
      <c r="A254" s="61" t="s">
        <v>535</v>
      </c>
      <c r="B254" s="61" t="s">
        <v>540</v>
      </c>
      <c r="C254" s="82" t="str">
        <f>IFERROR(VLOOKUP(B254,'VTN2025'!B:I,8,FALSE),"-")</f>
        <v>-</v>
      </c>
      <c r="D254" s="83">
        <f t="shared" si="4"/>
        <v>21307.326428571429</v>
      </c>
    </row>
    <row r="255" spans="1:4" ht="16.5" thickBot="1" x14ac:dyDescent="0.3">
      <c r="A255" s="61" t="s">
        <v>494</v>
      </c>
      <c r="B255" s="61" t="s">
        <v>439</v>
      </c>
      <c r="C255" s="82">
        <f>IFERROR(VLOOKUP(B255,'VTN2025'!B:I,8,FALSE),"-")</f>
        <v>18695</v>
      </c>
      <c r="D255" s="83">
        <f t="shared" ref="D255:D318" si="5">AVERAGEIF($A:$A,A255,$C:$C)</f>
        <v>21931.56966666667</v>
      </c>
    </row>
    <row r="256" spans="1:4" ht="16.5" thickBot="1" x14ac:dyDescent="0.3">
      <c r="A256" s="61" t="s">
        <v>494</v>
      </c>
      <c r="B256" s="61" t="s">
        <v>506</v>
      </c>
      <c r="C256" s="82">
        <f>IFERROR(VLOOKUP(B256,'VTN2025'!B:I,8,FALSE),"-")</f>
        <v>28732.248333333333</v>
      </c>
      <c r="D256" s="83">
        <f t="shared" si="5"/>
        <v>21931.56966666667</v>
      </c>
    </row>
    <row r="257" spans="1:4" ht="16.5" thickBot="1" x14ac:dyDescent="0.3">
      <c r="A257" s="61" t="s">
        <v>494</v>
      </c>
      <c r="B257" s="61" t="s">
        <v>434</v>
      </c>
      <c r="C257" s="82">
        <f>IFERROR(VLOOKUP(B257,'VTN2025'!B:I,8,FALSE),"-")</f>
        <v>17731.825000000001</v>
      </c>
      <c r="D257" s="83">
        <f t="shared" si="5"/>
        <v>21931.56966666667</v>
      </c>
    </row>
    <row r="258" spans="1:4" ht="16.5" thickBot="1" x14ac:dyDescent="0.3">
      <c r="A258" s="61" t="s">
        <v>494</v>
      </c>
      <c r="B258" s="61" t="s">
        <v>441</v>
      </c>
      <c r="C258" s="82">
        <f>IFERROR(VLOOKUP(B258,'VTN2025'!B:I,8,FALSE),"-")</f>
        <v>23977.173333333336</v>
      </c>
      <c r="D258" s="83">
        <f t="shared" si="5"/>
        <v>21931.56966666667</v>
      </c>
    </row>
    <row r="259" spans="1:4" ht="16.5" thickBot="1" x14ac:dyDescent="0.3">
      <c r="A259" s="61" t="s">
        <v>494</v>
      </c>
      <c r="B259" s="61" t="s">
        <v>375</v>
      </c>
      <c r="C259" s="82">
        <f>IFERROR(VLOOKUP(B259,'VTN2025'!B:I,8,FALSE),"-")</f>
        <v>20521.601666666666</v>
      </c>
      <c r="D259" s="83">
        <f t="shared" si="5"/>
        <v>21931.56966666667</v>
      </c>
    </row>
    <row r="260" spans="1:4" ht="16.5" thickBot="1" x14ac:dyDescent="0.3">
      <c r="A260" s="61" t="s">
        <v>541</v>
      </c>
      <c r="B260" s="61" t="s">
        <v>367</v>
      </c>
      <c r="C260" s="82">
        <f>IFERROR(VLOOKUP(B260,'VTN2025'!B:I,8,FALSE),"-")</f>
        <v>21065.23</v>
      </c>
      <c r="D260" s="83">
        <f t="shared" si="5"/>
        <v>22915.402916666666</v>
      </c>
    </row>
    <row r="261" spans="1:4" ht="16.5" thickBot="1" x14ac:dyDescent="0.3">
      <c r="A261" s="61" t="s">
        <v>541</v>
      </c>
      <c r="B261" s="61" t="s">
        <v>542</v>
      </c>
      <c r="C261" s="82">
        <f>IFERROR(VLOOKUP(B261,'VTN2025'!B:I,8,FALSE),"-")</f>
        <v>19695.2</v>
      </c>
      <c r="D261" s="83">
        <f t="shared" si="5"/>
        <v>22915.402916666666</v>
      </c>
    </row>
    <row r="262" spans="1:4" ht="16.5" thickBot="1" x14ac:dyDescent="0.3">
      <c r="A262" s="61" t="s">
        <v>541</v>
      </c>
      <c r="B262" s="61" t="s">
        <v>487</v>
      </c>
      <c r="C262" s="82">
        <f>IFERROR(VLOOKUP(B262,'VTN2025'!B:I,8,FALSE),"-")</f>
        <v>24342.469999999998</v>
      </c>
      <c r="D262" s="83">
        <f t="shared" si="5"/>
        <v>22915.402916666666</v>
      </c>
    </row>
    <row r="263" spans="1:4" ht="16.5" thickBot="1" x14ac:dyDescent="0.3">
      <c r="A263" s="61" t="s">
        <v>541</v>
      </c>
      <c r="B263" s="61" t="s">
        <v>368</v>
      </c>
      <c r="C263" s="82">
        <f>IFERROR(VLOOKUP(B263,'VTN2025'!B:I,8,FALSE),"-")</f>
        <v>26558.71166666667</v>
      </c>
      <c r="D263" s="83">
        <f t="shared" si="5"/>
        <v>22915.402916666666</v>
      </c>
    </row>
    <row r="264" spans="1:4" ht="16.5" thickBot="1" x14ac:dyDescent="0.3">
      <c r="A264" s="61" t="s">
        <v>543</v>
      </c>
      <c r="B264" s="61" t="s">
        <v>544</v>
      </c>
      <c r="C264" s="82">
        <f>IFERROR(VLOOKUP(B264,'VTN2025'!B:I,8,FALSE),"-")</f>
        <v>7535.7266666666665</v>
      </c>
      <c r="D264" s="83">
        <f t="shared" si="5"/>
        <v>6336.8608333333332</v>
      </c>
    </row>
    <row r="265" spans="1:4" ht="16.5" thickBot="1" x14ac:dyDescent="0.3">
      <c r="A265" s="61" t="s">
        <v>543</v>
      </c>
      <c r="B265" s="61" t="s">
        <v>403</v>
      </c>
      <c r="C265" s="82" t="str">
        <f>IFERROR(VLOOKUP(B265,'VTN2025'!B:I,8,FALSE),"-")</f>
        <v>-</v>
      </c>
      <c r="D265" s="83">
        <f t="shared" si="5"/>
        <v>6336.8608333333332</v>
      </c>
    </row>
    <row r="266" spans="1:4" ht="16.5" thickBot="1" x14ac:dyDescent="0.3">
      <c r="A266" s="61" t="s">
        <v>543</v>
      </c>
      <c r="B266" s="61" t="s">
        <v>545</v>
      </c>
      <c r="C266" s="82">
        <f>IFERROR(VLOOKUP(B266,'VTN2025'!B:I,8,FALSE),"-")</f>
        <v>3866.8183333333332</v>
      </c>
      <c r="D266" s="83">
        <f t="shared" si="5"/>
        <v>6336.8608333333332</v>
      </c>
    </row>
    <row r="267" spans="1:4" ht="16.5" thickBot="1" x14ac:dyDescent="0.3">
      <c r="A267" s="61" t="s">
        <v>543</v>
      </c>
      <c r="B267" s="61" t="s">
        <v>404</v>
      </c>
      <c r="C267" s="82">
        <f>IFERROR(VLOOKUP(B267,'VTN2025'!B:I,8,FALSE),"-")</f>
        <v>6339.8433333333332</v>
      </c>
      <c r="D267" s="83">
        <f t="shared" si="5"/>
        <v>6336.8608333333332</v>
      </c>
    </row>
    <row r="268" spans="1:4" ht="16.5" thickBot="1" x14ac:dyDescent="0.3">
      <c r="A268" s="61" t="s">
        <v>543</v>
      </c>
      <c r="B268" s="61" t="s">
        <v>546</v>
      </c>
      <c r="C268" s="82">
        <f>IFERROR(VLOOKUP(B268,'VTN2025'!B:I,8,FALSE),"-")</f>
        <v>7605.0550000000003</v>
      </c>
      <c r="D268" s="83">
        <f t="shared" si="5"/>
        <v>6336.8608333333332</v>
      </c>
    </row>
    <row r="269" spans="1:4" ht="16.5" thickBot="1" x14ac:dyDescent="0.3">
      <c r="A269" s="61" t="s">
        <v>544</v>
      </c>
      <c r="B269" s="61" t="s">
        <v>543</v>
      </c>
      <c r="C269" s="82">
        <f>IFERROR(VLOOKUP(B269,'VTN2025'!B:I,8,FALSE),"-")</f>
        <v>4987.3499999999995</v>
      </c>
      <c r="D269" s="83">
        <f t="shared" si="5"/>
        <v>6485.8194444444443</v>
      </c>
    </row>
    <row r="270" spans="1:4" ht="16.5" thickBot="1" x14ac:dyDescent="0.3">
      <c r="A270" s="61" t="s">
        <v>544</v>
      </c>
      <c r="B270" s="61" t="s">
        <v>411</v>
      </c>
      <c r="C270" s="82">
        <f>IFERROR(VLOOKUP(B270,'VTN2025'!B:I,8,FALSE),"-")</f>
        <v>5786.45</v>
      </c>
      <c r="D270" s="83">
        <f t="shared" si="5"/>
        <v>6485.8194444444443</v>
      </c>
    </row>
    <row r="271" spans="1:4" ht="16.5" thickBot="1" x14ac:dyDescent="0.3">
      <c r="A271" s="61" t="s">
        <v>544</v>
      </c>
      <c r="B271" s="61" t="s">
        <v>398</v>
      </c>
      <c r="C271" s="82">
        <f>IFERROR(VLOOKUP(B271,'VTN2025'!B:I,8,FALSE),"-")</f>
        <v>7540.8016666666672</v>
      </c>
      <c r="D271" s="83">
        <f t="shared" si="5"/>
        <v>6485.8194444444443</v>
      </c>
    </row>
    <row r="272" spans="1:4" ht="16.5" thickBot="1" x14ac:dyDescent="0.3">
      <c r="A272" s="61" t="s">
        <v>544</v>
      </c>
      <c r="B272" s="61" t="s">
        <v>545</v>
      </c>
      <c r="C272" s="82">
        <f>IFERROR(VLOOKUP(B272,'VTN2025'!B:I,8,FALSE),"-")</f>
        <v>3866.8183333333332</v>
      </c>
      <c r="D272" s="83">
        <f t="shared" si="5"/>
        <v>6485.8194444444443</v>
      </c>
    </row>
    <row r="273" spans="1:4" ht="16.5" thickBot="1" x14ac:dyDescent="0.3">
      <c r="A273" s="61" t="s">
        <v>544</v>
      </c>
      <c r="B273" s="61" t="s">
        <v>399</v>
      </c>
      <c r="C273" s="82">
        <f>IFERROR(VLOOKUP(B273,'VTN2025'!B:I,8,FALSE),"-")</f>
        <v>9128.4416666666675</v>
      </c>
      <c r="D273" s="83">
        <f t="shared" si="5"/>
        <v>6485.8194444444443</v>
      </c>
    </row>
    <row r="274" spans="1:4" ht="16.5" thickBot="1" x14ac:dyDescent="0.3">
      <c r="A274" s="61" t="s">
        <v>544</v>
      </c>
      <c r="B274" s="61" t="s">
        <v>547</v>
      </c>
      <c r="C274" s="82" t="str">
        <f>IFERROR(VLOOKUP(B274,'VTN2025'!B:I,8,FALSE),"-")</f>
        <v>-</v>
      </c>
      <c r="D274" s="83">
        <f t="shared" si="5"/>
        <v>6485.8194444444443</v>
      </c>
    </row>
    <row r="275" spans="1:4" ht="16.5" thickBot="1" x14ac:dyDescent="0.3">
      <c r="A275" s="61" t="s">
        <v>544</v>
      </c>
      <c r="B275" s="61" t="s">
        <v>546</v>
      </c>
      <c r="C275" s="82">
        <f>IFERROR(VLOOKUP(B275,'VTN2025'!B:I,8,FALSE),"-")</f>
        <v>7605.0550000000003</v>
      </c>
      <c r="D275" s="83">
        <f t="shared" si="5"/>
        <v>6485.8194444444443</v>
      </c>
    </row>
    <row r="276" spans="1:4" ht="16.5" thickBot="1" x14ac:dyDescent="0.3">
      <c r="A276" s="61" t="s">
        <v>548</v>
      </c>
      <c r="B276" s="61" t="s">
        <v>549</v>
      </c>
      <c r="C276" s="82">
        <f>IFERROR(VLOOKUP(B276,'VTN2025'!B:I,8,FALSE),"-")</f>
        <v>21583.333333333332</v>
      </c>
      <c r="D276" s="83">
        <f t="shared" si="5"/>
        <v>20924.733333333334</v>
      </c>
    </row>
    <row r="277" spans="1:4" ht="16.5" thickBot="1" x14ac:dyDescent="0.3">
      <c r="A277" s="61" t="s">
        <v>548</v>
      </c>
      <c r="B277" s="61" t="s">
        <v>536</v>
      </c>
      <c r="C277" s="82">
        <f>IFERROR(VLOOKUP(B277,'VTN2025'!B:I,8,FALSE),"-")</f>
        <v>20266.133333333335</v>
      </c>
      <c r="D277" s="83">
        <f t="shared" si="5"/>
        <v>20924.733333333334</v>
      </c>
    </row>
    <row r="278" spans="1:4" ht="16.5" thickBot="1" x14ac:dyDescent="0.3">
      <c r="A278" s="61" t="s">
        <v>432</v>
      </c>
      <c r="B278" s="61" t="s">
        <v>371</v>
      </c>
      <c r="C278" s="82" t="str">
        <f>IFERROR(VLOOKUP(B278,'VTN2025'!B:I,8,FALSE),"-")</f>
        <v>-</v>
      </c>
      <c r="D278" s="83">
        <f t="shared" si="5"/>
        <v>26571.99</v>
      </c>
    </row>
    <row r="279" spans="1:4" ht="16.5" thickBot="1" x14ac:dyDescent="0.3">
      <c r="A279" s="61" t="s">
        <v>432</v>
      </c>
      <c r="B279" s="61" t="s">
        <v>436</v>
      </c>
      <c r="C279" s="82">
        <f>IFERROR(VLOOKUP(B279,'VTN2025'!B:I,8,FALSE),"-")</f>
        <v>26571.99</v>
      </c>
      <c r="D279" s="83">
        <f t="shared" si="5"/>
        <v>26571.99</v>
      </c>
    </row>
    <row r="280" spans="1:4" ht="16.5" thickBot="1" x14ac:dyDescent="0.3">
      <c r="A280" s="61" t="s">
        <v>550</v>
      </c>
      <c r="B280" s="61" t="s">
        <v>551</v>
      </c>
      <c r="C280" s="82" t="str">
        <f>IFERROR(VLOOKUP(B280,'VTN2025'!B:I,8,FALSE),"-")</f>
        <v>-</v>
      </c>
      <c r="D280" s="83">
        <f t="shared" si="5"/>
        <v>6451.9174999999996</v>
      </c>
    </row>
    <row r="281" spans="1:4" ht="16.5" thickBot="1" x14ac:dyDescent="0.3">
      <c r="A281" s="61" t="s">
        <v>550</v>
      </c>
      <c r="B281" s="61" t="s">
        <v>552</v>
      </c>
      <c r="C281" s="82" t="str">
        <f>IFERROR(VLOOKUP(B281,'VTN2025'!B:I,8,FALSE),"-")</f>
        <v>-</v>
      </c>
      <c r="D281" s="83">
        <f t="shared" si="5"/>
        <v>6451.9174999999996</v>
      </c>
    </row>
    <row r="282" spans="1:4" ht="16.5" thickBot="1" x14ac:dyDescent="0.3">
      <c r="A282" s="61" t="s">
        <v>550</v>
      </c>
      <c r="B282" s="61" t="s">
        <v>553</v>
      </c>
      <c r="C282" s="82" t="str">
        <f>IFERROR(VLOOKUP(B282,'VTN2025'!B:I,8,FALSE),"-")</f>
        <v>-</v>
      </c>
      <c r="D282" s="83">
        <f t="shared" si="5"/>
        <v>6451.9174999999996</v>
      </c>
    </row>
    <row r="283" spans="1:4" ht="16.5" thickBot="1" x14ac:dyDescent="0.3">
      <c r="A283" s="61" t="s">
        <v>550</v>
      </c>
      <c r="B283" s="61" t="s">
        <v>554</v>
      </c>
      <c r="C283" s="82" t="str">
        <f>IFERROR(VLOOKUP(B283,'VTN2025'!B:I,8,FALSE),"-")</f>
        <v>-</v>
      </c>
      <c r="D283" s="83">
        <f t="shared" si="5"/>
        <v>6451.9174999999996</v>
      </c>
    </row>
    <row r="284" spans="1:4" ht="16.5" thickBot="1" x14ac:dyDescent="0.3">
      <c r="A284" s="61" t="s">
        <v>550</v>
      </c>
      <c r="B284" s="61" t="s">
        <v>555</v>
      </c>
      <c r="C284" s="82">
        <f>IFERROR(VLOOKUP(B284,'VTN2025'!B:I,8,FALSE),"-")</f>
        <v>8110.6716666666653</v>
      </c>
      <c r="D284" s="83">
        <f t="shared" si="5"/>
        <v>6451.9174999999996</v>
      </c>
    </row>
    <row r="285" spans="1:4" ht="16.5" thickBot="1" x14ac:dyDescent="0.3">
      <c r="A285" s="61" t="s">
        <v>550</v>
      </c>
      <c r="B285" s="61" t="s">
        <v>556</v>
      </c>
      <c r="C285" s="82" t="str">
        <f>IFERROR(VLOOKUP(B285,'VTN2025'!B:I,8,FALSE),"-")</f>
        <v>-</v>
      </c>
      <c r="D285" s="83">
        <f t="shared" si="5"/>
        <v>6451.9174999999996</v>
      </c>
    </row>
    <row r="286" spans="1:4" ht="16.5" thickBot="1" x14ac:dyDescent="0.3">
      <c r="A286" s="61" t="s">
        <v>550</v>
      </c>
      <c r="B286" s="61" t="s">
        <v>557</v>
      </c>
      <c r="C286" s="82" t="str">
        <f>IFERROR(VLOOKUP(B286,'VTN2025'!B:I,8,FALSE),"-")</f>
        <v>-</v>
      </c>
      <c r="D286" s="83">
        <f t="shared" si="5"/>
        <v>6451.9174999999996</v>
      </c>
    </row>
    <row r="287" spans="1:4" ht="16.5" thickBot="1" x14ac:dyDescent="0.3">
      <c r="A287" s="61" t="s">
        <v>550</v>
      </c>
      <c r="B287" s="61" t="s">
        <v>558</v>
      </c>
      <c r="C287" s="82">
        <f>IFERROR(VLOOKUP(B287,'VTN2025'!B:I,8,FALSE),"-")</f>
        <v>4793.163333333333</v>
      </c>
      <c r="D287" s="83">
        <f t="shared" si="5"/>
        <v>6451.9174999999996</v>
      </c>
    </row>
    <row r="288" spans="1:4" ht="16.5" thickBot="1" x14ac:dyDescent="0.3">
      <c r="A288" s="61" t="s">
        <v>397</v>
      </c>
      <c r="B288" s="61" t="s">
        <v>396</v>
      </c>
      <c r="C288" s="82">
        <f>IFERROR(VLOOKUP(B288,'VTN2025'!B:I,8,FALSE),"-")</f>
        <v>5425.2616666666663</v>
      </c>
      <c r="D288" s="83">
        <f t="shared" si="5"/>
        <v>7409.0950000000003</v>
      </c>
    </row>
    <row r="289" spans="1:4" ht="16.5" thickBot="1" x14ac:dyDescent="0.3">
      <c r="A289" s="61" t="s">
        <v>397</v>
      </c>
      <c r="B289" s="61" t="s">
        <v>398</v>
      </c>
      <c r="C289" s="82">
        <f>IFERROR(VLOOKUP(B289,'VTN2025'!B:I,8,FALSE),"-")</f>
        <v>7540.8016666666672</v>
      </c>
      <c r="D289" s="83">
        <f t="shared" si="5"/>
        <v>7409.0950000000003</v>
      </c>
    </row>
    <row r="290" spans="1:4" ht="16.5" thickBot="1" x14ac:dyDescent="0.3">
      <c r="A290" s="61" t="s">
        <v>397</v>
      </c>
      <c r="B290" s="61" t="s">
        <v>400</v>
      </c>
      <c r="C290" s="82" t="str">
        <f>IFERROR(VLOOKUP(B290,'VTN2025'!B:I,8,FALSE),"-")</f>
        <v>-</v>
      </c>
      <c r="D290" s="83">
        <f t="shared" si="5"/>
        <v>7409.0950000000003</v>
      </c>
    </row>
    <row r="291" spans="1:4" ht="16.5" thickBot="1" x14ac:dyDescent="0.3">
      <c r="A291" s="61" t="s">
        <v>397</v>
      </c>
      <c r="B291" s="61" t="s">
        <v>559</v>
      </c>
      <c r="C291" s="82">
        <f>IFERROR(VLOOKUP(B291,'VTN2025'!B:I,8,FALSE),"-")</f>
        <v>9261.2216666666664</v>
      </c>
      <c r="D291" s="83">
        <f t="shared" si="5"/>
        <v>7409.0950000000003</v>
      </c>
    </row>
    <row r="292" spans="1:4" ht="16.5" thickBot="1" x14ac:dyDescent="0.3">
      <c r="A292" s="61" t="s">
        <v>560</v>
      </c>
      <c r="B292" s="61" t="s">
        <v>561</v>
      </c>
      <c r="C292" s="82">
        <f>IFERROR(VLOOKUP(B292,'VTN2025'!B:I,8,FALSE),"-")</f>
        <v>17532.204999999998</v>
      </c>
      <c r="D292" s="83">
        <f t="shared" si="5"/>
        <v>21550.62</v>
      </c>
    </row>
    <row r="293" spans="1:4" ht="16.5" thickBot="1" x14ac:dyDescent="0.3">
      <c r="A293" s="61" t="s">
        <v>560</v>
      </c>
      <c r="B293" s="61" t="s">
        <v>562</v>
      </c>
      <c r="C293" s="82">
        <f>IFERROR(VLOOKUP(B293,'VTN2025'!B:I,8,FALSE),"-")</f>
        <v>10493.316666666666</v>
      </c>
      <c r="D293" s="83">
        <f t="shared" si="5"/>
        <v>21550.62</v>
      </c>
    </row>
    <row r="294" spans="1:4" ht="16.5" thickBot="1" x14ac:dyDescent="0.3">
      <c r="A294" s="61" t="s">
        <v>560</v>
      </c>
      <c r="B294" s="61" t="s">
        <v>563</v>
      </c>
      <c r="C294" s="82" t="str">
        <f>IFERROR(VLOOKUP(B294,'VTN2025'!B:I,8,FALSE),"-")</f>
        <v>-</v>
      </c>
      <c r="D294" s="83">
        <f t="shared" si="5"/>
        <v>21550.62</v>
      </c>
    </row>
    <row r="295" spans="1:4" ht="16.5" thickBot="1" x14ac:dyDescent="0.3">
      <c r="A295" s="61" t="s">
        <v>560</v>
      </c>
      <c r="B295" s="61" t="s">
        <v>564</v>
      </c>
      <c r="C295" s="82">
        <f>IFERROR(VLOOKUP(B295,'VTN2025'!B:I,8,FALSE),"-")</f>
        <v>26140.904999999999</v>
      </c>
      <c r="D295" s="83">
        <f t="shared" si="5"/>
        <v>21550.62</v>
      </c>
    </row>
    <row r="296" spans="1:4" ht="16.5" thickBot="1" x14ac:dyDescent="0.3">
      <c r="A296" s="61" t="s">
        <v>560</v>
      </c>
      <c r="B296" s="61" t="s">
        <v>565</v>
      </c>
      <c r="C296" s="82">
        <f>IFERROR(VLOOKUP(B296,'VTN2025'!B:I,8,FALSE),"-")</f>
        <v>32036.05333333333</v>
      </c>
      <c r="D296" s="83">
        <f t="shared" si="5"/>
        <v>21550.62</v>
      </c>
    </row>
    <row r="297" spans="1:4" ht="16.5" thickBot="1" x14ac:dyDescent="0.3">
      <c r="A297" s="61" t="s">
        <v>499</v>
      </c>
      <c r="B297" s="61" t="s">
        <v>498</v>
      </c>
      <c r="C297" s="82">
        <f>IFERROR(VLOOKUP(B297,'VTN2025'!B:I,8,FALSE),"-")</f>
        <v>41702.514999999992</v>
      </c>
      <c r="D297" s="83">
        <f t="shared" si="5"/>
        <v>34086.266333333326</v>
      </c>
    </row>
    <row r="298" spans="1:4" ht="16.5" thickBot="1" x14ac:dyDescent="0.3">
      <c r="A298" s="61" t="s">
        <v>499</v>
      </c>
      <c r="B298" s="61" t="s">
        <v>500</v>
      </c>
      <c r="C298" s="82">
        <f>IFERROR(VLOOKUP(B298,'VTN2025'!B:I,8,FALSE),"-")</f>
        <v>34286.04833333334</v>
      </c>
      <c r="D298" s="83">
        <f t="shared" si="5"/>
        <v>34086.266333333326</v>
      </c>
    </row>
    <row r="299" spans="1:4" ht="16.5" thickBot="1" x14ac:dyDescent="0.3">
      <c r="A299" s="61" t="s">
        <v>499</v>
      </c>
      <c r="B299" s="61" t="s">
        <v>566</v>
      </c>
      <c r="C299" s="82">
        <f>IFERROR(VLOOKUP(B299,'VTN2025'!B:I,8,FALSE),"-")</f>
        <v>51652.889999999992</v>
      </c>
      <c r="D299" s="83">
        <f t="shared" si="5"/>
        <v>34086.266333333326</v>
      </c>
    </row>
    <row r="300" spans="1:4" ht="16.5" thickBot="1" x14ac:dyDescent="0.3">
      <c r="A300" s="61" t="s">
        <v>499</v>
      </c>
      <c r="B300" s="61" t="s">
        <v>567</v>
      </c>
      <c r="C300" s="82">
        <f>IFERROR(VLOOKUP(B300,'VTN2025'!B:I,8,FALSE),"-")</f>
        <v>23927.636666666669</v>
      </c>
      <c r="D300" s="83">
        <f t="shared" si="5"/>
        <v>34086.266333333326</v>
      </c>
    </row>
    <row r="301" spans="1:4" ht="16.5" thickBot="1" x14ac:dyDescent="0.3">
      <c r="A301" s="61" t="s">
        <v>499</v>
      </c>
      <c r="B301" s="61" t="s">
        <v>505</v>
      </c>
      <c r="C301" s="82">
        <f>IFERROR(VLOOKUP(B301,'VTN2025'!B:I,8,FALSE),"-")</f>
        <v>18862.241666666669</v>
      </c>
      <c r="D301" s="83">
        <f t="shared" si="5"/>
        <v>34086.266333333326</v>
      </c>
    </row>
    <row r="302" spans="1:4" ht="16.5" thickBot="1" x14ac:dyDescent="0.3">
      <c r="A302" s="61" t="s">
        <v>499</v>
      </c>
      <c r="B302" s="61" t="s">
        <v>446</v>
      </c>
      <c r="C302" s="82" t="str">
        <f>IFERROR(VLOOKUP(B302,'VTN2025'!B:I,8,FALSE),"-")</f>
        <v>-</v>
      </c>
      <c r="D302" s="83">
        <f t="shared" si="5"/>
        <v>34086.266333333326</v>
      </c>
    </row>
    <row r="303" spans="1:4" ht="16.5" thickBot="1" x14ac:dyDescent="0.3">
      <c r="A303" s="61" t="s">
        <v>549</v>
      </c>
      <c r="B303" s="61" t="s">
        <v>428</v>
      </c>
      <c r="C303" s="82" t="str">
        <f>IFERROR(VLOOKUP(B303,'VTN2025'!B:I,8,FALSE),"-")</f>
        <v>-</v>
      </c>
      <c r="D303" s="83">
        <f t="shared" si="5"/>
        <v>17408.695</v>
      </c>
    </row>
    <row r="304" spans="1:4" ht="16.5" thickBot="1" x14ac:dyDescent="0.3">
      <c r="A304" s="61" t="s">
        <v>549</v>
      </c>
      <c r="B304" s="61" t="s">
        <v>548</v>
      </c>
      <c r="C304" s="82">
        <f>IFERROR(VLOOKUP(B304,'VTN2025'!B:I,8,FALSE),"-")</f>
        <v>14551.256666666668</v>
      </c>
      <c r="D304" s="83">
        <f t="shared" si="5"/>
        <v>17408.695</v>
      </c>
    </row>
    <row r="305" spans="1:4" ht="16.5" thickBot="1" x14ac:dyDescent="0.3">
      <c r="A305" s="61" t="s">
        <v>549</v>
      </c>
      <c r="B305" s="61" t="s">
        <v>568</v>
      </c>
      <c r="C305" s="82" t="str">
        <f>IFERROR(VLOOKUP(B305,'VTN2025'!B:I,8,FALSE),"-")</f>
        <v>-</v>
      </c>
      <c r="D305" s="83">
        <f t="shared" si="5"/>
        <v>17408.695</v>
      </c>
    </row>
    <row r="306" spans="1:4" ht="16.5" thickBot="1" x14ac:dyDescent="0.3">
      <c r="A306" s="61" t="s">
        <v>549</v>
      </c>
      <c r="B306" s="61" t="s">
        <v>429</v>
      </c>
      <c r="C306" s="82" t="str">
        <f>IFERROR(VLOOKUP(B306,'VTN2025'!B:I,8,FALSE),"-")</f>
        <v>-</v>
      </c>
      <c r="D306" s="83">
        <f t="shared" si="5"/>
        <v>17408.695</v>
      </c>
    </row>
    <row r="307" spans="1:4" ht="16.5" thickBot="1" x14ac:dyDescent="0.3">
      <c r="A307" s="61" t="s">
        <v>549</v>
      </c>
      <c r="B307" s="61" t="s">
        <v>569</v>
      </c>
      <c r="C307" s="82" t="str">
        <f>IFERROR(VLOOKUP(B307,'VTN2025'!B:I,8,FALSE),"-")</f>
        <v>-</v>
      </c>
      <c r="D307" s="83">
        <f t="shared" si="5"/>
        <v>17408.695</v>
      </c>
    </row>
    <row r="308" spans="1:4" ht="16.5" thickBot="1" x14ac:dyDescent="0.3">
      <c r="A308" s="61" t="s">
        <v>549</v>
      </c>
      <c r="B308" s="61" t="s">
        <v>570</v>
      </c>
      <c r="C308" s="82" t="str">
        <f>IFERROR(VLOOKUP(B308,'VTN2025'!B:I,8,FALSE),"-")</f>
        <v>-</v>
      </c>
      <c r="D308" s="83">
        <f t="shared" si="5"/>
        <v>17408.695</v>
      </c>
    </row>
    <row r="309" spans="1:4" ht="16.5" thickBot="1" x14ac:dyDescent="0.3">
      <c r="A309" s="61" t="s">
        <v>549</v>
      </c>
      <c r="B309" s="61" t="s">
        <v>571</v>
      </c>
      <c r="C309" s="82" t="str">
        <f>IFERROR(VLOOKUP(B309,'VTN2025'!B:I,8,FALSE),"-")</f>
        <v>-</v>
      </c>
      <c r="D309" s="83">
        <f t="shared" si="5"/>
        <v>17408.695</v>
      </c>
    </row>
    <row r="310" spans="1:4" ht="16.5" thickBot="1" x14ac:dyDescent="0.3">
      <c r="A310" s="61" t="s">
        <v>549</v>
      </c>
      <c r="B310" s="61" t="s">
        <v>536</v>
      </c>
      <c r="C310" s="82">
        <f>IFERROR(VLOOKUP(B310,'VTN2025'!B:I,8,FALSE),"-")</f>
        <v>20266.133333333335</v>
      </c>
      <c r="D310" s="83">
        <f t="shared" si="5"/>
        <v>17408.695</v>
      </c>
    </row>
    <row r="311" spans="1:4" ht="16.5" thickBot="1" x14ac:dyDescent="0.3">
      <c r="A311" s="61" t="s">
        <v>549</v>
      </c>
      <c r="B311" s="61" t="s">
        <v>572</v>
      </c>
      <c r="C311" s="82" t="str">
        <f>IFERROR(VLOOKUP(B311,'VTN2025'!B:I,8,FALSE),"-")</f>
        <v>-</v>
      </c>
      <c r="D311" s="83">
        <f t="shared" si="5"/>
        <v>17408.695</v>
      </c>
    </row>
    <row r="312" spans="1:4" ht="16.5" thickBot="1" x14ac:dyDescent="0.3">
      <c r="A312" s="61" t="s">
        <v>549</v>
      </c>
      <c r="B312" s="61" t="s">
        <v>573</v>
      </c>
      <c r="C312" s="82" t="str">
        <f>IFERROR(VLOOKUP(B312,'VTN2025'!B:I,8,FALSE),"-")</f>
        <v>-</v>
      </c>
      <c r="D312" s="83">
        <f t="shared" si="5"/>
        <v>17408.695</v>
      </c>
    </row>
    <row r="313" spans="1:4" ht="16.5" thickBot="1" x14ac:dyDescent="0.3">
      <c r="A313" s="61" t="s">
        <v>470</v>
      </c>
      <c r="B313" s="61" t="s">
        <v>469</v>
      </c>
      <c r="C313" s="82">
        <f>IFERROR(VLOOKUP(B313,'VTN2025'!B:I,8,FALSE),"-")</f>
        <v>17771.586666666666</v>
      </c>
      <c r="D313" s="83">
        <f t="shared" si="5"/>
        <v>26635.893333333333</v>
      </c>
    </row>
    <row r="314" spans="1:4" ht="16.5" thickBot="1" x14ac:dyDescent="0.3">
      <c r="A314" s="61" t="s">
        <v>470</v>
      </c>
      <c r="B314" s="61" t="s">
        <v>430</v>
      </c>
      <c r="C314" s="82">
        <f>IFERROR(VLOOKUP(B314,'VTN2025'!B:I,8,FALSE),"-")</f>
        <v>27850.556666666667</v>
      </c>
      <c r="D314" s="83">
        <f t="shared" si="5"/>
        <v>26635.893333333333</v>
      </c>
    </row>
    <row r="315" spans="1:4" ht="16.5" thickBot="1" x14ac:dyDescent="0.3">
      <c r="A315" s="61" t="s">
        <v>470</v>
      </c>
      <c r="B315" s="61" t="s">
        <v>511</v>
      </c>
      <c r="C315" s="82" t="str">
        <f>IFERROR(VLOOKUP(B315,'VTN2025'!B:I,8,FALSE),"-")</f>
        <v>-</v>
      </c>
      <c r="D315" s="83">
        <f t="shared" si="5"/>
        <v>26635.893333333333</v>
      </c>
    </row>
    <row r="316" spans="1:4" ht="16.5" thickBot="1" x14ac:dyDescent="0.3">
      <c r="A316" s="61" t="s">
        <v>470</v>
      </c>
      <c r="B316" s="61" t="s">
        <v>471</v>
      </c>
      <c r="C316" s="82">
        <f>IFERROR(VLOOKUP(B316,'VTN2025'!B:I,8,FALSE),"-")</f>
        <v>31249.99</v>
      </c>
      <c r="D316" s="83">
        <f t="shared" si="5"/>
        <v>26635.893333333333</v>
      </c>
    </row>
    <row r="317" spans="1:4" ht="16.5" thickBot="1" x14ac:dyDescent="0.3">
      <c r="A317" s="61" t="s">
        <v>470</v>
      </c>
      <c r="B317" s="61" t="s">
        <v>368</v>
      </c>
      <c r="C317" s="82">
        <f>IFERROR(VLOOKUP(B317,'VTN2025'!B:I,8,FALSE),"-")</f>
        <v>26558.71166666667</v>
      </c>
      <c r="D317" s="83">
        <f t="shared" si="5"/>
        <v>26635.893333333333</v>
      </c>
    </row>
    <row r="318" spans="1:4" ht="16.5" thickBot="1" x14ac:dyDescent="0.3">
      <c r="A318" s="61" t="s">
        <v>470</v>
      </c>
      <c r="B318" s="61" t="s">
        <v>509</v>
      </c>
      <c r="C318" s="82">
        <f>IFERROR(VLOOKUP(B318,'VTN2025'!B:I,8,FALSE),"-")</f>
        <v>29748.62166666667</v>
      </c>
      <c r="D318" s="83">
        <f t="shared" si="5"/>
        <v>26635.893333333333</v>
      </c>
    </row>
    <row r="319" spans="1:4" ht="16.5" thickBot="1" x14ac:dyDescent="0.3">
      <c r="A319" s="61" t="s">
        <v>402</v>
      </c>
      <c r="B319" s="61" t="s">
        <v>401</v>
      </c>
      <c r="C319" s="82">
        <f>IFERROR(VLOOKUP(B319,'VTN2025'!B:I,8,FALSE),"-")</f>
        <v>7938.1283333333331</v>
      </c>
      <c r="D319" s="83">
        <f t="shared" ref="D319:D382" si="6">AVERAGEIF($A:$A,A319,$C:$C)</f>
        <v>6638.5394444444437</v>
      </c>
    </row>
    <row r="320" spans="1:4" ht="16.5" thickBot="1" x14ac:dyDescent="0.3">
      <c r="A320" s="61" t="s">
        <v>402</v>
      </c>
      <c r="B320" s="61" t="s">
        <v>403</v>
      </c>
      <c r="C320" s="82" t="str">
        <f>IFERROR(VLOOKUP(B320,'VTN2025'!B:I,8,FALSE),"-")</f>
        <v>-</v>
      </c>
      <c r="D320" s="83">
        <f t="shared" si="6"/>
        <v>6638.5394444444437</v>
      </c>
    </row>
    <row r="321" spans="1:4" ht="16.5" thickBot="1" x14ac:dyDescent="0.3">
      <c r="A321" s="61" t="s">
        <v>402</v>
      </c>
      <c r="B321" s="61" t="s">
        <v>545</v>
      </c>
      <c r="C321" s="82">
        <f>IFERROR(VLOOKUP(B321,'VTN2025'!B:I,8,FALSE),"-")</f>
        <v>3866.8183333333332</v>
      </c>
      <c r="D321" s="83">
        <f t="shared" si="6"/>
        <v>6638.5394444444437</v>
      </c>
    </row>
    <row r="322" spans="1:4" ht="16.5" thickBot="1" x14ac:dyDescent="0.3">
      <c r="A322" s="61" t="s">
        <v>402</v>
      </c>
      <c r="B322" s="61" t="s">
        <v>555</v>
      </c>
      <c r="C322" s="82">
        <f>IFERROR(VLOOKUP(B322,'VTN2025'!B:I,8,FALSE),"-")</f>
        <v>8110.6716666666653</v>
      </c>
      <c r="D322" s="83">
        <f t="shared" si="6"/>
        <v>6638.5394444444437</v>
      </c>
    </row>
    <row r="323" spans="1:4" ht="16.5" thickBot="1" x14ac:dyDescent="0.3">
      <c r="A323" s="61" t="s">
        <v>402</v>
      </c>
      <c r="B323" s="61" t="s">
        <v>407</v>
      </c>
      <c r="C323" s="82" t="str">
        <f>IFERROR(VLOOKUP(B323,'VTN2025'!B:I,8,FALSE),"-")</f>
        <v>-</v>
      </c>
      <c r="D323" s="83">
        <f t="shared" si="6"/>
        <v>6638.5394444444437</v>
      </c>
    </row>
    <row r="324" spans="1:4" ht="16.5" thickBot="1" x14ac:dyDescent="0.3">
      <c r="A324" s="61" t="s">
        <v>444</v>
      </c>
      <c r="B324" s="61" t="s">
        <v>442</v>
      </c>
      <c r="C324" s="82">
        <f>IFERROR(VLOOKUP(B324,'VTN2025'!B:I,8,FALSE),"-")</f>
        <v>12349.69</v>
      </c>
      <c r="D324" s="83">
        <f t="shared" si="6"/>
        <v>12678.524949494948</v>
      </c>
    </row>
    <row r="325" spans="1:4" ht="16.5" thickBot="1" x14ac:dyDescent="0.3">
      <c r="A325" s="61" t="s">
        <v>444</v>
      </c>
      <c r="B325" s="61" t="s">
        <v>443</v>
      </c>
      <c r="C325" s="82">
        <f>IFERROR(VLOOKUP(B325,'VTN2025'!B:I,8,FALSE),"-")</f>
        <v>13249.846363636363</v>
      </c>
      <c r="D325" s="83">
        <f t="shared" si="6"/>
        <v>12678.524949494948</v>
      </c>
    </row>
    <row r="326" spans="1:4" ht="16.5" thickBot="1" x14ac:dyDescent="0.3">
      <c r="A326" s="61" t="s">
        <v>444</v>
      </c>
      <c r="B326" s="61" t="s">
        <v>451</v>
      </c>
      <c r="C326" s="82">
        <f>IFERROR(VLOOKUP(B326,'VTN2025'!B:I,8,FALSE),"-")</f>
        <v>13376.666666666666</v>
      </c>
      <c r="D326" s="83">
        <f t="shared" si="6"/>
        <v>12678.524949494948</v>
      </c>
    </row>
    <row r="327" spans="1:4" ht="16.5" thickBot="1" x14ac:dyDescent="0.3">
      <c r="A327" s="61" t="s">
        <v>444</v>
      </c>
      <c r="B327" s="61" t="s">
        <v>445</v>
      </c>
      <c r="C327" s="82">
        <f>IFERROR(VLOOKUP(B327,'VTN2025'!B:I,8,FALSE),"-")</f>
        <v>17012.526666666668</v>
      </c>
      <c r="D327" s="83">
        <f t="shared" si="6"/>
        <v>12678.524949494948</v>
      </c>
    </row>
    <row r="328" spans="1:4" ht="16.5" thickBot="1" x14ac:dyDescent="0.3">
      <c r="A328" s="61" t="s">
        <v>444</v>
      </c>
      <c r="B328" s="61" t="s">
        <v>528</v>
      </c>
      <c r="C328" s="82">
        <f>IFERROR(VLOOKUP(B328,'VTN2025'!B:I,8,FALSE),"-")</f>
        <v>10920.133333333333</v>
      </c>
      <c r="D328" s="83">
        <f t="shared" si="6"/>
        <v>12678.524949494948</v>
      </c>
    </row>
    <row r="329" spans="1:4" ht="16.5" thickBot="1" x14ac:dyDescent="0.3">
      <c r="A329" s="61" t="s">
        <v>444</v>
      </c>
      <c r="B329" s="61" t="s">
        <v>574</v>
      </c>
      <c r="C329" s="82" t="str">
        <f>IFERROR(VLOOKUP(B329,'VTN2025'!B:I,8,FALSE),"-")</f>
        <v>-</v>
      </c>
      <c r="D329" s="83">
        <f t="shared" si="6"/>
        <v>12678.524949494948</v>
      </c>
    </row>
    <row r="330" spans="1:4" ht="16.5" thickBot="1" x14ac:dyDescent="0.3">
      <c r="A330" s="61" t="s">
        <v>444</v>
      </c>
      <c r="B330" s="61" t="s">
        <v>575</v>
      </c>
      <c r="C330" s="82">
        <f>IFERROR(VLOOKUP(B330,'VTN2025'!B:I,8,FALSE),"-")</f>
        <v>9162.2866666666669</v>
      </c>
      <c r="D330" s="83">
        <f t="shared" si="6"/>
        <v>12678.524949494948</v>
      </c>
    </row>
    <row r="331" spans="1:4" ht="16.5" thickBot="1" x14ac:dyDescent="0.3">
      <c r="A331" s="61" t="s">
        <v>561</v>
      </c>
      <c r="B331" s="61" t="s">
        <v>560</v>
      </c>
      <c r="C331" s="82" t="str">
        <f>IFERROR(VLOOKUP(B331,'VTN2025'!B:I,8,FALSE),"-")</f>
        <v>-</v>
      </c>
      <c r="D331" s="83">
        <f t="shared" si="6"/>
        <v>16422.785416666666</v>
      </c>
    </row>
    <row r="332" spans="1:4" ht="16.5" thickBot="1" x14ac:dyDescent="0.3">
      <c r="A332" s="61" t="s">
        <v>561</v>
      </c>
      <c r="B332" s="61" t="s">
        <v>576</v>
      </c>
      <c r="C332" s="82">
        <f>IFERROR(VLOOKUP(B332,'VTN2025'!B:I,8,FALSE),"-")</f>
        <v>12876.885</v>
      </c>
      <c r="D332" s="83">
        <f t="shared" si="6"/>
        <v>16422.785416666666</v>
      </c>
    </row>
    <row r="333" spans="1:4" ht="16.5" thickBot="1" x14ac:dyDescent="0.3">
      <c r="A333" s="61" t="s">
        <v>561</v>
      </c>
      <c r="B333" s="61" t="s">
        <v>577</v>
      </c>
      <c r="C333" s="82">
        <f>IFERROR(VLOOKUP(B333,'VTN2025'!B:I,8,FALSE),"-")</f>
        <v>14057.038333333336</v>
      </c>
      <c r="D333" s="83">
        <f t="shared" si="6"/>
        <v>16422.785416666666</v>
      </c>
    </row>
    <row r="334" spans="1:4" ht="16.5" thickBot="1" x14ac:dyDescent="0.3">
      <c r="A334" s="61" t="s">
        <v>561</v>
      </c>
      <c r="B334" s="61" t="s">
        <v>563</v>
      </c>
      <c r="C334" s="82" t="str">
        <f>IFERROR(VLOOKUP(B334,'VTN2025'!B:I,8,FALSE),"-")</f>
        <v>-</v>
      </c>
      <c r="D334" s="83">
        <f t="shared" si="6"/>
        <v>16422.785416666666</v>
      </c>
    </row>
    <row r="335" spans="1:4" ht="16.5" thickBot="1" x14ac:dyDescent="0.3">
      <c r="A335" s="61" t="s">
        <v>561</v>
      </c>
      <c r="B335" s="61" t="s">
        <v>468</v>
      </c>
      <c r="C335" s="82">
        <f>IFERROR(VLOOKUP(B335,'VTN2025'!B:I,8,FALSE),"-")</f>
        <v>12616.313333333332</v>
      </c>
      <c r="D335" s="83">
        <f t="shared" si="6"/>
        <v>16422.785416666666</v>
      </c>
    </row>
    <row r="336" spans="1:4" ht="16.5" thickBot="1" x14ac:dyDescent="0.3">
      <c r="A336" s="61" t="s">
        <v>561</v>
      </c>
      <c r="B336" s="61" t="s">
        <v>564</v>
      </c>
      <c r="C336" s="82">
        <f>IFERROR(VLOOKUP(B336,'VTN2025'!B:I,8,FALSE),"-")</f>
        <v>26140.904999999999</v>
      </c>
      <c r="D336" s="83">
        <f t="shared" si="6"/>
        <v>16422.785416666666</v>
      </c>
    </row>
    <row r="337" spans="1:4" ht="16.5" thickBot="1" x14ac:dyDescent="0.3">
      <c r="A337" s="61" t="s">
        <v>578</v>
      </c>
      <c r="B337" s="61" t="s">
        <v>579</v>
      </c>
      <c r="C337" s="82" t="str">
        <f>IFERROR(VLOOKUP(B337,'VTN2025'!B:I,8,FALSE),"-")</f>
        <v>-</v>
      </c>
      <c r="D337" s="83">
        <f t="shared" si="6"/>
        <v>21588.948055555556</v>
      </c>
    </row>
    <row r="338" spans="1:4" ht="16.5" thickBot="1" x14ac:dyDescent="0.3">
      <c r="A338" s="61" t="s">
        <v>578</v>
      </c>
      <c r="B338" s="61" t="s">
        <v>367</v>
      </c>
      <c r="C338" s="82">
        <f>IFERROR(VLOOKUP(B338,'VTN2025'!B:I,8,FALSE),"-")</f>
        <v>21065.23</v>
      </c>
      <c r="D338" s="83">
        <f t="shared" si="6"/>
        <v>21588.948055555556</v>
      </c>
    </row>
    <row r="339" spans="1:4" ht="16.5" thickBot="1" x14ac:dyDescent="0.3">
      <c r="A339" s="61" t="s">
        <v>578</v>
      </c>
      <c r="B339" s="61" t="s">
        <v>378</v>
      </c>
      <c r="C339" s="82">
        <f>IFERROR(VLOOKUP(B339,'VTN2025'!B:I,8,FALSE),"-")</f>
        <v>20209.003333333334</v>
      </c>
      <c r="D339" s="83">
        <f t="shared" si="6"/>
        <v>21588.948055555556</v>
      </c>
    </row>
    <row r="340" spans="1:4" ht="16.5" thickBot="1" x14ac:dyDescent="0.3">
      <c r="A340" s="61" t="s">
        <v>578</v>
      </c>
      <c r="B340" s="61" t="s">
        <v>580</v>
      </c>
      <c r="C340" s="82">
        <f>IFERROR(VLOOKUP(B340,'VTN2025'!B:I,8,FALSE),"-")</f>
        <v>17729.596666666665</v>
      </c>
      <c r="D340" s="83">
        <f t="shared" si="6"/>
        <v>21588.948055555556</v>
      </c>
    </row>
    <row r="341" spans="1:4" ht="16.5" thickBot="1" x14ac:dyDescent="0.3">
      <c r="A341" s="61" t="s">
        <v>578</v>
      </c>
      <c r="B341" s="61" t="s">
        <v>542</v>
      </c>
      <c r="C341" s="82">
        <f>IFERROR(VLOOKUP(B341,'VTN2025'!B:I,8,FALSE),"-")</f>
        <v>19695.2</v>
      </c>
      <c r="D341" s="83">
        <f t="shared" si="6"/>
        <v>21588.948055555556</v>
      </c>
    </row>
    <row r="342" spans="1:4" ht="16.5" thickBot="1" x14ac:dyDescent="0.3">
      <c r="A342" s="61" t="s">
        <v>578</v>
      </c>
      <c r="B342" s="61" t="s">
        <v>395</v>
      </c>
      <c r="C342" s="82">
        <f>IFERROR(VLOOKUP(B342,'VTN2025'!B:I,8,FALSE),"-")</f>
        <v>33083.333333333336</v>
      </c>
      <c r="D342" s="83">
        <f t="shared" si="6"/>
        <v>21588.948055555556</v>
      </c>
    </row>
    <row r="343" spans="1:4" ht="16.5" thickBot="1" x14ac:dyDescent="0.3">
      <c r="A343" s="61" t="s">
        <v>578</v>
      </c>
      <c r="B343" s="61" t="s">
        <v>459</v>
      </c>
      <c r="C343" s="82">
        <f>IFERROR(VLOOKUP(B343,'VTN2025'!B:I,8,FALSE),"-")</f>
        <v>17751.325000000001</v>
      </c>
      <c r="D343" s="83">
        <f t="shared" si="6"/>
        <v>21588.948055555556</v>
      </c>
    </row>
    <row r="344" spans="1:4" ht="16.5" thickBot="1" x14ac:dyDescent="0.3">
      <c r="A344" s="61" t="s">
        <v>448</v>
      </c>
      <c r="B344" s="61" t="s">
        <v>447</v>
      </c>
      <c r="C344" s="82">
        <f>IFERROR(VLOOKUP(B344,'VTN2025'!B:I,8,FALSE),"-")</f>
        <v>13705</v>
      </c>
      <c r="D344" s="83">
        <f t="shared" si="6"/>
        <v>14054.697222222223</v>
      </c>
    </row>
    <row r="345" spans="1:4" ht="16.5" thickBot="1" x14ac:dyDescent="0.3">
      <c r="A345" s="61" t="s">
        <v>448</v>
      </c>
      <c r="B345" s="61" t="s">
        <v>532</v>
      </c>
      <c r="C345" s="82">
        <f>IFERROR(VLOOKUP(B345,'VTN2025'!B:I,8,FALSE),"-")</f>
        <v>16004.18</v>
      </c>
      <c r="D345" s="83">
        <f t="shared" si="6"/>
        <v>14054.697222222223</v>
      </c>
    </row>
    <row r="346" spans="1:4" ht="16.5" thickBot="1" x14ac:dyDescent="0.3">
      <c r="A346" s="61" t="s">
        <v>448</v>
      </c>
      <c r="B346" s="61" t="s">
        <v>452</v>
      </c>
      <c r="C346" s="82">
        <f>IFERROR(VLOOKUP(B346,'VTN2025'!B:I,8,FALSE),"-")</f>
        <v>12454.911666666667</v>
      </c>
      <c r="D346" s="83">
        <f t="shared" si="6"/>
        <v>14054.697222222223</v>
      </c>
    </row>
    <row r="347" spans="1:4" ht="16.5" thickBot="1" x14ac:dyDescent="0.3">
      <c r="A347" s="61" t="s">
        <v>581</v>
      </c>
      <c r="B347" s="61" t="s">
        <v>582</v>
      </c>
      <c r="C347" s="82">
        <f>IFERROR(VLOOKUP(B347,'VTN2025'!B:I,8,FALSE),"-")</f>
        <v>19664.763333333336</v>
      </c>
      <c r="D347" s="83">
        <f t="shared" si="6"/>
        <v>14305.670833333335</v>
      </c>
    </row>
    <row r="348" spans="1:4" ht="16.5" thickBot="1" x14ac:dyDescent="0.3">
      <c r="A348" s="61" t="s">
        <v>581</v>
      </c>
      <c r="B348" s="61" t="s">
        <v>390</v>
      </c>
      <c r="C348" s="82">
        <f>IFERROR(VLOOKUP(B348,'VTN2025'!B:I,8,FALSE),"-")</f>
        <v>8946.5783333333347</v>
      </c>
      <c r="D348" s="83">
        <f t="shared" si="6"/>
        <v>14305.670833333335</v>
      </c>
    </row>
    <row r="349" spans="1:4" ht="16.5" thickBot="1" x14ac:dyDescent="0.3">
      <c r="A349" s="61" t="s">
        <v>581</v>
      </c>
      <c r="B349" s="61" t="s">
        <v>583</v>
      </c>
      <c r="C349" s="82" t="str">
        <f>IFERROR(VLOOKUP(B349,'VTN2025'!B:I,8,FALSE),"-")</f>
        <v>-</v>
      </c>
      <c r="D349" s="83">
        <f t="shared" si="6"/>
        <v>14305.670833333335</v>
      </c>
    </row>
    <row r="350" spans="1:4" ht="16.5" thickBot="1" x14ac:dyDescent="0.3">
      <c r="A350" s="61" t="s">
        <v>584</v>
      </c>
      <c r="B350" s="61" t="s">
        <v>372</v>
      </c>
      <c r="C350" s="82" t="str">
        <f>IFERROR(VLOOKUP(B350,'VTN2025'!B:I,8,FALSE),"-")</f>
        <v>-</v>
      </c>
      <c r="D350" s="83">
        <f t="shared" si="6"/>
        <v>9707.5108333333337</v>
      </c>
    </row>
    <row r="351" spans="1:4" ht="16.5" thickBot="1" x14ac:dyDescent="0.3">
      <c r="A351" s="61" t="s">
        <v>584</v>
      </c>
      <c r="B351" s="61" t="s">
        <v>585</v>
      </c>
      <c r="C351" s="82">
        <f>IFERROR(VLOOKUP(B351,'VTN2025'!B:I,8,FALSE),"-")</f>
        <v>7118.7849999999999</v>
      </c>
      <c r="D351" s="83">
        <f t="shared" si="6"/>
        <v>9707.5108333333337</v>
      </c>
    </row>
    <row r="352" spans="1:4" ht="16.5" thickBot="1" x14ac:dyDescent="0.3">
      <c r="A352" s="61" t="s">
        <v>584</v>
      </c>
      <c r="B352" s="61" t="s">
        <v>374</v>
      </c>
      <c r="C352" s="82" t="str">
        <f>IFERROR(VLOOKUP(B352,'VTN2025'!B:I,8,FALSE),"-")</f>
        <v>-</v>
      </c>
      <c r="D352" s="83">
        <f t="shared" si="6"/>
        <v>9707.5108333333337</v>
      </c>
    </row>
    <row r="353" spans="1:4" ht="16.5" thickBot="1" x14ac:dyDescent="0.3">
      <c r="A353" s="61" t="s">
        <v>584</v>
      </c>
      <c r="B353" s="61" t="s">
        <v>391</v>
      </c>
      <c r="C353" s="82" t="str">
        <f>IFERROR(VLOOKUP(B353,'VTN2025'!B:I,8,FALSE),"-")</f>
        <v>-</v>
      </c>
      <c r="D353" s="83">
        <f t="shared" si="6"/>
        <v>9707.5108333333337</v>
      </c>
    </row>
    <row r="354" spans="1:4" ht="16.5" thickBot="1" x14ac:dyDescent="0.3">
      <c r="A354" s="61" t="s">
        <v>584</v>
      </c>
      <c r="B354" s="61" t="s">
        <v>493</v>
      </c>
      <c r="C354" s="82">
        <f>IFERROR(VLOOKUP(B354,'VTN2025'!B:I,8,FALSE),"-")</f>
        <v>12296.236666666666</v>
      </c>
      <c r="D354" s="83">
        <f t="shared" si="6"/>
        <v>9707.5108333333337</v>
      </c>
    </row>
    <row r="355" spans="1:4" ht="16.5" thickBot="1" x14ac:dyDescent="0.3">
      <c r="A355" s="61" t="s">
        <v>584</v>
      </c>
      <c r="B355" s="61" t="s">
        <v>586</v>
      </c>
      <c r="C355" s="82" t="str">
        <f>IFERROR(VLOOKUP(B355,'VTN2025'!B:I,8,FALSE),"-")</f>
        <v>-</v>
      </c>
      <c r="D355" s="83">
        <f t="shared" si="6"/>
        <v>9707.5108333333337</v>
      </c>
    </row>
    <row r="356" spans="1:4" ht="16.5" thickBot="1" x14ac:dyDescent="0.3">
      <c r="A356" s="61" t="s">
        <v>403</v>
      </c>
      <c r="B356" s="61" t="s">
        <v>401</v>
      </c>
      <c r="C356" s="82">
        <f>IFERROR(VLOOKUP(B356,'VTN2025'!B:I,8,FALSE),"-")</f>
        <v>7938.1283333333331</v>
      </c>
      <c r="D356" s="83">
        <f t="shared" si="6"/>
        <v>5459.1883333333335</v>
      </c>
    </row>
    <row r="357" spans="1:4" ht="16.5" thickBot="1" x14ac:dyDescent="0.3">
      <c r="A357" s="61" t="s">
        <v>403</v>
      </c>
      <c r="B357" s="61" t="s">
        <v>543</v>
      </c>
      <c r="C357" s="82">
        <f>IFERROR(VLOOKUP(B357,'VTN2025'!B:I,8,FALSE),"-")</f>
        <v>4987.3499999999995</v>
      </c>
      <c r="D357" s="83">
        <f t="shared" si="6"/>
        <v>5459.1883333333335</v>
      </c>
    </row>
    <row r="358" spans="1:4" ht="16.5" thickBot="1" x14ac:dyDescent="0.3">
      <c r="A358" s="61" t="s">
        <v>403</v>
      </c>
      <c r="B358" s="61" t="s">
        <v>402</v>
      </c>
      <c r="C358" s="82">
        <f>IFERROR(VLOOKUP(B358,'VTN2025'!B:I,8,FALSE),"-")</f>
        <v>4163.8016666666672</v>
      </c>
      <c r="D358" s="83">
        <f t="shared" si="6"/>
        <v>5459.1883333333335</v>
      </c>
    </row>
    <row r="359" spans="1:4" ht="16.5" thickBot="1" x14ac:dyDescent="0.3">
      <c r="A359" s="61" t="s">
        <v>403</v>
      </c>
      <c r="B359" s="61" t="s">
        <v>545</v>
      </c>
      <c r="C359" s="82">
        <f>IFERROR(VLOOKUP(B359,'VTN2025'!B:I,8,FALSE),"-")</f>
        <v>3866.8183333333332</v>
      </c>
      <c r="D359" s="83">
        <f t="shared" si="6"/>
        <v>5459.1883333333335</v>
      </c>
    </row>
    <row r="360" spans="1:4" ht="16.5" thickBot="1" x14ac:dyDescent="0.3">
      <c r="A360" s="61" t="s">
        <v>403</v>
      </c>
      <c r="B360" s="61" t="s">
        <v>404</v>
      </c>
      <c r="C360" s="82">
        <f>IFERROR(VLOOKUP(B360,'VTN2025'!B:I,8,FALSE),"-")</f>
        <v>6339.8433333333332</v>
      </c>
      <c r="D360" s="83">
        <f t="shared" si="6"/>
        <v>5459.1883333333335</v>
      </c>
    </row>
    <row r="361" spans="1:4" ht="16.5" thickBot="1" x14ac:dyDescent="0.3">
      <c r="A361" s="61" t="s">
        <v>518</v>
      </c>
      <c r="B361" s="61" t="s">
        <v>517</v>
      </c>
      <c r="C361" s="82">
        <f>IFERROR(VLOOKUP(B361,'VTN2025'!B:I,8,FALSE),"-")</f>
        <v>16961.02</v>
      </c>
      <c r="D361" s="83">
        <f t="shared" si="6"/>
        <v>18130.411666666667</v>
      </c>
    </row>
    <row r="362" spans="1:4" ht="16.5" thickBot="1" x14ac:dyDescent="0.3">
      <c r="A362" s="61" t="s">
        <v>518</v>
      </c>
      <c r="B362" s="61" t="s">
        <v>535</v>
      </c>
      <c r="C362" s="82">
        <f>IFERROR(VLOOKUP(B362,'VTN2025'!B:I,8,FALSE),"-")</f>
        <v>13189.393333333333</v>
      </c>
      <c r="D362" s="83">
        <f t="shared" si="6"/>
        <v>18130.411666666667</v>
      </c>
    </row>
    <row r="363" spans="1:4" ht="16.5" thickBot="1" x14ac:dyDescent="0.3">
      <c r="A363" s="61" t="s">
        <v>518</v>
      </c>
      <c r="B363" s="61" t="s">
        <v>429</v>
      </c>
      <c r="C363" s="82" t="str">
        <f>IFERROR(VLOOKUP(B363,'VTN2025'!B:I,8,FALSE),"-")</f>
        <v>-</v>
      </c>
      <c r="D363" s="83">
        <f t="shared" si="6"/>
        <v>18130.411666666667</v>
      </c>
    </row>
    <row r="364" spans="1:4" ht="16.5" thickBot="1" x14ac:dyDescent="0.3">
      <c r="A364" s="61" t="s">
        <v>518</v>
      </c>
      <c r="B364" s="61" t="s">
        <v>536</v>
      </c>
      <c r="C364" s="82">
        <f>IFERROR(VLOOKUP(B364,'VTN2025'!B:I,8,FALSE),"-")</f>
        <v>20266.133333333335</v>
      </c>
      <c r="D364" s="83">
        <f t="shared" si="6"/>
        <v>18130.411666666667</v>
      </c>
    </row>
    <row r="365" spans="1:4" ht="16.5" thickBot="1" x14ac:dyDescent="0.3">
      <c r="A365" s="61" t="s">
        <v>518</v>
      </c>
      <c r="B365" s="61" t="s">
        <v>537</v>
      </c>
      <c r="C365" s="82">
        <f>IFERROR(VLOOKUP(B365,'VTN2025'!B:I,8,FALSE),"-")</f>
        <v>22105.100000000002</v>
      </c>
      <c r="D365" s="83">
        <f t="shared" si="6"/>
        <v>18130.411666666667</v>
      </c>
    </row>
    <row r="366" spans="1:4" ht="16.5" thickBot="1" x14ac:dyDescent="0.3">
      <c r="A366" s="61" t="s">
        <v>518</v>
      </c>
      <c r="B366" s="61" t="s">
        <v>587</v>
      </c>
      <c r="C366" s="82" t="str">
        <f>IFERROR(VLOOKUP(B366,'VTN2025'!B:I,8,FALSE),"-")</f>
        <v>-</v>
      </c>
      <c r="D366" s="83">
        <f t="shared" si="6"/>
        <v>18130.411666666667</v>
      </c>
    </row>
    <row r="367" spans="1:4" ht="16.5" thickBot="1" x14ac:dyDescent="0.3">
      <c r="A367" s="61" t="s">
        <v>518</v>
      </c>
      <c r="B367" s="61" t="s">
        <v>519</v>
      </c>
      <c r="C367" s="82" t="str">
        <f>IFERROR(VLOOKUP(B367,'VTN2025'!B:I,8,FALSE),"-")</f>
        <v>-</v>
      </c>
      <c r="D367" s="83">
        <f t="shared" si="6"/>
        <v>18130.411666666667</v>
      </c>
    </row>
    <row r="368" spans="1:4" ht="16.5" thickBot="1" x14ac:dyDescent="0.3">
      <c r="A368" s="61" t="s">
        <v>372</v>
      </c>
      <c r="B368" s="61" t="s">
        <v>369</v>
      </c>
      <c r="C368" s="82">
        <f>IFERROR(VLOOKUP(B368,'VTN2025'!B:I,8,FALSE),"-")</f>
        <v>20561.290000000005</v>
      </c>
      <c r="D368" s="83">
        <f t="shared" si="6"/>
        <v>13123.098333333333</v>
      </c>
    </row>
    <row r="369" spans="1:4" ht="16.5" thickBot="1" x14ac:dyDescent="0.3">
      <c r="A369" s="61" t="s">
        <v>372</v>
      </c>
      <c r="B369" s="61" t="s">
        <v>370</v>
      </c>
      <c r="C369" s="82">
        <f>IFERROR(VLOOKUP(B369,'VTN2025'!B:I,8,FALSE),"-")</f>
        <v>12335.518333333333</v>
      </c>
      <c r="D369" s="83">
        <f t="shared" si="6"/>
        <v>13123.098333333333</v>
      </c>
    </row>
    <row r="370" spans="1:4" ht="16.5" thickBot="1" x14ac:dyDescent="0.3">
      <c r="A370" s="61" t="s">
        <v>372</v>
      </c>
      <c r="B370" s="61" t="s">
        <v>584</v>
      </c>
      <c r="C370" s="82">
        <f>IFERROR(VLOOKUP(B370,'VTN2025'!B:I,8,FALSE),"-")</f>
        <v>6472.4866666666676</v>
      </c>
      <c r="D370" s="83">
        <f t="shared" si="6"/>
        <v>13123.098333333333</v>
      </c>
    </row>
    <row r="371" spans="1:4" ht="16.5" thickBot="1" x14ac:dyDescent="0.3">
      <c r="A371" s="61" t="s">
        <v>372</v>
      </c>
      <c r="B371" s="61" t="s">
        <v>374</v>
      </c>
      <c r="C371" s="82" t="str">
        <f>IFERROR(VLOOKUP(B371,'VTN2025'!B:I,8,FALSE),"-")</f>
        <v>-</v>
      </c>
      <c r="D371" s="83">
        <f t="shared" si="6"/>
        <v>13123.098333333333</v>
      </c>
    </row>
    <row r="372" spans="1:4" ht="16.5" thickBot="1" x14ac:dyDescent="0.3">
      <c r="A372" s="61" t="s">
        <v>372</v>
      </c>
      <c r="B372" s="61" t="s">
        <v>391</v>
      </c>
      <c r="C372" s="82" t="str">
        <f>IFERROR(VLOOKUP(B372,'VTN2025'!B:I,8,FALSE),"-")</f>
        <v>-</v>
      </c>
      <c r="D372" s="83">
        <f t="shared" si="6"/>
        <v>13123.098333333333</v>
      </c>
    </row>
    <row r="373" spans="1:4" ht="16.5" thickBot="1" x14ac:dyDescent="0.3">
      <c r="A373" s="61" t="s">
        <v>582</v>
      </c>
      <c r="B373" s="61" t="s">
        <v>581</v>
      </c>
      <c r="C373" s="82" t="str">
        <f>IFERROR(VLOOKUP(B373,'VTN2025'!B:I,8,FALSE),"-")</f>
        <v>-</v>
      </c>
      <c r="D373" s="83">
        <f t="shared" si="6"/>
        <v>14606.355833333335</v>
      </c>
    </row>
    <row r="374" spans="1:4" ht="16.5" thickBot="1" x14ac:dyDescent="0.3">
      <c r="A374" s="61" t="s">
        <v>582</v>
      </c>
      <c r="B374" s="61" t="s">
        <v>536</v>
      </c>
      <c r="C374" s="82">
        <f>IFERROR(VLOOKUP(B374,'VTN2025'!B:I,8,FALSE),"-")</f>
        <v>20266.133333333335</v>
      </c>
      <c r="D374" s="83">
        <f t="shared" si="6"/>
        <v>14606.355833333335</v>
      </c>
    </row>
    <row r="375" spans="1:4" ht="16.5" thickBot="1" x14ac:dyDescent="0.3">
      <c r="A375" s="61" t="s">
        <v>582</v>
      </c>
      <c r="B375" s="61" t="s">
        <v>390</v>
      </c>
      <c r="C375" s="82">
        <f>IFERROR(VLOOKUP(B375,'VTN2025'!B:I,8,FALSE),"-")</f>
        <v>8946.5783333333347</v>
      </c>
      <c r="D375" s="83">
        <f t="shared" si="6"/>
        <v>14606.355833333335</v>
      </c>
    </row>
    <row r="376" spans="1:4" ht="16.5" thickBot="1" x14ac:dyDescent="0.3">
      <c r="A376" s="61" t="s">
        <v>495</v>
      </c>
      <c r="B376" s="61" t="s">
        <v>439</v>
      </c>
      <c r="C376" s="82">
        <f>IFERROR(VLOOKUP(B376,'VTN2025'!B:I,8,FALSE),"-")</f>
        <v>18695</v>
      </c>
      <c r="D376" s="83">
        <f t="shared" si="6"/>
        <v>19859.692000000003</v>
      </c>
    </row>
    <row r="377" spans="1:4" ht="16.5" thickBot="1" x14ac:dyDescent="0.3">
      <c r="A377" s="61" t="s">
        <v>495</v>
      </c>
      <c r="B377" s="61" t="s">
        <v>496</v>
      </c>
      <c r="C377" s="82">
        <f>IFERROR(VLOOKUP(B377,'VTN2025'!B:I,8,FALSE),"-")</f>
        <v>32040.615000000002</v>
      </c>
      <c r="D377" s="83">
        <f t="shared" si="6"/>
        <v>19859.692000000003</v>
      </c>
    </row>
    <row r="378" spans="1:4" ht="16.5" thickBot="1" x14ac:dyDescent="0.3">
      <c r="A378" s="61" t="s">
        <v>495</v>
      </c>
      <c r="B378" s="61" t="s">
        <v>538</v>
      </c>
      <c r="C378" s="82">
        <f>IFERROR(VLOOKUP(B378,'VTN2025'!B:I,8,FALSE),"-")</f>
        <v>17871.291666666664</v>
      </c>
      <c r="D378" s="83">
        <f t="shared" si="6"/>
        <v>19859.692000000003</v>
      </c>
    </row>
    <row r="379" spans="1:4" ht="16.5" thickBot="1" x14ac:dyDescent="0.3">
      <c r="A379" s="61" t="s">
        <v>495</v>
      </c>
      <c r="B379" s="61" t="s">
        <v>540</v>
      </c>
      <c r="C379" s="82" t="str">
        <f>IFERROR(VLOOKUP(B379,'VTN2025'!B:I,8,FALSE),"-")</f>
        <v>-</v>
      </c>
      <c r="D379" s="83">
        <f t="shared" si="6"/>
        <v>19859.692000000003</v>
      </c>
    </row>
    <row r="380" spans="1:4" ht="16.5" thickBot="1" x14ac:dyDescent="0.3">
      <c r="A380" s="61" t="s">
        <v>495</v>
      </c>
      <c r="B380" s="61" t="s">
        <v>497</v>
      </c>
      <c r="C380" s="82">
        <f>IFERROR(VLOOKUP(B380,'VTN2025'!B:I,8,FALSE),"-")</f>
        <v>15023.486666666666</v>
      </c>
      <c r="D380" s="83">
        <f t="shared" si="6"/>
        <v>19859.692000000003</v>
      </c>
    </row>
    <row r="381" spans="1:4" ht="16.5" thickBot="1" x14ac:dyDescent="0.3">
      <c r="A381" s="61" t="s">
        <v>495</v>
      </c>
      <c r="B381" s="61" t="s">
        <v>588</v>
      </c>
      <c r="C381" s="82">
        <f>IFERROR(VLOOKUP(B381,'VTN2025'!B:I,8,FALSE),"-")</f>
        <v>15668.066666666668</v>
      </c>
      <c r="D381" s="83">
        <f t="shared" si="6"/>
        <v>19859.692000000003</v>
      </c>
    </row>
    <row r="382" spans="1:4" ht="16.5" thickBot="1" x14ac:dyDescent="0.3">
      <c r="A382" s="61" t="s">
        <v>462</v>
      </c>
      <c r="B382" s="61" t="s">
        <v>460</v>
      </c>
      <c r="C382" s="82">
        <f>IFERROR(VLOOKUP(B382,'VTN2025'!B:I,8,FALSE),"-")</f>
        <v>6024.7283333333335</v>
      </c>
      <c r="D382" s="83">
        <f t="shared" si="6"/>
        <v>9897.1804166666661</v>
      </c>
    </row>
    <row r="383" spans="1:4" ht="16.5" thickBot="1" x14ac:dyDescent="0.3">
      <c r="A383" s="61" t="s">
        <v>462</v>
      </c>
      <c r="B383" s="61" t="s">
        <v>589</v>
      </c>
      <c r="C383" s="82">
        <f>IFERROR(VLOOKUP(B383,'VTN2025'!B:I,8,FALSE),"-")</f>
        <v>8075.3499999999995</v>
      </c>
      <c r="D383" s="83">
        <f t="shared" ref="D383:D406" si="7">AVERAGEIF($A:$A,A383,$C:$C)</f>
        <v>9897.1804166666661</v>
      </c>
    </row>
    <row r="384" spans="1:4" ht="16.5" thickBot="1" x14ac:dyDescent="0.3">
      <c r="A384" s="61" t="s">
        <v>462</v>
      </c>
      <c r="B384" s="61" t="s">
        <v>590</v>
      </c>
      <c r="C384" s="82">
        <f>IFERROR(VLOOKUP(B384,'VTN2025'!B:I,8,FALSE),"-")</f>
        <v>9122.2983333333341</v>
      </c>
      <c r="D384" s="83">
        <f t="shared" si="7"/>
        <v>9897.1804166666661</v>
      </c>
    </row>
    <row r="385" spans="1:4" ht="16.5" thickBot="1" x14ac:dyDescent="0.3">
      <c r="A385" s="61" t="s">
        <v>462</v>
      </c>
      <c r="B385" s="61" t="s">
        <v>466</v>
      </c>
      <c r="C385" s="82">
        <f>IFERROR(VLOOKUP(B385,'VTN2025'!B:I,8,FALSE),"-")</f>
        <v>16485.681666666667</v>
      </c>
      <c r="D385" s="83">
        <f t="shared" si="7"/>
        <v>9897.1804166666661</v>
      </c>
    </row>
    <row r="386" spans="1:4" ht="16.5" thickBot="1" x14ac:dyDescent="0.3">
      <c r="A386" s="61" t="s">
        <v>462</v>
      </c>
      <c r="B386" s="61" t="s">
        <v>467</v>
      </c>
      <c r="C386" s="82">
        <f>IFERROR(VLOOKUP(B386,'VTN2025'!B:I,8,FALSE),"-")</f>
        <v>11653.743333333334</v>
      </c>
      <c r="D386" s="83">
        <f t="shared" si="7"/>
        <v>9897.1804166666661</v>
      </c>
    </row>
    <row r="387" spans="1:4" ht="16.5" thickBot="1" x14ac:dyDescent="0.3">
      <c r="A387" s="61" t="s">
        <v>462</v>
      </c>
      <c r="B387" s="61" t="s">
        <v>480</v>
      </c>
      <c r="C387" s="82">
        <f>IFERROR(VLOOKUP(B387,'VTN2025'!B:I,8,FALSE),"-")</f>
        <v>5938.1066666666666</v>
      </c>
      <c r="D387" s="83">
        <f t="shared" si="7"/>
        <v>9897.1804166666661</v>
      </c>
    </row>
    <row r="388" spans="1:4" ht="16.5" thickBot="1" x14ac:dyDescent="0.3">
      <c r="A388" s="61" t="s">
        <v>462</v>
      </c>
      <c r="B388" s="61" t="s">
        <v>468</v>
      </c>
      <c r="C388" s="82">
        <f>IFERROR(VLOOKUP(B388,'VTN2025'!B:I,8,FALSE),"-")</f>
        <v>12616.313333333332</v>
      </c>
      <c r="D388" s="83">
        <f t="shared" si="7"/>
        <v>9897.1804166666661</v>
      </c>
    </row>
    <row r="389" spans="1:4" ht="16.5" thickBot="1" x14ac:dyDescent="0.3">
      <c r="A389" s="61" t="s">
        <v>462</v>
      </c>
      <c r="B389" s="61" t="s">
        <v>559</v>
      </c>
      <c r="C389" s="82">
        <f>IFERROR(VLOOKUP(B389,'VTN2025'!B:I,8,FALSE),"-")</f>
        <v>9261.2216666666664</v>
      </c>
      <c r="D389" s="83">
        <f t="shared" si="7"/>
        <v>9897.1804166666661</v>
      </c>
    </row>
    <row r="390" spans="1:4" ht="16.5" thickBot="1" x14ac:dyDescent="0.3">
      <c r="A390" s="61" t="s">
        <v>462</v>
      </c>
      <c r="B390" s="61" t="s">
        <v>421</v>
      </c>
      <c r="C390" s="82" t="str">
        <f>IFERROR(VLOOKUP(B390,'VTN2025'!B:I,8,FALSE),"-")</f>
        <v>-</v>
      </c>
      <c r="D390" s="83">
        <f t="shared" si="7"/>
        <v>9897.1804166666661</v>
      </c>
    </row>
    <row r="391" spans="1:4" ht="16.5" thickBot="1" x14ac:dyDescent="0.3">
      <c r="A391" s="61" t="s">
        <v>591</v>
      </c>
      <c r="B391" s="61" t="s">
        <v>440</v>
      </c>
      <c r="C391" s="82">
        <f>IFERROR(VLOOKUP(B391,'VTN2025'!B:I,8,FALSE),"-")</f>
        <v>32851.071666666663</v>
      </c>
      <c r="D391" s="83">
        <f t="shared" si="7"/>
        <v>21439.202777777777</v>
      </c>
    </row>
    <row r="392" spans="1:4" ht="16.5" thickBot="1" x14ac:dyDescent="0.3">
      <c r="A392" s="61" t="s">
        <v>591</v>
      </c>
      <c r="B392" s="61" t="s">
        <v>580</v>
      </c>
      <c r="C392" s="82">
        <f>IFERROR(VLOOKUP(B392,'VTN2025'!B:I,8,FALSE),"-")</f>
        <v>17729.596666666665</v>
      </c>
      <c r="D392" s="83">
        <f t="shared" si="7"/>
        <v>21439.202777777777</v>
      </c>
    </row>
    <row r="393" spans="1:4" ht="16.5" thickBot="1" x14ac:dyDescent="0.3">
      <c r="A393" s="61" t="s">
        <v>591</v>
      </c>
      <c r="B393" s="61" t="s">
        <v>592</v>
      </c>
      <c r="C393" s="82">
        <f>IFERROR(VLOOKUP(B393,'VTN2025'!B:I,8,FALSE),"-")</f>
        <v>13736.94</v>
      </c>
      <c r="D393" s="83">
        <f t="shared" si="7"/>
        <v>21439.202777777777</v>
      </c>
    </row>
    <row r="394" spans="1:4" ht="16.5" thickBot="1" x14ac:dyDescent="0.3">
      <c r="A394" s="61" t="s">
        <v>429</v>
      </c>
      <c r="B394" s="61" t="s">
        <v>427</v>
      </c>
      <c r="C394" s="82" t="str">
        <f>IFERROR(VLOOKUP(B394,'VTN2025'!B:I,8,FALSE),"-")</f>
        <v>-</v>
      </c>
      <c r="D394" s="83">
        <f t="shared" si="7"/>
        <v>19509.736666666664</v>
      </c>
    </row>
    <row r="395" spans="1:4" ht="16.5" thickBot="1" x14ac:dyDescent="0.3">
      <c r="A395" s="61" t="s">
        <v>429</v>
      </c>
      <c r="B395" s="61" t="s">
        <v>428</v>
      </c>
      <c r="C395" s="82" t="str">
        <f>IFERROR(VLOOKUP(B395,'VTN2025'!B:I,8,FALSE),"-")</f>
        <v>-</v>
      </c>
      <c r="D395" s="83">
        <f t="shared" si="7"/>
        <v>19509.736666666664</v>
      </c>
    </row>
    <row r="396" spans="1:4" ht="16.5" thickBot="1" x14ac:dyDescent="0.3">
      <c r="A396" s="61" t="s">
        <v>429</v>
      </c>
      <c r="B396" s="61" t="s">
        <v>549</v>
      </c>
      <c r="C396" s="82">
        <f>IFERROR(VLOOKUP(B396,'VTN2025'!B:I,8,FALSE),"-")</f>
        <v>21583.333333333332</v>
      </c>
      <c r="D396" s="83">
        <f t="shared" si="7"/>
        <v>19509.736666666664</v>
      </c>
    </row>
    <row r="397" spans="1:4" ht="16.5" thickBot="1" x14ac:dyDescent="0.3">
      <c r="A397" s="61" t="s">
        <v>429</v>
      </c>
      <c r="B397" s="61" t="s">
        <v>518</v>
      </c>
      <c r="C397" s="82">
        <f>IFERROR(VLOOKUP(B397,'VTN2025'!B:I,8,FALSE),"-")</f>
        <v>17436.14</v>
      </c>
      <c r="D397" s="83">
        <f t="shared" si="7"/>
        <v>19509.736666666664</v>
      </c>
    </row>
    <row r="398" spans="1:4" ht="16.5" thickBot="1" x14ac:dyDescent="0.3">
      <c r="A398" s="61" t="s">
        <v>429</v>
      </c>
      <c r="B398" s="61" t="s">
        <v>570</v>
      </c>
      <c r="C398" s="82" t="str">
        <f>IFERROR(VLOOKUP(B398,'VTN2025'!B:I,8,FALSE),"-")</f>
        <v>-</v>
      </c>
      <c r="D398" s="83">
        <f t="shared" si="7"/>
        <v>19509.736666666664</v>
      </c>
    </row>
    <row r="399" spans="1:4" ht="16.5" thickBot="1" x14ac:dyDescent="0.3">
      <c r="A399" s="61" t="s">
        <v>429</v>
      </c>
      <c r="B399" s="61" t="s">
        <v>587</v>
      </c>
      <c r="C399" s="82" t="str">
        <f>IFERROR(VLOOKUP(B399,'VTN2025'!B:I,8,FALSE),"-")</f>
        <v>-</v>
      </c>
      <c r="D399" s="83">
        <f t="shared" si="7"/>
        <v>19509.736666666664</v>
      </c>
    </row>
    <row r="400" spans="1:4" ht="16.5" thickBot="1" x14ac:dyDescent="0.3">
      <c r="A400" s="61" t="s">
        <v>483</v>
      </c>
      <c r="B400" s="61" t="s">
        <v>481</v>
      </c>
      <c r="C400" s="82">
        <f>IFERROR(VLOOKUP(B400,'VTN2025'!B:I,8,FALSE),"-")</f>
        <v>13864.933333333334</v>
      </c>
      <c r="D400" s="83">
        <f t="shared" si="7"/>
        <v>17891.598333333335</v>
      </c>
    </row>
    <row r="401" spans="1:5" ht="16.5" thickBot="1" x14ac:dyDescent="0.3">
      <c r="A401" s="61" t="s">
        <v>483</v>
      </c>
      <c r="B401" s="61" t="s">
        <v>520</v>
      </c>
      <c r="C401" s="82">
        <f>IFERROR(VLOOKUP(B401,'VTN2025'!B:I,8,FALSE),"-")</f>
        <v>12920.196666666669</v>
      </c>
      <c r="D401" s="83">
        <f t="shared" si="7"/>
        <v>17891.598333333335</v>
      </c>
    </row>
    <row r="402" spans="1:5" ht="16.5" thickBot="1" x14ac:dyDescent="0.3">
      <c r="A402" s="61" t="s">
        <v>483</v>
      </c>
      <c r="B402" s="61" t="s">
        <v>593</v>
      </c>
      <c r="C402" s="82">
        <f>IFERROR(VLOOKUP(B402,'VTN2025'!B:I,8,FALSE),"-")</f>
        <v>10367.374999999998</v>
      </c>
      <c r="D402" s="83">
        <f t="shared" si="7"/>
        <v>17891.598333333335</v>
      </c>
    </row>
    <row r="403" spans="1:5" ht="16.5" thickBot="1" x14ac:dyDescent="0.3">
      <c r="A403" s="61" t="s">
        <v>483</v>
      </c>
      <c r="B403" s="61" t="s">
        <v>485</v>
      </c>
      <c r="C403" s="82" t="str">
        <f>IFERROR(VLOOKUP(B403,'VTN2025'!B:I,8,FALSE),"-")</f>
        <v>-</v>
      </c>
      <c r="D403" s="83">
        <f t="shared" si="7"/>
        <v>17891.598333333335</v>
      </c>
    </row>
    <row r="404" spans="1:5" ht="16.5" thickBot="1" x14ac:dyDescent="0.3">
      <c r="A404" s="61" t="s">
        <v>483</v>
      </c>
      <c r="B404" s="61" t="s">
        <v>522</v>
      </c>
      <c r="C404" s="82">
        <f>IFERROR(VLOOKUP(B404,'VTN2025'!B:I,8,FALSE),"-")</f>
        <v>22097</v>
      </c>
      <c r="D404" s="83">
        <f t="shared" si="7"/>
        <v>17891.598333333335</v>
      </c>
    </row>
    <row r="405" spans="1:5" ht="16.5" thickBot="1" x14ac:dyDescent="0.3">
      <c r="A405" s="61" t="s">
        <v>483</v>
      </c>
      <c r="B405" s="61" t="s">
        <v>387</v>
      </c>
      <c r="C405" s="82">
        <f>IFERROR(VLOOKUP(B405,'VTN2025'!B:I,8,FALSE),"-")</f>
        <v>29694.365000000002</v>
      </c>
      <c r="D405" s="83">
        <f t="shared" si="7"/>
        <v>17891.598333333335</v>
      </c>
    </row>
    <row r="406" spans="1:5" ht="16.5" thickBot="1" x14ac:dyDescent="0.3">
      <c r="A406" s="61" t="s">
        <v>483</v>
      </c>
      <c r="B406" s="61" t="s">
        <v>388</v>
      </c>
      <c r="C406" s="82">
        <f>IFERROR(VLOOKUP(B406,'VTN2025'!B:I,8,FALSE),"-")</f>
        <v>18405.719999999998</v>
      </c>
      <c r="D406" s="83">
        <f t="shared" si="7"/>
        <v>17891.598333333335</v>
      </c>
    </row>
    <row r="407" spans="1:5" ht="16.5" thickBot="1" x14ac:dyDescent="0.3">
      <c r="A407" s="61" t="s">
        <v>523</v>
      </c>
      <c r="B407" s="61" t="s">
        <v>409</v>
      </c>
      <c r="C407" s="82" t="str">
        <f>IFERROR(VLOOKUP(B407,'VTN2025'!B:I,8,FALSE),"-")</f>
        <v>-</v>
      </c>
      <c r="D407" s="65">
        <v>15732.82</v>
      </c>
      <c r="E407" s="63" t="s">
        <v>640</v>
      </c>
    </row>
    <row r="408" spans="1:5" ht="16.5" thickBot="1" x14ac:dyDescent="0.3">
      <c r="A408" s="61" t="s">
        <v>523</v>
      </c>
      <c r="B408" s="61" t="s">
        <v>524</v>
      </c>
      <c r="C408" s="82" t="str">
        <f>IFERROR(VLOOKUP(B408,'VTN2025'!B:I,8,FALSE),"-")</f>
        <v>-</v>
      </c>
      <c r="D408" s="65">
        <v>15732.82</v>
      </c>
      <c r="E408" s="63" t="s">
        <v>640</v>
      </c>
    </row>
    <row r="409" spans="1:5" ht="16.5" thickBot="1" x14ac:dyDescent="0.3">
      <c r="A409" s="61" t="s">
        <v>523</v>
      </c>
      <c r="B409" s="61" t="s">
        <v>415</v>
      </c>
      <c r="C409" s="82" t="str">
        <f>IFERROR(VLOOKUP(B409,'VTN2025'!B:I,8,FALSE),"-")</f>
        <v>-</v>
      </c>
      <c r="D409" s="65">
        <v>15732.82</v>
      </c>
      <c r="E409" s="63" t="s">
        <v>640</v>
      </c>
    </row>
    <row r="410" spans="1:5" ht="16.5" thickBot="1" x14ac:dyDescent="0.3">
      <c r="A410" s="61" t="s">
        <v>510</v>
      </c>
      <c r="B410" s="61" t="s">
        <v>509</v>
      </c>
      <c r="C410" s="82">
        <f>IFERROR(VLOOKUP(B410,'VTN2025'!B:I,8,FALSE),"-")</f>
        <v>29748.62166666667</v>
      </c>
      <c r="D410" s="83">
        <f t="shared" ref="D410:D473" si="8">AVERAGEIF($A:$A,A410,$C:$C)</f>
        <v>31792.368055555551</v>
      </c>
    </row>
    <row r="411" spans="1:5" ht="16.5" thickBot="1" x14ac:dyDescent="0.3">
      <c r="A411" s="61" t="s">
        <v>510</v>
      </c>
      <c r="B411" s="61" t="s">
        <v>471</v>
      </c>
      <c r="C411" s="82">
        <f>IFERROR(VLOOKUP(B411,'VTN2025'!B:I,8,FALSE),"-")</f>
        <v>31249.99</v>
      </c>
      <c r="D411" s="83">
        <f t="shared" si="8"/>
        <v>31792.368055555551</v>
      </c>
    </row>
    <row r="412" spans="1:5" ht="16.5" thickBot="1" x14ac:dyDescent="0.3">
      <c r="A412" s="61" t="s">
        <v>510</v>
      </c>
      <c r="B412" s="61" t="s">
        <v>472</v>
      </c>
      <c r="C412" s="82">
        <f>IFERROR(VLOOKUP(B412,'VTN2025'!B:I,8,FALSE),"-")</f>
        <v>30042.521666666664</v>
      </c>
      <c r="D412" s="83">
        <f t="shared" si="8"/>
        <v>31792.368055555551</v>
      </c>
    </row>
    <row r="413" spans="1:5" ht="16.5" thickBot="1" x14ac:dyDescent="0.3">
      <c r="A413" s="61" t="s">
        <v>510</v>
      </c>
      <c r="B413" s="61" t="s">
        <v>512</v>
      </c>
      <c r="C413" s="82">
        <f>IFERROR(VLOOKUP(B413,'VTN2025'!B:I,8,FALSE),"-")</f>
        <v>46389.418333333335</v>
      </c>
      <c r="D413" s="83">
        <f t="shared" si="8"/>
        <v>31792.368055555551</v>
      </c>
    </row>
    <row r="414" spans="1:5" ht="16.5" thickBot="1" x14ac:dyDescent="0.3">
      <c r="A414" s="61" t="s">
        <v>510</v>
      </c>
      <c r="B414" s="61" t="s">
        <v>436</v>
      </c>
      <c r="C414" s="82">
        <f>IFERROR(VLOOKUP(B414,'VTN2025'!B:I,8,FALSE),"-")</f>
        <v>26571.99</v>
      </c>
      <c r="D414" s="83">
        <f t="shared" si="8"/>
        <v>31792.368055555551</v>
      </c>
    </row>
    <row r="415" spans="1:5" ht="16.5" thickBot="1" x14ac:dyDescent="0.3">
      <c r="A415" s="61" t="s">
        <v>510</v>
      </c>
      <c r="B415" s="61" t="s">
        <v>437</v>
      </c>
      <c r="C415" s="82">
        <f>IFERROR(VLOOKUP(B415,'VTN2025'!B:I,8,FALSE),"-")</f>
        <v>26751.666666666668</v>
      </c>
      <c r="D415" s="83">
        <f t="shared" si="8"/>
        <v>31792.368055555551</v>
      </c>
    </row>
    <row r="416" spans="1:5" ht="16.5" thickBot="1" x14ac:dyDescent="0.3">
      <c r="A416" s="61" t="s">
        <v>569</v>
      </c>
      <c r="B416" s="61" t="s">
        <v>549</v>
      </c>
      <c r="C416" s="82">
        <f>IFERROR(VLOOKUP(B416,'VTN2025'!B:I,8,FALSE),"-")</f>
        <v>21583.333333333332</v>
      </c>
      <c r="D416" s="83">
        <f t="shared" si="8"/>
        <v>21583.333333333332</v>
      </c>
    </row>
    <row r="417" spans="1:4" ht="16.5" thickBot="1" x14ac:dyDescent="0.3">
      <c r="A417" s="61" t="s">
        <v>569</v>
      </c>
      <c r="B417" s="61" t="s">
        <v>572</v>
      </c>
      <c r="C417" s="82" t="str">
        <f>IFERROR(VLOOKUP(B417,'VTN2025'!B:I,8,FALSE),"-")</f>
        <v>-</v>
      </c>
      <c r="D417" s="83">
        <f t="shared" si="8"/>
        <v>21583.333333333332</v>
      </c>
    </row>
    <row r="418" spans="1:4" ht="16.5" thickBot="1" x14ac:dyDescent="0.3">
      <c r="A418" s="61" t="s">
        <v>475</v>
      </c>
      <c r="B418" s="61" t="s">
        <v>473</v>
      </c>
      <c r="C418" s="82">
        <f>IFERROR(VLOOKUP(B418,'VTN2025'!B:I,8,FALSE),"-")</f>
        <v>11753.996666666668</v>
      </c>
      <c r="D418" s="83">
        <f t="shared" si="8"/>
        <v>13549.349999999999</v>
      </c>
    </row>
    <row r="419" spans="1:4" ht="16.5" thickBot="1" x14ac:dyDescent="0.3">
      <c r="A419" s="61" t="s">
        <v>475</v>
      </c>
      <c r="B419" s="61" t="s">
        <v>425</v>
      </c>
      <c r="C419" s="82">
        <f>IFERROR(VLOOKUP(B419,'VTN2025'!B:I,8,FALSE),"-")</f>
        <v>12053.771666666667</v>
      </c>
      <c r="D419" s="83">
        <f t="shared" si="8"/>
        <v>13549.349999999999</v>
      </c>
    </row>
    <row r="420" spans="1:4" ht="16.5" thickBot="1" x14ac:dyDescent="0.3">
      <c r="A420" s="61" t="s">
        <v>475</v>
      </c>
      <c r="B420" s="61" t="s">
        <v>594</v>
      </c>
      <c r="C420" s="82">
        <f>IFERROR(VLOOKUP(B420,'VTN2025'!B:I,8,FALSE),"-")</f>
        <v>17700.8</v>
      </c>
      <c r="D420" s="83">
        <f t="shared" si="8"/>
        <v>13549.349999999999</v>
      </c>
    </row>
    <row r="421" spans="1:4" ht="16.5" thickBot="1" x14ac:dyDescent="0.3">
      <c r="A421" s="61" t="s">
        <v>475</v>
      </c>
      <c r="B421" s="61" t="s">
        <v>457</v>
      </c>
      <c r="C421" s="82">
        <f>IFERROR(VLOOKUP(B421,'VTN2025'!B:I,8,FALSE),"-")</f>
        <v>12688.831666666667</v>
      </c>
      <c r="D421" s="83">
        <f t="shared" si="8"/>
        <v>13549.349999999999</v>
      </c>
    </row>
    <row r="422" spans="1:4" ht="16.5" thickBot="1" x14ac:dyDescent="0.3">
      <c r="A422" s="61" t="s">
        <v>553</v>
      </c>
      <c r="B422" s="61" t="s">
        <v>550</v>
      </c>
      <c r="C422" s="82">
        <f>IFERROR(VLOOKUP(B422,'VTN2025'!B:I,8,FALSE),"-")</f>
        <v>5612.2550000000001</v>
      </c>
      <c r="D422" s="83">
        <f t="shared" si="8"/>
        <v>6172.03</v>
      </c>
    </row>
    <row r="423" spans="1:4" ht="16.5" thickBot="1" x14ac:dyDescent="0.3">
      <c r="A423" s="61" t="s">
        <v>553</v>
      </c>
      <c r="B423" s="61" t="s">
        <v>555</v>
      </c>
      <c r="C423" s="82">
        <f>IFERROR(VLOOKUP(B423,'VTN2025'!B:I,8,FALSE),"-")</f>
        <v>8110.6716666666653</v>
      </c>
      <c r="D423" s="83">
        <f t="shared" si="8"/>
        <v>6172.03</v>
      </c>
    </row>
    <row r="424" spans="1:4" ht="16.5" thickBot="1" x14ac:dyDescent="0.3">
      <c r="A424" s="61" t="s">
        <v>553</v>
      </c>
      <c r="B424" s="61" t="s">
        <v>558</v>
      </c>
      <c r="C424" s="82">
        <f>IFERROR(VLOOKUP(B424,'VTN2025'!B:I,8,FALSE),"-")</f>
        <v>4793.163333333333</v>
      </c>
      <c r="D424" s="83">
        <f t="shared" si="8"/>
        <v>6172.03</v>
      </c>
    </row>
    <row r="425" spans="1:4" ht="16.5" thickBot="1" x14ac:dyDescent="0.3">
      <c r="A425" s="61" t="s">
        <v>488</v>
      </c>
      <c r="B425" s="61" t="s">
        <v>454</v>
      </c>
      <c r="C425" s="82" t="str">
        <f>IFERROR(VLOOKUP(B425,'VTN2025'!B:I,8,FALSE),"-")</f>
        <v>-</v>
      </c>
      <c r="D425" s="83">
        <f t="shared" si="8"/>
        <v>11792.202500000001</v>
      </c>
    </row>
    <row r="426" spans="1:4" ht="16.5" thickBot="1" x14ac:dyDescent="0.3">
      <c r="A426" s="61" t="s">
        <v>488</v>
      </c>
      <c r="B426" s="61" t="s">
        <v>474</v>
      </c>
      <c r="C426" s="82">
        <f>IFERROR(VLOOKUP(B426,'VTN2025'!B:I,8,FALSE),"-")</f>
        <v>7580.2250000000013</v>
      </c>
      <c r="D426" s="83">
        <f t="shared" si="8"/>
        <v>11792.202500000001</v>
      </c>
    </row>
    <row r="427" spans="1:4" ht="16.5" thickBot="1" x14ac:dyDescent="0.3">
      <c r="A427" s="61" t="s">
        <v>488</v>
      </c>
      <c r="B427" s="61" t="s">
        <v>532</v>
      </c>
      <c r="C427" s="82">
        <f>IFERROR(VLOOKUP(B427,'VTN2025'!B:I,8,FALSE),"-")</f>
        <v>16004.18</v>
      </c>
      <c r="D427" s="83">
        <f t="shared" si="8"/>
        <v>11792.202500000001</v>
      </c>
    </row>
    <row r="428" spans="1:4" ht="16.5" thickBot="1" x14ac:dyDescent="0.3">
      <c r="A428" s="61" t="s">
        <v>579</v>
      </c>
      <c r="B428" s="61" t="s">
        <v>578</v>
      </c>
      <c r="C428" s="82">
        <f>IFERROR(VLOOKUP(B428,'VTN2025'!B:I,8,FALSE),"-")</f>
        <v>27568.820000000003</v>
      </c>
      <c r="D428" s="83">
        <f t="shared" si="8"/>
        <v>31840.022666666668</v>
      </c>
    </row>
    <row r="429" spans="1:4" ht="16.5" thickBot="1" x14ac:dyDescent="0.3">
      <c r="A429" s="61" t="s">
        <v>579</v>
      </c>
      <c r="B429" s="61" t="s">
        <v>377</v>
      </c>
      <c r="C429" s="82">
        <f>IFERROR(VLOOKUP(B429,'VTN2025'!B:I,8,FALSE),"-")</f>
        <v>36128.400000000001</v>
      </c>
      <c r="D429" s="83">
        <f t="shared" si="8"/>
        <v>31840.022666666668</v>
      </c>
    </row>
    <row r="430" spans="1:4" ht="16.5" thickBot="1" x14ac:dyDescent="0.3">
      <c r="A430" s="61" t="s">
        <v>579</v>
      </c>
      <c r="B430" s="61" t="s">
        <v>378</v>
      </c>
      <c r="C430" s="82">
        <f>IFERROR(VLOOKUP(B430,'VTN2025'!B:I,8,FALSE),"-")</f>
        <v>20209.003333333334</v>
      </c>
      <c r="D430" s="83">
        <f t="shared" si="8"/>
        <v>31840.022666666668</v>
      </c>
    </row>
    <row r="431" spans="1:4" ht="16.5" thickBot="1" x14ac:dyDescent="0.3">
      <c r="A431" s="61" t="s">
        <v>579</v>
      </c>
      <c r="B431" s="61" t="s">
        <v>395</v>
      </c>
      <c r="C431" s="82">
        <f>IFERROR(VLOOKUP(B431,'VTN2025'!B:I,8,FALSE),"-")</f>
        <v>33083.333333333336</v>
      </c>
      <c r="D431" s="83">
        <f t="shared" si="8"/>
        <v>31840.022666666668</v>
      </c>
    </row>
    <row r="432" spans="1:4" ht="16.5" thickBot="1" x14ac:dyDescent="0.3">
      <c r="A432" s="61" t="s">
        <v>579</v>
      </c>
      <c r="B432" s="61" t="s">
        <v>595</v>
      </c>
      <c r="C432" s="82">
        <f>IFERROR(VLOOKUP(B432,'VTN2025'!B:I,8,FALSE),"-")</f>
        <v>42210.556666666664</v>
      </c>
      <c r="D432" s="83">
        <f t="shared" si="8"/>
        <v>31840.022666666668</v>
      </c>
    </row>
    <row r="433" spans="1:4" ht="16.5" thickBot="1" x14ac:dyDescent="0.3">
      <c r="A433" s="61" t="s">
        <v>377</v>
      </c>
      <c r="B433" s="61" t="s">
        <v>376</v>
      </c>
      <c r="C433" s="82">
        <f>IFERROR(VLOOKUP(B433,'VTN2025'!B:I,8,FALSE),"-")</f>
        <v>25844.203333333338</v>
      </c>
      <c r="D433" s="83">
        <f t="shared" si="8"/>
        <v>27227.847333333331</v>
      </c>
    </row>
    <row r="434" spans="1:4" ht="16.5" thickBot="1" x14ac:dyDescent="0.3">
      <c r="A434" s="61" t="s">
        <v>377</v>
      </c>
      <c r="B434" s="61" t="s">
        <v>579</v>
      </c>
      <c r="C434" s="82" t="str">
        <f>IFERROR(VLOOKUP(B434,'VTN2025'!B:I,8,FALSE),"-")</f>
        <v>-</v>
      </c>
      <c r="D434" s="83">
        <f t="shared" si="8"/>
        <v>27227.847333333331</v>
      </c>
    </row>
    <row r="435" spans="1:4" ht="16.5" thickBot="1" x14ac:dyDescent="0.3">
      <c r="A435" s="61" t="s">
        <v>377</v>
      </c>
      <c r="B435" s="61" t="s">
        <v>378</v>
      </c>
      <c r="C435" s="82">
        <f>IFERROR(VLOOKUP(B435,'VTN2025'!B:I,8,FALSE),"-")</f>
        <v>20209.003333333334</v>
      </c>
      <c r="D435" s="83">
        <f t="shared" si="8"/>
        <v>27227.847333333331</v>
      </c>
    </row>
    <row r="436" spans="1:4" ht="16.5" thickBot="1" x14ac:dyDescent="0.3">
      <c r="A436" s="61" t="s">
        <v>377</v>
      </c>
      <c r="B436" s="61" t="s">
        <v>567</v>
      </c>
      <c r="C436" s="82">
        <f>IFERROR(VLOOKUP(B436,'VTN2025'!B:I,8,FALSE),"-")</f>
        <v>23927.636666666669</v>
      </c>
      <c r="D436" s="83">
        <f t="shared" si="8"/>
        <v>27227.847333333331</v>
      </c>
    </row>
    <row r="437" spans="1:4" ht="16.5" thickBot="1" x14ac:dyDescent="0.3">
      <c r="A437" s="61" t="s">
        <v>377</v>
      </c>
      <c r="B437" s="61" t="s">
        <v>383</v>
      </c>
      <c r="C437" s="82">
        <f>IFERROR(VLOOKUP(B437,'VTN2025'!B:I,8,FALSE),"-")</f>
        <v>23947.836666666666</v>
      </c>
      <c r="D437" s="83">
        <f t="shared" si="8"/>
        <v>27227.847333333331</v>
      </c>
    </row>
    <row r="438" spans="1:4" ht="16.5" thickBot="1" x14ac:dyDescent="0.3">
      <c r="A438" s="61" t="s">
        <v>377</v>
      </c>
      <c r="B438" s="61" t="s">
        <v>595</v>
      </c>
      <c r="C438" s="82">
        <f>IFERROR(VLOOKUP(B438,'VTN2025'!B:I,8,FALSE),"-")</f>
        <v>42210.556666666664</v>
      </c>
      <c r="D438" s="83">
        <f t="shared" si="8"/>
        <v>27227.847333333331</v>
      </c>
    </row>
    <row r="439" spans="1:4" ht="16.5" thickBot="1" x14ac:dyDescent="0.3">
      <c r="A439" s="61" t="s">
        <v>596</v>
      </c>
      <c r="B439" s="61" t="s">
        <v>411</v>
      </c>
      <c r="C439" s="82">
        <f>IFERROR(VLOOKUP(B439,'VTN2025'!B:I,8,FALSE),"-")</f>
        <v>5786.45</v>
      </c>
      <c r="D439" s="83">
        <f t="shared" si="8"/>
        <v>6506.7966666666662</v>
      </c>
    </row>
    <row r="440" spans="1:4" ht="16.5" thickBot="1" x14ac:dyDescent="0.3">
      <c r="A440" s="61" t="s">
        <v>596</v>
      </c>
      <c r="B440" s="61" t="s">
        <v>398</v>
      </c>
      <c r="C440" s="82">
        <f>IFERROR(VLOOKUP(B440,'VTN2025'!B:I,8,FALSE),"-")</f>
        <v>7540.8016666666672</v>
      </c>
      <c r="D440" s="83">
        <f t="shared" si="8"/>
        <v>6506.7966666666662</v>
      </c>
    </row>
    <row r="441" spans="1:4" ht="16.5" thickBot="1" x14ac:dyDescent="0.3">
      <c r="A441" s="61" t="s">
        <v>596</v>
      </c>
      <c r="B441" s="61" t="s">
        <v>419</v>
      </c>
      <c r="C441" s="82">
        <f>IFERROR(VLOOKUP(B441,'VTN2025'!B:I,8,FALSE),"-")</f>
        <v>6193.1383333333333</v>
      </c>
      <c r="D441" s="83">
        <f t="shared" si="8"/>
        <v>6506.7966666666662</v>
      </c>
    </row>
    <row r="442" spans="1:4" ht="16.5" thickBot="1" x14ac:dyDescent="0.3">
      <c r="A442" s="61" t="s">
        <v>596</v>
      </c>
      <c r="B442" s="61" t="s">
        <v>597</v>
      </c>
      <c r="C442" s="82" t="str">
        <f>IFERROR(VLOOKUP(B442,'VTN2025'!B:I,8,FALSE),"-")</f>
        <v>-</v>
      </c>
      <c r="D442" s="83">
        <f t="shared" si="8"/>
        <v>6506.7966666666662</v>
      </c>
    </row>
    <row r="443" spans="1:4" ht="16.5" thickBot="1" x14ac:dyDescent="0.3">
      <c r="A443" s="61" t="s">
        <v>463</v>
      </c>
      <c r="B443" s="61" t="s">
        <v>460</v>
      </c>
      <c r="C443" s="82">
        <f>IFERROR(VLOOKUP(B443,'VTN2025'!B:I,8,FALSE),"-")</f>
        <v>6024.7283333333335</v>
      </c>
      <c r="D443" s="83">
        <f t="shared" si="8"/>
        <v>12728.736333333334</v>
      </c>
    </row>
    <row r="444" spans="1:4" ht="16.5" thickBot="1" x14ac:dyDescent="0.3">
      <c r="A444" s="61" t="s">
        <v>463</v>
      </c>
      <c r="B444" s="61" t="s">
        <v>521</v>
      </c>
      <c r="C444" s="82">
        <f>IFERROR(VLOOKUP(B444,'VTN2025'!B:I,8,FALSE),"-")</f>
        <v>12253.573333333332</v>
      </c>
      <c r="D444" s="83">
        <f t="shared" si="8"/>
        <v>12728.736333333334</v>
      </c>
    </row>
    <row r="445" spans="1:4" ht="16.5" thickBot="1" x14ac:dyDescent="0.3">
      <c r="A445" s="61" t="s">
        <v>463</v>
      </c>
      <c r="B445" s="61" t="s">
        <v>598</v>
      </c>
      <c r="C445" s="82" t="str">
        <f>IFERROR(VLOOKUP(B445,'VTN2025'!B:I,8,FALSE),"-")</f>
        <v>-</v>
      </c>
      <c r="D445" s="83">
        <f t="shared" si="8"/>
        <v>12728.736333333334</v>
      </c>
    </row>
    <row r="446" spans="1:4" ht="16.5" thickBot="1" x14ac:dyDescent="0.3">
      <c r="A446" s="61" t="s">
        <v>463</v>
      </c>
      <c r="B446" s="61" t="s">
        <v>562</v>
      </c>
      <c r="C446" s="82">
        <f>IFERROR(VLOOKUP(B446,'VTN2025'!B:I,8,FALSE),"-")</f>
        <v>10493.316666666666</v>
      </c>
      <c r="D446" s="83">
        <f t="shared" si="8"/>
        <v>12728.736333333334</v>
      </c>
    </row>
    <row r="447" spans="1:4" ht="16.5" thickBot="1" x14ac:dyDescent="0.3">
      <c r="A447" s="61" t="s">
        <v>463</v>
      </c>
      <c r="B447" s="61" t="s">
        <v>464</v>
      </c>
      <c r="C447" s="82">
        <f>IFERROR(VLOOKUP(B447,'VTN2025'!B:I,8,FALSE),"-")</f>
        <v>11107.605000000001</v>
      </c>
      <c r="D447" s="83">
        <f t="shared" si="8"/>
        <v>12728.736333333334</v>
      </c>
    </row>
    <row r="448" spans="1:4" ht="16.5" thickBot="1" x14ac:dyDescent="0.3">
      <c r="A448" s="61" t="s">
        <v>463</v>
      </c>
      <c r="B448" s="61" t="s">
        <v>465</v>
      </c>
      <c r="C448" s="82">
        <f>IFERROR(VLOOKUP(B448,'VTN2025'!B:I,8,FALSE),"-")</f>
        <v>23764.458333333332</v>
      </c>
      <c r="D448" s="83">
        <f t="shared" si="8"/>
        <v>12728.736333333334</v>
      </c>
    </row>
    <row r="449" spans="1:4" ht="16.5" thickBot="1" x14ac:dyDescent="0.3">
      <c r="A449" s="61" t="s">
        <v>593</v>
      </c>
      <c r="B449" s="61" t="s">
        <v>483</v>
      </c>
      <c r="C449" s="82">
        <f>IFERROR(VLOOKUP(B449,'VTN2025'!B:I,8,FALSE),"-")</f>
        <v>13927.696666666665</v>
      </c>
      <c r="D449" s="83">
        <f t="shared" si="8"/>
        <v>15681.342666666667</v>
      </c>
    </row>
    <row r="450" spans="1:4" ht="16.5" thickBot="1" x14ac:dyDescent="0.3">
      <c r="A450" s="61" t="s">
        <v>593</v>
      </c>
      <c r="B450" s="61" t="s">
        <v>599</v>
      </c>
      <c r="C450" s="82" t="str">
        <f>IFERROR(VLOOKUP(B450,'VTN2025'!B:I,8,FALSE),"-")</f>
        <v>-</v>
      </c>
      <c r="D450" s="83">
        <f t="shared" si="8"/>
        <v>15681.342666666667</v>
      </c>
    </row>
    <row r="451" spans="1:4" ht="16.5" thickBot="1" x14ac:dyDescent="0.3">
      <c r="A451" s="61" t="s">
        <v>593</v>
      </c>
      <c r="B451" s="61" t="s">
        <v>594</v>
      </c>
      <c r="C451" s="82">
        <f>IFERROR(VLOOKUP(B451,'VTN2025'!B:I,8,FALSE),"-")</f>
        <v>17700.8</v>
      </c>
      <c r="D451" s="83">
        <f t="shared" si="8"/>
        <v>15681.342666666667</v>
      </c>
    </row>
    <row r="452" spans="1:4" ht="16.5" thickBot="1" x14ac:dyDescent="0.3">
      <c r="A452" s="61" t="s">
        <v>593</v>
      </c>
      <c r="B452" s="61" t="s">
        <v>515</v>
      </c>
      <c r="C452" s="82">
        <f>IFERROR(VLOOKUP(B452,'VTN2025'!B:I,8,FALSE),"-")</f>
        <v>11992.385000000002</v>
      </c>
      <c r="D452" s="83">
        <f t="shared" si="8"/>
        <v>15681.342666666667</v>
      </c>
    </row>
    <row r="453" spans="1:4" ht="16.5" thickBot="1" x14ac:dyDescent="0.3">
      <c r="A453" s="61" t="s">
        <v>593</v>
      </c>
      <c r="B453" s="61" t="s">
        <v>485</v>
      </c>
      <c r="C453" s="82" t="str">
        <f>IFERROR(VLOOKUP(B453,'VTN2025'!B:I,8,FALSE),"-")</f>
        <v>-</v>
      </c>
      <c r="D453" s="83">
        <f t="shared" si="8"/>
        <v>15681.342666666667</v>
      </c>
    </row>
    <row r="454" spans="1:4" ht="16.5" thickBot="1" x14ac:dyDescent="0.3">
      <c r="A454" s="61" t="s">
        <v>593</v>
      </c>
      <c r="B454" s="61" t="s">
        <v>457</v>
      </c>
      <c r="C454" s="82">
        <f>IFERROR(VLOOKUP(B454,'VTN2025'!B:I,8,FALSE),"-")</f>
        <v>12688.831666666667</v>
      </c>
      <c r="D454" s="83">
        <f t="shared" si="8"/>
        <v>15681.342666666667</v>
      </c>
    </row>
    <row r="455" spans="1:4" ht="16.5" thickBot="1" x14ac:dyDescent="0.3">
      <c r="A455" s="61" t="s">
        <v>593</v>
      </c>
      <c r="B455" s="61" t="s">
        <v>522</v>
      </c>
      <c r="C455" s="82">
        <f>IFERROR(VLOOKUP(B455,'VTN2025'!B:I,8,FALSE),"-")</f>
        <v>22097</v>
      </c>
      <c r="D455" s="83">
        <f t="shared" si="8"/>
        <v>15681.342666666667</v>
      </c>
    </row>
    <row r="456" spans="1:4" ht="16.5" thickBot="1" x14ac:dyDescent="0.3">
      <c r="A456" s="61" t="s">
        <v>484</v>
      </c>
      <c r="B456" s="61" t="s">
        <v>481</v>
      </c>
      <c r="C456" s="82">
        <f>IFERROR(VLOOKUP(B456,'VTN2025'!B:I,8,FALSE),"-")</f>
        <v>13864.933333333334</v>
      </c>
      <c r="D456" s="83">
        <f t="shared" si="8"/>
        <v>24289.325833333336</v>
      </c>
    </row>
    <row r="457" spans="1:4" ht="16.5" thickBot="1" x14ac:dyDescent="0.3">
      <c r="A457" s="61" t="s">
        <v>484</v>
      </c>
      <c r="B457" s="61" t="s">
        <v>600</v>
      </c>
      <c r="C457" s="82" t="str">
        <f>IFERROR(VLOOKUP(B457,'VTN2025'!B:I,8,FALSE),"-")</f>
        <v>-</v>
      </c>
      <c r="D457" s="83">
        <f t="shared" si="8"/>
        <v>24289.325833333336</v>
      </c>
    </row>
    <row r="458" spans="1:4" ht="16.5" thickBot="1" x14ac:dyDescent="0.3">
      <c r="A458" s="61" t="s">
        <v>484</v>
      </c>
      <c r="B458" s="61" t="s">
        <v>486</v>
      </c>
      <c r="C458" s="82">
        <f>IFERROR(VLOOKUP(B458,'VTN2025'!B:I,8,FALSE),"-")</f>
        <v>28650.333333333332</v>
      </c>
      <c r="D458" s="83">
        <f t="shared" si="8"/>
        <v>24289.325833333336</v>
      </c>
    </row>
    <row r="459" spans="1:4" ht="16.5" thickBot="1" x14ac:dyDescent="0.3">
      <c r="A459" s="61" t="s">
        <v>484</v>
      </c>
      <c r="B459" s="61" t="s">
        <v>388</v>
      </c>
      <c r="C459" s="82">
        <f>IFERROR(VLOOKUP(B459,'VTN2025'!B:I,8,FALSE),"-")</f>
        <v>18405.719999999998</v>
      </c>
      <c r="D459" s="83">
        <f t="shared" si="8"/>
        <v>24289.325833333336</v>
      </c>
    </row>
    <row r="460" spans="1:4" ht="16.5" thickBot="1" x14ac:dyDescent="0.3">
      <c r="A460" s="61" t="s">
        <v>484</v>
      </c>
      <c r="B460" s="61" t="s">
        <v>389</v>
      </c>
      <c r="C460" s="82">
        <f>IFERROR(VLOOKUP(B460,'VTN2025'!B:I,8,FALSE),"-")</f>
        <v>36236.316666666673</v>
      </c>
      <c r="D460" s="83">
        <f t="shared" si="8"/>
        <v>24289.325833333336</v>
      </c>
    </row>
    <row r="461" spans="1:4" ht="16.5" thickBot="1" x14ac:dyDescent="0.3">
      <c r="A461" s="61" t="s">
        <v>410</v>
      </c>
      <c r="B461" s="61" t="s">
        <v>408</v>
      </c>
      <c r="C461" s="82" t="str">
        <f>IFERROR(VLOOKUP(B461,'VTN2025'!B:I,8,FALSE),"-")</f>
        <v>-</v>
      </c>
      <c r="D461" s="83">
        <f t="shared" si="8"/>
        <v>9227.9526666666661</v>
      </c>
    </row>
    <row r="462" spans="1:4" ht="16.5" thickBot="1" x14ac:dyDescent="0.3">
      <c r="A462" s="61" t="s">
        <v>410</v>
      </c>
      <c r="B462" s="61" t="s">
        <v>526</v>
      </c>
      <c r="C462" s="82" t="str">
        <f>IFERROR(VLOOKUP(B462,'VTN2025'!B:I,8,FALSE),"-")</f>
        <v>-</v>
      </c>
      <c r="D462" s="83">
        <f t="shared" si="8"/>
        <v>9227.9526666666661</v>
      </c>
    </row>
    <row r="463" spans="1:4" ht="16.5" thickBot="1" x14ac:dyDescent="0.3">
      <c r="A463" s="61" t="s">
        <v>410</v>
      </c>
      <c r="B463" s="61" t="s">
        <v>527</v>
      </c>
      <c r="C463" s="82">
        <f>IFERROR(VLOOKUP(B463,'VTN2025'!B:I,8,FALSE),"-")</f>
        <v>15579.35</v>
      </c>
      <c r="D463" s="83">
        <f t="shared" si="8"/>
        <v>9227.9526666666661</v>
      </c>
    </row>
    <row r="464" spans="1:4" ht="16.5" thickBot="1" x14ac:dyDescent="0.3">
      <c r="A464" s="61" t="s">
        <v>410</v>
      </c>
      <c r="B464" s="61" t="s">
        <v>412</v>
      </c>
      <c r="C464" s="82">
        <f>IFERROR(VLOOKUP(B464,'VTN2025'!B:I,8,FALSE),"-")</f>
        <v>9641.8700000000008</v>
      </c>
      <c r="D464" s="83">
        <f t="shared" si="8"/>
        <v>9227.9526666666661</v>
      </c>
    </row>
    <row r="465" spans="1:4" ht="16.5" thickBot="1" x14ac:dyDescent="0.3">
      <c r="A465" s="61" t="s">
        <v>410</v>
      </c>
      <c r="B465" s="61" t="s">
        <v>405</v>
      </c>
      <c r="C465" s="82">
        <f>IFERROR(VLOOKUP(B465,'VTN2025'!B:I,8,FALSE),"-")</f>
        <v>4758.9066666666668</v>
      </c>
      <c r="D465" s="83">
        <f t="shared" si="8"/>
        <v>9227.9526666666661</v>
      </c>
    </row>
    <row r="466" spans="1:4" ht="16.5" thickBot="1" x14ac:dyDescent="0.3">
      <c r="A466" s="61" t="s">
        <v>410</v>
      </c>
      <c r="B466" s="61" t="s">
        <v>406</v>
      </c>
      <c r="C466" s="82">
        <f>IFERROR(VLOOKUP(B466,'VTN2025'!B:I,8,FALSE),"-")</f>
        <v>7859.9633333333322</v>
      </c>
      <c r="D466" s="83">
        <f t="shared" si="8"/>
        <v>9227.9526666666661</v>
      </c>
    </row>
    <row r="467" spans="1:4" ht="16.5" thickBot="1" x14ac:dyDescent="0.3">
      <c r="A467" s="61" t="s">
        <v>410</v>
      </c>
      <c r="B467" s="61" t="s">
        <v>415</v>
      </c>
      <c r="C467" s="82" t="str">
        <f>IFERROR(VLOOKUP(B467,'VTN2025'!B:I,8,FALSE),"-")</f>
        <v>-</v>
      </c>
      <c r="D467" s="83">
        <f t="shared" si="8"/>
        <v>9227.9526666666661</v>
      </c>
    </row>
    <row r="468" spans="1:4" ht="16.5" thickBot="1" x14ac:dyDescent="0.3">
      <c r="A468" s="61" t="s">
        <v>410</v>
      </c>
      <c r="B468" s="61" t="s">
        <v>601</v>
      </c>
      <c r="C468" s="82">
        <f>IFERROR(VLOOKUP(B468,'VTN2025'!B:I,8,FALSE),"-")</f>
        <v>8299.6733333333341</v>
      </c>
      <c r="D468" s="83">
        <f t="shared" si="8"/>
        <v>9227.9526666666661</v>
      </c>
    </row>
    <row r="469" spans="1:4" ht="16.5" thickBot="1" x14ac:dyDescent="0.3">
      <c r="A469" s="61" t="s">
        <v>527</v>
      </c>
      <c r="B469" s="61" t="s">
        <v>526</v>
      </c>
      <c r="C469" s="82" t="str">
        <f>IFERROR(VLOOKUP(B469,'VTN2025'!B:I,8,FALSE),"-")</f>
        <v>-</v>
      </c>
      <c r="D469" s="83">
        <f t="shared" si="8"/>
        <v>10122.871944444445</v>
      </c>
    </row>
    <row r="470" spans="1:4" ht="16.5" thickBot="1" x14ac:dyDescent="0.3">
      <c r="A470" s="61" t="s">
        <v>527</v>
      </c>
      <c r="B470" s="61" t="s">
        <v>525</v>
      </c>
      <c r="C470" s="82">
        <f>IFERROR(VLOOKUP(B470,'VTN2025'!B:I,8,FALSE),"-")</f>
        <v>16196.071666666665</v>
      </c>
      <c r="D470" s="83">
        <f t="shared" si="8"/>
        <v>10122.871944444445</v>
      </c>
    </row>
    <row r="471" spans="1:4" ht="16.5" thickBot="1" x14ac:dyDescent="0.3">
      <c r="A471" s="61" t="s">
        <v>527</v>
      </c>
      <c r="B471" s="61" t="s">
        <v>410</v>
      </c>
      <c r="C471" s="82">
        <f>IFERROR(VLOOKUP(B471,'VTN2025'!B:I,8,FALSE),"-")</f>
        <v>8049.333333333333</v>
      </c>
      <c r="D471" s="83">
        <f t="shared" si="8"/>
        <v>10122.871944444445</v>
      </c>
    </row>
    <row r="472" spans="1:4" ht="16.5" thickBot="1" x14ac:dyDescent="0.3">
      <c r="A472" s="61" t="s">
        <v>527</v>
      </c>
      <c r="B472" s="61" t="s">
        <v>602</v>
      </c>
      <c r="C472" s="82">
        <f>IFERROR(VLOOKUP(B472,'VTN2025'!B:I,8,FALSE),"-")</f>
        <v>12921.94</v>
      </c>
      <c r="D472" s="83">
        <f t="shared" si="8"/>
        <v>10122.871944444445</v>
      </c>
    </row>
    <row r="473" spans="1:4" ht="16.5" thickBot="1" x14ac:dyDescent="0.3">
      <c r="A473" s="61" t="s">
        <v>527</v>
      </c>
      <c r="B473" s="61" t="s">
        <v>406</v>
      </c>
      <c r="C473" s="82">
        <f>IFERROR(VLOOKUP(B473,'VTN2025'!B:I,8,FALSE),"-")</f>
        <v>7859.9633333333322</v>
      </c>
      <c r="D473" s="83">
        <f t="shared" si="8"/>
        <v>10122.871944444445</v>
      </c>
    </row>
    <row r="474" spans="1:4" ht="16.5" thickBot="1" x14ac:dyDescent="0.3">
      <c r="A474" s="61" t="s">
        <v>527</v>
      </c>
      <c r="B474" s="61" t="s">
        <v>601</v>
      </c>
      <c r="C474" s="82">
        <f>IFERROR(VLOOKUP(B474,'VTN2025'!B:I,8,FALSE),"-")</f>
        <v>8299.6733333333341</v>
      </c>
      <c r="D474" s="83">
        <f t="shared" ref="D474:D537" si="9">AVERAGEIF($A:$A,A474,$C:$C)</f>
        <v>10122.871944444445</v>
      </c>
    </row>
    <row r="475" spans="1:4" ht="16.5" thickBot="1" x14ac:dyDescent="0.3">
      <c r="A475" s="61" t="s">
        <v>527</v>
      </c>
      <c r="B475" s="61" t="s">
        <v>603</v>
      </c>
      <c r="C475" s="82">
        <f>IFERROR(VLOOKUP(B475,'VTN2025'!B:I,8,FALSE),"-")</f>
        <v>7410.2500000000009</v>
      </c>
      <c r="D475" s="83">
        <f t="shared" si="9"/>
        <v>10122.871944444445</v>
      </c>
    </row>
    <row r="476" spans="1:4" ht="16.5" thickBot="1" x14ac:dyDescent="0.3">
      <c r="A476" s="61" t="s">
        <v>411</v>
      </c>
      <c r="B476" s="61" t="s">
        <v>544</v>
      </c>
      <c r="C476" s="82">
        <f>IFERROR(VLOOKUP(B476,'VTN2025'!B:I,8,FALSE),"-")</f>
        <v>7535.7266666666665</v>
      </c>
      <c r="D476" s="83">
        <f t="shared" si="9"/>
        <v>6748.1058333333331</v>
      </c>
    </row>
    <row r="477" spans="1:4" ht="16.5" thickBot="1" x14ac:dyDescent="0.3">
      <c r="A477" s="61" t="s">
        <v>411</v>
      </c>
      <c r="B477" s="61" t="s">
        <v>596</v>
      </c>
      <c r="C477" s="82">
        <f>IFERROR(VLOOKUP(B477,'VTN2025'!B:I,8,FALSE),"-")</f>
        <v>8049.0766666666668</v>
      </c>
      <c r="D477" s="83">
        <f t="shared" si="9"/>
        <v>6748.1058333333331</v>
      </c>
    </row>
    <row r="478" spans="1:4" ht="16.5" thickBot="1" x14ac:dyDescent="0.3">
      <c r="A478" s="61" t="s">
        <v>411</v>
      </c>
      <c r="B478" s="61" t="s">
        <v>398</v>
      </c>
      <c r="C478" s="82">
        <f>IFERROR(VLOOKUP(B478,'VTN2025'!B:I,8,FALSE),"-")</f>
        <v>7540.8016666666672</v>
      </c>
      <c r="D478" s="83">
        <f t="shared" si="9"/>
        <v>6748.1058333333331</v>
      </c>
    </row>
    <row r="479" spans="1:4" ht="16.5" thickBot="1" x14ac:dyDescent="0.3">
      <c r="A479" s="61" t="s">
        <v>411</v>
      </c>
      <c r="B479" s="61" t="s">
        <v>545</v>
      </c>
      <c r="C479" s="82">
        <f>IFERROR(VLOOKUP(B479,'VTN2025'!B:I,8,FALSE),"-")</f>
        <v>3866.8183333333332</v>
      </c>
      <c r="D479" s="83">
        <f t="shared" si="9"/>
        <v>6748.1058333333331</v>
      </c>
    </row>
    <row r="480" spans="1:4" ht="16.5" thickBot="1" x14ac:dyDescent="0.3">
      <c r="A480" s="61" t="s">
        <v>411</v>
      </c>
      <c r="B480" s="61" t="s">
        <v>597</v>
      </c>
      <c r="C480" s="82" t="str">
        <f>IFERROR(VLOOKUP(B480,'VTN2025'!B:I,8,FALSE),"-")</f>
        <v>-</v>
      </c>
      <c r="D480" s="83">
        <f t="shared" si="9"/>
        <v>6748.1058333333331</v>
      </c>
    </row>
    <row r="481" spans="1:4" ht="16.5" thickBot="1" x14ac:dyDescent="0.3">
      <c r="A481" s="61" t="s">
        <v>411</v>
      </c>
      <c r="B481" s="61" t="s">
        <v>547</v>
      </c>
      <c r="C481" s="82" t="str">
        <f>IFERROR(VLOOKUP(B481,'VTN2025'!B:I,8,FALSE),"-")</f>
        <v>-</v>
      </c>
      <c r="D481" s="83">
        <f t="shared" si="9"/>
        <v>6748.1058333333331</v>
      </c>
    </row>
    <row r="482" spans="1:4" ht="16.5" thickBot="1" x14ac:dyDescent="0.3">
      <c r="A482" s="61" t="s">
        <v>373</v>
      </c>
      <c r="B482" s="61" t="s">
        <v>369</v>
      </c>
      <c r="C482" s="82">
        <f>IFERROR(VLOOKUP(B482,'VTN2025'!B:I,8,FALSE),"-")</f>
        <v>20561.290000000005</v>
      </c>
      <c r="D482" s="83">
        <f t="shared" si="9"/>
        <v>20541.445833333335</v>
      </c>
    </row>
    <row r="483" spans="1:4" ht="16.5" thickBot="1" x14ac:dyDescent="0.3">
      <c r="A483" s="61" t="s">
        <v>373</v>
      </c>
      <c r="B483" s="61" t="s">
        <v>371</v>
      </c>
      <c r="C483" s="82" t="str">
        <f>IFERROR(VLOOKUP(B483,'VTN2025'!B:I,8,FALSE),"-")</f>
        <v>-</v>
      </c>
      <c r="D483" s="83">
        <f t="shared" si="9"/>
        <v>20541.445833333335</v>
      </c>
    </row>
    <row r="484" spans="1:4" ht="16.5" thickBot="1" x14ac:dyDescent="0.3">
      <c r="A484" s="61" t="s">
        <v>373</v>
      </c>
      <c r="B484" s="61" t="s">
        <v>375</v>
      </c>
      <c r="C484" s="82">
        <f>IFERROR(VLOOKUP(B484,'VTN2025'!B:I,8,FALSE),"-")</f>
        <v>20521.601666666666</v>
      </c>
      <c r="D484" s="83">
        <f t="shared" si="9"/>
        <v>20541.445833333335</v>
      </c>
    </row>
    <row r="485" spans="1:4" ht="16.5" thickBot="1" x14ac:dyDescent="0.3">
      <c r="A485" s="61" t="s">
        <v>570</v>
      </c>
      <c r="B485" s="61" t="s">
        <v>549</v>
      </c>
      <c r="C485" s="82">
        <f>IFERROR(VLOOKUP(B485,'VTN2025'!B:I,8,FALSE),"-")</f>
        <v>21583.333333333332</v>
      </c>
      <c r="D485" s="83">
        <f t="shared" si="9"/>
        <v>20924.733333333334</v>
      </c>
    </row>
    <row r="486" spans="1:4" ht="16.5" thickBot="1" x14ac:dyDescent="0.3">
      <c r="A486" s="61" t="s">
        <v>570</v>
      </c>
      <c r="B486" s="61" t="s">
        <v>429</v>
      </c>
      <c r="C486" s="82" t="str">
        <f>IFERROR(VLOOKUP(B486,'VTN2025'!B:I,8,FALSE),"-")</f>
        <v>-</v>
      </c>
      <c r="D486" s="83">
        <f t="shared" si="9"/>
        <v>20924.733333333334</v>
      </c>
    </row>
    <row r="487" spans="1:4" ht="16.5" thickBot="1" x14ac:dyDescent="0.3">
      <c r="A487" s="61" t="s">
        <v>570</v>
      </c>
      <c r="B487" s="61" t="s">
        <v>536</v>
      </c>
      <c r="C487" s="82">
        <f>IFERROR(VLOOKUP(B487,'VTN2025'!B:I,8,FALSE),"-")</f>
        <v>20266.133333333335</v>
      </c>
      <c r="D487" s="83">
        <f t="shared" si="9"/>
        <v>20924.733333333334</v>
      </c>
    </row>
    <row r="488" spans="1:4" ht="16.5" thickBot="1" x14ac:dyDescent="0.3">
      <c r="A488" s="61" t="s">
        <v>570</v>
      </c>
      <c r="B488" s="61" t="s">
        <v>587</v>
      </c>
      <c r="C488" s="82" t="str">
        <f>IFERROR(VLOOKUP(B488,'VTN2025'!B:I,8,FALSE),"-")</f>
        <v>-</v>
      </c>
      <c r="D488" s="83">
        <f t="shared" si="9"/>
        <v>20924.733333333334</v>
      </c>
    </row>
    <row r="489" spans="1:4" ht="16.5" thickBot="1" x14ac:dyDescent="0.3">
      <c r="A489" s="61" t="s">
        <v>511</v>
      </c>
      <c r="B489" s="61" t="s">
        <v>509</v>
      </c>
      <c r="C489" s="82">
        <f>IFERROR(VLOOKUP(B489,'VTN2025'!B:I,8,FALSE),"-")</f>
        <v>29748.62166666667</v>
      </c>
      <c r="D489" s="83">
        <f t="shared" si="9"/>
        <v>38113.749166666676</v>
      </c>
    </row>
    <row r="490" spans="1:4" ht="16.5" thickBot="1" x14ac:dyDescent="0.3">
      <c r="A490" s="61" t="s">
        <v>511</v>
      </c>
      <c r="B490" s="61" t="s">
        <v>470</v>
      </c>
      <c r="C490" s="82" t="str">
        <f>IFERROR(VLOOKUP(B490,'VTN2025'!B:I,8,FALSE),"-")</f>
        <v>-</v>
      </c>
      <c r="D490" s="83">
        <f t="shared" si="9"/>
        <v>38113.749166666676</v>
      </c>
    </row>
    <row r="491" spans="1:4" ht="16.5" thickBot="1" x14ac:dyDescent="0.3">
      <c r="A491" s="61" t="s">
        <v>511</v>
      </c>
      <c r="B491" s="61" t="s">
        <v>366</v>
      </c>
      <c r="C491" s="82">
        <f>IFERROR(VLOOKUP(B491,'VTN2025'!B:I,8,FALSE),"-")</f>
        <v>64897.67333333334</v>
      </c>
      <c r="D491" s="83">
        <f t="shared" si="9"/>
        <v>38113.749166666676</v>
      </c>
    </row>
    <row r="492" spans="1:4" ht="16.5" thickBot="1" x14ac:dyDescent="0.3">
      <c r="A492" s="61" t="s">
        <v>511</v>
      </c>
      <c r="B492" s="61" t="s">
        <v>471</v>
      </c>
      <c r="C492" s="82">
        <f>IFERROR(VLOOKUP(B492,'VTN2025'!B:I,8,FALSE),"-")</f>
        <v>31249.99</v>
      </c>
      <c r="D492" s="83">
        <f t="shared" si="9"/>
        <v>38113.749166666676</v>
      </c>
    </row>
    <row r="493" spans="1:4" ht="16.5" thickBot="1" x14ac:dyDescent="0.3">
      <c r="A493" s="61" t="s">
        <v>511</v>
      </c>
      <c r="B493" s="61" t="s">
        <v>513</v>
      </c>
      <c r="C493" s="82" t="str">
        <f>IFERROR(VLOOKUP(B493,'VTN2025'!B:I,8,FALSE),"-")</f>
        <v>-</v>
      </c>
      <c r="D493" s="83">
        <f t="shared" si="9"/>
        <v>38113.749166666676</v>
      </c>
    </row>
    <row r="494" spans="1:4" ht="16.5" thickBot="1" x14ac:dyDescent="0.3">
      <c r="A494" s="61" t="s">
        <v>511</v>
      </c>
      <c r="B494" s="61" t="s">
        <v>368</v>
      </c>
      <c r="C494" s="82">
        <f>IFERROR(VLOOKUP(B494,'VTN2025'!B:I,8,FALSE),"-")</f>
        <v>26558.71166666667</v>
      </c>
      <c r="D494" s="83">
        <f t="shared" si="9"/>
        <v>38113.749166666676</v>
      </c>
    </row>
    <row r="495" spans="1:4" ht="16.5" thickBot="1" x14ac:dyDescent="0.3">
      <c r="A495" s="61" t="s">
        <v>433</v>
      </c>
      <c r="B495" s="61" t="s">
        <v>371</v>
      </c>
      <c r="C495" s="82" t="str">
        <f>IFERROR(VLOOKUP(B495,'VTN2025'!B:I,8,FALSE),"-")</f>
        <v>-</v>
      </c>
      <c r="D495" s="83">
        <f t="shared" si="9"/>
        <v>33834.730000000003</v>
      </c>
    </row>
    <row r="496" spans="1:4" ht="16.5" thickBot="1" x14ac:dyDescent="0.3">
      <c r="A496" s="61" t="s">
        <v>433</v>
      </c>
      <c r="B496" s="61" t="s">
        <v>506</v>
      </c>
      <c r="C496" s="82">
        <f>IFERROR(VLOOKUP(B496,'VTN2025'!B:I,8,FALSE),"-")</f>
        <v>28732.248333333333</v>
      </c>
      <c r="D496" s="83">
        <f t="shared" si="9"/>
        <v>33834.730000000003</v>
      </c>
    </row>
    <row r="497" spans="1:4" ht="16.5" thickBot="1" x14ac:dyDescent="0.3">
      <c r="A497" s="61" t="s">
        <v>433</v>
      </c>
      <c r="B497" s="61" t="s">
        <v>366</v>
      </c>
      <c r="C497" s="82">
        <f>IFERROR(VLOOKUP(B497,'VTN2025'!B:I,8,FALSE),"-")</f>
        <v>64897.67333333334</v>
      </c>
      <c r="D497" s="83">
        <f t="shared" si="9"/>
        <v>33834.730000000003</v>
      </c>
    </row>
    <row r="498" spans="1:4" ht="16.5" thickBot="1" x14ac:dyDescent="0.3">
      <c r="A498" s="61" t="s">
        <v>433</v>
      </c>
      <c r="B498" s="61" t="s">
        <v>434</v>
      </c>
      <c r="C498" s="82">
        <f>IFERROR(VLOOKUP(B498,'VTN2025'!B:I,8,FALSE),"-")</f>
        <v>17731.825000000001</v>
      </c>
      <c r="D498" s="83">
        <f t="shared" si="9"/>
        <v>33834.730000000003</v>
      </c>
    </row>
    <row r="499" spans="1:4" ht="16.5" thickBot="1" x14ac:dyDescent="0.3">
      <c r="A499" s="61" t="s">
        <v>433</v>
      </c>
      <c r="B499" s="61" t="s">
        <v>435</v>
      </c>
      <c r="C499" s="82" t="str">
        <f>IFERROR(VLOOKUP(B499,'VTN2025'!B:I,8,FALSE),"-")</f>
        <v>-</v>
      </c>
      <c r="D499" s="83">
        <f t="shared" si="9"/>
        <v>33834.730000000003</v>
      </c>
    </row>
    <row r="500" spans="1:4" ht="16.5" thickBot="1" x14ac:dyDescent="0.3">
      <c r="A500" s="61" t="s">
        <v>433</v>
      </c>
      <c r="B500" s="61" t="s">
        <v>441</v>
      </c>
      <c r="C500" s="82">
        <f>IFERROR(VLOOKUP(B500,'VTN2025'!B:I,8,FALSE),"-")</f>
        <v>23977.173333333336</v>
      </c>
      <c r="D500" s="83">
        <f t="shared" si="9"/>
        <v>33834.730000000003</v>
      </c>
    </row>
    <row r="501" spans="1:4" ht="16.5" thickBot="1" x14ac:dyDescent="0.3">
      <c r="A501" s="61" t="s">
        <v>433</v>
      </c>
      <c r="B501" s="61" t="s">
        <v>438</v>
      </c>
      <c r="C501" s="82" t="str">
        <f>IFERROR(VLOOKUP(B501,'VTN2025'!B:I,8,FALSE),"-")</f>
        <v>-</v>
      </c>
      <c r="D501" s="83">
        <f t="shared" si="9"/>
        <v>33834.730000000003</v>
      </c>
    </row>
    <row r="502" spans="1:4" ht="16.5" thickBot="1" x14ac:dyDescent="0.3">
      <c r="A502" s="61" t="s">
        <v>491</v>
      </c>
      <c r="B502" s="61" t="s">
        <v>490</v>
      </c>
      <c r="C502" s="82">
        <f>IFERROR(VLOOKUP(B502,'VTN2025'!B:I,8,FALSE),"-")</f>
        <v>4688.3266666666668</v>
      </c>
      <c r="D502" s="83">
        <f t="shared" si="9"/>
        <v>11383.743333333332</v>
      </c>
    </row>
    <row r="503" spans="1:4" ht="16.5" thickBot="1" x14ac:dyDescent="0.3">
      <c r="A503" s="61" t="s">
        <v>491</v>
      </c>
      <c r="B503" s="61" t="s">
        <v>604</v>
      </c>
      <c r="C503" s="82">
        <f>IFERROR(VLOOKUP(B503,'VTN2025'!B:I,8,FALSE),"-")</f>
        <v>16509.973333333332</v>
      </c>
      <c r="D503" s="83">
        <f t="shared" si="9"/>
        <v>11383.743333333332</v>
      </c>
    </row>
    <row r="504" spans="1:4" ht="16.5" thickBot="1" x14ac:dyDescent="0.3">
      <c r="A504" s="61" t="s">
        <v>491</v>
      </c>
      <c r="B504" s="61" t="s">
        <v>374</v>
      </c>
      <c r="C504" s="82" t="str">
        <f>IFERROR(VLOOKUP(B504,'VTN2025'!B:I,8,FALSE),"-")</f>
        <v>-</v>
      </c>
      <c r="D504" s="83">
        <f t="shared" si="9"/>
        <v>11383.743333333332</v>
      </c>
    </row>
    <row r="505" spans="1:4" ht="16.5" thickBot="1" x14ac:dyDescent="0.3">
      <c r="A505" s="61" t="s">
        <v>491</v>
      </c>
      <c r="B505" s="61" t="s">
        <v>605</v>
      </c>
      <c r="C505" s="82" t="str">
        <f>IFERROR(VLOOKUP(B505,'VTN2025'!B:I,8,FALSE),"-")</f>
        <v>-</v>
      </c>
      <c r="D505" s="83">
        <f t="shared" si="9"/>
        <v>11383.743333333332</v>
      </c>
    </row>
    <row r="506" spans="1:4" ht="16.5" thickBot="1" x14ac:dyDescent="0.3">
      <c r="A506" s="61" t="s">
        <v>491</v>
      </c>
      <c r="B506" s="61" t="s">
        <v>492</v>
      </c>
      <c r="C506" s="82">
        <f>IFERROR(VLOOKUP(B506,'VTN2025'!B:I,8,FALSE),"-")</f>
        <v>8292.09</v>
      </c>
      <c r="D506" s="83">
        <f t="shared" si="9"/>
        <v>11383.743333333332</v>
      </c>
    </row>
    <row r="507" spans="1:4" ht="16.5" thickBot="1" x14ac:dyDescent="0.3">
      <c r="A507" s="61" t="s">
        <v>491</v>
      </c>
      <c r="B507" s="61" t="s">
        <v>606</v>
      </c>
      <c r="C507" s="82">
        <f>IFERROR(VLOOKUP(B507,'VTN2025'!B:I,8,FALSE),"-")</f>
        <v>15132.089999999998</v>
      </c>
      <c r="D507" s="83">
        <f t="shared" si="9"/>
        <v>11383.743333333332</v>
      </c>
    </row>
    <row r="508" spans="1:4" ht="16.5" thickBot="1" x14ac:dyDescent="0.3">
      <c r="A508" s="61" t="s">
        <v>491</v>
      </c>
      <c r="B508" s="61" t="s">
        <v>493</v>
      </c>
      <c r="C508" s="82">
        <f>IFERROR(VLOOKUP(B508,'VTN2025'!B:I,8,FALSE),"-")</f>
        <v>12296.236666666666</v>
      </c>
      <c r="D508" s="83">
        <f t="shared" si="9"/>
        <v>11383.743333333332</v>
      </c>
    </row>
    <row r="509" spans="1:4" ht="16.5" thickBot="1" x14ac:dyDescent="0.3">
      <c r="A509" s="61" t="s">
        <v>500</v>
      </c>
      <c r="B509" s="61" t="s">
        <v>498</v>
      </c>
      <c r="C509" s="82">
        <f>IFERROR(VLOOKUP(B509,'VTN2025'!B:I,8,FALSE),"-")</f>
        <v>41702.514999999992</v>
      </c>
      <c r="D509" s="83">
        <f t="shared" si="9"/>
        <v>30336.803541666664</v>
      </c>
    </row>
    <row r="510" spans="1:4" ht="16.5" thickBot="1" x14ac:dyDescent="0.3">
      <c r="A510" s="61" t="s">
        <v>500</v>
      </c>
      <c r="B510" s="61" t="s">
        <v>517</v>
      </c>
      <c r="C510" s="82">
        <f>IFERROR(VLOOKUP(B510,'VTN2025'!B:I,8,FALSE),"-")</f>
        <v>16961.02</v>
      </c>
      <c r="D510" s="83">
        <f t="shared" si="9"/>
        <v>30336.803541666664</v>
      </c>
    </row>
    <row r="511" spans="1:4" ht="16.5" thickBot="1" x14ac:dyDescent="0.3">
      <c r="A511" s="61" t="s">
        <v>500</v>
      </c>
      <c r="B511" s="61" t="s">
        <v>499</v>
      </c>
      <c r="C511" s="82">
        <f>IFERROR(VLOOKUP(B511,'VTN2025'!B:I,8,FALSE),"-")</f>
        <v>37844.496666666666</v>
      </c>
      <c r="D511" s="83">
        <f t="shared" si="9"/>
        <v>30336.803541666664</v>
      </c>
    </row>
    <row r="512" spans="1:4" ht="16.5" thickBot="1" x14ac:dyDescent="0.3">
      <c r="A512" s="61" t="s">
        <v>500</v>
      </c>
      <c r="B512" s="61" t="s">
        <v>503</v>
      </c>
      <c r="C512" s="82">
        <f>IFERROR(VLOOKUP(B512,'VTN2025'!B:I,8,FALSE),"-")</f>
        <v>28403.199999999997</v>
      </c>
      <c r="D512" s="83">
        <f t="shared" si="9"/>
        <v>30336.803541666664</v>
      </c>
    </row>
    <row r="513" spans="1:4" ht="16.5" thickBot="1" x14ac:dyDescent="0.3">
      <c r="A513" s="61" t="s">
        <v>500</v>
      </c>
      <c r="B513" s="61" t="s">
        <v>393</v>
      </c>
      <c r="C513" s="82">
        <f>IFERROR(VLOOKUP(B513,'VTN2025'!B:I,8,FALSE),"-")</f>
        <v>28203.205000000002</v>
      </c>
      <c r="D513" s="83">
        <f t="shared" si="9"/>
        <v>30336.803541666664</v>
      </c>
    </row>
    <row r="514" spans="1:4" ht="16.5" thickBot="1" x14ac:dyDescent="0.3">
      <c r="A514" s="61" t="s">
        <v>500</v>
      </c>
      <c r="B514" s="61" t="s">
        <v>394</v>
      </c>
      <c r="C514" s="82">
        <f>IFERROR(VLOOKUP(B514,'VTN2025'!B:I,8,FALSE),"-")</f>
        <v>23441.798333333336</v>
      </c>
      <c r="D514" s="83">
        <f t="shared" si="9"/>
        <v>30336.803541666664</v>
      </c>
    </row>
    <row r="515" spans="1:4" ht="16.5" thickBot="1" x14ac:dyDescent="0.3">
      <c r="A515" s="61" t="s">
        <v>500</v>
      </c>
      <c r="B515" s="61" t="s">
        <v>504</v>
      </c>
      <c r="C515" s="82" t="str">
        <f>IFERROR(VLOOKUP(B515,'VTN2025'!B:I,8,FALSE),"-")</f>
        <v>-</v>
      </c>
      <c r="D515" s="83">
        <f t="shared" si="9"/>
        <v>30336.803541666664</v>
      </c>
    </row>
    <row r="516" spans="1:4" ht="16.5" thickBot="1" x14ac:dyDescent="0.3">
      <c r="A516" s="61" t="s">
        <v>500</v>
      </c>
      <c r="B516" s="61" t="s">
        <v>567</v>
      </c>
      <c r="C516" s="82">
        <f>IFERROR(VLOOKUP(B516,'VTN2025'!B:I,8,FALSE),"-")</f>
        <v>23927.636666666669</v>
      </c>
      <c r="D516" s="83">
        <f t="shared" si="9"/>
        <v>30336.803541666664</v>
      </c>
    </row>
    <row r="517" spans="1:4" ht="16.5" thickBot="1" x14ac:dyDescent="0.3">
      <c r="A517" s="61" t="s">
        <v>500</v>
      </c>
      <c r="B517" s="61" t="s">
        <v>595</v>
      </c>
      <c r="C517" s="82">
        <f>IFERROR(VLOOKUP(B517,'VTN2025'!B:I,8,FALSE),"-")</f>
        <v>42210.556666666664</v>
      </c>
      <c r="D517" s="83">
        <f t="shared" si="9"/>
        <v>30336.803541666664</v>
      </c>
    </row>
    <row r="518" spans="1:4" ht="16.5" thickBot="1" x14ac:dyDescent="0.3">
      <c r="A518" s="61" t="s">
        <v>521</v>
      </c>
      <c r="B518" s="61" t="s">
        <v>520</v>
      </c>
      <c r="C518" s="82">
        <f>IFERROR(VLOOKUP(B518,'VTN2025'!B:I,8,FALSE),"-")</f>
        <v>12920.196666666669</v>
      </c>
      <c r="D518" s="83">
        <f t="shared" si="9"/>
        <v>16352.676458333333</v>
      </c>
    </row>
    <row r="519" spans="1:4" ht="16.5" thickBot="1" x14ac:dyDescent="0.3">
      <c r="A519" s="61" t="s">
        <v>521</v>
      </c>
      <c r="B519" s="61" t="s">
        <v>463</v>
      </c>
      <c r="C519" s="82">
        <f>IFERROR(VLOOKUP(B519,'VTN2025'!B:I,8,FALSE),"-")</f>
        <v>11971.729999999998</v>
      </c>
      <c r="D519" s="83">
        <f t="shared" si="9"/>
        <v>16352.676458333333</v>
      </c>
    </row>
    <row r="520" spans="1:4" ht="16.5" thickBot="1" x14ac:dyDescent="0.3">
      <c r="A520" s="61" t="s">
        <v>521</v>
      </c>
      <c r="B520" s="61" t="s">
        <v>598</v>
      </c>
      <c r="C520" s="82" t="str">
        <f>IFERROR(VLOOKUP(B520,'VTN2025'!B:I,8,FALSE),"-")</f>
        <v>-</v>
      </c>
      <c r="D520" s="83">
        <f t="shared" si="9"/>
        <v>16352.676458333333</v>
      </c>
    </row>
    <row r="521" spans="1:4" ht="16.5" thickBot="1" x14ac:dyDescent="0.3">
      <c r="A521" s="61" t="s">
        <v>521</v>
      </c>
      <c r="B521" s="61" t="s">
        <v>607</v>
      </c>
      <c r="C521" s="82" t="str">
        <f>IFERROR(VLOOKUP(B521,'VTN2025'!B:I,8,FALSE),"-")</f>
        <v>-</v>
      </c>
      <c r="D521" s="83">
        <f t="shared" si="9"/>
        <v>16352.676458333333</v>
      </c>
    </row>
    <row r="522" spans="1:4" ht="16.5" thickBot="1" x14ac:dyDescent="0.3">
      <c r="A522" s="61" t="s">
        <v>521</v>
      </c>
      <c r="B522" s="61" t="s">
        <v>423</v>
      </c>
      <c r="C522" s="82">
        <f>IFERROR(VLOOKUP(B522,'VTN2025'!B:I,8,FALSE),"-")</f>
        <v>28687.101666666669</v>
      </c>
      <c r="D522" s="83">
        <f t="shared" si="9"/>
        <v>16352.676458333333</v>
      </c>
    </row>
    <row r="523" spans="1:4" ht="16.5" thickBot="1" x14ac:dyDescent="0.3">
      <c r="A523" s="61" t="s">
        <v>521</v>
      </c>
      <c r="B523" s="61" t="s">
        <v>514</v>
      </c>
      <c r="C523" s="82">
        <f>IFERROR(VLOOKUP(B523,'VTN2025'!B:I,8,FALSE),"-")</f>
        <v>11447.461666666668</v>
      </c>
      <c r="D523" s="83">
        <f t="shared" si="9"/>
        <v>16352.676458333333</v>
      </c>
    </row>
    <row r="524" spans="1:4" ht="16.5" thickBot="1" x14ac:dyDescent="0.3">
      <c r="A524" s="61" t="s">
        <v>521</v>
      </c>
      <c r="B524" s="61" t="s">
        <v>562</v>
      </c>
      <c r="C524" s="82">
        <f>IFERROR(VLOOKUP(B524,'VTN2025'!B:I,8,FALSE),"-")</f>
        <v>10493.316666666666</v>
      </c>
      <c r="D524" s="83">
        <f t="shared" si="9"/>
        <v>16352.676458333333</v>
      </c>
    </row>
    <row r="525" spans="1:4" ht="16.5" thickBot="1" x14ac:dyDescent="0.3">
      <c r="A525" s="61" t="s">
        <v>521</v>
      </c>
      <c r="B525" s="61" t="s">
        <v>464</v>
      </c>
      <c r="C525" s="82">
        <f>IFERROR(VLOOKUP(B525,'VTN2025'!B:I,8,FALSE),"-")</f>
        <v>11107.605000000001</v>
      </c>
      <c r="D525" s="83">
        <f t="shared" si="9"/>
        <v>16352.676458333333</v>
      </c>
    </row>
    <row r="526" spans="1:4" ht="16.5" thickBot="1" x14ac:dyDescent="0.3">
      <c r="A526" s="61" t="s">
        <v>521</v>
      </c>
      <c r="B526" s="61" t="s">
        <v>386</v>
      </c>
      <c r="C526" s="82">
        <f>IFERROR(VLOOKUP(B526,'VTN2025'!B:I,8,FALSE),"-")</f>
        <v>22097</v>
      </c>
      <c r="D526" s="83">
        <f t="shared" si="9"/>
        <v>16352.676458333333</v>
      </c>
    </row>
    <row r="527" spans="1:4" ht="16.5" thickBot="1" x14ac:dyDescent="0.3">
      <c r="A527" s="61" t="s">
        <v>521</v>
      </c>
      <c r="B527" s="61" t="s">
        <v>522</v>
      </c>
      <c r="C527" s="82">
        <f>IFERROR(VLOOKUP(B527,'VTN2025'!B:I,8,FALSE),"-")</f>
        <v>22097</v>
      </c>
      <c r="D527" s="83">
        <f t="shared" si="9"/>
        <v>16352.676458333333</v>
      </c>
    </row>
    <row r="528" spans="1:4" ht="16.5" thickBot="1" x14ac:dyDescent="0.3">
      <c r="A528" s="61" t="s">
        <v>366</v>
      </c>
      <c r="B528" s="61" t="s">
        <v>363</v>
      </c>
      <c r="C528" s="82">
        <f>IFERROR(VLOOKUP(B528,'VTN2025'!B:I,8,FALSE),"-")</f>
        <v>25479.37</v>
      </c>
      <c r="D528" s="83">
        <f t="shared" si="9"/>
        <v>24778.599166666667</v>
      </c>
    </row>
    <row r="529" spans="1:4" ht="16.5" thickBot="1" x14ac:dyDescent="0.3">
      <c r="A529" s="61" t="s">
        <v>366</v>
      </c>
      <c r="B529" s="61" t="s">
        <v>364</v>
      </c>
      <c r="C529" s="82" t="str">
        <f>IFERROR(VLOOKUP(B529,'VTN2025'!B:I,8,FALSE),"-")</f>
        <v>-</v>
      </c>
      <c r="D529" s="83">
        <f t="shared" si="9"/>
        <v>24778.599166666667</v>
      </c>
    </row>
    <row r="530" spans="1:4" ht="16.5" thickBot="1" x14ac:dyDescent="0.3">
      <c r="A530" s="61" t="s">
        <v>366</v>
      </c>
      <c r="B530" s="61" t="s">
        <v>365</v>
      </c>
      <c r="C530" s="82">
        <f>IFERROR(VLOOKUP(B530,'VTN2025'!B:I,8,FALSE),"-")</f>
        <v>28728.081666666665</v>
      </c>
      <c r="D530" s="83">
        <f t="shared" si="9"/>
        <v>24778.599166666667</v>
      </c>
    </row>
    <row r="531" spans="1:4" ht="16.5" thickBot="1" x14ac:dyDescent="0.3">
      <c r="A531" s="61" t="s">
        <v>366</v>
      </c>
      <c r="B531" s="61" t="s">
        <v>506</v>
      </c>
      <c r="C531" s="82">
        <f>IFERROR(VLOOKUP(B531,'VTN2025'!B:I,8,FALSE),"-")</f>
        <v>28732.248333333333</v>
      </c>
      <c r="D531" s="83">
        <f t="shared" si="9"/>
        <v>24778.599166666667</v>
      </c>
    </row>
    <row r="532" spans="1:4" ht="16.5" thickBot="1" x14ac:dyDescent="0.3">
      <c r="A532" s="61" t="s">
        <v>366</v>
      </c>
      <c r="B532" s="61" t="s">
        <v>511</v>
      </c>
      <c r="C532" s="82" t="str">
        <f>IFERROR(VLOOKUP(B532,'VTN2025'!B:I,8,FALSE),"-")</f>
        <v>-</v>
      </c>
      <c r="D532" s="83">
        <f t="shared" si="9"/>
        <v>24778.599166666667</v>
      </c>
    </row>
    <row r="533" spans="1:4" ht="16.5" thickBot="1" x14ac:dyDescent="0.3">
      <c r="A533" s="61" t="s">
        <v>366</v>
      </c>
      <c r="B533" s="61" t="s">
        <v>433</v>
      </c>
      <c r="C533" s="82">
        <f>IFERROR(VLOOKUP(B533,'VTN2025'!B:I,8,FALSE),"-")</f>
        <v>15196.01</v>
      </c>
      <c r="D533" s="83">
        <f t="shared" si="9"/>
        <v>24778.599166666667</v>
      </c>
    </row>
    <row r="534" spans="1:4" ht="16.5" thickBot="1" x14ac:dyDescent="0.3">
      <c r="A534" s="61" t="s">
        <v>366</v>
      </c>
      <c r="B534" s="61" t="s">
        <v>435</v>
      </c>
      <c r="C534" s="82" t="str">
        <f>IFERROR(VLOOKUP(B534,'VTN2025'!B:I,8,FALSE),"-")</f>
        <v>-</v>
      </c>
      <c r="D534" s="83">
        <f t="shared" si="9"/>
        <v>24778.599166666667</v>
      </c>
    </row>
    <row r="535" spans="1:4" ht="16.5" thickBot="1" x14ac:dyDescent="0.3">
      <c r="A535" s="61" t="s">
        <v>366</v>
      </c>
      <c r="B535" s="61" t="s">
        <v>513</v>
      </c>
      <c r="C535" s="82" t="str">
        <f>IFERROR(VLOOKUP(B535,'VTN2025'!B:I,8,FALSE),"-")</f>
        <v>-</v>
      </c>
      <c r="D535" s="83">
        <f t="shared" si="9"/>
        <v>24778.599166666667</v>
      </c>
    </row>
    <row r="536" spans="1:4" ht="16.5" thickBot="1" x14ac:dyDescent="0.3">
      <c r="A536" s="61" t="s">
        <v>366</v>
      </c>
      <c r="B536" s="61" t="s">
        <v>441</v>
      </c>
      <c r="C536" s="82">
        <f>IFERROR(VLOOKUP(B536,'VTN2025'!B:I,8,FALSE),"-")</f>
        <v>23977.173333333336</v>
      </c>
      <c r="D536" s="83">
        <f t="shared" si="9"/>
        <v>24778.599166666667</v>
      </c>
    </row>
    <row r="537" spans="1:4" ht="16.5" thickBot="1" x14ac:dyDescent="0.3">
      <c r="A537" s="61" t="s">
        <v>366</v>
      </c>
      <c r="B537" s="61" t="s">
        <v>368</v>
      </c>
      <c r="C537" s="82">
        <f>IFERROR(VLOOKUP(B537,'VTN2025'!B:I,8,FALSE),"-")</f>
        <v>26558.71166666667</v>
      </c>
      <c r="D537" s="83">
        <f t="shared" si="9"/>
        <v>24778.599166666667</v>
      </c>
    </row>
    <row r="538" spans="1:4" ht="16.5" thickBot="1" x14ac:dyDescent="0.3">
      <c r="A538" s="61" t="s">
        <v>501</v>
      </c>
      <c r="B538" s="61" t="s">
        <v>498</v>
      </c>
      <c r="C538" s="82">
        <f>IFERROR(VLOOKUP(B538,'VTN2025'!B:I,8,FALSE),"-")</f>
        <v>41702.514999999992</v>
      </c>
      <c r="D538" s="83">
        <f t="shared" ref="D538:D601" si="10">AVERAGEIF($A:$A,A538,$C:$C)</f>
        <v>29329.907777777775</v>
      </c>
    </row>
    <row r="539" spans="1:4" ht="16.5" thickBot="1" x14ac:dyDescent="0.3">
      <c r="A539" s="61" t="s">
        <v>501</v>
      </c>
      <c r="B539" s="61" t="s">
        <v>502</v>
      </c>
      <c r="C539" s="82">
        <f>IFERROR(VLOOKUP(B539,'VTN2025'!B:I,8,FALSE),"-")</f>
        <v>27424.966666666671</v>
      </c>
      <c r="D539" s="83">
        <f t="shared" si="10"/>
        <v>29329.907777777775</v>
      </c>
    </row>
    <row r="540" spans="1:4" ht="16.5" thickBot="1" x14ac:dyDescent="0.3">
      <c r="A540" s="61" t="s">
        <v>501</v>
      </c>
      <c r="B540" s="61" t="s">
        <v>608</v>
      </c>
      <c r="C540" s="82" t="str">
        <f>IFERROR(VLOOKUP(B540,'VTN2025'!B:I,8,FALSE),"-")</f>
        <v>-</v>
      </c>
      <c r="D540" s="83">
        <f t="shared" si="10"/>
        <v>29329.907777777775</v>
      </c>
    </row>
    <row r="541" spans="1:4" ht="16.5" thickBot="1" x14ac:dyDescent="0.3">
      <c r="A541" s="61" t="s">
        <v>501</v>
      </c>
      <c r="B541" s="61" t="s">
        <v>505</v>
      </c>
      <c r="C541" s="82">
        <f>IFERROR(VLOOKUP(B541,'VTN2025'!B:I,8,FALSE),"-")</f>
        <v>18862.241666666669</v>
      </c>
      <c r="D541" s="83">
        <f t="shared" si="10"/>
        <v>29329.907777777775</v>
      </c>
    </row>
    <row r="542" spans="1:4" ht="16.5" thickBot="1" x14ac:dyDescent="0.3">
      <c r="A542" s="61" t="s">
        <v>501</v>
      </c>
      <c r="B542" s="61" t="s">
        <v>574</v>
      </c>
      <c r="C542" s="82" t="str">
        <f>IFERROR(VLOOKUP(B542,'VTN2025'!B:I,8,FALSE),"-")</f>
        <v>-</v>
      </c>
      <c r="D542" s="83">
        <f t="shared" si="10"/>
        <v>29329.907777777775</v>
      </c>
    </row>
    <row r="543" spans="1:4" ht="16.5" thickBot="1" x14ac:dyDescent="0.3">
      <c r="A543" s="61" t="s">
        <v>367</v>
      </c>
      <c r="B543" s="61" t="s">
        <v>363</v>
      </c>
      <c r="C543" s="82">
        <f>IFERROR(VLOOKUP(B543,'VTN2025'!B:I,8,FALSE),"-")</f>
        <v>25479.37</v>
      </c>
      <c r="D543" s="83">
        <f t="shared" si="10"/>
        <v>24296.918055555554</v>
      </c>
    </row>
    <row r="544" spans="1:4" ht="16.5" thickBot="1" x14ac:dyDescent="0.3">
      <c r="A544" s="61" t="s">
        <v>367</v>
      </c>
      <c r="B544" s="61" t="s">
        <v>365</v>
      </c>
      <c r="C544" s="82">
        <f>IFERROR(VLOOKUP(B544,'VTN2025'!B:I,8,FALSE),"-")</f>
        <v>28728.081666666665</v>
      </c>
      <c r="D544" s="83">
        <f t="shared" si="10"/>
        <v>24296.918055555554</v>
      </c>
    </row>
    <row r="545" spans="1:4" ht="16.5" thickBot="1" x14ac:dyDescent="0.3">
      <c r="A545" s="61" t="s">
        <v>367</v>
      </c>
      <c r="B545" s="61" t="s">
        <v>541</v>
      </c>
      <c r="C545" s="82" t="str">
        <f>IFERROR(VLOOKUP(B545,'VTN2025'!B:I,8,FALSE),"-")</f>
        <v>-</v>
      </c>
      <c r="D545" s="83">
        <f t="shared" si="10"/>
        <v>24296.918055555554</v>
      </c>
    </row>
    <row r="546" spans="1:4" ht="16.5" thickBot="1" x14ac:dyDescent="0.3">
      <c r="A546" s="61" t="s">
        <v>367</v>
      </c>
      <c r="B546" s="61" t="s">
        <v>578</v>
      </c>
      <c r="C546" s="82">
        <f>IFERROR(VLOOKUP(B546,'VTN2025'!B:I,8,FALSE),"-")</f>
        <v>27568.820000000003</v>
      </c>
      <c r="D546" s="83">
        <f t="shared" si="10"/>
        <v>24296.918055555554</v>
      </c>
    </row>
    <row r="547" spans="1:4" ht="16.5" thickBot="1" x14ac:dyDescent="0.3">
      <c r="A547" s="61" t="s">
        <v>367</v>
      </c>
      <c r="B547" s="61" t="s">
        <v>542</v>
      </c>
      <c r="C547" s="82">
        <f>IFERROR(VLOOKUP(B547,'VTN2025'!B:I,8,FALSE),"-")</f>
        <v>19695.2</v>
      </c>
      <c r="D547" s="83">
        <f t="shared" si="10"/>
        <v>24296.918055555554</v>
      </c>
    </row>
    <row r="548" spans="1:4" ht="16.5" thickBot="1" x14ac:dyDescent="0.3">
      <c r="A548" s="61" t="s">
        <v>367</v>
      </c>
      <c r="B548" s="61" t="s">
        <v>368</v>
      </c>
      <c r="C548" s="82">
        <f>IFERROR(VLOOKUP(B548,'VTN2025'!B:I,8,FALSE),"-")</f>
        <v>26558.71166666667</v>
      </c>
      <c r="D548" s="83">
        <f t="shared" si="10"/>
        <v>24296.918055555554</v>
      </c>
    </row>
    <row r="549" spans="1:4" ht="16.5" thickBot="1" x14ac:dyDescent="0.3">
      <c r="A549" s="61" t="s">
        <v>367</v>
      </c>
      <c r="B549" s="61" t="s">
        <v>459</v>
      </c>
      <c r="C549" s="82">
        <f>IFERROR(VLOOKUP(B549,'VTN2025'!B:I,8,FALSE),"-")</f>
        <v>17751.325000000001</v>
      </c>
      <c r="D549" s="83">
        <f t="shared" si="10"/>
        <v>24296.918055555554</v>
      </c>
    </row>
    <row r="550" spans="1:4" ht="16.5" thickBot="1" x14ac:dyDescent="0.3">
      <c r="A550" s="61" t="s">
        <v>609</v>
      </c>
      <c r="B550" s="61" t="s">
        <v>610</v>
      </c>
      <c r="C550" s="82" t="str">
        <f>IFERROR(VLOOKUP(B550,'VTN2025'!B:I,8,FALSE),"-")</f>
        <v>-</v>
      </c>
      <c r="D550" s="83">
        <f t="shared" si="10"/>
        <v>8025.6344444444449</v>
      </c>
    </row>
    <row r="551" spans="1:4" ht="16.5" thickBot="1" x14ac:dyDescent="0.3">
      <c r="A551" s="61" t="s">
        <v>609</v>
      </c>
      <c r="B551" s="61" t="s">
        <v>412</v>
      </c>
      <c r="C551" s="82">
        <f>IFERROR(VLOOKUP(B551,'VTN2025'!B:I,8,FALSE),"-")</f>
        <v>9641.8700000000008</v>
      </c>
      <c r="D551" s="83">
        <f t="shared" si="10"/>
        <v>8025.6344444444449</v>
      </c>
    </row>
    <row r="552" spans="1:4" ht="16.5" thickBot="1" x14ac:dyDescent="0.3">
      <c r="A552" s="61" t="s">
        <v>609</v>
      </c>
      <c r="B552" s="61" t="s">
        <v>413</v>
      </c>
      <c r="C552" s="82">
        <f>IFERROR(VLOOKUP(B552,'VTN2025'!B:I,8,FALSE),"-")</f>
        <v>9641.8700000000008</v>
      </c>
      <c r="D552" s="83">
        <f t="shared" si="10"/>
        <v>8025.6344444444449</v>
      </c>
    </row>
    <row r="553" spans="1:4" ht="16.5" thickBot="1" x14ac:dyDescent="0.3">
      <c r="A553" s="61" t="s">
        <v>609</v>
      </c>
      <c r="B553" s="61" t="s">
        <v>558</v>
      </c>
      <c r="C553" s="82">
        <f>IFERROR(VLOOKUP(B553,'VTN2025'!B:I,8,FALSE),"-")</f>
        <v>4793.163333333333</v>
      </c>
      <c r="D553" s="83">
        <f t="shared" si="10"/>
        <v>8025.6344444444449</v>
      </c>
    </row>
    <row r="554" spans="1:4" ht="16.5" thickBot="1" x14ac:dyDescent="0.3">
      <c r="A554" s="61" t="s">
        <v>598</v>
      </c>
      <c r="B554" s="61" t="s">
        <v>463</v>
      </c>
      <c r="C554" s="82">
        <f>IFERROR(VLOOKUP(B554,'VTN2025'!B:I,8,FALSE),"-")</f>
        <v>11971.729999999998</v>
      </c>
      <c r="D554" s="83">
        <f t="shared" si="10"/>
        <v>11572.873333333331</v>
      </c>
    </row>
    <row r="555" spans="1:4" ht="16.5" thickBot="1" x14ac:dyDescent="0.3">
      <c r="A555" s="61" t="s">
        <v>598</v>
      </c>
      <c r="B555" s="61" t="s">
        <v>521</v>
      </c>
      <c r="C555" s="82">
        <f>IFERROR(VLOOKUP(B555,'VTN2025'!B:I,8,FALSE),"-")</f>
        <v>12253.573333333332</v>
      </c>
      <c r="D555" s="83">
        <f t="shared" si="10"/>
        <v>11572.873333333331</v>
      </c>
    </row>
    <row r="556" spans="1:4" ht="16.5" thickBot="1" x14ac:dyDescent="0.3">
      <c r="A556" s="61" t="s">
        <v>598</v>
      </c>
      <c r="B556" s="61" t="s">
        <v>562</v>
      </c>
      <c r="C556" s="82">
        <f>IFERROR(VLOOKUP(B556,'VTN2025'!B:I,8,FALSE),"-")</f>
        <v>10493.316666666666</v>
      </c>
      <c r="D556" s="83">
        <f t="shared" si="10"/>
        <v>11572.873333333331</v>
      </c>
    </row>
    <row r="557" spans="1:4" ht="16.5" thickBot="1" x14ac:dyDescent="0.3">
      <c r="A557" s="61" t="s">
        <v>589</v>
      </c>
      <c r="B557" s="61" t="s">
        <v>462</v>
      </c>
      <c r="C557" s="82">
        <f>IFERROR(VLOOKUP(B557,'VTN2025'!B:I,8,FALSE),"-")</f>
        <v>5157.7650000000003</v>
      </c>
      <c r="D557" s="83">
        <f t="shared" si="10"/>
        <v>7847.0950000000012</v>
      </c>
    </row>
    <row r="558" spans="1:4" ht="16.5" thickBot="1" x14ac:dyDescent="0.3">
      <c r="A558" s="61" t="s">
        <v>589</v>
      </c>
      <c r="B558" s="61" t="s">
        <v>590</v>
      </c>
      <c r="C558" s="82">
        <f>IFERROR(VLOOKUP(B558,'VTN2025'!B:I,8,FALSE),"-")</f>
        <v>9122.2983333333341</v>
      </c>
      <c r="D558" s="83">
        <f t="shared" si="10"/>
        <v>7847.0950000000012</v>
      </c>
    </row>
    <row r="559" spans="1:4" ht="16.5" thickBot="1" x14ac:dyDescent="0.3">
      <c r="A559" s="61" t="s">
        <v>589</v>
      </c>
      <c r="B559" s="61" t="s">
        <v>400</v>
      </c>
      <c r="C559" s="82" t="str">
        <f>IFERROR(VLOOKUP(B559,'VTN2025'!B:I,8,FALSE),"-")</f>
        <v>-</v>
      </c>
      <c r="D559" s="83">
        <f t="shared" si="10"/>
        <v>7847.0950000000012</v>
      </c>
    </row>
    <row r="560" spans="1:4" ht="16.5" thickBot="1" x14ac:dyDescent="0.3">
      <c r="A560" s="61" t="s">
        <v>589</v>
      </c>
      <c r="B560" s="61" t="s">
        <v>559</v>
      </c>
      <c r="C560" s="82">
        <f>IFERROR(VLOOKUP(B560,'VTN2025'!B:I,8,FALSE),"-")</f>
        <v>9261.2216666666664</v>
      </c>
      <c r="D560" s="83">
        <f t="shared" si="10"/>
        <v>7847.0950000000012</v>
      </c>
    </row>
    <row r="561" spans="1:4" ht="16.5" thickBot="1" x14ac:dyDescent="0.3">
      <c r="A561" s="61" t="s">
        <v>607</v>
      </c>
      <c r="B561" s="61" t="s">
        <v>521</v>
      </c>
      <c r="C561" s="82">
        <f>IFERROR(VLOOKUP(B561,'VTN2025'!B:I,8,FALSE),"-")</f>
        <v>12253.573333333332</v>
      </c>
      <c r="D561" s="83">
        <f t="shared" si="10"/>
        <v>20867.51125</v>
      </c>
    </row>
    <row r="562" spans="1:4" ht="16.5" thickBot="1" x14ac:dyDescent="0.3">
      <c r="A562" s="61" t="s">
        <v>607</v>
      </c>
      <c r="B562" s="61" t="s">
        <v>423</v>
      </c>
      <c r="C562" s="82">
        <f>IFERROR(VLOOKUP(B562,'VTN2025'!B:I,8,FALSE),"-")</f>
        <v>28687.101666666669</v>
      </c>
      <c r="D562" s="83">
        <f t="shared" si="10"/>
        <v>20867.51125</v>
      </c>
    </row>
    <row r="563" spans="1:4" ht="16.5" thickBot="1" x14ac:dyDescent="0.3">
      <c r="A563" s="61" t="s">
        <v>607</v>
      </c>
      <c r="B563" s="61" t="s">
        <v>562</v>
      </c>
      <c r="C563" s="82">
        <f>IFERROR(VLOOKUP(B563,'VTN2025'!B:I,8,FALSE),"-")</f>
        <v>10493.316666666666</v>
      </c>
      <c r="D563" s="83">
        <f t="shared" si="10"/>
        <v>20867.51125</v>
      </c>
    </row>
    <row r="564" spans="1:4" ht="16.5" thickBot="1" x14ac:dyDescent="0.3">
      <c r="A564" s="61" t="s">
        <v>607</v>
      </c>
      <c r="B564" s="61" t="s">
        <v>565</v>
      </c>
      <c r="C564" s="82">
        <f>IFERROR(VLOOKUP(B564,'VTN2025'!B:I,8,FALSE),"-")</f>
        <v>32036.05333333333</v>
      </c>
      <c r="D564" s="83">
        <f t="shared" si="10"/>
        <v>20867.51125</v>
      </c>
    </row>
    <row r="565" spans="1:4" ht="16.5" thickBot="1" x14ac:dyDescent="0.3">
      <c r="A565" s="61" t="s">
        <v>611</v>
      </c>
      <c r="B565" s="61" t="s">
        <v>590</v>
      </c>
      <c r="C565" s="82">
        <f>IFERROR(VLOOKUP(B565,'VTN2025'!B:I,8,FALSE),"-")</f>
        <v>9122.2983333333341</v>
      </c>
      <c r="D565" s="83">
        <f t="shared" si="10"/>
        <v>10037.883333333333</v>
      </c>
    </row>
    <row r="566" spans="1:4" ht="16.5" thickBot="1" x14ac:dyDescent="0.3">
      <c r="A566" s="61" t="s">
        <v>611</v>
      </c>
      <c r="B566" s="61" t="s">
        <v>400</v>
      </c>
      <c r="C566" s="82" t="str">
        <f>IFERROR(VLOOKUP(B566,'VTN2025'!B:I,8,FALSE),"-")</f>
        <v>-</v>
      </c>
      <c r="D566" s="83">
        <f t="shared" si="10"/>
        <v>10037.883333333333</v>
      </c>
    </row>
    <row r="567" spans="1:4" ht="16.5" thickBot="1" x14ac:dyDescent="0.3">
      <c r="A567" s="61" t="s">
        <v>611</v>
      </c>
      <c r="B567" s="61" t="s">
        <v>492</v>
      </c>
      <c r="C567" s="82">
        <f>IFERROR(VLOOKUP(B567,'VTN2025'!B:I,8,FALSE),"-")</f>
        <v>8292.09</v>
      </c>
      <c r="D567" s="83">
        <f t="shared" si="10"/>
        <v>10037.883333333333</v>
      </c>
    </row>
    <row r="568" spans="1:4" ht="16.5" thickBot="1" x14ac:dyDescent="0.3">
      <c r="A568" s="61" t="s">
        <v>611</v>
      </c>
      <c r="B568" s="61" t="s">
        <v>606</v>
      </c>
      <c r="C568" s="82">
        <f>IFERROR(VLOOKUP(B568,'VTN2025'!B:I,8,FALSE),"-")</f>
        <v>15132.089999999998</v>
      </c>
      <c r="D568" s="83">
        <f t="shared" si="10"/>
        <v>10037.883333333333</v>
      </c>
    </row>
    <row r="569" spans="1:4" ht="16.5" thickBot="1" x14ac:dyDescent="0.3">
      <c r="A569" s="61" t="s">
        <v>611</v>
      </c>
      <c r="B569" s="61" t="s">
        <v>546</v>
      </c>
      <c r="C569" s="82">
        <f>IFERROR(VLOOKUP(B569,'VTN2025'!B:I,8,FALSE),"-")</f>
        <v>7605.0550000000003</v>
      </c>
      <c r="D569" s="83">
        <f t="shared" si="10"/>
        <v>10037.883333333333</v>
      </c>
    </row>
    <row r="570" spans="1:4" ht="16.5" thickBot="1" x14ac:dyDescent="0.3">
      <c r="A570" s="61" t="s">
        <v>440</v>
      </c>
      <c r="B570" s="61" t="s">
        <v>364</v>
      </c>
      <c r="C570" s="82" t="str">
        <f>IFERROR(VLOOKUP(B570,'VTN2025'!B:I,8,FALSE),"-")</f>
        <v>-</v>
      </c>
      <c r="D570" s="83">
        <f t="shared" si="10"/>
        <v>21496.566190476191</v>
      </c>
    </row>
    <row r="571" spans="1:4" ht="16.5" thickBot="1" x14ac:dyDescent="0.3">
      <c r="A571" s="61" t="s">
        <v>440</v>
      </c>
      <c r="B571" s="61" t="s">
        <v>365</v>
      </c>
      <c r="C571" s="82">
        <f>IFERROR(VLOOKUP(B571,'VTN2025'!B:I,8,FALSE),"-")</f>
        <v>28728.081666666665</v>
      </c>
      <c r="D571" s="83">
        <f t="shared" si="10"/>
        <v>21496.566190476191</v>
      </c>
    </row>
    <row r="572" spans="1:4" ht="16.5" thickBot="1" x14ac:dyDescent="0.3">
      <c r="A572" s="61" t="s">
        <v>440</v>
      </c>
      <c r="B572" s="61" t="s">
        <v>439</v>
      </c>
      <c r="C572" s="82">
        <f>IFERROR(VLOOKUP(B572,'VTN2025'!B:I,8,FALSE),"-")</f>
        <v>18695</v>
      </c>
      <c r="D572" s="83">
        <f t="shared" si="10"/>
        <v>21496.566190476191</v>
      </c>
    </row>
    <row r="573" spans="1:4" ht="16.5" thickBot="1" x14ac:dyDescent="0.3">
      <c r="A573" s="61" t="s">
        <v>440</v>
      </c>
      <c r="B573" s="61" t="s">
        <v>591</v>
      </c>
      <c r="C573" s="82">
        <f>IFERROR(VLOOKUP(B573,'VTN2025'!B:I,8,FALSE),"-")</f>
        <v>21794.404999999999</v>
      </c>
      <c r="D573" s="83">
        <f t="shared" si="10"/>
        <v>21496.566190476191</v>
      </c>
    </row>
    <row r="574" spans="1:4" ht="16.5" thickBot="1" x14ac:dyDescent="0.3">
      <c r="A574" s="61" t="s">
        <v>440</v>
      </c>
      <c r="B574" s="61" t="s">
        <v>580</v>
      </c>
      <c r="C574" s="82">
        <f>IFERROR(VLOOKUP(B574,'VTN2025'!B:I,8,FALSE),"-")</f>
        <v>17729.596666666665</v>
      </c>
      <c r="D574" s="83">
        <f t="shared" si="10"/>
        <v>21496.566190476191</v>
      </c>
    </row>
    <row r="575" spans="1:4" ht="16.5" thickBot="1" x14ac:dyDescent="0.3">
      <c r="A575" s="61" t="s">
        <v>440</v>
      </c>
      <c r="B575" s="61" t="s">
        <v>496</v>
      </c>
      <c r="C575" s="82">
        <f>IFERROR(VLOOKUP(B575,'VTN2025'!B:I,8,FALSE),"-")</f>
        <v>32040.615000000002</v>
      </c>
      <c r="D575" s="83">
        <f t="shared" si="10"/>
        <v>21496.566190476191</v>
      </c>
    </row>
    <row r="576" spans="1:4" ht="16.5" thickBot="1" x14ac:dyDescent="0.3">
      <c r="A576" s="61" t="s">
        <v>440</v>
      </c>
      <c r="B576" s="61" t="s">
        <v>592</v>
      </c>
      <c r="C576" s="82">
        <f>IFERROR(VLOOKUP(B576,'VTN2025'!B:I,8,FALSE),"-")</f>
        <v>13736.94</v>
      </c>
      <c r="D576" s="83">
        <f t="shared" si="10"/>
        <v>21496.566190476191</v>
      </c>
    </row>
    <row r="577" spans="1:4" ht="16.5" thickBot="1" x14ac:dyDescent="0.3">
      <c r="A577" s="61" t="s">
        <v>440</v>
      </c>
      <c r="B577" s="61" t="s">
        <v>459</v>
      </c>
      <c r="C577" s="82">
        <f>IFERROR(VLOOKUP(B577,'VTN2025'!B:I,8,FALSE),"-")</f>
        <v>17751.325000000001</v>
      </c>
      <c r="D577" s="83">
        <f t="shared" si="10"/>
        <v>21496.566190476191</v>
      </c>
    </row>
    <row r="578" spans="1:4" ht="16.5" thickBot="1" x14ac:dyDescent="0.3">
      <c r="A578" s="61" t="s">
        <v>412</v>
      </c>
      <c r="B578" s="61" t="s">
        <v>408</v>
      </c>
      <c r="C578" s="82" t="str">
        <f>IFERROR(VLOOKUP(B578,'VTN2025'!B:I,8,FALSE),"-")</f>
        <v>-</v>
      </c>
      <c r="D578" s="83">
        <f t="shared" si="10"/>
        <v>7377.028666666667</v>
      </c>
    </row>
    <row r="579" spans="1:4" ht="16.5" thickBot="1" x14ac:dyDescent="0.3">
      <c r="A579" s="61" t="s">
        <v>412</v>
      </c>
      <c r="B579" s="61" t="s">
        <v>410</v>
      </c>
      <c r="C579" s="82">
        <f>IFERROR(VLOOKUP(B579,'VTN2025'!B:I,8,FALSE),"-")</f>
        <v>8049.333333333333</v>
      </c>
      <c r="D579" s="83">
        <f t="shared" si="10"/>
        <v>7377.028666666667</v>
      </c>
    </row>
    <row r="580" spans="1:4" ht="16.5" thickBot="1" x14ac:dyDescent="0.3">
      <c r="A580" s="61" t="s">
        <v>412</v>
      </c>
      <c r="B580" s="61" t="s">
        <v>609</v>
      </c>
      <c r="C580" s="82">
        <f>IFERROR(VLOOKUP(B580,'VTN2025'!B:I,8,FALSE),"-")</f>
        <v>9641.8700000000008</v>
      </c>
      <c r="D580" s="83">
        <f t="shared" si="10"/>
        <v>7377.028666666667</v>
      </c>
    </row>
    <row r="581" spans="1:4" ht="16.5" thickBot="1" x14ac:dyDescent="0.3">
      <c r="A581" s="61" t="s">
        <v>412</v>
      </c>
      <c r="B581" s="61" t="s">
        <v>405</v>
      </c>
      <c r="C581" s="82">
        <f>IFERROR(VLOOKUP(B581,'VTN2025'!B:I,8,FALSE),"-")</f>
        <v>4758.9066666666668</v>
      </c>
      <c r="D581" s="83">
        <f t="shared" si="10"/>
        <v>7377.028666666667</v>
      </c>
    </row>
    <row r="582" spans="1:4" ht="16.5" thickBot="1" x14ac:dyDescent="0.3">
      <c r="A582" s="61" t="s">
        <v>412</v>
      </c>
      <c r="B582" s="61" t="s">
        <v>413</v>
      </c>
      <c r="C582" s="82">
        <f>IFERROR(VLOOKUP(B582,'VTN2025'!B:I,8,FALSE),"-")</f>
        <v>9641.8700000000008</v>
      </c>
      <c r="D582" s="83">
        <f t="shared" si="10"/>
        <v>7377.028666666667</v>
      </c>
    </row>
    <row r="583" spans="1:4" ht="16.5" thickBot="1" x14ac:dyDescent="0.3">
      <c r="A583" s="61" t="s">
        <v>412</v>
      </c>
      <c r="B583" s="61" t="s">
        <v>558</v>
      </c>
      <c r="C583" s="82">
        <f>IFERROR(VLOOKUP(B583,'VTN2025'!B:I,8,FALSE),"-")</f>
        <v>4793.163333333333</v>
      </c>
      <c r="D583" s="83">
        <f t="shared" si="10"/>
        <v>7377.028666666667</v>
      </c>
    </row>
    <row r="584" spans="1:4" ht="16.5" thickBot="1" x14ac:dyDescent="0.3">
      <c r="A584" s="61" t="s">
        <v>502</v>
      </c>
      <c r="B584" s="61" t="s">
        <v>498</v>
      </c>
      <c r="C584" s="82">
        <f>IFERROR(VLOOKUP(B584,'VTN2025'!B:I,8,FALSE),"-")</f>
        <v>41702.514999999992</v>
      </c>
      <c r="D584" s="83">
        <f t="shared" si="10"/>
        <v>31973.966111111109</v>
      </c>
    </row>
    <row r="585" spans="1:4" ht="16.5" thickBot="1" x14ac:dyDescent="0.3">
      <c r="A585" s="61" t="s">
        <v>502</v>
      </c>
      <c r="B585" s="61" t="s">
        <v>529</v>
      </c>
      <c r="C585" s="82" t="str">
        <f>IFERROR(VLOOKUP(B585,'VTN2025'!B:I,8,FALSE),"-")</f>
        <v>-</v>
      </c>
      <c r="D585" s="83">
        <f t="shared" si="10"/>
        <v>31973.966111111109</v>
      </c>
    </row>
    <row r="586" spans="1:4" ht="16.5" thickBot="1" x14ac:dyDescent="0.3">
      <c r="A586" s="61" t="s">
        <v>502</v>
      </c>
      <c r="B586" s="61" t="s">
        <v>501</v>
      </c>
      <c r="C586" s="82">
        <f>IFERROR(VLOOKUP(B586,'VTN2025'!B:I,8,FALSE),"-")</f>
        <v>25816.183333333338</v>
      </c>
      <c r="D586" s="83">
        <f t="shared" si="10"/>
        <v>31973.966111111109</v>
      </c>
    </row>
    <row r="587" spans="1:4" ht="16.5" thickBot="1" x14ac:dyDescent="0.3">
      <c r="A587" s="61" t="s">
        <v>502</v>
      </c>
      <c r="B587" s="61" t="s">
        <v>608</v>
      </c>
      <c r="C587" s="82" t="str">
        <f>IFERROR(VLOOKUP(B587,'VTN2025'!B:I,8,FALSE),"-")</f>
        <v>-</v>
      </c>
      <c r="D587" s="83">
        <f t="shared" si="10"/>
        <v>31973.966111111109</v>
      </c>
    </row>
    <row r="588" spans="1:4" ht="16.5" thickBot="1" x14ac:dyDescent="0.3">
      <c r="A588" s="61" t="s">
        <v>502</v>
      </c>
      <c r="B588" s="61" t="s">
        <v>531</v>
      </c>
      <c r="C588" s="82" t="str">
        <f>IFERROR(VLOOKUP(B588,'VTN2025'!B:I,8,FALSE),"-")</f>
        <v>-</v>
      </c>
      <c r="D588" s="83">
        <f t="shared" si="10"/>
        <v>31973.966111111109</v>
      </c>
    </row>
    <row r="589" spans="1:4" ht="16.5" thickBot="1" x14ac:dyDescent="0.3">
      <c r="A589" s="61" t="s">
        <v>502</v>
      </c>
      <c r="B589" s="61" t="s">
        <v>503</v>
      </c>
      <c r="C589" s="82">
        <f>IFERROR(VLOOKUP(B589,'VTN2025'!B:I,8,FALSE),"-")</f>
        <v>28403.199999999997</v>
      </c>
      <c r="D589" s="83">
        <f t="shared" si="10"/>
        <v>31973.966111111109</v>
      </c>
    </row>
    <row r="590" spans="1:4" ht="16.5" thickBot="1" x14ac:dyDescent="0.3">
      <c r="A590" s="61" t="s">
        <v>378</v>
      </c>
      <c r="B590" s="61" t="s">
        <v>376</v>
      </c>
      <c r="C590" s="82">
        <f>IFERROR(VLOOKUP(B590,'VTN2025'!B:I,8,FALSE),"-")</f>
        <v>25844.203333333338</v>
      </c>
      <c r="D590" s="83">
        <f t="shared" si="10"/>
        <v>24071.571666666667</v>
      </c>
    </row>
    <row r="591" spans="1:4" ht="16.5" thickBot="1" x14ac:dyDescent="0.3">
      <c r="A591" s="61" t="s">
        <v>378</v>
      </c>
      <c r="B591" s="61" t="s">
        <v>578</v>
      </c>
      <c r="C591" s="82">
        <f>IFERROR(VLOOKUP(B591,'VTN2025'!B:I,8,FALSE),"-")</f>
        <v>27568.820000000003</v>
      </c>
      <c r="D591" s="83">
        <f t="shared" si="10"/>
        <v>24071.571666666667</v>
      </c>
    </row>
    <row r="592" spans="1:4" ht="16.5" thickBot="1" x14ac:dyDescent="0.3">
      <c r="A592" s="61" t="s">
        <v>378</v>
      </c>
      <c r="B592" s="61" t="s">
        <v>579</v>
      </c>
      <c r="C592" s="82" t="str">
        <f>IFERROR(VLOOKUP(B592,'VTN2025'!B:I,8,FALSE),"-")</f>
        <v>-</v>
      </c>
      <c r="D592" s="83">
        <f t="shared" si="10"/>
        <v>24071.571666666667</v>
      </c>
    </row>
    <row r="593" spans="1:4" ht="16.5" thickBot="1" x14ac:dyDescent="0.3">
      <c r="A593" s="61" t="s">
        <v>378</v>
      </c>
      <c r="B593" s="61" t="s">
        <v>377</v>
      </c>
      <c r="C593" s="82">
        <f>IFERROR(VLOOKUP(B593,'VTN2025'!B:I,8,FALSE),"-")</f>
        <v>36128.400000000001</v>
      </c>
      <c r="D593" s="83">
        <f t="shared" si="10"/>
        <v>24071.571666666667</v>
      </c>
    </row>
    <row r="594" spans="1:4" ht="16.5" thickBot="1" x14ac:dyDescent="0.3">
      <c r="A594" s="61" t="s">
        <v>378</v>
      </c>
      <c r="B594" s="61" t="s">
        <v>379</v>
      </c>
      <c r="C594" s="82">
        <f>IFERROR(VLOOKUP(B594,'VTN2025'!B:I,8,FALSE),"-")</f>
        <v>11121.235000000001</v>
      </c>
      <c r="D594" s="83">
        <f t="shared" si="10"/>
        <v>24071.571666666667</v>
      </c>
    </row>
    <row r="595" spans="1:4" ht="16.5" thickBot="1" x14ac:dyDescent="0.3">
      <c r="A595" s="61" t="s">
        <v>378</v>
      </c>
      <c r="B595" s="61" t="s">
        <v>542</v>
      </c>
      <c r="C595" s="82">
        <f>IFERROR(VLOOKUP(B595,'VTN2025'!B:I,8,FALSE),"-")</f>
        <v>19695.2</v>
      </c>
      <c r="D595" s="83">
        <f t="shared" si="10"/>
        <v>24071.571666666667</v>
      </c>
    </row>
    <row r="596" spans="1:4" ht="16.5" thickBot="1" x14ac:dyDescent="0.3">
      <c r="A596" s="61" t="s">
        <v>471</v>
      </c>
      <c r="B596" s="61" t="s">
        <v>469</v>
      </c>
      <c r="C596" s="82">
        <f>IFERROR(VLOOKUP(B596,'VTN2025'!B:I,8,FALSE),"-")</f>
        <v>17771.586666666666</v>
      </c>
      <c r="D596" s="83">
        <f t="shared" si="10"/>
        <v>26078.599166666667</v>
      </c>
    </row>
    <row r="597" spans="1:4" ht="16.5" thickBot="1" x14ac:dyDescent="0.3">
      <c r="A597" s="61" t="s">
        <v>471</v>
      </c>
      <c r="B597" s="61" t="s">
        <v>509</v>
      </c>
      <c r="C597" s="82">
        <f>IFERROR(VLOOKUP(B597,'VTN2025'!B:I,8,FALSE),"-")</f>
        <v>29748.62166666667</v>
      </c>
      <c r="D597" s="83">
        <f t="shared" si="10"/>
        <v>26078.599166666667</v>
      </c>
    </row>
    <row r="598" spans="1:4" ht="16.5" thickBot="1" x14ac:dyDescent="0.3">
      <c r="A598" s="61" t="s">
        <v>471</v>
      </c>
      <c r="B598" s="61" t="s">
        <v>470</v>
      </c>
      <c r="C598" s="82" t="str">
        <f>IFERROR(VLOOKUP(B598,'VTN2025'!B:I,8,FALSE),"-")</f>
        <v>-</v>
      </c>
      <c r="D598" s="83">
        <f t="shared" si="10"/>
        <v>26078.599166666667</v>
      </c>
    </row>
    <row r="599" spans="1:4" ht="16.5" thickBot="1" x14ac:dyDescent="0.3">
      <c r="A599" s="61" t="s">
        <v>471</v>
      </c>
      <c r="B599" s="61" t="s">
        <v>510</v>
      </c>
      <c r="C599" s="82" t="str">
        <f>IFERROR(VLOOKUP(B599,'VTN2025'!B:I,8,FALSE),"-")</f>
        <v>-</v>
      </c>
      <c r="D599" s="83">
        <f t="shared" si="10"/>
        <v>26078.599166666667</v>
      </c>
    </row>
    <row r="600" spans="1:4" ht="16.5" thickBot="1" x14ac:dyDescent="0.3">
      <c r="A600" s="61" t="s">
        <v>471</v>
      </c>
      <c r="B600" s="61" t="s">
        <v>511</v>
      </c>
      <c r="C600" s="82" t="str">
        <f>IFERROR(VLOOKUP(B600,'VTN2025'!B:I,8,FALSE),"-")</f>
        <v>-</v>
      </c>
      <c r="D600" s="83">
        <f t="shared" si="10"/>
        <v>26078.599166666667</v>
      </c>
    </row>
    <row r="601" spans="1:4" ht="16.5" thickBot="1" x14ac:dyDescent="0.3">
      <c r="A601" s="61" t="s">
        <v>471</v>
      </c>
      <c r="B601" s="61" t="s">
        <v>472</v>
      </c>
      <c r="C601" s="82">
        <f>IFERROR(VLOOKUP(B601,'VTN2025'!B:I,8,FALSE),"-")</f>
        <v>30042.521666666664</v>
      </c>
      <c r="D601" s="83">
        <f t="shared" si="10"/>
        <v>26078.599166666667</v>
      </c>
    </row>
    <row r="602" spans="1:4" ht="16.5" thickBot="1" x14ac:dyDescent="0.3">
      <c r="A602" s="61" t="s">
        <v>471</v>
      </c>
      <c r="B602" s="61" t="s">
        <v>437</v>
      </c>
      <c r="C602" s="82">
        <f>IFERROR(VLOOKUP(B602,'VTN2025'!B:I,8,FALSE),"-")</f>
        <v>26751.666666666668</v>
      </c>
      <c r="D602" s="83">
        <f t="shared" ref="D602:D665" si="11">AVERAGEIF($A:$A,A602,$C:$C)</f>
        <v>26078.599166666667</v>
      </c>
    </row>
    <row r="603" spans="1:4" ht="16.5" thickBot="1" x14ac:dyDescent="0.3">
      <c r="A603" s="61" t="s">
        <v>536</v>
      </c>
      <c r="B603" s="61" t="s">
        <v>535</v>
      </c>
      <c r="C603" s="82">
        <f>IFERROR(VLOOKUP(B603,'VTN2025'!B:I,8,FALSE),"-")</f>
        <v>13189.393333333333</v>
      </c>
      <c r="D603" s="83">
        <f t="shared" si="11"/>
        <v>16649.115625000002</v>
      </c>
    </row>
    <row r="604" spans="1:4" ht="16.5" thickBot="1" x14ac:dyDescent="0.3">
      <c r="A604" s="61" t="s">
        <v>536</v>
      </c>
      <c r="B604" s="61" t="s">
        <v>548</v>
      </c>
      <c r="C604" s="82">
        <f>IFERROR(VLOOKUP(B604,'VTN2025'!B:I,8,FALSE),"-")</f>
        <v>14551.256666666668</v>
      </c>
      <c r="D604" s="83">
        <f t="shared" si="11"/>
        <v>16649.115625000002</v>
      </c>
    </row>
    <row r="605" spans="1:4" ht="16.5" thickBot="1" x14ac:dyDescent="0.3">
      <c r="A605" s="61" t="s">
        <v>536</v>
      </c>
      <c r="B605" s="61" t="s">
        <v>549</v>
      </c>
      <c r="C605" s="82">
        <f>IFERROR(VLOOKUP(B605,'VTN2025'!B:I,8,FALSE),"-")</f>
        <v>21583.333333333332</v>
      </c>
      <c r="D605" s="83">
        <f t="shared" si="11"/>
        <v>16649.115625000002</v>
      </c>
    </row>
    <row r="606" spans="1:4" ht="16.5" thickBot="1" x14ac:dyDescent="0.3">
      <c r="A606" s="61" t="s">
        <v>536</v>
      </c>
      <c r="B606" s="61" t="s">
        <v>518</v>
      </c>
      <c r="C606" s="82">
        <f>IFERROR(VLOOKUP(B606,'VTN2025'!B:I,8,FALSE),"-")</f>
        <v>17436.14</v>
      </c>
      <c r="D606" s="83">
        <f t="shared" si="11"/>
        <v>16649.115625000002</v>
      </c>
    </row>
    <row r="607" spans="1:4" ht="16.5" thickBot="1" x14ac:dyDescent="0.3">
      <c r="A607" s="61" t="s">
        <v>536</v>
      </c>
      <c r="B607" s="61" t="s">
        <v>582</v>
      </c>
      <c r="C607" s="82">
        <f>IFERROR(VLOOKUP(B607,'VTN2025'!B:I,8,FALSE),"-")</f>
        <v>19664.763333333336</v>
      </c>
      <c r="D607" s="83">
        <f t="shared" si="11"/>
        <v>16649.115625000002</v>
      </c>
    </row>
    <row r="608" spans="1:4" ht="16.5" thickBot="1" x14ac:dyDescent="0.3">
      <c r="A608" s="61" t="s">
        <v>536</v>
      </c>
      <c r="B608" s="61" t="s">
        <v>570</v>
      </c>
      <c r="C608" s="82" t="str">
        <f>IFERROR(VLOOKUP(B608,'VTN2025'!B:I,8,FALSE),"-")</f>
        <v>-</v>
      </c>
      <c r="D608" s="83">
        <f t="shared" si="11"/>
        <v>16649.115625000002</v>
      </c>
    </row>
    <row r="609" spans="1:4" ht="16.5" thickBot="1" x14ac:dyDescent="0.3">
      <c r="A609" s="61" t="s">
        <v>536</v>
      </c>
      <c r="B609" s="61" t="s">
        <v>390</v>
      </c>
      <c r="C609" s="82">
        <f>IFERROR(VLOOKUP(B609,'VTN2025'!B:I,8,FALSE),"-")</f>
        <v>8946.5783333333347</v>
      </c>
      <c r="D609" s="83">
        <f t="shared" si="11"/>
        <v>16649.115625000002</v>
      </c>
    </row>
    <row r="610" spans="1:4" ht="16.5" thickBot="1" x14ac:dyDescent="0.3">
      <c r="A610" s="61" t="s">
        <v>536</v>
      </c>
      <c r="B610" s="61" t="s">
        <v>587</v>
      </c>
      <c r="C610" s="82" t="str">
        <f>IFERROR(VLOOKUP(B610,'VTN2025'!B:I,8,FALSE),"-")</f>
        <v>-</v>
      </c>
      <c r="D610" s="83">
        <f t="shared" si="11"/>
        <v>16649.115625000002</v>
      </c>
    </row>
    <row r="611" spans="1:4" ht="16.5" thickBot="1" x14ac:dyDescent="0.3">
      <c r="A611" s="61" t="s">
        <v>536</v>
      </c>
      <c r="B611" s="61" t="s">
        <v>612</v>
      </c>
      <c r="C611" s="82" t="str">
        <f>IFERROR(VLOOKUP(B611,'VTN2025'!B:I,8,FALSE),"-")</f>
        <v>-</v>
      </c>
      <c r="D611" s="83">
        <f t="shared" si="11"/>
        <v>16649.115625000002</v>
      </c>
    </row>
    <row r="612" spans="1:4" ht="16.5" thickBot="1" x14ac:dyDescent="0.3">
      <c r="A612" s="61" t="s">
        <v>536</v>
      </c>
      <c r="B612" s="61" t="s">
        <v>538</v>
      </c>
      <c r="C612" s="82">
        <f>IFERROR(VLOOKUP(B612,'VTN2025'!B:I,8,FALSE),"-")</f>
        <v>17871.291666666664</v>
      </c>
      <c r="D612" s="83">
        <f t="shared" si="11"/>
        <v>16649.115625000002</v>
      </c>
    </row>
    <row r="613" spans="1:4" ht="16.5" thickBot="1" x14ac:dyDescent="0.3">
      <c r="A613" s="61" t="s">
        <v>536</v>
      </c>
      <c r="B613" s="61" t="s">
        <v>613</v>
      </c>
      <c r="C613" s="82">
        <f>IFERROR(VLOOKUP(B613,'VTN2025'!B:I,8,FALSE),"-")</f>
        <v>19950.168333333335</v>
      </c>
      <c r="D613" s="83">
        <f t="shared" si="11"/>
        <v>16649.115625000002</v>
      </c>
    </row>
    <row r="614" spans="1:4" ht="16.5" thickBot="1" x14ac:dyDescent="0.3">
      <c r="A614" s="61" t="s">
        <v>576</v>
      </c>
      <c r="B614" s="61" t="s">
        <v>561</v>
      </c>
      <c r="C614" s="82">
        <f>IFERROR(VLOOKUP(B614,'VTN2025'!B:I,8,FALSE),"-")</f>
        <v>17532.204999999998</v>
      </c>
      <c r="D614" s="83">
        <f t="shared" si="11"/>
        <v>13331.963750000001</v>
      </c>
    </row>
    <row r="615" spans="1:4" ht="16.5" thickBot="1" x14ac:dyDescent="0.3">
      <c r="A615" s="61" t="s">
        <v>576</v>
      </c>
      <c r="B615" s="61" t="s">
        <v>590</v>
      </c>
      <c r="C615" s="82">
        <f>IFERROR(VLOOKUP(B615,'VTN2025'!B:I,8,FALSE),"-")</f>
        <v>9122.2983333333341</v>
      </c>
      <c r="D615" s="83">
        <f t="shared" si="11"/>
        <v>13331.963750000001</v>
      </c>
    </row>
    <row r="616" spans="1:4" ht="16.5" thickBot="1" x14ac:dyDescent="0.3">
      <c r="A616" s="61" t="s">
        <v>576</v>
      </c>
      <c r="B616" s="61" t="s">
        <v>577</v>
      </c>
      <c r="C616" s="82">
        <f>IFERROR(VLOOKUP(B616,'VTN2025'!B:I,8,FALSE),"-")</f>
        <v>14057.038333333336</v>
      </c>
      <c r="D616" s="83">
        <f t="shared" si="11"/>
        <v>13331.963750000001</v>
      </c>
    </row>
    <row r="617" spans="1:4" ht="16.5" thickBot="1" x14ac:dyDescent="0.3">
      <c r="A617" s="61" t="s">
        <v>576</v>
      </c>
      <c r="B617" s="61" t="s">
        <v>468</v>
      </c>
      <c r="C617" s="82">
        <f>IFERROR(VLOOKUP(B617,'VTN2025'!B:I,8,FALSE),"-")</f>
        <v>12616.313333333332</v>
      </c>
      <c r="D617" s="83">
        <f t="shared" si="11"/>
        <v>13331.963750000001</v>
      </c>
    </row>
    <row r="618" spans="1:4" ht="16.5" thickBot="1" x14ac:dyDescent="0.3">
      <c r="A618" s="61" t="s">
        <v>425</v>
      </c>
      <c r="B618" s="61" t="s">
        <v>424</v>
      </c>
      <c r="C618" s="82">
        <f>IFERROR(VLOOKUP(B618,'VTN2025'!B:I,8,FALSE),"-")</f>
        <v>14187.101666666669</v>
      </c>
      <c r="D618" s="83">
        <f t="shared" si="11"/>
        <v>13903.920666666667</v>
      </c>
    </row>
    <row r="619" spans="1:4" ht="16.5" thickBot="1" x14ac:dyDescent="0.3">
      <c r="A619" s="61" t="s">
        <v>425</v>
      </c>
      <c r="B619" s="61" t="s">
        <v>473</v>
      </c>
      <c r="C619" s="82">
        <f>IFERROR(VLOOKUP(B619,'VTN2025'!B:I,8,FALSE),"-")</f>
        <v>11753.996666666668</v>
      </c>
      <c r="D619" s="83">
        <f t="shared" si="11"/>
        <v>13903.920666666667</v>
      </c>
    </row>
    <row r="620" spans="1:4" ht="16.5" thickBot="1" x14ac:dyDescent="0.3">
      <c r="A620" s="61" t="s">
        <v>425</v>
      </c>
      <c r="B620" s="61" t="s">
        <v>475</v>
      </c>
      <c r="C620" s="82">
        <f>IFERROR(VLOOKUP(B620,'VTN2025'!B:I,8,FALSE),"-")</f>
        <v>13640.51</v>
      </c>
      <c r="D620" s="83">
        <f t="shared" si="11"/>
        <v>13903.920666666667</v>
      </c>
    </row>
    <row r="621" spans="1:4" ht="16.5" thickBot="1" x14ac:dyDescent="0.3">
      <c r="A621" s="61" t="s">
        <v>425</v>
      </c>
      <c r="B621" s="61" t="s">
        <v>599</v>
      </c>
      <c r="C621" s="82" t="str">
        <f>IFERROR(VLOOKUP(B621,'VTN2025'!B:I,8,FALSE),"-")</f>
        <v>-</v>
      </c>
      <c r="D621" s="83">
        <f t="shared" si="11"/>
        <v>13903.920666666667</v>
      </c>
    </row>
    <row r="622" spans="1:4" ht="16.5" thickBot="1" x14ac:dyDescent="0.3">
      <c r="A622" s="61" t="s">
        <v>425</v>
      </c>
      <c r="B622" s="61" t="s">
        <v>426</v>
      </c>
      <c r="C622" s="82">
        <f>IFERROR(VLOOKUP(B622,'VTN2025'!B:I,8,FALSE),"-")</f>
        <v>12237.195</v>
      </c>
      <c r="D622" s="83">
        <f t="shared" si="11"/>
        <v>13903.920666666667</v>
      </c>
    </row>
    <row r="623" spans="1:4" ht="16.5" thickBot="1" x14ac:dyDescent="0.3">
      <c r="A623" s="61" t="s">
        <v>425</v>
      </c>
      <c r="B623" s="61" t="s">
        <v>594</v>
      </c>
      <c r="C623" s="82">
        <f>IFERROR(VLOOKUP(B623,'VTN2025'!B:I,8,FALSE),"-")</f>
        <v>17700.8</v>
      </c>
      <c r="D623" s="83">
        <f t="shared" si="11"/>
        <v>13903.920666666667</v>
      </c>
    </row>
    <row r="624" spans="1:4" ht="16.5" thickBot="1" x14ac:dyDescent="0.3">
      <c r="A624" s="61" t="s">
        <v>425</v>
      </c>
      <c r="B624" s="61" t="s">
        <v>485</v>
      </c>
      <c r="C624" s="82" t="str">
        <f>IFERROR(VLOOKUP(B624,'VTN2025'!B:I,8,FALSE),"-")</f>
        <v>-</v>
      </c>
      <c r="D624" s="83">
        <f t="shared" si="11"/>
        <v>13903.920666666667</v>
      </c>
    </row>
    <row r="625" spans="1:4" ht="16.5" thickBot="1" x14ac:dyDescent="0.3">
      <c r="A625" s="61" t="s">
        <v>599</v>
      </c>
      <c r="B625" s="61" t="s">
        <v>593</v>
      </c>
      <c r="C625" s="82">
        <f>IFERROR(VLOOKUP(B625,'VTN2025'!B:I,8,FALSE),"-")</f>
        <v>10367.374999999998</v>
      </c>
      <c r="D625" s="83">
        <f t="shared" si="11"/>
        <v>13373.982222222223</v>
      </c>
    </row>
    <row r="626" spans="1:4" ht="16.5" thickBot="1" x14ac:dyDescent="0.3">
      <c r="A626" s="61" t="s">
        <v>599</v>
      </c>
      <c r="B626" s="61" t="s">
        <v>425</v>
      </c>
      <c r="C626" s="82">
        <f>IFERROR(VLOOKUP(B626,'VTN2025'!B:I,8,FALSE),"-")</f>
        <v>12053.771666666667</v>
      </c>
      <c r="D626" s="83">
        <f t="shared" si="11"/>
        <v>13373.982222222223</v>
      </c>
    </row>
    <row r="627" spans="1:4" ht="16.5" thickBot="1" x14ac:dyDescent="0.3">
      <c r="A627" s="61" t="s">
        <v>599</v>
      </c>
      <c r="B627" s="61" t="s">
        <v>594</v>
      </c>
      <c r="C627" s="82">
        <f>IFERROR(VLOOKUP(B627,'VTN2025'!B:I,8,FALSE),"-")</f>
        <v>17700.8</v>
      </c>
      <c r="D627" s="83">
        <f t="shared" si="11"/>
        <v>13373.982222222223</v>
      </c>
    </row>
    <row r="628" spans="1:4" ht="16.5" thickBot="1" x14ac:dyDescent="0.3">
      <c r="A628" s="61" t="s">
        <v>599</v>
      </c>
      <c r="B628" s="61" t="s">
        <v>485</v>
      </c>
      <c r="C628" s="82" t="str">
        <f>IFERROR(VLOOKUP(B628,'VTN2025'!B:I,8,FALSE),"-")</f>
        <v>-</v>
      </c>
      <c r="D628" s="83">
        <f t="shared" si="11"/>
        <v>13373.982222222223</v>
      </c>
    </row>
    <row r="629" spans="1:4" ht="16.5" thickBot="1" x14ac:dyDescent="0.3">
      <c r="A629" s="61" t="s">
        <v>423</v>
      </c>
      <c r="B629" s="61" t="s">
        <v>422</v>
      </c>
      <c r="C629" s="82">
        <f>IFERROR(VLOOKUP(B629,'VTN2025'!B:I,8,FALSE),"-")</f>
        <v>32765.361666666664</v>
      </c>
      <c r="D629" s="83">
        <f t="shared" si="11"/>
        <v>24609.07681818182</v>
      </c>
    </row>
    <row r="630" spans="1:4" ht="16.5" thickBot="1" x14ac:dyDescent="0.3">
      <c r="A630" s="61" t="s">
        <v>423</v>
      </c>
      <c r="B630" s="61" t="s">
        <v>385</v>
      </c>
      <c r="C630" s="82">
        <f>IFERROR(VLOOKUP(B630,'VTN2025'!B:I,8,FALSE),"-")</f>
        <v>27247.318333333333</v>
      </c>
      <c r="D630" s="83">
        <f t="shared" si="11"/>
        <v>24609.07681818182</v>
      </c>
    </row>
    <row r="631" spans="1:4" ht="16.5" thickBot="1" x14ac:dyDescent="0.3">
      <c r="A631" s="61" t="s">
        <v>423</v>
      </c>
      <c r="B631" s="61" t="s">
        <v>469</v>
      </c>
      <c r="C631" s="82">
        <f>IFERROR(VLOOKUP(B631,'VTN2025'!B:I,8,FALSE),"-")</f>
        <v>17771.586666666666</v>
      </c>
      <c r="D631" s="83">
        <f t="shared" si="11"/>
        <v>24609.07681818182</v>
      </c>
    </row>
    <row r="632" spans="1:4" ht="16.5" thickBot="1" x14ac:dyDescent="0.3">
      <c r="A632" s="61" t="s">
        <v>423</v>
      </c>
      <c r="B632" s="61" t="s">
        <v>430</v>
      </c>
      <c r="C632" s="82">
        <f>IFERROR(VLOOKUP(B632,'VTN2025'!B:I,8,FALSE),"-")</f>
        <v>27850.556666666667</v>
      </c>
      <c r="D632" s="83">
        <f t="shared" si="11"/>
        <v>24609.07681818182</v>
      </c>
    </row>
    <row r="633" spans="1:4" ht="16.5" thickBot="1" x14ac:dyDescent="0.3">
      <c r="A633" s="61" t="s">
        <v>423</v>
      </c>
      <c r="B633" s="61" t="s">
        <v>521</v>
      </c>
      <c r="C633" s="82">
        <f>IFERROR(VLOOKUP(B633,'VTN2025'!B:I,8,FALSE),"-")</f>
        <v>12253.573333333332</v>
      </c>
      <c r="D633" s="83">
        <f t="shared" si="11"/>
        <v>24609.07681818182</v>
      </c>
    </row>
    <row r="634" spans="1:4" ht="16.5" thickBot="1" x14ac:dyDescent="0.3">
      <c r="A634" s="61" t="s">
        <v>423</v>
      </c>
      <c r="B634" s="61" t="s">
        <v>607</v>
      </c>
      <c r="C634" s="82" t="str">
        <f>IFERROR(VLOOKUP(B634,'VTN2025'!B:I,8,FALSE),"-")</f>
        <v>-</v>
      </c>
      <c r="D634" s="83">
        <f t="shared" si="11"/>
        <v>24609.07681818182</v>
      </c>
    </row>
    <row r="635" spans="1:4" ht="16.5" thickBot="1" x14ac:dyDescent="0.3">
      <c r="A635" s="61" t="s">
        <v>423</v>
      </c>
      <c r="B635" s="61" t="s">
        <v>614</v>
      </c>
      <c r="C635" s="82">
        <f>IFERROR(VLOOKUP(B635,'VTN2025'!B:I,8,FALSE),"-")</f>
        <v>21553.351666666669</v>
      </c>
      <c r="D635" s="83">
        <f t="shared" si="11"/>
        <v>24609.07681818182</v>
      </c>
    </row>
    <row r="636" spans="1:4" ht="16.5" thickBot="1" x14ac:dyDescent="0.3">
      <c r="A636" s="61" t="s">
        <v>423</v>
      </c>
      <c r="B636" s="61" t="s">
        <v>615</v>
      </c>
      <c r="C636" s="82">
        <f>IFERROR(VLOOKUP(B636,'VTN2025'!B:I,8,FALSE),"-")</f>
        <v>33057.858333333337</v>
      </c>
      <c r="D636" s="83">
        <f t="shared" si="11"/>
        <v>24609.07681818182</v>
      </c>
    </row>
    <row r="637" spans="1:4" ht="16.5" thickBot="1" x14ac:dyDescent="0.3">
      <c r="A637" s="61" t="s">
        <v>423</v>
      </c>
      <c r="B637" s="61" t="s">
        <v>472</v>
      </c>
      <c r="C637" s="82">
        <f>IFERROR(VLOOKUP(B637,'VTN2025'!B:I,8,FALSE),"-")</f>
        <v>30042.521666666664</v>
      </c>
      <c r="D637" s="83">
        <f t="shared" si="11"/>
        <v>24609.07681818182</v>
      </c>
    </row>
    <row r="638" spans="1:4" ht="16.5" thickBot="1" x14ac:dyDescent="0.3">
      <c r="A638" s="61" t="s">
        <v>423</v>
      </c>
      <c r="B638" s="61" t="s">
        <v>386</v>
      </c>
      <c r="C638" s="82">
        <f>IFERROR(VLOOKUP(B638,'VTN2025'!B:I,8,FALSE),"-")</f>
        <v>22097</v>
      </c>
      <c r="D638" s="83">
        <f t="shared" si="11"/>
        <v>24609.07681818182</v>
      </c>
    </row>
    <row r="639" spans="1:4" ht="16.5" thickBot="1" x14ac:dyDescent="0.3">
      <c r="A639" s="61" t="s">
        <v>423</v>
      </c>
      <c r="B639" s="61" t="s">
        <v>616</v>
      </c>
      <c r="C639" s="82">
        <f>IFERROR(VLOOKUP(B639,'VTN2025'!B:I,8,FALSE),"-")</f>
        <v>14024.663333333332</v>
      </c>
      <c r="D639" s="83">
        <f t="shared" si="11"/>
        <v>24609.07681818182</v>
      </c>
    </row>
    <row r="640" spans="1:4" ht="16.5" thickBot="1" x14ac:dyDescent="0.3">
      <c r="A640" s="61" t="s">
        <v>423</v>
      </c>
      <c r="B640" s="61" t="s">
        <v>565</v>
      </c>
      <c r="C640" s="82">
        <f>IFERROR(VLOOKUP(B640,'VTN2025'!B:I,8,FALSE),"-")</f>
        <v>32036.05333333333</v>
      </c>
      <c r="D640" s="83">
        <f t="shared" si="11"/>
        <v>24609.07681818182</v>
      </c>
    </row>
    <row r="641" spans="1:4" ht="16.5" thickBot="1" x14ac:dyDescent="0.3">
      <c r="A641" s="61" t="s">
        <v>614</v>
      </c>
      <c r="B641" s="61" t="s">
        <v>423</v>
      </c>
      <c r="C641" s="82">
        <f>IFERROR(VLOOKUP(B641,'VTN2025'!B:I,8,FALSE),"-")</f>
        <v>28687.101666666669</v>
      </c>
      <c r="D641" s="83">
        <f t="shared" si="11"/>
        <v>23069.899166666666</v>
      </c>
    </row>
    <row r="642" spans="1:4" ht="16.5" thickBot="1" x14ac:dyDescent="0.3">
      <c r="A642" s="61" t="s">
        <v>614</v>
      </c>
      <c r="B642" s="61" t="s">
        <v>615</v>
      </c>
      <c r="C642" s="82">
        <f>IFERROR(VLOOKUP(B642,'VTN2025'!B:I,8,FALSE),"-")</f>
        <v>33057.858333333337</v>
      </c>
      <c r="D642" s="83">
        <f t="shared" si="11"/>
        <v>23069.899166666666</v>
      </c>
    </row>
    <row r="643" spans="1:4" ht="16.5" thickBot="1" x14ac:dyDescent="0.3">
      <c r="A643" s="61" t="s">
        <v>614</v>
      </c>
      <c r="B643" s="61" t="s">
        <v>604</v>
      </c>
      <c r="C643" s="82">
        <f>IFERROR(VLOOKUP(B643,'VTN2025'!B:I,8,FALSE),"-")</f>
        <v>16509.973333333332</v>
      </c>
      <c r="D643" s="83">
        <f t="shared" si="11"/>
        <v>23069.899166666666</v>
      </c>
    </row>
    <row r="644" spans="1:4" ht="16.5" thickBot="1" x14ac:dyDescent="0.3">
      <c r="A644" s="61" t="s">
        <v>614</v>
      </c>
      <c r="B644" s="61" t="s">
        <v>616</v>
      </c>
      <c r="C644" s="82">
        <f>IFERROR(VLOOKUP(B644,'VTN2025'!B:I,8,FALSE),"-")</f>
        <v>14024.663333333332</v>
      </c>
      <c r="D644" s="83">
        <f t="shared" si="11"/>
        <v>23069.899166666666</v>
      </c>
    </row>
    <row r="645" spans="1:4" ht="16.5" thickBot="1" x14ac:dyDescent="0.3">
      <c r="A645" s="61" t="s">
        <v>615</v>
      </c>
      <c r="B645" s="61" t="s">
        <v>423</v>
      </c>
      <c r="C645" s="82">
        <f>IFERROR(VLOOKUP(B645,'VTN2025'!B:I,8,FALSE),"-")</f>
        <v>28687.101666666669</v>
      </c>
      <c r="D645" s="83">
        <f t="shared" si="11"/>
        <v>24696.62</v>
      </c>
    </row>
    <row r="646" spans="1:4" ht="16.5" thickBot="1" x14ac:dyDescent="0.3">
      <c r="A646" s="61" t="s">
        <v>615</v>
      </c>
      <c r="B646" s="61" t="s">
        <v>614</v>
      </c>
      <c r="C646" s="82">
        <f>IFERROR(VLOOKUP(B646,'VTN2025'!B:I,8,FALSE),"-")</f>
        <v>21553.351666666669</v>
      </c>
      <c r="D646" s="83">
        <f t="shared" si="11"/>
        <v>24696.62</v>
      </c>
    </row>
    <row r="647" spans="1:4" ht="16.5" thickBot="1" x14ac:dyDescent="0.3">
      <c r="A647" s="61" t="s">
        <v>615</v>
      </c>
      <c r="B647" s="61" t="s">
        <v>604</v>
      </c>
      <c r="C647" s="82">
        <f>IFERROR(VLOOKUP(B647,'VTN2025'!B:I,8,FALSE),"-")</f>
        <v>16509.973333333332</v>
      </c>
      <c r="D647" s="83">
        <f t="shared" si="11"/>
        <v>24696.62</v>
      </c>
    </row>
    <row r="648" spans="1:4" ht="16.5" thickBot="1" x14ac:dyDescent="0.3">
      <c r="A648" s="61" t="s">
        <v>615</v>
      </c>
      <c r="B648" s="61" t="s">
        <v>565</v>
      </c>
      <c r="C648" s="82">
        <f>IFERROR(VLOOKUP(B648,'VTN2025'!B:I,8,FALSE),"-")</f>
        <v>32036.05333333333</v>
      </c>
      <c r="D648" s="83">
        <f t="shared" si="11"/>
        <v>24696.62</v>
      </c>
    </row>
    <row r="649" spans="1:4" ht="16.5" thickBot="1" x14ac:dyDescent="0.3">
      <c r="A649" s="61" t="s">
        <v>450</v>
      </c>
      <c r="B649" s="61" t="s">
        <v>447</v>
      </c>
      <c r="C649" s="82">
        <f>IFERROR(VLOOKUP(B649,'VTN2025'!B:I,8,FALSE),"-")</f>
        <v>13705</v>
      </c>
      <c r="D649" s="83">
        <f t="shared" si="11"/>
        <v>13644.617222222221</v>
      </c>
    </row>
    <row r="650" spans="1:4" ht="16.5" thickBot="1" x14ac:dyDescent="0.3">
      <c r="A650" s="61" t="s">
        <v>450</v>
      </c>
      <c r="B650" s="61" t="s">
        <v>617</v>
      </c>
      <c r="C650" s="82" t="str">
        <f>IFERROR(VLOOKUP(B650,'VTN2025'!B:I,8,FALSE),"-")</f>
        <v>-</v>
      </c>
      <c r="D650" s="83">
        <f t="shared" si="11"/>
        <v>13644.617222222221</v>
      </c>
    </row>
    <row r="651" spans="1:4" ht="16.5" thickBot="1" x14ac:dyDescent="0.3">
      <c r="A651" s="61" t="s">
        <v>450</v>
      </c>
      <c r="B651" s="61" t="s">
        <v>451</v>
      </c>
      <c r="C651" s="82">
        <f>IFERROR(VLOOKUP(B651,'VTN2025'!B:I,8,FALSE),"-")</f>
        <v>13376.666666666666</v>
      </c>
      <c r="D651" s="83">
        <f t="shared" si="11"/>
        <v>13644.617222222221</v>
      </c>
    </row>
    <row r="652" spans="1:4" ht="16.5" thickBot="1" x14ac:dyDescent="0.3">
      <c r="A652" s="61" t="s">
        <v>450</v>
      </c>
      <c r="B652" s="61" t="s">
        <v>618</v>
      </c>
      <c r="C652" s="82">
        <f>IFERROR(VLOOKUP(B652,'VTN2025'!B:I,8,FALSE),"-")</f>
        <v>13852.184999999999</v>
      </c>
      <c r="D652" s="83">
        <f t="shared" si="11"/>
        <v>13644.617222222221</v>
      </c>
    </row>
    <row r="653" spans="1:4" ht="16.5" thickBot="1" x14ac:dyDescent="0.3">
      <c r="A653" s="61" t="s">
        <v>450</v>
      </c>
      <c r="B653" s="61" t="s">
        <v>619</v>
      </c>
      <c r="C653" s="82" t="str">
        <f>IFERROR(VLOOKUP(B653,'VTN2025'!B:I,8,FALSE),"-")</f>
        <v>-</v>
      </c>
      <c r="D653" s="83">
        <f t="shared" si="11"/>
        <v>13644.617222222221</v>
      </c>
    </row>
    <row r="654" spans="1:4" ht="16.5" thickBot="1" x14ac:dyDescent="0.3">
      <c r="A654" s="61" t="s">
        <v>590</v>
      </c>
      <c r="B654" s="61" t="s">
        <v>462</v>
      </c>
      <c r="C654" s="82">
        <f>IFERROR(VLOOKUP(B654,'VTN2025'!B:I,8,FALSE),"-")</f>
        <v>5157.7650000000003</v>
      </c>
      <c r="D654" s="83">
        <f t="shared" si="11"/>
        <v>11712.380833333333</v>
      </c>
    </row>
    <row r="655" spans="1:4" ht="16.5" thickBot="1" x14ac:dyDescent="0.3">
      <c r="A655" s="61" t="s">
        <v>590</v>
      </c>
      <c r="B655" s="61" t="s">
        <v>589</v>
      </c>
      <c r="C655" s="82">
        <f>IFERROR(VLOOKUP(B655,'VTN2025'!B:I,8,FALSE),"-")</f>
        <v>8075.3499999999995</v>
      </c>
      <c r="D655" s="83">
        <f t="shared" si="11"/>
        <v>11712.380833333333</v>
      </c>
    </row>
    <row r="656" spans="1:4" ht="16.5" thickBot="1" x14ac:dyDescent="0.3">
      <c r="A656" s="61" t="s">
        <v>590</v>
      </c>
      <c r="B656" s="61" t="s">
        <v>611</v>
      </c>
      <c r="C656" s="82">
        <f>IFERROR(VLOOKUP(B656,'VTN2025'!B:I,8,FALSE),"-")</f>
        <v>14129.861666666669</v>
      </c>
      <c r="D656" s="83">
        <f t="shared" si="11"/>
        <v>11712.380833333333</v>
      </c>
    </row>
    <row r="657" spans="1:4" ht="16.5" thickBot="1" x14ac:dyDescent="0.3">
      <c r="A657" s="61" t="s">
        <v>590</v>
      </c>
      <c r="B657" s="61" t="s">
        <v>576</v>
      </c>
      <c r="C657" s="82">
        <f>IFERROR(VLOOKUP(B657,'VTN2025'!B:I,8,FALSE),"-")</f>
        <v>12876.885</v>
      </c>
      <c r="D657" s="83">
        <f t="shared" si="11"/>
        <v>11712.380833333333</v>
      </c>
    </row>
    <row r="658" spans="1:4" ht="16.5" thickBot="1" x14ac:dyDescent="0.3">
      <c r="A658" s="61" t="s">
        <v>590</v>
      </c>
      <c r="B658" s="61" t="s">
        <v>467</v>
      </c>
      <c r="C658" s="82">
        <f>IFERROR(VLOOKUP(B658,'VTN2025'!B:I,8,FALSE),"-")</f>
        <v>11653.743333333334</v>
      </c>
      <c r="D658" s="83">
        <f t="shared" si="11"/>
        <v>11712.380833333333</v>
      </c>
    </row>
    <row r="659" spans="1:4" ht="16.5" thickBot="1" x14ac:dyDescent="0.3">
      <c r="A659" s="61" t="s">
        <v>590</v>
      </c>
      <c r="B659" s="61" t="s">
        <v>577</v>
      </c>
      <c r="C659" s="82">
        <f>IFERROR(VLOOKUP(B659,'VTN2025'!B:I,8,FALSE),"-")</f>
        <v>14057.038333333336</v>
      </c>
      <c r="D659" s="83">
        <f t="shared" si="11"/>
        <v>11712.380833333333</v>
      </c>
    </row>
    <row r="660" spans="1:4" ht="16.5" thickBot="1" x14ac:dyDescent="0.3">
      <c r="A660" s="61" t="s">
        <v>590</v>
      </c>
      <c r="B660" s="61" t="s">
        <v>400</v>
      </c>
      <c r="C660" s="82" t="str">
        <f>IFERROR(VLOOKUP(B660,'VTN2025'!B:I,8,FALSE),"-")</f>
        <v>-</v>
      </c>
      <c r="D660" s="83">
        <f t="shared" si="11"/>
        <v>11712.380833333333</v>
      </c>
    </row>
    <row r="661" spans="1:4" ht="16.5" thickBot="1" x14ac:dyDescent="0.3">
      <c r="A661" s="61" t="s">
        <v>590</v>
      </c>
      <c r="B661" s="61" t="s">
        <v>468</v>
      </c>
      <c r="C661" s="82">
        <f>IFERROR(VLOOKUP(B661,'VTN2025'!B:I,8,FALSE),"-")</f>
        <v>12616.313333333332</v>
      </c>
      <c r="D661" s="83">
        <f t="shared" si="11"/>
        <v>11712.380833333333</v>
      </c>
    </row>
    <row r="662" spans="1:4" ht="16.5" thickBot="1" x14ac:dyDescent="0.3">
      <c r="A662" s="61" t="s">
        <v>590</v>
      </c>
      <c r="B662" s="61" t="s">
        <v>606</v>
      </c>
      <c r="C662" s="82">
        <f>IFERROR(VLOOKUP(B662,'VTN2025'!B:I,8,FALSE),"-")</f>
        <v>15132.089999999998</v>
      </c>
      <c r="D662" s="83">
        <f t="shared" si="11"/>
        <v>11712.380833333333</v>
      </c>
    </row>
    <row r="663" spans="1:4" ht="16.5" thickBot="1" x14ac:dyDescent="0.3">
      <c r="A663" s="61" t="s">
        <v>514</v>
      </c>
      <c r="B663" s="61" t="s">
        <v>478</v>
      </c>
      <c r="C663" s="82">
        <f>IFERROR(VLOOKUP(B663,'VTN2025'!B:I,8,FALSE),"-")</f>
        <v>8311.25</v>
      </c>
      <c r="D663" s="83">
        <f t="shared" si="11"/>
        <v>12942.693055555557</v>
      </c>
    </row>
    <row r="664" spans="1:4" ht="16.5" thickBot="1" x14ac:dyDescent="0.3">
      <c r="A664" s="61" t="s">
        <v>514</v>
      </c>
      <c r="B664" s="61" t="s">
        <v>521</v>
      </c>
      <c r="C664" s="82">
        <f>IFERROR(VLOOKUP(B664,'VTN2025'!B:I,8,FALSE),"-")</f>
        <v>12253.573333333332</v>
      </c>
      <c r="D664" s="83">
        <f t="shared" si="11"/>
        <v>12942.693055555557</v>
      </c>
    </row>
    <row r="665" spans="1:4" ht="16.5" thickBot="1" x14ac:dyDescent="0.3">
      <c r="A665" s="61" t="s">
        <v>514</v>
      </c>
      <c r="B665" s="61" t="s">
        <v>515</v>
      </c>
      <c r="C665" s="82">
        <f>IFERROR(VLOOKUP(B665,'VTN2025'!B:I,8,FALSE),"-")</f>
        <v>11992.385000000002</v>
      </c>
      <c r="D665" s="83">
        <f t="shared" si="11"/>
        <v>12942.693055555557</v>
      </c>
    </row>
    <row r="666" spans="1:4" ht="16.5" thickBot="1" x14ac:dyDescent="0.3">
      <c r="A666" s="61" t="s">
        <v>514</v>
      </c>
      <c r="B666" s="61" t="s">
        <v>464</v>
      </c>
      <c r="C666" s="82">
        <f>IFERROR(VLOOKUP(B666,'VTN2025'!B:I,8,FALSE),"-")</f>
        <v>11107.605000000001</v>
      </c>
      <c r="D666" s="83">
        <f t="shared" ref="D666:D729" si="12">AVERAGEIF($A:$A,A666,$C:$C)</f>
        <v>12942.693055555557</v>
      </c>
    </row>
    <row r="667" spans="1:4" ht="16.5" thickBot="1" x14ac:dyDescent="0.3">
      <c r="A667" s="61" t="s">
        <v>514</v>
      </c>
      <c r="B667" s="61" t="s">
        <v>522</v>
      </c>
      <c r="C667" s="82">
        <f>IFERROR(VLOOKUP(B667,'VTN2025'!B:I,8,FALSE),"-")</f>
        <v>22097</v>
      </c>
      <c r="D667" s="83">
        <f t="shared" si="12"/>
        <v>12942.693055555557</v>
      </c>
    </row>
    <row r="668" spans="1:4" ht="16.5" thickBot="1" x14ac:dyDescent="0.3">
      <c r="A668" s="61" t="s">
        <v>514</v>
      </c>
      <c r="B668" s="61" t="s">
        <v>516</v>
      </c>
      <c r="C668" s="82">
        <f>IFERROR(VLOOKUP(B668,'VTN2025'!B:I,8,FALSE),"-")</f>
        <v>11894.344999999999</v>
      </c>
      <c r="D668" s="83">
        <f t="shared" si="12"/>
        <v>12942.693055555557</v>
      </c>
    </row>
    <row r="669" spans="1:4" ht="16.5" thickBot="1" x14ac:dyDescent="0.3">
      <c r="A669" s="61" t="s">
        <v>562</v>
      </c>
      <c r="B669" s="61" t="s">
        <v>560</v>
      </c>
      <c r="C669" s="82" t="str">
        <f>IFERROR(VLOOKUP(B669,'VTN2025'!B:I,8,FALSE),"-")</f>
        <v>-</v>
      </c>
      <c r="D669" s="83">
        <f t="shared" si="12"/>
        <v>21233.343999999997</v>
      </c>
    </row>
    <row r="670" spans="1:4" ht="16.5" thickBot="1" x14ac:dyDescent="0.3">
      <c r="A670" s="61" t="s">
        <v>562</v>
      </c>
      <c r="B670" s="61" t="s">
        <v>463</v>
      </c>
      <c r="C670" s="82">
        <f>IFERROR(VLOOKUP(B670,'VTN2025'!B:I,8,FALSE),"-")</f>
        <v>11971.729999999998</v>
      </c>
      <c r="D670" s="83">
        <f t="shared" si="12"/>
        <v>21233.343999999997</v>
      </c>
    </row>
    <row r="671" spans="1:4" ht="16.5" thickBot="1" x14ac:dyDescent="0.3">
      <c r="A671" s="61" t="s">
        <v>562</v>
      </c>
      <c r="B671" s="61" t="s">
        <v>521</v>
      </c>
      <c r="C671" s="82">
        <f>IFERROR(VLOOKUP(B671,'VTN2025'!B:I,8,FALSE),"-")</f>
        <v>12253.573333333332</v>
      </c>
      <c r="D671" s="83">
        <f t="shared" si="12"/>
        <v>21233.343999999997</v>
      </c>
    </row>
    <row r="672" spans="1:4" ht="16.5" thickBot="1" x14ac:dyDescent="0.3">
      <c r="A672" s="61" t="s">
        <v>562</v>
      </c>
      <c r="B672" s="61" t="s">
        <v>598</v>
      </c>
      <c r="C672" s="82" t="str">
        <f>IFERROR(VLOOKUP(B672,'VTN2025'!B:I,8,FALSE),"-")</f>
        <v>-</v>
      </c>
      <c r="D672" s="83">
        <f t="shared" si="12"/>
        <v>21233.343999999997</v>
      </c>
    </row>
    <row r="673" spans="1:4" ht="16.5" thickBot="1" x14ac:dyDescent="0.3">
      <c r="A673" s="61" t="s">
        <v>562</v>
      </c>
      <c r="B673" s="61" t="s">
        <v>607</v>
      </c>
      <c r="C673" s="82" t="str">
        <f>IFERROR(VLOOKUP(B673,'VTN2025'!B:I,8,FALSE),"-")</f>
        <v>-</v>
      </c>
      <c r="D673" s="83">
        <f t="shared" si="12"/>
        <v>21233.343999999997</v>
      </c>
    </row>
    <row r="674" spans="1:4" ht="16.5" thickBot="1" x14ac:dyDescent="0.3">
      <c r="A674" s="61" t="s">
        <v>562</v>
      </c>
      <c r="B674" s="61" t="s">
        <v>465</v>
      </c>
      <c r="C674" s="82">
        <f>IFERROR(VLOOKUP(B674,'VTN2025'!B:I,8,FALSE),"-")</f>
        <v>23764.458333333332</v>
      </c>
      <c r="D674" s="83">
        <f t="shared" si="12"/>
        <v>21233.343999999997</v>
      </c>
    </row>
    <row r="675" spans="1:4" ht="16.5" thickBot="1" x14ac:dyDescent="0.3">
      <c r="A675" s="61" t="s">
        <v>562</v>
      </c>
      <c r="B675" s="61" t="s">
        <v>564</v>
      </c>
      <c r="C675" s="82">
        <f>IFERROR(VLOOKUP(B675,'VTN2025'!B:I,8,FALSE),"-")</f>
        <v>26140.904999999999</v>
      </c>
      <c r="D675" s="83">
        <f t="shared" si="12"/>
        <v>21233.343999999997</v>
      </c>
    </row>
    <row r="676" spans="1:4" ht="16.5" thickBot="1" x14ac:dyDescent="0.3">
      <c r="A676" s="61" t="s">
        <v>562</v>
      </c>
      <c r="B676" s="61" t="s">
        <v>565</v>
      </c>
      <c r="C676" s="82">
        <f>IFERROR(VLOOKUP(B676,'VTN2025'!B:I,8,FALSE),"-")</f>
        <v>32036.05333333333</v>
      </c>
      <c r="D676" s="83">
        <f t="shared" si="12"/>
        <v>21233.343999999997</v>
      </c>
    </row>
    <row r="677" spans="1:4" ht="16.5" thickBot="1" x14ac:dyDescent="0.3">
      <c r="A677" s="61" t="s">
        <v>451</v>
      </c>
      <c r="B677" s="61" t="s">
        <v>447</v>
      </c>
      <c r="C677" s="82">
        <f>IFERROR(VLOOKUP(B677,'VTN2025'!B:I,8,FALSE),"-")</f>
        <v>13705</v>
      </c>
      <c r="D677" s="83">
        <f t="shared" si="12"/>
        <v>15034.508333333335</v>
      </c>
    </row>
    <row r="678" spans="1:4" ht="16.5" thickBot="1" x14ac:dyDescent="0.3">
      <c r="A678" s="61" t="s">
        <v>451</v>
      </c>
      <c r="B678" s="61" t="s">
        <v>444</v>
      </c>
      <c r="C678" s="82">
        <f>IFERROR(VLOOKUP(B678,'VTN2025'!B:I,8,FALSE),"-")</f>
        <v>17929.771666666667</v>
      </c>
      <c r="D678" s="83">
        <f t="shared" si="12"/>
        <v>15034.508333333335</v>
      </c>
    </row>
    <row r="679" spans="1:4" ht="16.5" thickBot="1" x14ac:dyDescent="0.3">
      <c r="A679" s="61" t="s">
        <v>451</v>
      </c>
      <c r="B679" s="61" t="s">
        <v>450</v>
      </c>
      <c r="C679" s="82">
        <f>IFERROR(VLOOKUP(B679,'VTN2025'!B:I,8,FALSE),"-")</f>
        <v>14070.331666666667</v>
      </c>
      <c r="D679" s="83">
        <f t="shared" si="12"/>
        <v>15034.508333333335</v>
      </c>
    </row>
    <row r="680" spans="1:4" ht="16.5" thickBot="1" x14ac:dyDescent="0.3">
      <c r="A680" s="61" t="s">
        <v>451</v>
      </c>
      <c r="B680" s="61" t="s">
        <v>445</v>
      </c>
      <c r="C680" s="82">
        <f>IFERROR(VLOOKUP(B680,'VTN2025'!B:I,8,FALSE),"-")</f>
        <v>17012.526666666668</v>
      </c>
      <c r="D680" s="83">
        <f t="shared" si="12"/>
        <v>15034.508333333335</v>
      </c>
    </row>
    <row r="681" spans="1:4" ht="16.5" thickBot="1" x14ac:dyDescent="0.3">
      <c r="A681" s="61" t="s">
        <v>451</v>
      </c>
      <c r="B681" s="61" t="s">
        <v>574</v>
      </c>
      <c r="C681" s="82" t="str">
        <f>IFERROR(VLOOKUP(B681,'VTN2025'!B:I,8,FALSE),"-")</f>
        <v>-</v>
      </c>
      <c r="D681" s="83">
        <f t="shared" si="12"/>
        <v>15034.508333333335</v>
      </c>
    </row>
    <row r="682" spans="1:4" ht="16.5" thickBot="1" x14ac:dyDescent="0.3">
      <c r="A682" s="61" t="s">
        <v>451</v>
      </c>
      <c r="B682" s="61" t="s">
        <v>452</v>
      </c>
      <c r="C682" s="82">
        <f>IFERROR(VLOOKUP(B682,'VTN2025'!B:I,8,FALSE),"-")</f>
        <v>12454.911666666667</v>
      </c>
      <c r="D682" s="83">
        <f t="shared" si="12"/>
        <v>15034.508333333335</v>
      </c>
    </row>
    <row r="683" spans="1:4" ht="16.5" thickBot="1" x14ac:dyDescent="0.3">
      <c r="A683" s="61" t="s">
        <v>472</v>
      </c>
      <c r="B683" s="61" t="s">
        <v>469</v>
      </c>
      <c r="C683" s="82">
        <f>IFERROR(VLOOKUP(B683,'VTN2025'!B:I,8,FALSE),"-")</f>
        <v>17771.586666666666</v>
      </c>
      <c r="D683" s="83">
        <f t="shared" si="12"/>
        <v>23454.079166666666</v>
      </c>
    </row>
    <row r="684" spans="1:4" ht="16.5" thickBot="1" x14ac:dyDescent="0.3">
      <c r="A684" s="61" t="s">
        <v>472</v>
      </c>
      <c r="B684" s="61" t="s">
        <v>510</v>
      </c>
      <c r="C684" s="82" t="str">
        <f>IFERROR(VLOOKUP(B684,'VTN2025'!B:I,8,FALSE),"-")</f>
        <v>-</v>
      </c>
      <c r="D684" s="83">
        <f t="shared" si="12"/>
        <v>23454.079166666666</v>
      </c>
    </row>
    <row r="685" spans="1:4" ht="16.5" thickBot="1" x14ac:dyDescent="0.3">
      <c r="A685" s="61" t="s">
        <v>472</v>
      </c>
      <c r="B685" s="61" t="s">
        <v>471</v>
      </c>
      <c r="C685" s="82">
        <f>IFERROR(VLOOKUP(B685,'VTN2025'!B:I,8,FALSE),"-")</f>
        <v>31249.99</v>
      </c>
      <c r="D685" s="83">
        <f t="shared" si="12"/>
        <v>23454.079166666666</v>
      </c>
    </row>
    <row r="686" spans="1:4" ht="16.5" thickBot="1" x14ac:dyDescent="0.3">
      <c r="A686" s="61" t="s">
        <v>472</v>
      </c>
      <c r="B686" s="61" t="s">
        <v>423</v>
      </c>
      <c r="C686" s="82">
        <f>IFERROR(VLOOKUP(B686,'VTN2025'!B:I,8,FALSE),"-")</f>
        <v>28687.101666666669</v>
      </c>
      <c r="D686" s="83">
        <f t="shared" si="12"/>
        <v>23454.079166666666</v>
      </c>
    </row>
    <row r="687" spans="1:4" ht="16.5" thickBot="1" x14ac:dyDescent="0.3">
      <c r="A687" s="61" t="s">
        <v>472</v>
      </c>
      <c r="B687" s="61" t="s">
        <v>437</v>
      </c>
      <c r="C687" s="82">
        <f>IFERROR(VLOOKUP(B687,'VTN2025'!B:I,8,FALSE),"-")</f>
        <v>26751.666666666668</v>
      </c>
      <c r="D687" s="83">
        <f t="shared" si="12"/>
        <v>23454.079166666666</v>
      </c>
    </row>
    <row r="688" spans="1:4" ht="16.5" thickBot="1" x14ac:dyDescent="0.3">
      <c r="A688" s="61" t="s">
        <v>472</v>
      </c>
      <c r="B688" s="61" t="s">
        <v>620</v>
      </c>
      <c r="C688" s="82">
        <f>IFERROR(VLOOKUP(B688,'VTN2025'!B:I,8,FALSE),"-")</f>
        <v>22239.466666666664</v>
      </c>
      <c r="D688" s="83">
        <f t="shared" si="12"/>
        <v>23454.079166666666</v>
      </c>
    </row>
    <row r="689" spans="1:4" ht="16.5" thickBot="1" x14ac:dyDescent="0.3">
      <c r="A689" s="61" t="s">
        <v>472</v>
      </c>
      <c r="B689" s="61" t="s">
        <v>616</v>
      </c>
      <c r="C689" s="82">
        <f>IFERROR(VLOOKUP(B689,'VTN2025'!B:I,8,FALSE),"-")</f>
        <v>14024.663333333332</v>
      </c>
      <c r="D689" s="83">
        <f t="shared" si="12"/>
        <v>23454.079166666666</v>
      </c>
    </row>
    <row r="690" spans="1:4" ht="16.5" thickBot="1" x14ac:dyDescent="0.3">
      <c r="A690" s="61" t="s">
        <v>503</v>
      </c>
      <c r="B690" s="61" t="s">
        <v>621</v>
      </c>
      <c r="C690" s="82" t="str">
        <f>IFERROR(VLOOKUP(B690,'VTN2025'!B:I,8,FALSE),"-")</f>
        <v>-</v>
      </c>
      <c r="D690" s="83">
        <f t="shared" si="12"/>
        <v>30093.637500000001</v>
      </c>
    </row>
    <row r="691" spans="1:4" ht="16.5" thickBot="1" x14ac:dyDescent="0.3">
      <c r="A691" s="61" t="s">
        <v>503</v>
      </c>
      <c r="B691" s="61" t="s">
        <v>498</v>
      </c>
      <c r="C691" s="82">
        <f>IFERROR(VLOOKUP(B691,'VTN2025'!B:I,8,FALSE),"-")</f>
        <v>41702.514999999992</v>
      </c>
      <c r="D691" s="83">
        <f t="shared" si="12"/>
        <v>30093.637500000001</v>
      </c>
    </row>
    <row r="692" spans="1:4" ht="16.5" thickBot="1" x14ac:dyDescent="0.3">
      <c r="A692" s="61" t="s">
        <v>503</v>
      </c>
      <c r="B692" s="61" t="s">
        <v>517</v>
      </c>
      <c r="C692" s="82">
        <f>IFERROR(VLOOKUP(B692,'VTN2025'!B:I,8,FALSE),"-")</f>
        <v>16961.02</v>
      </c>
      <c r="D692" s="83">
        <f t="shared" si="12"/>
        <v>30093.637500000001</v>
      </c>
    </row>
    <row r="693" spans="1:4" ht="16.5" thickBot="1" x14ac:dyDescent="0.3">
      <c r="A693" s="61" t="s">
        <v>503</v>
      </c>
      <c r="B693" s="61" t="s">
        <v>622</v>
      </c>
      <c r="C693" s="82" t="str">
        <f>IFERROR(VLOOKUP(B693,'VTN2025'!B:I,8,FALSE),"-")</f>
        <v>-</v>
      </c>
      <c r="D693" s="83">
        <f t="shared" si="12"/>
        <v>30093.637500000001</v>
      </c>
    </row>
    <row r="694" spans="1:4" ht="16.5" thickBot="1" x14ac:dyDescent="0.3">
      <c r="A694" s="61" t="s">
        <v>503</v>
      </c>
      <c r="B694" s="61" t="s">
        <v>623</v>
      </c>
      <c r="C694" s="82" t="str">
        <f>IFERROR(VLOOKUP(B694,'VTN2025'!B:I,8,FALSE),"-")</f>
        <v>-</v>
      </c>
      <c r="D694" s="83">
        <f t="shared" si="12"/>
        <v>30093.637500000001</v>
      </c>
    </row>
    <row r="695" spans="1:4" ht="16.5" thickBot="1" x14ac:dyDescent="0.3">
      <c r="A695" s="61" t="s">
        <v>503</v>
      </c>
      <c r="B695" s="61" t="s">
        <v>624</v>
      </c>
      <c r="C695" s="82" t="str">
        <f>IFERROR(VLOOKUP(B695,'VTN2025'!B:I,8,FALSE),"-")</f>
        <v>-</v>
      </c>
      <c r="D695" s="83">
        <f t="shared" si="12"/>
        <v>30093.637500000001</v>
      </c>
    </row>
    <row r="696" spans="1:4" ht="16.5" thickBot="1" x14ac:dyDescent="0.3">
      <c r="A696" s="61" t="s">
        <v>503</v>
      </c>
      <c r="B696" s="61" t="s">
        <v>500</v>
      </c>
      <c r="C696" s="82">
        <f>IFERROR(VLOOKUP(B696,'VTN2025'!B:I,8,FALSE),"-")</f>
        <v>34286.04833333334</v>
      </c>
      <c r="D696" s="83">
        <f t="shared" si="12"/>
        <v>30093.637500000001</v>
      </c>
    </row>
    <row r="697" spans="1:4" ht="16.5" thickBot="1" x14ac:dyDescent="0.3">
      <c r="A697" s="61" t="s">
        <v>503</v>
      </c>
      <c r="B697" s="61" t="s">
        <v>502</v>
      </c>
      <c r="C697" s="82">
        <f>IFERROR(VLOOKUP(B697,'VTN2025'!B:I,8,FALSE),"-")</f>
        <v>27424.966666666671</v>
      </c>
      <c r="D697" s="83">
        <f t="shared" si="12"/>
        <v>30093.637500000001</v>
      </c>
    </row>
    <row r="698" spans="1:4" ht="16.5" thickBot="1" x14ac:dyDescent="0.3">
      <c r="A698" s="61" t="s">
        <v>503</v>
      </c>
      <c r="B698" s="61" t="s">
        <v>504</v>
      </c>
      <c r="C698" s="82" t="str">
        <f>IFERROR(VLOOKUP(B698,'VTN2025'!B:I,8,FALSE),"-")</f>
        <v>-</v>
      </c>
      <c r="D698" s="83">
        <f t="shared" si="12"/>
        <v>30093.637500000001</v>
      </c>
    </row>
    <row r="699" spans="1:4" ht="16.5" thickBot="1" x14ac:dyDescent="0.3">
      <c r="A699" s="61" t="s">
        <v>426</v>
      </c>
      <c r="B699" s="61" t="s">
        <v>424</v>
      </c>
      <c r="C699" s="82">
        <f>IFERROR(VLOOKUP(B699,'VTN2025'!B:I,8,FALSE),"-")</f>
        <v>14187.101666666669</v>
      </c>
      <c r="D699" s="83">
        <f t="shared" si="12"/>
        <v>16792.846666666668</v>
      </c>
    </row>
    <row r="700" spans="1:4" ht="16.5" thickBot="1" x14ac:dyDescent="0.3">
      <c r="A700" s="61" t="s">
        <v>426</v>
      </c>
      <c r="B700" s="61" t="s">
        <v>473</v>
      </c>
      <c r="C700" s="82">
        <f>IFERROR(VLOOKUP(B700,'VTN2025'!B:I,8,FALSE),"-")</f>
        <v>11753.996666666668</v>
      </c>
      <c r="D700" s="83">
        <f t="shared" si="12"/>
        <v>16792.846666666668</v>
      </c>
    </row>
    <row r="701" spans="1:4" ht="16.5" thickBot="1" x14ac:dyDescent="0.3">
      <c r="A701" s="61" t="s">
        <v>426</v>
      </c>
      <c r="B701" s="61" t="s">
        <v>482</v>
      </c>
      <c r="C701" s="82">
        <f>IFERROR(VLOOKUP(B701,'VTN2025'!B:I,8,FALSE),"-")</f>
        <v>18832.576666666668</v>
      </c>
      <c r="D701" s="83">
        <f t="shared" si="12"/>
        <v>16792.846666666668</v>
      </c>
    </row>
    <row r="702" spans="1:4" ht="16.5" thickBot="1" x14ac:dyDescent="0.3">
      <c r="A702" s="61" t="s">
        <v>426</v>
      </c>
      <c r="B702" s="61" t="s">
        <v>474</v>
      </c>
      <c r="C702" s="82">
        <f>IFERROR(VLOOKUP(B702,'VTN2025'!B:I,8,FALSE),"-")</f>
        <v>7580.2250000000013</v>
      </c>
      <c r="D702" s="83">
        <f t="shared" si="12"/>
        <v>16792.846666666668</v>
      </c>
    </row>
    <row r="703" spans="1:4" ht="16.5" thickBot="1" x14ac:dyDescent="0.3">
      <c r="A703" s="61" t="s">
        <v>426</v>
      </c>
      <c r="B703" s="61" t="s">
        <v>425</v>
      </c>
      <c r="C703" s="82">
        <f>IFERROR(VLOOKUP(B703,'VTN2025'!B:I,8,FALSE),"-")</f>
        <v>12053.771666666667</v>
      </c>
      <c r="D703" s="83">
        <f t="shared" si="12"/>
        <v>16792.846666666668</v>
      </c>
    </row>
    <row r="704" spans="1:4" ht="16.5" thickBot="1" x14ac:dyDescent="0.3">
      <c r="A704" s="61" t="s">
        <v>426</v>
      </c>
      <c r="B704" s="61" t="s">
        <v>485</v>
      </c>
      <c r="C704" s="82" t="str">
        <f>IFERROR(VLOOKUP(B704,'VTN2025'!B:I,8,FALSE),"-")</f>
        <v>-</v>
      </c>
      <c r="D704" s="83">
        <f t="shared" si="12"/>
        <v>16792.846666666668</v>
      </c>
    </row>
    <row r="705" spans="1:4" ht="16.5" thickBot="1" x14ac:dyDescent="0.3">
      <c r="A705" s="61" t="s">
        <v>426</v>
      </c>
      <c r="B705" s="61" t="s">
        <v>533</v>
      </c>
      <c r="C705" s="82">
        <f>IFERROR(VLOOKUP(B705,'VTN2025'!B:I,8,FALSE),"-")</f>
        <v>34005.480000000003</v>
      </c>
      <c r="D705" s="83">
        <f t="shared" si="12"/>
        <v>16792.846666666668</v>
      </c>
    </row>
    <row r="706" spans="1:4" ht="16.5" thickBot="1" x14ac:dyDescent="0.3">
      <c r="A706" s="61" t="s">
        <v>426</v>
      </c>
      <c r="B706" s="61" t="s">
        <v>476</v>
      </c>
      <c r="C706" s="82">
        <f>IFERROR(VLOOKUP(B706,'VTN2025'!B:I,8,FALSE),"-")</f>
        <v>21728.646666666664</v>
      </c>
      <c r="D706" s="83">
        <f t="shared" si="12"/>
        <v>16792.846666666668</v>
      </c>
    </row>
    <row r="707" spans="1:4" ht="16.5" thickBot="1" x14ac:dyDescent="0.3">
      <c r="A707" s="61" t="s">
        <v>426</v>
      </c>
      <c r="B707" s="61" t="s">
        <v>380</v>
      </c>
      <c r="C707" s="82">
        <f>IFERROR(VLOOKUP(B707,'VTN2025'!B:I,8,FALSE),"-")</f>
        <v>14200.974999999999</v>
      </c>
      <c r="D707" s="83">
        <f t="shared" si="12"/>
        <v>16792.846666666668</v>
      </c>
    </row>
    <row r="708" spans="1:4" ht="16.5" thickBot="1" x14ac:dyDescent="0.3">
      <c r="A708" s="61" t="s">
        <v>379</v>
      </c>
      <c r="B708" s="61" t="s">
        <v>376</v>
      </c>
      <c r="C708" s="82">
        <f>IFERROR(VLOOKUP(B708,'VTN2025'!B:I,8,FALSE),"-")</f>
        <v>25844.203333333338</v>
      </c>
      <c r="D708" s="83">
        <f t="shared" si="12"/>
        <v>19987.345416666671</v>
      </c>
    </row>
    <row r="709" spans="1:4" ht="16.5" thickBot="1" x14ac:dyDescent="0.3">
      <c r="A709" s="61" t="s">
        <v>379</v>
      </c>
      <c r="B709" s="61" t="s">
        <v>378</v>
      </c>
      <c r="C709" s="82">
        <f>IFERROR(VLOOKUP(B709,'VTN2025'!B:I,8,FALSE),"-")</f>
        <v>20209.003333333334</v>
      </c>
      <c r="D709" s="83">
        <f t="shared" si="12"/>
        <v>19987.345416666671</v>
      </c>
    </row>
    <row r="710" spans="1:4" ht="16.5" thickBot="1" x14ac:dyDescent="0.3">
      <c r="A710" s="61" t="s">
        <v>379</v>
      </c>
      <c r="B710" s="61" t="s">
        <v>542</v>
      </c>
      <c r="C710" s="82">
        <f>IFERROR(VLOOKUP(B710,'VTN2025'!B:I,8,FALSE),"-")</f>
        <v>19695.2</v>
      </c>
      <c r="D710" s="83">
        <f t="shared" si="12"/>
        <v>19987.345416666671</v>
      </c>
    </row>
    <row r="711" spans="1:4" ht="16.5" thickBot="1" x14ac:dyDescent="0.3">
      <c r="A711" s="61" t="s">
        <v>379</v>
      </c>
      <c r="B711" s="61" t="s">
        <v>600</v>
      </c>
      <c r="C711" s="82" t="str">
        <f>IFERROR(VLOOKUP(B711,'VTN2025'!B:I,8,FALSE),"-")</f>
        <v>-</v>
      </c>
      <c r="D711" s="83">
        <f t="shared" si="12"/>
        <v>19987.345416666671</v>
      </c>
    </row>
    <row r="712" spans="1:4" ht="16.5" thickBot="1" x14ac:dyDescent="0.3">
      <c r="A712" s="61" t="s">
        <v>379</v>
      </c>
      <c r="B712" s="61" t="s">
        <v>380</v>
      </c>
      <c r="C712" s="82">
        <f>IFERROR(VLOOKUP(B712,'VTN2025'!B:I,8,FALSE),"-")</f>
        <v>14200.974999999999</v>
      </c>
      <c r="D712" s="83">
        <f t="shared" si="12"/>
        <v>19987.345416666671</v>
      </c>
    </row>
    <row r="713" spans="1:4" ht="16.5" thickBot="1" x14ac:dyDescent="0.3">
      <c r="A713" s="61" t="s">
        <v>604</v>
      </c>
      <c r="B713" s="61" t="s">
        <v>491</v>
      </c>
      <c r="C713" s="82">
        <f>IFERROR(VLOOKUP(B713,'VTN2025'!B:I,8,FALSE),"-")</f>
        <v>12579.736666666669</v>
      </c>
      <c r="D713" s="83">
        <f t="shared" si="12"/>
        <v>22066.197380952381</v>
      </c>
    </row>
    <row r="714" spans="1:4" ht="16.5" thickBot="1" x14ac:dyDescent="0.3">
      <c r="A714" s="61" t="s">
        <v>604</v>
      </c>
      <c r="B714" s="61" t="s">
        <v>614</v>
      </c>
      <c r="C714" s="82">
        <f>IFERROR(VLOOKUP(B714,'VTN2025'!B:I,8,FALSE),"-")</f>
        <v>21553.351666666669</v>
      </c>
      <c r="D714" s="83">
        <f t="shared" si="12"/>
        <v>22066.197380952381</v>
      </c>
    </row>
    <row r="715" spans="1:4" ht="16.5" thickBot="1" x14ac:dyDescent="0.3">
      <c r="A715" s="61" t="s">
        <v>604</v>
      </c>
      <c r="B715" s="61" t="s">
        <v>615</v>
      </c>
      <c r="C715" s="82">
        <f>IFERROR(VLOOKUP(B715,'VTN2025'!B:I,8,FALSE),"-")</f>
        <v>33057.858333333337</v>
      </c>
      <c r="D715" s="83">
        <f t="shared" si="12"/>
        <v>22066.197380952381</v>
      </c>
    </row>
    <row r="716" spans="1:4" ht="16.5" thickBot="1" x14ac:dyDescent="0.3">
      <c r="A716" s="61" t="s">
        <v>604</v>
      </c>
      <c r="B716" s="61" t="s">
        <v>625</v>
      </c>
      <c r="C716" s="82" t="str">
        <f>IFERROR(VLOOKUP(B716,'VTN2025'!B:I,8,FALSE),"-")</f>
        <v>-</v>
      </c>
      <c r="D716" s="83">
        <f t="shared" si="12"/>
        <v>22066.197380952381</v>
      </c>
    </row>
    <row r="717" spans="1:4" ht="16.5" thickBot="1" x14ac:dyDescent="0.3">
      <c r="A717" s="61" t="s">
        <v>604</v>
      </c>
      <c r="B717" s="61" t="s">
        <v>374</v>
      </c>
      <c r="C717" s="82" t="str">
        <f>IFERROR(VLOOKUP(B717,'VTN2025'!B:I,8,FALSE),"-")</f>
        <v>-</v>
      </c>
      <c r="D717" s="83">
        <f t="shared" si="12"/>
        <v>22066.197380952381</v>
      </c>
    </row>
    <row r="718" spans="1:4" ht="16.5" thickBot="1" x14ac:dyDescent="0.3">
      <c r="A718" s="61" t="s">
        <v>604</v>
      </c>
      <c r="B718" s="61" t="s">
        <v>626</v>
      </c>
      <c r="C718" s="82" t="str">
        <f>IFERROR(VLOOKUP(B718,'VTN2025'!B:I,8,FALSE),"-")</f>
        <v>-</v>
      </c>
      <c r="D718" s="83">
        <f t="shared" si="12"/>
        <v>22066.197380952381</v>
      </c>
    </row>
    <row r="719" spans="1:4" ht="16.5" thickBot="1" x14ac:dyDescent="0.3">
      <c r="A719" s="61" t="s">
        <v>604</v>
      </c>
      <c r="B719" s="61" t="s">
        <v>605</v>
      </c>
      <c r="C719" s="82" t="str">
        <f>IFERROR(VLOOKUP(B719,'VTN2025'!B:I,8,FALSE),"-")</f>
        <v>-</v>
      </c>
      <c r="D719" s="83">
        <f t="shared" si="12"/>
        <v>22066.197380952381</v>
      </c>
    </row>
    <row r="720" spans="1:4" ht="16.5" thickBot="1" x14ac:dyDescent="0.3">
      <c r="A720" s="61" t="s">
        <v>604</v>
      </c>
      <c r="B720" s="61" t="s">
        <v>620</v>
      </c>
      <c r="C720" s="82">
        <f>IFERROR(VLOOKUP(B720,'VTN2025'!B:I,8,FALSE),"-")</f>
        <v>22239.466666666664</v>
      </c>
      <c r="D720" s="83">
        <f t="shared" si="12"/>
        <v>22066.197380952381</v>
      </c>
    </row>
    <row r="721" spans="1:4" ht="16.5" thickBot="1" x14ac:dyDescent="0.3">
      <c r="A721" s="61" t="s">
        <v>604</v>
      </c>
      <c r="B721" s="61" t="s">
        <v>627</v>
      </c>
      <c r="C721" s="82">
        <f>IFERROR(VLOOKUP(B721,'VTN2025'!B:I,8,FALSE),"-")</f>
        <v>18972.251666666667</v>
      </c>
      <c r="D721" s="83">
        <f t="shared" si="12"/>
        <v>22066.197380952381</v>
      </c>
    </row>
    <row r="722" spans="1:4" ht="16.5" thickBot="1" x14ac:dyDescent="0.3">
      <c r="A722" s="61" t="s">
        <v>604</v>
      </c>
      <c r="B722" s="61" t="s">
        <v>616</v>
      </c>
      <c r="C722" s="82">
        <f>IFERROR(VLOOKUP(B722,'VTN2025'!B:I,8,FALSE),"-")</f>
        <v>14024.663333333332</v>
      </c>
      <c r="D722" s="83">
        <f t="shared" si="12"/>
        <v>22066.197380952381</v>
      </c>
    </row>
    <row r="723" spans="1:4" ht="16.5" thickBot="1" x14ac:dyDescent="0.3">
      <c r="A723" s="61" t="s">
        <v>604</v>
      </c>
      <c r="B723" s="61" t="s">
        <v>565</v>
      </c>
      <c r="C723" s="82">
        <f>IFERROR(VLOOKUP(B723,'VTN2025'!B:I,8,FALSE),"-")</f>
        <v>32036.05333333333</v>
      </c>
      <c r="D723" s="83">
        <f t="shared" si="12"/>
        <v>22066.197380952381</v>
      </c>
    </row>
    <row r="724" spans="1:4" ht="16.5" thickBot="1" x14ac:dyDescent="0.3">
      <c r="A724" s="61" t="s">
        <v>445</v>
      </c>
      <c r="B724" s="61" t="s">
        <v>442</v>
      </c>
      <c r="C724" s="82">
        <f>IFERROR(VLOOKUP(B724,'VTN2025'!B:I,8,FALSE),"-")</f>
        <v>12349.69</v>
      </c>
      <c r="D724" s="83">
        <f t="shared" si="12"/>
        <v>14373.330476190475</v>
      </c>
    </row>
    <row r="725" spans="1:4" ht="16.5" thickBot="1" x14ac:dyDescent="0.3">
      <c r="A725" s="61" t="s">
        <v>445</v>
      </c>
      <c r="B725" s="61" t="s">
        <v>474</v>
      </c>
      <c r="C725" s="82">
        <f>IFERROR(VLOOKUP(B725,'VTN2025'!B:I,8,FALSE),"-")</f>
        <v>7580.2250000000013</v>
      </c>
      <c r="D725" s="83">
        <f t="shared" si="12"/>
        <v>14373.330476190475</v>
      </c>
    </row>
    <row r="726" spans="1:4" ht="16.5" thickBot="1" x14ac:dyDescent="0.3">
      <c r="A726" s="61" t="s">
        <v>445</v>
      </c>
      <c r="B726" s="61" t="s">
        <v>444</v>
      </c>
      <c r="C726" s="82">
        <f>IFERROR(VLOOKUP(B726,'VTN2025'!B:I,8,FALSE),"-")</f>
        <v>17929.771666666667</v>
      </c>
      <c r="D726" s="83">
        <f t="shared" si="12"/>
        <v>14373.330476190475</v>
      </c>
    </row>
    <row r="727" spans="1:4" ht="16.5" thickBot="1" x14ac:dyDescent="0.3">
      <c r="A727" s="61" t="s">
        <v>445</v>
      </c>
      <c r="B727" s="61" t="s">
        <v>451</v>
      </c>
      <c r="C727" s="82">
        <f>IFERROR(VLOOKUP(B727,'VTN2025'!B:I,8,FALSE),"-")</f>
        <v>13376.666666666666</v>
      </c>
      <c r="D727" s="83">
        <f t="shared" si="12"/>
        <v>14373.330476190475</v>
      </c>
    </row>
    <row r="728" spans="1:4" ht="16.5" thickBot="1" x14ac:dyDescent="0.3">
      <c r="A728" s="61" t="s">
        <v>445</v>
      </c>
      <c r="B728" s="61" t="s">
        <v>532</v>
      </c>
      <c r="C728" s="82">
        <f>IFERROR(VLOOKUP(B728,'VTN2025'!B:I,8,FALSE),"-")</f>
        <v>16004.18</v>
      </c>
      <c r="D728" s="83">
        <f t="shared" si="12"/>
        <v>14373.330476190475</v>
      </c>
    </row>
    <row r="729" spans="1:4" ht="16.5" thickBot="1" x14ac:dyDescent="0.3">
      <c r="A729" s="61" t="s">
        <v>445</v>
      </c>
      <c r="B729" s="61" t="s">
        <v>534</v>
      </c>
      <c r="C729" s="82">
        <f>IFERROR(VLOOKUP(B729,'VTN2025'!B:I,8,FALSE),"-")</f>
        <v>20917.868333333332</v>
      </c>
      <c r="D729" s="83">
        <f t="shared" si="12"/>
        <v>14373.330476190475</v>
      </c>
    </row>
    <row r="730" spans="1:4" ht="16.5" thickBot="1" x14ac:dyDescent="0.3">
      <c r="A730" s="61" t="s">
        <v>445</v>
      </c>
      <c r="B730" s="61" t="s">
        <v>446</v>
      </c>
      <c r="C730" s="82" t="str">
        <f>IFERROR(VLOOKUP(B730,'VTN2025'!B:I,8,FALSE),"-")</f>
        <v>-</v>
      </c>
      <c r="D730" s="83">
        <f t="shared" ref="D730:D793" si="13">AVERAGEIF($A:$A,A730,$C:$C)</f>
        <v>14373.330476190475</v>
      </c>
    </row>
    <row r="731" spans="1:4" ht="16.5" thickBot="1" x14ac:dyDescent="0.3">
      <c r="A731" s="61" t="s">
        <v>445</v>
      </c>
      <c r="B731" s="61" t="s">
        <v>452</v>
      </c>
      <c r="C731" s="82">
        <f>IFERROR(VLOOKUP(B731,'VTN2025'!B:I,8,FALSE),"-")</f>
        <v>12454.911666666667</v>
      </c>
      <c r="D731" s="83">
        <f t="shared" si="13"/>
        <v>14373.330476190475</v>
      </c>
    </row>
    <row r="732" spans="1:4" ht="16.5" thickBot="1" x14ac:dyDescent="0.3">
      <c r="A732" s="61" t="s">
        <v>594</v>
      </c>
      <c r="B732" s="61" t="s">
        <v>475</v>
      </c>
      <c r="C732" s="82">
        <f>IFERROR(VLOOKUP(B732,'VTN2025'!B:I,8,FALSE),"-")</f>
        <v>13640.51</v>
      </c>
      <c r="D732" s="83">
        <f t="shared" si="13"/>
        <v>12187.622083333332</v>
      </c>
    </row>
    <row r="733" spans="1:4" ht="16.5" thickBot="1" x14ac:dyDescent="0.3">
      <c r="A733" s="61" t="s">
        <v>594</v>
      </c>
      <c r="B733" s="61" t="s">
        <v>593</v>
      </c>
      <c r="C733" s="82">
        <f>IFERROR(VLOOKUP(B733,'VTN2025'!B:I,8,FALSE),"-")</f>
        <v>10367.374999999998</v>
      </c>
      <c r="D733" s="83">
        <f t="shared" si="13"/>
        <v>12187.622083333332</v>
      </c>
    </row>
    <row r="734" spans="1:4" ht="16.5" thickBot="1" x14ac:dyDescent="0.3">
      <c r="A734" s="61" t="s">
        <v>594</v>
      </c>
      <c r="B734" s="61" t="s">
        <v>425</v>
      </c>
      <c r="C734" s="82">
        <f>IFERROR(VLOOKUP(B734,'VTN2025'!B:I,8,FALSE),"-")</f>
        <v>12053.771666666667</v>
      </c>
      <c r="D734" s="83">
        <f t="shared" si="13"/>
        <v>12187.622083333332</v>
      </c>
    </row>
    <row r="735" spans="1:4" ht="16.5" thickBot="1" x14ac:dyDescent="0.3">
      <c r="A735" s="61" t="s">
        <v>594</v>
      </c>
      <c r="B735" s="61" t="s">
        <v>599</v>
      </c>
      <c r="C735" s="82" t="str">
        <f>IFERROR(VLOOKUP(B735,'VTN2025'!B:I,8,FALSE),"-")</f>
        <v>-</v>
      </c>
      <c r="D735" s="83">
        <f t="shared" si="13"/>
        <v>12187.622083333332</v>
      </c>
    </row>
    <row r="736" spans="1:4" ht="16.5" thickBot="1" x14ac:dyDescent="0.3">
      <c r="A736" s="61" t="s">
        <v>594</v>
      </c>
      <c r="B736" s="61" t="s">
        <v>457</v>
      </c>
      <c r="C736" s="82">
        <f>IFERROR(VLOOKUP(B736,'VTN2025'!B:I,8,FALSE),"-")</f>
        <v>12688.831666666667</v>
      </c>
      <c r="D736" s="83">
        <f t="shared" si="13"/>
        <v>12187.622083333332</v>
      </c>
    </row>
    <row r="737" spans="1:4" ht="16.5" thickBot="1" x14ac:dyDescent="0.3">
      <c r="A737" s="61" t="s">
        <v>625</v>
      </c>
      <c r="B737" s="61" t="s">
        <v>604</v>
      </c>
      <c r="C737" s="82">
        <f>IFERROR(VLOOKUP(B737,'VTN2025'!B:I,8,FALSE),"-")</f>
        <v>16509.973333333332</v>
      </c>
      <c r="D737" s="83">
        <f t="shared" si="13"/>
        <v>21118.339583333331</v>
      </c>
    </row>
    <row r="738" spans="1:4" ht="16.5" thickBot="1" x14ac:dyDescent="0.3">
      <c r="A738" s="61" t="s">
        <v>625</v>
      </c>
      <c r="B738" s="61" t="s">
        <v>437</v>
      </c>
      <c r="C738" s="82">
        <f>IFERROR(VLOOKUP(B738,'VTN2025'!B:I,8,FALSE),"-")</f>
        <v>26751.666666666668</v>
      </c>
      <c r="D738" s="83">
        <f t="shared" si="13"/>
        <v>21118.339583333331</v>
      </c>
    </row>
    <row r="739" spans="1:4" ht="16.5" thickBot="1" x14ac:dyDescent="0.3">
      <c r="A739" s="61" t="s">
        <v>625</v>
      </c>
      <c r="B739" s="61" t="s">
        <v>620</v>
      </c>
      <c r="C739" s="82">
        <f>IFERROR(VLOOKUP(B739,'VTN2025'!B:I,8,FALSE),"-")</f>
        <v>22239.466666666664</v>
      </c>
      <c r="D739" s="83">
        <f t="shared" si="13"/>
        <v>21118.339583333331</v>
      </c>
    </row>
    <row r="740" spans="1:4" ht="16.5" thickBot="1" x14ac:dyDescent="0.3">
      <c r="A740" s="61" t="s">
        <v>625</v>
      </c>
      <c r="B740" s="61" t="s">
        <v>627</v>
      </c>
      <c r="C740" s="82">
        <f>IFERROR(VLOOKUP(B740,'VTN2025'!B:I,8,FALSE),"-")</f>
        <v>18972.251666666667</v>
      </c>
      <c r="D740" s="83">
        <f t="shared" si="13"/>
        <v>21118.339583333331</v>
      </c>
    </row>
    <row r="741" spans="1:4" ht="16.5" thickBot="1" x14ac:dyDescent="0.3">
      <c r="A741" s="61" t="s">
        <v>393</v>
      </c>
      <c r="B741" s="61" t="s">
        <v>392</v>
      </c>
      <c r="C741" s="82" t="str">
        <f>IFERROR(VLOOKUP(B741,'VTN2025'!B:I,8,FALSE),"-")</f>
        <v>-</v>
      </c>
      <c r="D741" s="83">
        <f t="shared" si="13"/>
        <v>33255.434166666673</v>
      </c>
    </row>
    <row r="742" spans="1:4" ht="16.5" thickBot="1" x14ac:dyDescent="0.3">
      <c r="A742" s="61" t="s">
        <v>393</v>
      </c>
      <c r="B742" s="61" t="s">
        <v>500</v>
      </c>
      <c r="C742" s="82">
        <f>IFERROR(VLOOKUP(B742,'VTN2025'!B:I,8,FALSE),"-")</f>
        <v>34286.04833333334</v>
      </c>
      <c r="D742" s="83">
        <f t="shared" si="13"/>
        <v>33255.434166666673</v>
      </c>
    </row>
    <row r="743" spans="1:4" ht="16.5" thickBot="1" x14ac:dyDescent="0.3">
      <c r="A743" s="61" t="s">
        <v>393</v>
      </c>
      <c r="B743" s="61" t="s">
        <v>394</v>
      </c>
      <c r="C743" s="82">
        <f>IFERROR(VLOOKUP(B743,'VTN2025'!B:I,8,FALSE),"-")</f>
        <v>23441.798333333336</v>
      </c>
      <c r="D743" s="83">
        <f t="shared" si="13"/>
        <v>33255.434166666673</v>
      </c>
    </row>
    <row r="744" spans="1:4" ht="16.5" thickBot="1" x14ac:dyDescent="0.3">
      <c r="A744" s="61" t="s">
        <v>393</v>
      </c>
      <c r="B744" s="61" t="s">
        <v>395</v>
      </c>
      <c r="C744" s="82">
        <f>IFERROR(VLOOKUP(B744,'VTN2025'!B:I,8,FALSE),"-")</f>
        <v>33083.333333333336</v>
      </c>
      <c r="D744" s="83">
        <f t="shared" si="13"/>
        <v>33255.434166666673</v>
      </c>
    </row>
    <row r="745" spans="1:4" ht="16.5" thickBot="1" x14ac:dyDescent="0.3">
      <c r="A745" s="61" t="s">
        <v>393</v>
      </c>
      <c r="B745" s="61" t="s">
        <v>595</v>
      </c>
      <c r="C745" s="82">
        <f>IFERROR(VLOOKUP(B745,'VTN2025'!B:I,8,FALSE),"-")</f>
        <v>42210.556666666664</v>
      </c>
      <c r="D745" s="83">
        <f t="shared" si="13"/>
        <v>33255.434166666673</v>
      </c>
    </row>
    <row r="746" spans="1:4" ht="16.5" thickBot="1" x14ac:dyDescent="0.3">
      <c r="A746" s="61" t="s">
        <v>515</v>
      </c>
      <c r="B746" s="61" t="s">
        <v>478</v>
      </c>
      <c r="C746" s="82">
        <f>IFERROR(VLOOKUP(B746,'VTN2025'!B:I,8,FALSE),"-")</f>
        <v>8311.25</v>
      </c>
      <c r="D746" s="83">
        <f t="shared" si="13"/>
        <v>12801.043888888889</v>
      </c>
    </row>
    <row r="747" spans="1:4" ht="16.5" thickBot="1" x14ac:dyDescent="0.3">
      <c r="A747" s="61" t="s">
        <v>515</v>
      </c>
      <c r="B747" s="61" t="s">
        <v>479</v>
      </c>
      <c r="C747" s="82" t="str">
        <f>IFERROR(VLOOKUP(B747,'VTN2025'!B:I,8,FALSE),"-")</f>
        <v>-</v>
      </c>
      <c r="D747" s="83">
        <f t="shared" si="13"/>
        <v>12801.043888888889</v>
      </c>
    </row>
    <row r="748" spans="1:4" ht="16.5" thickBot="1" x14ac:dyDescent="0.3">
      <c r="A748" s="61" t="s">
        <v>515</v>
      </c>
      <c r="B748" s="61" t="s">
        <v>593</v>
      </c>
      <c r="C748" s="82">
        <f>IFERROR(VLOOKUP(B748,'VTN2025'!B:I,8,FALSE),"-")</f>
        <v>10367.374999999998</v>
      </c>
      <c r="D748" s="83">
        <f t="shared" si="13"/>
        <v>12801.043888888889</v>
      </c>
    </row>
    <row r="749" spans="1:4" ht="16.5" thickBot="1" x14ac:dyDescent="0.3">
      <c r="A749" s="61" t="s">
        <v>515</v>
      </c>
      <c r="B749" s="61" t="s">
        <v>514</v>
      </c>
      <c r="C749" s="82">
        <f>IFERROR(VLOOKUP(B749,'VTN2025'!B:I,8,FALSE),"-")</f>
        <v>11447.461666666668</v>
      </c>
      <c r="D749" s="83">
        <f t="shared" si="13"/>
        <v>12801.043888888889</v>
      </c>
    </row>
    <row r="750" spans="1:4" ht="16.5" thickBot="1" x14ac:dyDescent="0.3">
      <c r="A750" s="61" t="s">
        <v>515</v>
      </c>
      <c r="B750" s="61" t="s">
        <v>457</v>
      </c>
      <c r="C750" s="82">
        <f>IFERROR(VLOOKUP(B750,'VTN2025'!B:I,8,FALSE),"-")</f>
        <v>12688.831666666667</v>
      </c>
      <c r="D750" s="83">
        <f t="shared" si="13"/>
        <v>12801.043888888889</v>
      </c>
    </row>
    <row r="751" spans="1:4" ht="16.5" thickBot="1" x14ac:dyDescent="0.3">
      <c r="A751" s="61" t="s">
        <v>515</v>
      </c>
      <c r="B751" s="61" t="s">
        <v>522</v>
      </c>
      <c r="C751" s="82">
        <f>IFERROR(VLOOKUP(B751,'VTN2025'!B:I,8,FALSE),"-")</f>
        <v>22097</v>
      </c>
      <c r="D751" s="83">
        <f t="shared" si="13"/>
        <v>12801.043888888889</v>
      </c>
    </row>
    <row r="752" spans="1:4" ht="16.5" thickBot="1" x14ac:dyDescent="0.3">
      <c r="A752" s="61" t="s">
        <v>515</v>
      </c>
      <c r="B752" s="61" t="s">
        <v>516</v>
      </c>
      <c r="C752" s="82">
        <f>IFERROR(VLOOKUP(B752,'VTN2025'!B:I,8,FALSE),"-")</f>
        <v>11894.344999999999</v>
      </c>
      <c r="D752" s="83">
        <f t="shared" si="13"/>
        <v>12801.043888888889</v>
      </c>
    </row>
    <row r="753" spans="1:4" ht="16.5" thickBot="1" x14ac:dyDescent="0.3">
      <c r="A753" s="61" t="s">
        <v>618</v>
      </c>
      <c r="B753" s="61" t="s">
        <v>450</v>
      </c>
      <c r="C753" s="82">
        <f>IFERROR(VLOOKUP(B753,'VTN2025'!B:I,8,FALSE),"-")</f>
        <v>14070.331666666667</v>
      </c>
      <c r="D753" s="83">
        <f t="shared" si="13"/>
        <v>14070.331666666667</v>
      </c>
    </row>
    <row r="754" spans="1:4" ht="16.5" thickBot="1" x14ac:dyDescent="0.3">
      <c r="A754" s="61" t="s">
        <v>618</v>
      </c>
      <c r="B754" s="61" t="s">
        <v>619</v>
      </c>
      <c r="C754" s="82" t="str">
        <f>IFERROR(VLOOKUP(B754,'VTN2025'!B:I,8,FALSE),"-")</f>
        <v>-</v>
      </c>
      <c r="D754" s="83">
        <f t="shared" si="13"/>
        <v>14070.331666666667</v>
      </c>
    </row>
    <row r="755" spans="1:4" ht="16.5" thickBot="1" x14ac:dyDescent="0.3">
      <c r="A755" s="61" t="s">
        <v>434</v>
      </c>
      <c r="B755" s="61" t="s">
        <v>371</v>
      </c>
      <c r="C755" s="82" t="str">
        <f>IFERROR(VLOOKUP(B755,'VTN2025'!B:I,8,FALSE),"-")</f>
        <v>-</v>
      </c>
      <c r="D755" s="83">
        <f t="shared" si="13"/>
        <v>22106.758333333335</v>
      </c>
    </row>
    <row r="756" spans="1:4" ht="16.5" thickBot="1" x14ac:dyDescent="0.3">
      <c r="A756" s="61" t="s">
        <v>434</v>
      </c>
      <c r="B756" s="61" t="s">
        <v>506</v>
      </c>
      <c r="C756" s="82">
        <f>IFERROR(VLOOKUP(B756,'VTN2025'!B:I,8,FALSE),"-")</f>
        <v>28732.248333333333</v>
      </c>
      <c r="D756" s="83">
        <f t="shared" si="13"/>
        <v>22106.758333333335</v>
      </c>
    </row>
    <row r="757" spans="1:4" ht="16.5" thickBot="1" x14ac:dyDescent="0.3">
      <c r="A757" s="61" t="s">
        <v>434</v>
      </c>
      <c r="B757" s="61" t="s">
        <v>494</v>
      </c>
      <c r="C757" s="82" t="str">
        <f>IFERROR(VLOOKUP(B757,'VTN2025'!B:I,8,FALSE),"-")</f>
        <v>-</v>
      </c>
      <c r="D757" s="83">
        <f t="shared" si="13"/>
        <v>22106.758333333335</v>
      </c>
    </row>
    <row r="758" spans="1:4" ht="16.5" thickBot="1" x14ac:dyDescent="0.3">
      <c r="A758" s="61" t="s">
        <v>434</v>
      </c>
      <c r="B758" s="61" t="s">
        <v>433</v>
      </c>
      <c r="C758" s="82">
        <f>IFERROR(VLOOKUP(B758,'VTN2025'!B:I,8,FALSE),"-")</f>
        <v>15196.01</v>
      </c>
      <c r="D758" s="83">
        <f t="shared" si="13"/>
        <v>22106.758333333335</v>
      </c>
    </row>
    <row r="759" spans="1:4" ht="16.5" thickBot="1" x14ac:dyDescent="0.3">
      <c r="A759" s="61" t="s">
        <v>434</v>
      </c>
      <c r="B759" s="61" t="s">
        <v>441</v>
      </c>
      <c r="C759" s="82">
        <f>IFERROR(VLOOKUP(B759,'VTN2025'!B:I,8,FALSE),"-")</f>
        <v>23977.173333333336</v>
      </c>
      <c r="D759" s="83">
        <f t="shared" si="13"/>
        <v>22106.758333333335</v>
      </c>
    </row>
    <row r="760" spans="1:4" ht="16.5" thickBot="1" x14ac:dyDescent="0.3">
      <c r="A760" s="61" t="s">
        <v>434</v>
      </c>
      <c r="B760" s="61" t="s">
        <v>375</v>
      </c>
      <c r="C760" s="82">
        <f>IFERROR(VLOOKUP(B760,'VTN2025'!B:I,8,FALSE),"-")</f>
        <v>20521.601666666666</v>
      </c>
      <c r="D760" s="83">
        <f t="shared" si="13"/>
        <v>22106.758333333335</v>
      </c>
    </row>
    <row r="761" spans="1:4" ht="16.5" thickBot="1" x14ac:dyDescent="0.3">
      <c r="A761" s="61" t="s">
        <v>390</v>
      </c>
      <c r="B761" s="61" t="s">
        <v>370</v>
      </c>
      <c r="C761" s="82">
        <f>IFERROR(VLOOKUP(B761,'VTN2025'!B:I,8,FALSE),"-")</f>
        <v>12335.518333333333</v>
      </c>
      <c r="D761" s="83">
        <f t="shared" si="13"/>
        <v>18197.004166666669</v>
      </c>
    </row>
    <row r="762" spans="1:4" ht="16.5" thickBot="1" x14ac:dyDescent="0.3">
      <c r="A762" s="61" t="s">
        <v>390</v>
      </c>
      <c r="B762" s="61" t="s">
        <v>581</v>
      </c>
      <c r="C762" s="82" t="str">
        <f>IFERROR(VLOOKUP(B762,'VTN2025'!B:I,8,FALSE),"-")</f>
        <v>-</v>
      </c>
      <c r="D762" s="83">
        <f t="shared" si="13"/>
        <v>18197.004166666669</v>
      </c>
    </row>
    <row r="763" spans="1:4" ht="16.5" thickBot="1" x14ac:dyDescent="0.3">
      <c r="A763" s="61" t="s">
        <v>390</v>
      </c>
      <c r="B763" s="61" t="s">
        <v>582</v>
      </c>
      <c r="C763" s="82">
        <f>IFERROR(VLOOKUP(B763,'VTN2025'!B:I,8,FALSE),"-")</f>
        <v>19664.763333333336</v>
      </c>
      <c r="D763" s="83">
        <f t="shared" si="13"/>
        <v>18197.004166666669</v>
      </c>
    </row>
    <row r="764" spans="1:4" ht="16.5" thickBot="1" x14ac:dyDescent="0.3">
      <c r="A764" s="61" t="s">
        <v>390</v>
      </c>
      <c r="B764" s="61" t="s">
        <v>536</v>
      </c>
      <c r="C764" s="82">
        <f>IFERROR(VLOOKUP(B764,'VTN2025'!B:I,8,FALSE),"-")</f>
        <v>20266.133333333335</v>
      </c>
      <c r="D764" s="83">
        <f t="shared" si="13"/>
        <v>18197.004166666669</v>
      </c>
    </row>
    <row r="765" spans="1:4" ht="16.5" thickBot="1" x14ac:dyDescent="0.3">
      <c r="A765" s="61" t="s">
        <v>390</v>
      </c>
      <c r="B765" s="61" t="s">
        <v>628</v>
      </c>
      <c r="C765" s="82" t="str">
        <f>IFERROR(VLOOKUP(B765,'VTN2025'!B:I,8,FALSE),"-")</f>
        <v>-</v>
      </c>
      <c r="D765" s="83">
        <f t="shared" si="13"/>
        <v>18197.004166666669</v>
      </c>
    </row>
    <row r="766" spans="1:4" ht="16.5" thickBot="1" x14ac:dyDescent="0.3">
      <c r="A766" s="61" t="s">
        <v>390</v>
      </c>
      <c r="B766" s="61" t="s">
        <v>612</v>
      </c>
      <c r="C766" s="82" t="str">
        <f>IFERROR(VLOOKUP(B766,'VTN2025'!B:I,8,FALSE),"-")</f>
        <v>-</v>
      </c>
      <c r="D766" s="83">
        <f t="shared" si="13"/>
        <v>18197.004166666669</v>
      </c>
    </row>
    <row r="767" spans="1:4" ht="16.5" thickBot="1" x14ac:dyDescent="0.3">
      <c r="A767" s="61" t="s">
        <v>390</v>
      </c>
      <c r="B767" s="61" t="s">
        <v>391</v>
      </c>
      <c r="C767" s="82" t="str">
        <f>IFERROR(VLOOKUP(B767,'VTN2025'!B:I,8,FALSE),"-")</f>
        <v>-</v>
      </c>
      <c r="D767" s="83">
        <f t="shared" si="13"/>
        <v>18197.004166666669</v>
      </c>
    </row>
    <row r="768" spans="1:4" ht="16.5" thickBot="1" x14ac:dyDescent="0.3">
      <c r="A768" s="61" t="s">
        <v>390</v>
      </c>
      <c r="B768" s="61" t="s">
        <v>375</v>
      </c>
      <c r="C768" s="82">
        <f>IFERROR(VLOOKUP(B768,'VTN2025'!B:I,8,FALSE),"-")</f>
        <v>20521.601666666666</v>
      </c>
      <c r="D768" s="83">
        <f t="shared" si="13"/>
        <v>18197.004166666669</v>
      </c>
    </row>
    <row r="769" spans="1:4" ht="16.5" thickBot="1" x14ac:dyDescent="0.3">
      <c r="A769" s="61" t="s">
        <v>390</v>
      </c>
      <c r="B769" s="61" t="s">
        <v>583</v>
      </c>
      <c r="C769" s="82" t="str">
        <f>IFERROR(VLOOKUP(B769,'VTN2025'!B:I,8,FALSE),"-")</f>
        <v>-</v>
      </c>
      <c r="D769" s="83">
        <f t="shared" si="13"/>
        <v>18197.004166666669</v>
      </c>
    </row>
    <row r="770" spans="1:4" ht="16.5" thickBot="1" x14ac:dyDescent="0.3">
      <c r="A770" s="61" t="s">
        <v>580</v>
      </c>
      <c r="B770" s="61" t="s">
        <v>578</v>
      </c>
      <c r="C770" s="82">
        <f>IFERROR(VLOOKUP(B770,'VTN2025'!B:I,8,FALSE),"-")</f>
        <v>27568.820000000003</v>
      </c>
      <c r="D770" s="83">
        <f t="shared" si="13"/>
        <v>25283.538541666669</v>
      </c>
    </row>
    <row r="771" spans="1:4" ht="16.5" thickBot="1" x14ac:dyDescent="0.3">
      <c r="A771" s="61" t="s">
        <v>580</v>
      </c>
      <c r="B771" s="61" t="s">
        <v>591</v>
      </c>
      <c r="C771" s="82">
        <f>IFERROR(VLOOKUP(B771,'VTN2025'!B:I,8,FALSE),"-")</f>
        <v>21794.404999999999</v>
      </c>
      <c r="D771" s="83">
        <f t="shared" si="13"/>
        <v>25283.538541666669</v>
      </c>
    </row>
    <row r="772" spans="1:4" ht="16.5" thickBot="1" x14ac:dyDescent="0.3">
      <c r="A772" s="61" t="s">
        <v>580</v>
      </c>
      <c r="B772" s="61" t="s">
        <v>440</v>
      </c>
      <c r="C772" s="82">
        <f>IFERROR(VLOOKUP(B772,'VTN2025'!B:I,8,FALSE),"-")</f>
        <v>32851.071666666663</v>
      </c>
      <c r="D772" s="83">
        <f t="shared" si="13"/>
        <v>25283.538541666669</v>
      </c>
    </row>
    <row r="773" spans="1:4" ht="16.5" thickBot="1" x14ac:dyDescent="0.3">
      <c r="A773" s="61" t="s">
        <v>580</v>
      </c>
      <c r="B773" s="61" t="s">
        <v>394</v>
      </c>
      <c r="C773" s="82">
        <f>IFERROR(VLOOKUP(B773,'VTN2025'!B:I,8,FALSE),"-")</f>
        <v>23441.798333333336</v>
      </c>
      <c r="D773" s="83">
        <f t="shared" si="13"/>
        <v>25283.538541666669</v>
      </c>
    </row>
    <row r="774" spans="1:4" ht="16.5" thickBot="1" x14ac:dyDescent="0.3">
      <c r="A774" s="61" t="s">
        <v>580</v>
      </c>
      <c r="B774" s="61" t="s">
        <v>496</v>
      </c>
      <c r="C774" s="82">
        <f>IFERROR(VLOOKUP(B774,'VTN2025'!B:I,8,FALSE),"-")</f>
        <v>32040.615000000002</v>
      </c>
      <c r="D774" s="83">
        <f t="shared" si="13"/>
        <v>25283.538541666669</v>
      </c>
    </row>
    <row r="775" spans="1:4" ht="16.5" thickBot="1" x14ac:dyDescent="0.3">
      <c r="A775" s="61" t="s">
        <v>580</v>
      </c>
      <c r="B775" s="61" t="s">
        <v>395</v>
      </c>
      <c r="C775" s="82">
        <f>IFERROR(VLOOKUP(B775,'VTN2025'!B:I,8,FALSE),"-")</f>
        <v>33083.333333333336</v>
      </c>
      <c r="D775" s="83">
        <f t="shared" si="13"/>
        <v>25283.538541666669</v>
      </c>
    </row>
    <row r="776" spans="1:4" ht="16.5" thickBot="1" x14ac:dyDescent="0.3">
      <c r="A776" s="61" t="s">
        <v>580</v>
      </c>
      <c r="B776" s="61" t="s">
        <v>592</v>
      </c>
      <c r="C776" s="82">
        <f>IFERROR(VLOOKUP(B776,'VTN2025'!B:I,8,FALSE),"-")</f>
        <v>13736.94</v>
      </c>
      <c r="D776" s="83">
        <f t="shared" si="13"/>
        <v>25283.538541666669</v>
      </c>
    </row>
    <row r="777" spans="1:4" ht="16.5" thickBot="1" x14ac:dyDescent="0.3">
      <c r="A777" s="61" t="s">
        <v>580</v>
      </c>
      <c r="B777" s="61" t="s">
        <v>459</v>
      </c>
      <c r="C777" s="82">
        <f>IFERROR(VLOOKUP(B777,'VTN2025'!B:I,8,FALSE),"-")</f>
        <v>17751.325000000001</v>
      </c>
      <c r="D777" s="83">
        <f t="shared" si="13"/>
        <v>25283.538541666669</v>
      </c>
    </row>
    <row r="778" spans="1:4" ht="16.5" thickBot="1" x14ac:dyDescent="0.3">
      <c r="A778" s="61" t="s">
        <v>524</v>
      </c>
      <c r="B778" s="61" t="s">
        <v>409</v>
      </c>
      <c r="C778" s="82" t="str">
        <f>IFERROR(VLOOKUP(B778,'VTN2025'!B:I,8,FALSE),"-")</f>
        <v>-</v>
      </c>
      <c r="D778" s="83">
        <f t="shared" si="13"/>
        <v>9641.8700000000008</v>
      </c>
    </row>
    <row r="779" spans="1:4" ht="16.5" thickBot="1" x14ac:dyDescent="0.3">
      <c r="A779" s="61" t="s">
        <v>524</v>
      </c>
      <c r="B779" s="61" t="s">
        <v>523</v>
      </c>
      <c r="C779" s="82" t="str">
        <f>IFERROR(VLOOKUP(B779,'VTN2025'!B:I,8,FALSE),"-")</f>
        <v>-</v>
      </c>
      <c r="D779" s="83">
        <f t="shared" si="13"/>
        <v>9641.8700000000008</v>
      </c>
    </row>
    <row r="780" spans="1:4" ht="16.5" thickBot="1" x14ac:dyDescent="0.3">
      <c r="A780" s="61" t="s">
        <v>524</v>
      </c>
      <c r="B780" s="61" t="s">
        <v>413</v>
      </c>
      <c r="C780" s="82">
        <f>IFERROR(VLOOKUP(B780,'VTN2025'!B:I,8,FALSE),"-")</f>
        <v>9641.8700000000008</v>
      </c>
      <c r="D780" s="83">
        <f t="shared" si="13"/>
        <v>9641.8700000000008</v>
      </c>
    </row>
    <row r="781" spans="1:4" ht="16.5" thickBot="1" x14ac:dyDescent="0.3">
      <c r="A781" s="61" t="s">
        <v>398</v>
      </c>
      <c r="B781" s="61" t="s">
        <v>396</v>
      </c>
      <c r="C781" s="82">
        <f>IFERROR(VLOOKUP(B781,'VTN2025'!B:I,8,FALSE),"-")</f>
        <v>5425.2616666666663</v>
      </c>
      <c r="D781" s="83">
        <f t="shared" si="13"/>
        <v>7109.2794444444435</v>
      </c>
    </row>
    <row r="782" spans="1:4" ht="16.5" thickBot="1" x14ac:dyDescent="0.3">
      <c r="A782" s="61" t="s">
        <v>398</v>
      </c>
      <c r="B782" s="61" t="s">
        <v>416</v>
      </c>
      <c r="C782" s="82">
        <f>IFERROR(VLOOKUP(B782,'VTN2025'!B:I,8,FALSE),"-")</f>
        <v>6217.8816666666653</v>
      </c>
      <c r="D782" s="83">
        <f t="shared" si="13"/>
        <v>7109.2794444444435</v>
      </c>
    </row>
    <row r="783" spans="1:4" ht="16.5" thickBot="1" x14ac:dyDescent="0.3">
      <c r="A783" s="61" t="s">
        <v>398</v>
      </c>
      <c r="B783" s="61" t="s">
        <v>544</v>
      </c>
      <c r="C783" s="82">
        <f>IFERROR(VLOOKUP(B783,'VTN2025'!B:I,8,FALSE),"-")</f>
        <v>7535.7266666666665</v>
      </c>
      <c r="D783" s="83">
        <f t="shared" si="13"/>
        <v>7109.2794444444435</v>
      </c>
    </row>
    <row r="784" spans="1:4" ht="16.5" thickBot="1" x14ac:dyDescent="0.3">
      <c r="A784" s="61" t="s">
        <v>398</v>
      </c>
      <c r="B784" s="61" t="s">
        <v>397</v>
      </c>
      <c r="C784" s="82">
        <f>IFERROR(VLOOKUP(B784,'VTN2025'!B:I,8,FALSE),"-")</f>
        <v>6386.3166666666657</v>
      </c>
      <c r="D784" s="83">
        <f t="shared" si="13"/>
        <v>7109.2794444444435</v>
      </c>
    </row>
    <row r="785" spans="1:4" ht="16.5" thickBot="1" x14ac:dyDescent="0.3">
      <c r="A785" s="61" t="s">
        <v>398</v>
      </c>
      <c r="B785" s="61" t="s">
        <v>596</v>
      </c>
      <c r="C785" s="82">
        <f>IFERROR(VLOOKUP(B785,'VTN2025'!B:I,8,FALSE),"-")</f>
        <v>8049.0766666666668</v>
      </c>
      <c r="D785" s="83">
        <f t="shared" si="13"/>
        <v>7109.2794444444435</v>
      </c>
    </row>
    <row r="786" spans="1:4" ht="16.5" thickBot="1" x14ac:dyDescent="0.3">
      <c r="A786" s="61" t="s">
        <v>398</v>
      </c>
      <c r="B786" s="61" t="s">
        <v>411</v>
      </c>
      <c r="C786" s="82">
        <f>IFERROR(VLOOKUP(B786,'VTN2025'!B:I,8,FALSE),"-")</f>
        <v>5786.45</v>
      </c>
      <c r="D786" s="83">
        <f t="shared" si="13"/>
        <v>7109.2794444444435</v>
      </c>
    </row>
    <row r="787" spans="1:4" ht="16.5" thickBot="1" x14ac:dyDescent="0.3">
      <c r="A787" s="61" t="s">
        <v>398</v>
      </c>
      <c r="B787" s="61" t="s">
        <v>419</v>
      </c>
      <c r="C787" s="82">
        <f>IFERROR(VLOOKUP(B787,'VTN2025'!B:I,8,FALSE),"-")</f>
        <v>6193.1383333333333</v>
      </c>
      <c r="D787" s="83">
        <f t="shared" si="13"/>
        <v>7109.2794444444435</v>
      </c>
    </row>
    <row r="788" spans="1:4" ht="16.5" thickBot="1" x14ac:dyDescent="0.3">
      <c r="A788" s="61" t="s">
        <v>398</v>
      </c>
      <c r="B788" s="61" t="s">
        <v>399</v>
      </c>
      <c r="C788" s="82">
        <f>IFERROR(VLOOKUP(B788,'VTN2025'!B:I,8,FALSE),"-")</f>
        <v>9128.4416666666675</v>
      </c>
      <c r="D788" s="83">
        <f t="shared" si="13"/>
        <v>7109.2794444444435</v>
      </c>
    </row>
    <row r="789" spans="1:4" ht="16.5" thickBot="1" x14ac:dyDescent="0.3">
      <c r="A789" s="61" t="s">
        <v>398</v>
      </c>
      <c r="B789" s="61" t="s">
        <v>559</v>
      </c>
      <c r="C789" s="82">
        <f>IFERROR(VLOOKUP(B789,'VTN2025'!B:I,8,FALSE),"-")</f>
        <v>9261.2216666666664</v>
      </c>
      <c r="D789" s="83">
        <f t="shared" si="13"/>
        <v>7109.2794444444435</v>
      </c>
    </row>
    <row r="790" spans="1:4" ht="16.5" thickBot="1" x14ac:dyDescent="0.3">
      <c r="A790" s="61" t="s">
        <v>398</v>
      </c>
      <c r="B790" s="61" t="s">
        <v>421</v>
      </c>
      <c r="C790" s="82" t="str">
        <f>IFERROR(VLOOKUP(B790,'VTN2025'!B:I,8,FALSE),"-")</f>
        <v>-</v>
      </c>
      <c r="D790" s="83">
        <f t="shared" si="13"/>
        <v>7109.2794444444435</v>
      </c>
    </row>
    <row r="791" spans="1:4" ht="16.5" thickBot="1" x14ac:dyDescent="0.3">
      <c r="A791" s="61" t="s">
        <v>537</v>
      </c>
      <c r="B791" s="61" t="s">
        <v>535</v>
      </c>
      <c r="C791" s="82">
        <f>IFERROR(VLOOKUP(B791,'VTN2025'!B:I,8,FALSE),"-")</f>
        <v>13189.393333333333</v>
      </c>
      <c r="D791" s="83">
        <f t="shared" si="13"/>
        <v>15538.58</v>
      </c>
    </row>
    <row r="792" spans="1:4" ht="16.5" thickBot="1" x14ac:dyDescent="0.3">
      <c r="A792" s="61" t="s">
        <v>537</v>
      </c>
      <c r="B792" s="61" t="s">
        <v>518</v>
      </c>
      <c r="C792" s="82">
        <f>IFERROR(VLOOKUP(B792,'VTN2025'!B:I,8,FALSE),"-")</f>
        <v>17436.14</v>
      </c>
      <c r="D792" s="83">
        <f t="shared" si="13"/>
        <v>15538.58</v>
      </c>
    </row>
    <row r="793" spans="1:4" ht="16.5" thickBot="1" x14ac:dyDescent="0.3">
      <c r="A793" s="61" t="s">
        <v>537</v>
      </c>
      <c r="B793" s="61" t="s">
        <v>539</v>
      </c>
      <c r="C793" s="82">
        <f>IFERROR(VLOOKUP(B793,'VTN2025'!B:I,8,FALSE),"-")</f>
        <v>15990.206666666665</v>
      </c>
      <c r="D793" s="83">
        <f t="shared" si="13"/>
        <v>15538.58</v>
      </c>
    </row>
    <row r="794" spans="1:4" ht="16.5" thickBot="1" x14ac:dyDescent="0.3">
      <c r="A794" s="61" t="s">
        <v>537</v>
      </c>
      <c r="B794" s="61" t="s">
        <v>519</v>
      </c>
      <c r="C794" s="82" t="str">
        <f>IFERROR(VLOOKUP(B794,'VTN2025'!B:I,8,FALSE),"-")</f>
        <v>-</v>
      </c>
      <c r="D794" s="83">
        <f t="shared" ref="D794:D857" si="14">AVERAGEIF($A:$A,A794,$C:$C)</f>
        <v>15538.58</v>
      </c>
    </row>
    <row r="795" spans="1:4" ht="16.5" thickBot="1" x14ac:dyDescent="0.3">
      <c r="A795" s="61" t="s">
        <v>464</v>
      </c>
      <c r="B795" s="61" t="s">
        <v>460</v>
      </c>
      <c r="C795" s="82">
        <f>IFERROR(VLOOKUP(B795,'VTN2025'!B:I,8,FALSE),"-")</f>
        <v>6024.7283333333335</v>
      </c>
      <c r="D795" s="83">
        <f t="shared" si="14"/>
        <v>10639.567222222222</v>
      </c>
    </row>
    <row r="796" spans="1:4" ht="16.5" thickBot="1" x14ac:dyDescent="0.3">
      <c r="A796" s="61" t="s">
        <v>464</v>
      </c>
      <c r="B796" s="61" t="s">
        <v>461</v>
      </c>
      <c r="C796" s="82">
        <f>IFERROR(VLOOKUP(B796,'VTN2025'!B:I,8,FALSE),"-")</f>
        <v>13828.659999999998</v>
      </c>
      <c r="D796" s="83">
        <f t="shared" si="14"/>
        <v>10639.567222222222</v>
      </c>
    </row>
    <row r="797" spans="1:4" ht="16.5" thickBot="1" x14ac:dyDescent="0.3">
      <c r="A797" s="61" t="s">
        <v>464</v>
      </c>
      <c r="B797" s="61" t="s">
        <v>478</v>
      </c>
      <c r="C797" s="82">
        <f>IFERROR(VLOOKUP(B797,'VTN2025'!B:I,8,FALSE),"-")</f>
        <v>8311.25</v>
      </c>
      <c r="D797" s="83">
        <f t="shared" si="14"/>
        <v>10639.567222222222</v>
      </c>
    </row>
    <row r="798" spans="1:4" ht="16.5" thickBot="1" x14ac:dyDescent="0.3">
      <c r="A798" s="61" t="s">
        <v>464</v>
      </c>
      <c r="B798" s="61" t="s">
        <v>463</v>
      </c>
      <c r="C798" s="82">
        <f>IFERROR(VLOOKUP(B798,'VTN2025'!B:I,8,FALSE),"-")</f>
        <v>11971.729999999998</v>
      </c>
      <c r="D798" s="83">
        <f t="shared" si="14"/>
        <v>10639.567222222222</v>
      </c>
    </row>
    <row r="799" spans="1:4" ht="16.5" thickBot="1" x14ac:dyDescent="0.3">
      <c r="A799" s="61" t="s">
        <v>464</v>
      </c>
      <c r="B799" s="61" t="s">
        <v>521</v>
      </c>
      <c r="C799" s="82">
        <f>IFERROR(VLOOKUP(B799,'VTN2025'!B:I,8,FALSE),"-")</f>
        <v>12253.573333333332</v>
      </c>
      <c r="D799" s="83">
        <f t="shared" si="14"/>
        <v>10639.567222222222</v>
      </c>
    </row>
    <row r="800" spans="1:4" ht="16.5" thickBot="1" x14ac:dyDescent="0.3">
      <c r="A800" s="61" t="s">
        <v>464</v>
      </c>
      <c r="B800" s="61" t="s">
        <v>514</v>
      </c>
      <c r="C800" s="82">
        <f>IFERROR(VLOOKUP(B800,'VTN2025'!B:I,8,FALSE),"-")</f>
        <v>11447.461666666668</v>
      </c>
      <c r="D800" s="83">
        <f t="shared" si="14"/>
        <v>10639.567222222222</v>
      </c>
    </row>
    <row r="801" spans="1:4" ht="16.5" thickBot="1" x14ac:dyDescent="0.3">
      <c r="A801" s="61" t="s">
        <v>566</v>
      </c>
      <c r="B801" s="61" t="s">
        <v>499</v>
      </c>
      <c r="C801" s="82">
        <f>IFERROR(VLOOKUP(B801,'VTN2025'!B:I,8,FALSE),"-")</f>
        <v>37844.496666666666</v>
      </c>
      <c r="D801" s="83">
        <f t="shared" si="14"/>
        <v>26461.465833333335</v>
      </c>
    </row>
    <row r="802" spans="1:4" ht="16.5" thickBot="1" x14ac:dyDescent="0.3">
      <c r="A802" s="61" t="s">
        <v>566</v>
      </c>
      <c r="B802" s="61" t="s">
        <v>567</v>
      </c>
      <c r="C802" s="82">
        <f>IFERROR(VLOOKUP(B802,'VTN2025'!B:I,8,FALSE),"-")</f>
        <v>23927.636666666669</v>
      </c>
      <c r="D802" s="83">
        <f t="shared" si="14"/>
        <v>26461.465833333335</v>
      </c>
    </row>
    <row r="803" spans="1:4" ht="16.5" thickBot="1" x14ac:dyDescent="0.3">
      <c r="A803" s="61" t="s">
        <v>566</v>
      </c>
      <c r="B803" s="61" t="s">
        <v>446</v>
      </c>
      <c r="C803" s="82" t="str">
        <f>IFERROR(VLOOKUP(B803,'VTN2025'!B:I,8,FALSE),"-")</f>
        <v>-</v>
      </c>
      <c r="D803" s="83">
        <f t="shared" si="14"/>
        <v>26461.465833333335</v>
      </c>
    </row>
    <row r="804" spans="1:4" ht="16.5" thickBot="1" x14ac:dyDescent="0.3">
      <c r="A804" s="61" t="s">
        <v>566</v>
      </c>
      <c r="B804" s="61" t="s">
        <v>381</v>
      </c>
      <c r="C804" s="82">
        <f>IFERROR(VLOOKUP(B804,'VTN2025'!B:I,8,FALSE),"-")</f>
        <v>20125.893333333333</v>
      </c>
      <c r="D804" s="83">
        <f t="shared" si="14"/>
        <v>26461.465833333335</v>
      </c>
    </row>
    <row r="805" spans="1:4" ht="16.5" thickBot="1" x14ac:dyDescent="0.3">
      <c r="A805" s="61" t="s">
        <v>566</v>
      </c>
      <c r="B805" s="61" t="s">
        <v>383</v>
      </c>
      <c r="C805" s="82">
        <f>IFERROR(VLOOKUP(B805,'VTN2025'!B:I,8,FALSE),"-")</f>
        <v>23947.836666666666</v>
      </c>
      <c r="D805" s="83">
        <f t="shared" si="14"/>
        <v>26461.465833333335</v>
      </c>
    </row>
    <row r="806" spans="1:4" ht="16.5" thickBot="1" x14ac:dyDescent="0.3">
      <c r="A806" s="61" t="s">
        <v>629</v>
      </c>
      <c r="B806" s="61" t="s">
        <v>404</v>
      </c>
      <c r="C806" s="82">
        <f>IFERROR(VLOOKUP(B806,'VTN2025'!B:I,8,FALSE),"-")</f>
        <v>6339.8433333333332</v>
      </c>
      <c r="D806" s="83">
        <f t="shared" si="14"/>
        <v>9217.4110000000001</v>
      </c>
    </row>
    <row r="807" spans="1:4" ht="16.5" thickBot="1" x14ac:dyDescent="0.3">
      <c r="A807" s="61" t="s">
        <v>629</v>
      </c>
      <c r="B807" s="61" t="s">
        <v>585</v>
      </c>
      <c r="C807" s="82">
        <f>IFERROR(VLOOKUP(B807,'VTN2025'!B:I,8,FALSE),"-")</f>
        <v>7118.7849999999999</v>
      </c>
      <c r="D807" s="83">
        <f t="shared" si="14"/>
        <v>9217.4110000000001</v>
      </c>
    </row>
    <row r="808" spans="1:4" ht="16.5" thickBot="1" x14ac:dyDescent="0.3">
      <c r="A808" s="61" t="s">
        <v>629</v>
      </c>
      <c r="B808" s="61" t="s">
        <v>602</v>
      </c>
      <c r="C808" s="82">
        <f>IFERROR(VLOOKUP(B808,'VTN2025'!B:I,8,FALSE),"-")</f>
        <v>12921.94</v>
      </c>
      <c r="D808" s="83">
        <f t="shared" si="14"/>
        <v>9217.4110000000001</v>
      </c>
    </row>
    <row r="809" spans="1:4" ht="16.5" thickBot="1" x14ac:dyDescent="0.3">
      <c r="A809" s="61" t="s">
        <v>629</v>
      </c>
      <c r="B809" s="61" t="s">
        <v>493</v>
      </c>
      <c r="C809" s="82">
        <f>IFERROR(VLOOKUP(B809,'VTN2025'!B:I,8,FALSE),"-")</f>
        <v>12296.236666666666</v>
      </c>
      <c r="D809" s="83">
        <f t="shared" si="14"/>
        <v>9217.4110000000001</v>
      </c>
    </row>
    <row r="810" spans="1:4" ht="16.5" thickBot="1" x14ac:dyDescent="0.3">
      <c r="A810" s="61" t="s">
        <v>629</v>
      </c>
      <c r="B810" s="61" t="s">
        <v>603</v>
      </c>
      <c r="C810" s="82">
        <f>IFERROR(VLOOKUP(B810,'VTN2025'!B:I,8,FALSE),"-")</f>
        <v>7410.2500000000009</v>
      </c>
      <c r="D810" s="83">
        <f t="shared" si="14"/>
        <v>9217.4110000000001</v>
      </c>
    </row>
    <row r="811" spans="1:4" ht="16.5" thickBot="1" x14ac:dyDescent="0.3">
      <c r="A811" s="61" t="s">
        <v>545</v>
      </c>
      <c r="B811" s="61" t="s">
        <v>543</v>
      </c>
      <c r="C811" s="82">
        <f>IFERROR(VLOOKUP(B811,'VTN2025'!B:I,8,FALSE),"-")</f>
        <v>4987.3499999999995</v>
      </c>
      <c r="D811" s="83">
        <f t="shared" si="14"/>
        <v>5949.8523333333342</v>
      </c>
    </row>
    <row r="812" spans="1:4" ht="16.5" thickBot="1" x14ac:dyDescent="0.3">
      <c r="A812" s="61" t="s">
        <v>545</v>
      </c>
      <c r="B812" s="61" t="s">
        <v>544</v>
      </c>
      <c r="C812" s="82">
        <f>IFERROR(VLOOKUP(B812,'VTN2025'!B:I,8,FALSE),"-")</f>
        <v>7535.7266666666665</v>
      </c>
      <c r="D812" s="83">
        <f t="shared" si="14"/>
        <v>5949.8523333333342</v>
      </c>
    </row>
    <row r="813" spans="1:4" ht="16.5" thickBot="1" x14ac:dyDescent="0.3">
      <c r="A813" s="61" t="s">
        <v>545</v>
      </c>
      <c r="B813" s="61" t="s">
        <v>402</v>
      </c>
      <c r="C813" s="82">
        <f>IFERROR(VLOOKUP(B813,'VTN2025'!B:I,8,FALSE),"-")</f>
        <v>4163.8016666666672</v>
      </c>
      <c r="D813" s="83">
        <f t="shared" si="14"/>
        <v>5949.8523333333342</v>
      </c>
    </row>
    <row r="814" spans="1:4" ht="16.5" thickBot="1" x14ac:dyDescent="0.3">
      <c r="A814" s="61" t="s">
        <v>545</v>
      </c>
      <c r="B814" s="61" t="s">
        <v>403</v>
      </c>
      <c r="C814" s="82" t="str">
        <f>IFERROR(VLOOKUP(B814,'VTN2025'!B:I,8,FALSE),"-")</f>
        <v>-</v>
      </c>
      <c r="D814" s="83">
        <f t="shared" si="14"/>
        <v>5949.8523333333342</v>
      </c>
    </row>
    <row r="815" spans="1:4" ht="16.5" thickBot="1" x14ac:dyDescent="0.3">
      <c r="A815" s="61" t="s">
        <v>545</v>
      </c>
      <c r="B815" s="61" t="s">
        <v>411</v>
      </c>
      <c r="C815" s="82">
        <f>IFERROR(VLOOKUP(B815,'VTN2025'!B:I,8,FALSE),"-")</f>
        <v>5786.45</v>
      </c>
      <c r="D815" s="83">
        <f t="shared" si="14"/>
        <v>5949.8523333333342</v>
      </c>
    </row>
    <row r="816" spans="1:4" ht="16.5" thickBot="1" x14ac:dyDescent="0.3">
      <c r="A816" s="61" t="s">
        <v>545</v>
      </c>
      <c r="B816" s="61" t="s">
        <v>630</v>
      </c>
      <c r="C816" s="82">
        <f>IFERROR(VLOOKUP(B816,'VTN2025'!B:I,8,FALSE),"-")</f>
        <v>7275.9333333333343</v>
      </c>
      <c r="D816" s="83">
        <f t="shared" si="14"/>
        <v>5949.8523333333342</v>
      </c>
    </row>
    <row r="817" spans="1:4" ht="16.5" thickBot="1" x14ac:dyDescent="0.3">
      <c r="A817" s="61" t="s">
        <v>545</v>
      </c>
      <c r="B817" s="61" t="s">
        <v>547</v>
      </c>
      <c r="C817" s="82" t="str">
        <f>IFERROR(VLOOKUP(B817,'VTN2025'!B:I,8,FALSE),"-")</f>
        <v>-</v>
      </c>
      <c r="D817" s="83">
        <f t="shared" si="14"/>
        <v>5949.8523333333342</v>
      </c>
    </row>
    <row r="818" spans="1:4" ht="16.5" thickBot="1" x14ac:dyDescent="0.3">
      <c r="A818" s="61" t="s">
        <v>532</v>
      </c>
      <c r="B818" s="61" t="s">
        <v>631</v>
      </c>
      <c r="C818" s="82" t="str">
        <f>IFERROR(VLOOKUP(B818,'VTN2025'!B:I,8,FALSE),"-")</f>
        <v>-</v>
      </c>
      <c r="D818" s="83">
        <f t="shared" si="14"/>
        <v>12651.148333333333</v>
      </c>
    </row>
    <row r="819" spans="1:4" ht="16.5" thickBot="1" x14ac:dyDescent="0.3">
      <c r="A819" s="61" t="s">
        <v>532</v>
      </c>
      <c r="B819" s="61" t="s">
        <v>474</v>
      </c>
      <c r="C819" s="82">
        <f>IFERROR(VLOOKUP(B819,'VTN2025'!B:I,8,FALSE),"-")</f>
        <v>7580.2250000000013</v>
      </c>
      <c r="D819" s="83">
        <f t="shared" si="14"/>
        <v>12651.148333333333</v>
      </c>
    </row>
    <row r="820" spans="1:4" ht="16.5" thickBot="1" x14ac:dyDescent="0.3">
      <c r="A820" s="61" t="s">
        <v>532</v>
      </c>
      <c r="B820" s="61" t="s">
        <v>448</v>
      </c>
      <c r="C820" s="82">
        <f>IFERROR(VLOOKUP(B820,'VTN2025'!B:I,8,FALSE),"-")</f>
        <v>15121.058333333332</v>
      </c>
      <c r="D820" s="83">
        <f t="shared" si="14"/>
        <v>12651.148333333333</v>
      </c>
    </row>
    <row r="821" spans="1:4" ht="16.5" thickBot="1" x14ac:dyDescent="0.3">
      <c r="A821" s="61" t="s">
        <v>532</v>
      </c>
      <c r="B821" s="61" t="s">
        <v>488</v>
      </c>
      <c r="C821" s="82">
        <f>IFERROR(VLOOKUP(B821,'VTN2025'!B:I,8,FALSE),"-")</f>
        <v>12960.676666666668</v>
      </c>
      <c r="D821" s="83">
        <f t="shared" si="14"/>
        <v>12651.148333333333</v>
      </c>
    </row>
    <row r="822" spans="1:4" ht="16.5" thickBot="1" x14ac:dyDescent="0.3">
      <c r="A822" s="61" t="s">
        <v>532</v>
      </c>
      <c r="B822" s="61" t="s">
        <v>445</v>
      </c>
      <c r="C822" s="82">
        <f>IFERROR(VLOOKUP(B822,'VTN2025'!B:I,8,FALSE),"-")</f>
        <v>17012.526666666668</v>
      </c>
      <c r="D822" s="83">
        <f t="shared" si="14"/>
        <v>12651.148333333333</v>
      </c>
    </row>
    <row r="823" spans="1:4" ht="16.5" thickBot="1" x14ac:dyDescent="0.3">
      <c r="A823" s="61" t="s">
        <v>532</v>
      </c>
      <c r="B823" s="61" t="s">
        <v>534</v>
      </c>
      <c r="C823" s="82">
        <f>IFERROR(VLOOKUP(B823,'VTN2025'!B:I,8,FALSE),"-")</f>
        <v>20917.868333333332</v>
      </c>
      <c r="D823" s="83">
        <f t="shared" si="14"/>
        <v>12651.148333333333</v>
      </c>
    </row>
    <row r="824" spans="1:4" ht="16.5" thickBot="1" x14ac:dyDescent="0.3">
      <c r="A824" s="61" t="s">
        <v>532</v>
      </c>
      <c r="B824" s="61" t="s">
        <v>632</v>
      </c>
      <c r="C824" s="82">
        <f>IFERROR(VLOOKUP(B824,'VTN2025'!B:I,8,FALSE),"-")</f>
        <v>7093.6566666666668</v>
      </c>
      <c r="D824" s="83">
        <f t="shared" si="14"/>
        <v>12651.148333333333</v>
      </c>
    </row>
    <row r="825" spans="1:4" ht="16.5" thickBot="1" x14ac:dyDescent="0.3">
      <c r="A825" s="61" t="s">
        <v>532</v>
      </c>
      <c r="B825" s="61" t="s">
        <v>633</v>
      </c>
      <c r="C825" s="82">
        <f>IFERROR(VLOOKUP(B825,'VTN2025'!B:I,8,FALSE),"-")</f>
        <v>8068.2633333333333</v>
      </c>
      <c r="D825" s="83">
        <f t="shared" si="14"/>
        <v>12651.148333333333</v>
      </c>
    </row>
    <row r="826" spans="1:4" ht="16.5" thickBot="1" x14ac:dyDescent="0.3">
      <c r="A826" s="61" t="s">
        <v>532</v>
      </c>
      <c r="B826" s="61" t="s">
        <v>452</v>
      </c>
      <c r="C826" s="82">
        <f>IFERROR(VLOOKUP(B826,'VTN2025'!B:I,8,FALSE),"-")</f>
        <v>12454.911666666667</v>
      </c>
      <c r="D826" s="83">
        <f t="shared" si="14"/>
        <v>12651.148333333333</v>
      </c>
    </row>
    <row r="827" spans="1:4" ht="16.5" thickBot="1" x14ac:dyDescent="0.3">
      <c r="A827" s="61" t="s">
        <v>485</v>
      </c>
      <c r="B827" s="61" t="s">
        <v>481</v>
      </c>
      <c r="C827" s="82">
        <f>IFERROR(VLOOKUP(B827,'VTN2025'!B:I,8,FALSE),"-")</f>
        <v>13864.933333333334</v>
      </c>
      <c r="D827" s="83">
        <f t="shared" si="14"/>
        <v>13547.258055555556</v>
      </c>
    </row>
    <row r="828" spans="1:4" ht="16.5" thickBot="1" x14ac:dyDescent="0.3">
      <c r="A828" s="61" t="s">
        <v>485</v>
      </c>
      <c r="B828" s="61" t="s">
        <v>482</v>
      </c>
      <c r="C828" s="82">
        <f>IFERROR(VLOOKUP(B828,'VTN2025'!B:I,8,FALSE),"-")</f>
        <v>18832.576666666668</v>
      </c>
      <c r="D828" s="83">
        <f t="shared" si="14"/>
        <v>13547.258055555556</v>
      </c>
    </row>
    <row r="829" spans="1:4" ht="16.5" thickBot="1" x14ac:dyDescent="0.3">
      <c r="A829" s="61" t="s">
        <v>485</v>
      </c>
      <c r="B829" s="61" t="s">
        <v>483</v>
      </c>
      <c r="C829" s="82">
        <f>IFERROR(VLOOKUP(B829,'VTN2025'!B:I,8,FALSE),"-")</f>
        <v>13927.696666666665</v>
      </c>
      <c r="D829" s="83">
        <f t="shared" si="14"/>
        <v>13547.258055555556</v>
      </c>
    </row>
    <row r="830" spans="1:4" ht="16.5" thickBot="1" x14ac:dyDescent="0.3">
      <c r="A830" s="61" t="s">
        <v>485</v>
      </c>
      <c r="B830" s="61" t="s">
        <v>593</v>
      </c>
      <c r="C830" s="82">
        <f>IFERROR(VLOOKUP(B830,'VTN2025'!B:I,8,FALSE),"-")</f>
        <v>10367.374999999998</v>
      </c>
      <c r="D830" s="83">
        <f t="shared" si="14"/>
        <v>13547.258055555556</v>
      </c>
    </row>
    <row r="831" spans="1:4" ht="16.5" thickBot="1" x14ac:dyDescent="0.3">
      <c r="A831" s="61" t="s">
        <v>485</v>
      </c>
      <c r="B831" s="61" t="s">
        <v>425</v>
      </c>
      <c r="C831" s="82">
        <f>IFERROR(VLOOKUP(B831,'VTN2025'!B:I,8,FALSE),"-")</f>
        <v>12053.771666666667</v>
      </c>
      <c r="D831" s="83">
        <f t="shared" si="14"/>
        <v>13547.258055555556</v>
      </c>
    </row>
    <row r="832" spans="1:4" ht="16.5" thickBot="1" x14ac:dyDescent="0.3">
      <c r="A832" s="61" t="s">
        <v>485</v>
      </c>
      <c r="B832" s="61" t="s">
        <v>599</v>
      </c>
      <c r="C832" s="82" t="str">
        <f>IFERROR(VLOOKUP(B832,'VTN2025'!B:I,8,FALSE),"-")</f>
        <v>-</v>
      </c>
      <c r="D832" s="83">
        <f t="shared" si="14"/>
        <v>13547.258055555556</v>
      </c>
    </row>
    <row r="833" spans="1:4" ht="16.5" thickBot="1" x14ac:dyDescent="0.3">
      <c r="A833" s="61" t="s">
        <v>485</v>
      </c>
      <c r="B833" s="61" t="s">
        <v>426</v>
      </c>
      <c r="C833" s="82">
        <f>IFERROR(VLOOKUP(B833,'VTN2025'!B:I,8,FALSE),"-")</f>
        <v>12237.195</v>
      </c>
      <c r="D833" s="83">
        <f t="shared" si="14"/>
        <v>13547.258055555556</v>
      </c>
    </row>
    <row r="834" spans="1:4" ht="16.5" thickBot="1" x14ac:dyDescent="0.3">
      <c r="A834" s="61" t="s">
        <v>555</v>
      </c>
      <c r="B834" s="61" t="s">
        <v>550</v>
      </c>
      <c r="C834" s="82">
        <f>IFERROR(VLOOKUP(B834,'VTN2025'!B:I,8,FALSE),"-")</f>
        <v>5612.2550000000001</v>
      </c>
      <c r="D834" s="83">
        <f t="shared" si="14"/>
        <v>4832.0316666666668</v>
      </c>
    </row>
    <row r="835" spans="1:4" ht="16.5" thickBot="1" x14ac:dyDescent="0.3">
      <c r="A835" s="61" t="s">
        <v>555</v>
      </c>
      <c r="B835" s="61" t="s">
        <v>402</v>
      </c>
      <c r="C835" s="82">
        <f>IFERROR(VLOOKUP(B835,'VTN2025'!B:I,8,FALSE),"-")</f>
        <v>4163.8016666666672</v>
      </c>
      <c r="D835" s="83">
        <f t="shared" si="14"/>
        <v>4832.0316666666668</v>
      </c>
    </row>
    <row r="836" spans="1:4" ht="16.5" thickBot="1" x14ac:dyDescent="0.3">
      <c r="A836" s="61" t="s">
        <v>555</v>
      </c>
      <c r="B836" s="61" t="s">
        <v>553</v>
      </c>
      <c r="C836" s="82" t="str">
        <f>IFERROR(VLOOKUP(B836,'VTN2025'!B:I,8,FALSE),"-")</f>
        <v>-</v>
      </c>
      <c r="D836" s="83">
        <f t="shared" si="14"/>
        <v>4832.0316666666668</v>
      </c>
    </row>
    <row r="837" spans="1:4" ht="16.5" thickBot="1" x14ac:dyDescent="0.3">
      <c r="A837" s="61" t="s">
        <v>555</v>
      </c>
      <c r="B837" s="61" t="s">
        <v>405</v>
      </c>
      <c r="C837" s="82">
        <f>IFERROR(VLOOKUP(B837,'VTN2025'!B:I,8,FALSE),"-")</f>
        <v>4758.9066666666668</v>
      </c>
      <c r="D837" s="83">
        <f t="shared" si="14"/>
        <v>4832.0316666666668</v>
      </c>
    </row>
    <row r="838" spans="1:4" ht="16.5" thickBot="1" x14ac:dyDescent="0.3">
      <c r="A838" s="61" t="s">
        <v>555</v>
      </c>
      <c r="B838" s="61" t="s">
        <v>558</v>
      </c>
      <c r="C838" s="82">
        <f>IFERROR(VLOOKUP(B838,'VTN2025'!B:I,8,FALSE),"-")</f>
        <v>4793.163333333333</v>
      </c>
      <c r="D838" s="83">
        <f t="shared" si="14"/>
        <v>4832.0316666666668</v>
      </c>
    </row>
    <row r="839" spans="1:4" ht="16.5" thickBot="1" x14ac:dyDescent="0.3">
      <c r="A839" s="61" t="s">
        <v>555</v>
      </c>
      <c r="B839" s="61" t="s">
        <v>407</v>
      </c>
      <c r="C839" s="82" t="str">
        <f>IFERROR(VLOOKUP(B839,'VTN2025'!B:I,8,FALSE),"-")</f>
        <v>-</v>
      </c>
      <c r="D839" s="83">
        <f t="shared" si="14"/>
        <v>4832.0316666666668</v>
      </c>
    </row>
    <row r="840" spans="1:4" ht="16.5" thickBot="1" x14ac:dyDescent="0.3">
      <c r="A840" s="61" t="s">
        <v>457</v>
      </c>
      <c r="B840" s="61" t="s">
        <v>453</v>
      </c>
      <c r="C840" s="82">
        <f>IFERROR(VLOOKUP(B840,'VTN2025'!B:I,8,FALSE),"-")</f>
        <v>17020</v>
      </c>
      <c r="D840" s="83">
        <f t="shared" si="14"/>
        <v>12451.388571428572</v>
      </c>
    </row>
    <row r="841" spans="1:4" ht="16.5" thickBot="1" x14ac:dyDescent="0.3">
      <c r="A841" s="61" t="s">
        <v>457</v>
      </c>
      <c r="B841" s="61" t="s">
        <v>473</v>
      </c>
      <c r="C841" s="82">
        <f>IFERROR(VLOOKUP(B841,'VTN2025'!B:I,8,FALSE),"-")</f>
        <v>11753.996666666668</v>
      </c>
      <c r="D841" s="83">
        <f t="shared" si="14"/>
        <v>12451.388571428572</v>
      </c>
    </row>
    <row r="842" spans="1:4" ht="16.5" thickBot="1" x14ac:dyDescent="0.3">
      <c r="A842" s="61" t="s">
        <v>457</v>
      </c>
      <c r="B842" s="61" t="s">
        <v>456</v>
      </c>
      <c r="C842" s="82">
        <f>IFERROR(VLOOKUP(B842,'VTN2025'!B:I,8,FALSE),"-")</f>
        <v>4684.6533333333327</v>
      </c>
      <c r="D842" s="83">
        <f t="shared" si="14"/>
        <v>12451.388571428572</v>
      </c>
    </row>
    <row r="843" spans="1:4" ht="16.5" thickBot="1" x14ac:dyDescent="0.3">
      <c r="A843" s="61" t="s">
        <v>457</v>
      </c>
      <c r="B843" s="61" t="s">
        <v>475</v>
      </c>
      <c r="C843" s="82">
        <f>IFERROR(VLOOKUP(B843,'VTN2025'!B:I,8,FALSE),"-")</f>
        <v>13640.51</v>
      </c>
      <c r="D843" s="83">
        <f t="shared" si="14"/>
        <v>12451.388571428572</v>
      </c>
    </row>
    <row r="844" spans="1:4" ht="16.5" thickBot="1" x14ac:dyDescent="0.3">
      <c r="A844" s="61" t="s">
        <v>457</v>
      </c>
      <c r="B844" s="61" t="s">
        <v>593</v>
      </c>
      <c r="C844" s="82">
        <f>IFERROR(VLOOKUP(B844,'VTN2025'!B:I,8,FALSE),"-")</f>
        <v>10367.374999999998</v>
      </c>
      <c r="D844" s="83">
        <f t="shared" si="14"/>
        <v>12451.388571428572</v>
      </c>
    </row>
    <row r="845" spans="1:4" ht="16.5" thickBot="1" x14ac:dyDescent="0.3">
      <c r="A845" s="61" t="s">
        <v>457</v>
      </c>
      <c r="B845" s="61" t="s">
        <v>594</v>
      </c>
      <c r="C845" s="82">
        <f>IFERROR(VLOOKUP(B845,'VTN2025'!B:I,8,FALSE),"-")</f>
        <v>17700.8</v>
      </c>
      <c r="D845" s="83">
        <f t="shared" si="14"/>
        <v>12451.388571428572</v>
      </c>
    </row>
    <row r="846" spans="1:4" ht="16.5" thickBot="1" x14ac:dyDescent="0.3">
      <c r="A846" s="61" t="s">
        <v>457</v>
      </c>
      <c r="B846" s="61" t="s">
        <v>515</v>
      </c>
      <c r="C846" s="82">
        <f>IFERROR(VLOOKUP(B846,'VTN2025'!B:I,8,FALSE),"-")</f>
        <v>11992.385000000002</v>
      </c>
      <c r="D846" s="83">
        <f t="shared" si="14"/>
        <v>12451.388571428572</v>
      </c>
    </row>
    <row r="847" spans="1:4" ht="16.5" thickBot="1" x14ac:dyDescent="0.3">
      <c r="A847" s="61" t="s">
        <v>533</v>
      </c>
      <c r="B847" s="61" t="s">
        <v>474</v>
      </c>
      <c r="C847" s="82">
        <f>IFERROR(VLOOKUP(B847,'VTN2025'!B:I,8,FALSE),"-")</f>
        <v>7580.2250000000013</v>
      </c>
      <c r="D847" s="83">
        <f t="shared" si="14"/>
        <v>11339.465000000002</v>
      </c>
    </row>
    <row r="848" spans="1:4" ht="16.5" thickBot="1" x14ac:dyDescent="0.3">
      <c r="A848" s="61" t="s">
        <v>533</v>
      </c>
      <c r="B848" s="61" t="s">
        <v>426</v>
      </c>
      <c r="C848" s="82">
        <f>IFERROR(VLOOKUP(B848,'VTN2025'!B:I,8,FALSE),"-")</f>
        <v>12237.195</v>
      </c>
      <c r="D848" s="83">
        <f t="shared" si="14"/>
        <v>11339.465000000002</v>
      </c>
    </row>
    <row r="849" spans="1:4" ht="16.5" thickBot="1" x14ac:dyDescent="0.3">
      <c r="A849" s="61" t="s">
        <v>533</v>
      </c>
      <c r="B849" s="61" t="s">
        <v>380</v>
      </c>
      <c r="C849" s="82">
        <f>IFERROR(VLOOKUP(B849,'VTN2025'!B:I,8,FALSE),"-")</f>
        <v>14200.974999999999</v>
      </c>
      <c r="D849" s="83">
        <f t="shared" si="14"/>
        <v>11339.465000000002</v>
      </c>
    </row>
    <row r="850" spans="1:4" ht="16.5" thickBot="1" x14ac:dyDescent="0.3">
      <c r="A850" s="61" t="s">
        <v>533</v>
      </c>
      <c r="B850" s="61" t="s">
        <v>446</v>
      </c>
      <c r="C850" s="82" t="str">
        <f>IFERROR(VLOOKUP(B850,'VTN2025'!B:I,8,FALSE),"-")</f>
        <v>-</v>
      </c>
      <c r="D850" s="83">
        <f t="shared" si="14"/>
        <v>11339.465000000002</v>
      </c>
    </row>
    <row r="851" spans="1:4" ht="16.5" thickBot="1" x14ac:dyDescent="0.3">
      <c r="A851" s="61" t="s">
        <v>630</v>
      </c>
      <c r="B851" s="61" t="s">
        <v>545</v>
      </c>
      <c r="C851" s="82">
        <f>IFERROR(VLOOKUP(B851,'VTN2025'!B:I,8,FALSE),"-")</f>
        <v>3866.8183333333332</v>
      </c>
      <c r="D851" s="83">
        <f t="shared" si="14"/>
        <v>5219.4875000000002</v>
      </c>
    </row>
    <row r="852" spans="1:4" ht="16.5" thickBot="1" x14ac:dyDescent="0.3">
      <c r="A852" s="61" t="s">
        <v>630</v>
      </c>
      <c r="B852" s="61" t="s">
        <v>420</v>
      </c>
      <c r="C852" s="82">
        <f>IFERROR(VLOOKUP(B852,'VTN2025'!B:I,8,FALSE),"-")</f>
        <v>6572.1566666666668</v>
      </c>
      <c r="D852" s="83">
        <f t="shared" si="14"/>
        <v>5219.4875000000002</v>
      </c>
    </row>
    <row r="853" spans="1:4" ht="16.5" thickBot="1" x14ac:dyDescent="0.3">
      <c r="A853" s="61" t="s">
        <v>630</v>
      </c>
      <c r="B853" s="61" t="s">
        <v>547</v>
      </c>
      <c r="C853" s="82" t="str">
        <f>IFERROR(VLOOKUP(B853,'VTN2025'!B:I,8,FALSE),"-")</f>
        <v>-</v>
      </c>
      <c r="D853" s="83">
        <f t="shared" si="14"/>
        <v>5219.4875000000002</v>
      </c>
    </row>
    <row r="854" spans="1:4" ht="16.5" thickBot="1" x14ac:dyDescent="0.3">
      <c r="A854" s="61" t="s">
        <v>394</v>
      </c>
      <c r="B854" s="61" t="s">
        <v>392</v>
      </c>
      <c r="C854" s="82" t="str">
        <f>IFERROR(VLOOKUP(B854,'VTN2025'!B:I,8,FALSE),"-")</f>
        <v>-</v>
      </c>
      <c r="D854" s="83">
        <f t="shared" si="14"/>
        <v>23436.345208333336</v>
      </c>
    </row>
    <row r="855" spans="1:4" ht="16.5" thickBot="1" x14ac:dyDescent="0.3">
      <c r="A855" s="61" t="s">
        <v>394</v>
      </c>
      <c r="B855" s="61" t="s">
        <v>517</v>
      </c>
      <c r="C855" s="82">
        <f>IFERROR(VLOOKUP(B855,'VTN2025'!B:I,8,FALSE),"-")</f>
        <v>16961.02</v>
      </c>
      <c r="D855" s="83">
        <f t="shared" si="14"/>
        <v>23436.345208333336</v>
      </c>
    </row>
    <row r="856" spans="1:4" ht="16.5" thickBot="1" x14ac:dyDescent="0.3">
      <c r="A856" s="61" t="s">
        <v>394</v>
      </c>
      <c r="B856" s="61" t="s">
        <v>535</v>
      </c>
      <c r="C856" s="82">
        <f>IFERROR(VLOOKUP(B856,'VTN2025'!B:I,8,FALSE),"-")</f>
        <v>13189.393333333333</v>
      </c>
      <c r="D856" s="83">
        <f t="shared" si="14"/>
        <v>23436.345208333336</v>
      </c>
    </row>
    <row r="857" spans="1:4" ht="16.5" thickBot="1" x14ac:dyDescent="0.3">
      <c r="A857" s="61" t="s">
        <v>394</v>
      </c>
      <c r="B857" s="61" t="s">
        <v>500</v>
      </c>
      <c r="C857" s="82">
        <f>IFERROR(VLOOKUP(B857,'VTN2025'!B:I,8,FALSE),"-")</f>
        <v>34286.04833333334</v>
      </c>
      <c r="D857" s="83">
        <f t="shared" si="14"/>
        <v>23436.345208333336</v>
      </c>
    </row>
    <row r="858" spans="1:4" ht="16.5" thickBot="1" x14ac:dyDescent="0.3">
      <c r="A858" s="61" t="s">
        <v>394</v>
      </c>
      <c r="B858" s="61" t="s">
        <v>393</v>
      </c>
      <c r="C858" s="82">
        <f>IFERROR(VLOOKUP(B858,'VTN2025'!B:I,8,FALSE),"-")</f>
        <v>28203.205000000002</v>
      </c>
      <c r="D858" s="83">
        <f t="shared" ref="D858:D921" si="15">AVERAGEIF($A:$A,A858,$C:$C)</f>
        <v>23436.345208333336</v>
      </c>
    </row>
    <row r="859" spans="1:4" ht="16.5" thickBot="1" x14ac:dyDescent="0.3">
      <c r="A859" s="61" t="s">
        <v>394</v>
      </c>
      <c r="B859" s="61" t="s">
        <v>496</v>
      </c>
      <c r="C859" s="82">
        <f>IFERROR(VLOOKUP(B859,'VTN2025'!B:I,8,FALSE),"-")</f>
        <v>32040.615000000002</v>
      </c>
      <c r="D859" s="83">
        <f t="shared" si="15"/>
        <v>23436.345208333336</v>
      </c>
    </row>
    <row r="860" spans="1:4" ht="16.5" thickBot="1" x14ac:dyDescent="0.3">
      <c r="A860" s="61" t="s">
        <v>394</v>
      </c>
      <c r="B860" s="61" t="s">
        <v>395</v>
      </c>
      <c r="C860" s="82">
        <f>IFERROR(VLOOKUP(B860,'VTN2025'!B:I,8,FALSE),"-")</f>
        <v>33083.333333333336</v>
      </c>
      <c r="D860" s="83">
        <f t="shared" si="15"/>
        <v>23436.345208333336</v>
      </c>
    </row>
    <row r="861" spans="1:4" ht="16.5" thickBot="1" x14ac:dyDescent="0.3">
      <c r="A861" s="61" t="s">
        <v>394</v>
      </c>
      <c r="B861" s="61" t="s">
        <v>539</v>
      </c>
      <c r="C861" s="82">
        <f>IFERROR(VLOOKUP(B861,'VTN2025'!B:I,8,FALSE),"-")</f>
        <v>15990.206666666665</v>
      </c>
      <c r="D861" s="83">
        <f t="shared" si="15"/>
        <v>23436.345208333336</v>
      </c>
    </row>
    <row r="862" spans="1:4" ht="16.5" thickBot="1" x14ac:dyDescent="0.3">
      <c r="A862" s="61" t="s">
        <v>394</v>
      </c>
      <c r="B862" s="61" t="s">
        <v>519</v>
      </c>
      <c r="C862" s="82" t="str">
        <f>IFERROR(VLOOKUP(B862,'VTN2025'!B:I,8,FALSE),"-")</f>
        <v>-</v>
      </c>
      <c r="D862" s="83">
        <f t="shared" si="15"/>
        <v>23436.345208333336</v>
      </c>
    </row>
    <row r="863" spans="1:4" ht="16.5" thickBot="1" x14ac:dyDescent="0.3">
      <c r="A863" s="61" t="s">
        <v>394</v>
      </c>
      <c r="B863" s="61" t="s">
        <v>592</v>
      </c>
      <c r="C863" s="82">
        <f>IFERROR(VLOOKUP(B863,'VTN2025'!B:I,8,FALSE),"-")</f>
        <v>13736.94</v>
      </c>
      <c r="D863" s="83">
        <f t="shared" si="15"/>
        <v>23436.345208333336</v>
      </c>
    </row>
    <row r="864" spans="1:4" ht="16.5" thickBot="1" x14ac:dyDescent="0.3">
      <c r="A864" s="61" t="s">
        <v>465</v>
      </c>
      <c r="B864" s="61" t="s">
        <v>460</v>
      </c>
      <c r="C864" s="82">
        <f>IFERROR(VLOOKUP(B864,'VTN2025'!B:I,8,FALSE),"-")</f>
        <v>6024.7283333333335</v>
      </c>
      <c r="D864" s="83">
        <f t="shared" si="15"/>
        <v>13449.398666666666</v>
      </c>
    </row>
    <row r="865" spans="1:4" ht="16.5" thickBot="1" x14ac:dyDescent="0.3">
      <c r="A865" s="61" t="s">
        <v>465</v>
      </c>
      <c r="B865" s="61" t="s">
        <v>463</v>
      </c>
      <c r="C865" s="82">
        <f>IFERROR(VLOOKUP(B865,'VTN2025'!B:I,8,FALSE),"-")</f>
        <v>11971.729999999998</v>
      </c>
      <c r="D865" s="83">
        <f t="shared" si="15"/>
        <v>13449.398666666666</v>
      </c>
    </row>
    <row r="866" spans="1:4" ht="16.5" thickBot="1" x14ac:dyDescent="0.3">
      <c r="A866" s="61" t="s">
        <v>465</v>
      </c>
      <c r="B866" s="61" t="s">
        <v>562</v>
      </c>
      <c r="C866" s="82">
        <f>IFERROR(VLOOKUP(B866,'VTN2025'!B:I,8,FALSE),"-")</f>
        <v>10493.316666666666</v>
      </c>
      <c r="D866" s="83">
        <f t="shared" si="15"/>
        <v>13449.398666666666</v>
      </c>
    </row>
    <row r="867" spans="1:4" ht="16.5" thickBot="1" x14ac:dyDescent="0.3">
      <c r="A867" s="61" t="s">
        <v>465</v>
      </c>
      <c r="B867" s="61" t="s">
        <v>468</v>
      </c>
      <c r="C867" s="82">
        <f>IFERROR(VLOOKUP(B867,'VTN2025'!B:I,8,FALSE),"-")</f>
        <v>12616.313333333332</v>
      </c>
      <c r="D867" s="83">
        <f t="shared" si="15"/>
        <v>13449.398666666666</v>
      </c>
    </row>
    <row r="868" spans="1:4" ht="16.5" thickBot="1" x14ac:dyDescent="0.3">
      <c r="A868" s="61" t="s">
        <v>465</v>
      </c>
      <c r="B868" s="61" t="s">
        <v>564</v>
      </c>
      <c r="C868" s="82">
        <f>IFERROR(VLOOKUP(B868,'VTN2025'!B:I,8,FALSE),"-")</f>
        <v>26140.904999999999</v>
      </c>
      <c r="D868" s="83">
        <f t="shared" si="15"/>
        <v>13449.398666666666</v>
      </c>
    </row>
    <row r="869" spans="1:4" ht="16.5" thickBot="1" x14ac:dyDescent="0.3">
      <c r="A869" s="61" t="s">
        <v>386</v>
      </c>
      <c r="B869" s="61" t="s">
        <v>384</v>
      </c>
      <c r="C869" s="82">
        <f>IFERROR(VLOOKUP(B869,'VTN2025'!B:I,8,FALSE),"-")</f>
        <v>22678.789999999997</v>
      </c>
      <c r="D869" s="83">
        <f t="shared" si="15"/>
        <v>23749.529523809524</v>
      </c>
    </row>
    <row r="870" spans="1:4" ht="16.5" thickBot="1" x14ac:dyDescent="0.3">
      <c r="A870" s="61" t="s">
        <v>386</v>
      </c>
      <c r="B870" s="61" t="s">
        <v>422</v>
      </c>
      <c r="C870" s="82">
        <f>IFERROR(VLOOKUP(B870,'VTN2025'!B:I,8,FALSE),"-")</f>
        <v>32765.361666666664</v>
      </c>
      <c r="D870" s="83">
        <f t="shared" si="15"/>
        <v>23749.529523809524</v>
      </c>
    </row>
    <row r="871" spans="1:4" ht="16.5" thickBot="1" x14ac:dyDescent="0.3">
      <c r="A871" s="61" t="s">
        <v>386</v>
      </c>
      <c r="B871" s="61" t="s">
        <v>385</v>
      </c>
      <c r="C871" s="82">
        <f>IFERROR(VLOOKUP(B871,'VTN2025'!B:I,8,FALSE),"-")</f>
        <v>27247.318333333333</v>
      </c>
      <c r="D871" s="83">
        <f t="shared" si="15"/>
        <v>23749.529523809524</v>
      </c>
    </row>
    <row r="872" spans="1:4" ht="16.5" thickBot="1" x14ac:dyDescent="0.3">
      <c r="A872" s="61" t="s">
        <v>386</v>
      </c>
      <c r="B872" s="61" t="s">
        <v>520</v>
      </c>
      <c r="C872" s="82">
        <f>IFERROR(VLOOKUP(B872,'VTN2025'!B:I,8,FALSE),"-")</f>
        <v>12920.196666666669</v>
      </c>
      <c r="D872" s="83">
        <f t="shared" si="15"/>
        <v>23749.529523809524</v>
      </c>
    </row>
    <row r="873" spans="1:4" ht="16.5" thickBot="1" x14ac:dyDescent="0.3">
      <c r="A873" s="61" t="s">
        <v>386</v>
      </c>
      <c r="B873" s="61" t="s">
        <v>521</v>
      </c>
      <c r="C873" s="82">
        <f>IFERROR(VLOOKUP(B873,'VTN2025'!B:I,8,FALSE),"-")</f>
        <v>12253.573333333332</v>
      </c>
      <c r="D873" s="83">
        <f t="shared" si="15"/>
        <v>23749.529523809524</v>
      </c>
    </row>
    <row r="874" spans="1:4" ht="16.5" thickBot="1" x14ac:dyDescent="0.3">
      <c r="A874" s="61" t="s">
        <v>386</v>
      </c>
      <c r="B874" s="61" t="s">
        <v>423</v>
      </c>
      <c r="C874" s="82">
        <f>IFERROR(VLOOKUP(B874,'VTN2025'!B:I,8,FALSE),"-")</f>
        <v>28687.101666666669</v>
      </c>
      <c r="D874" s="83">
        <f t="shared" si="15"/>
        <v>23749.529523809524</v>
      </c>
    </row>
    <row r="875" spans="1:4" ht="16.5" thickBot="1" x14ac:dyDescent="0.3">
      <c r="A875" s="61" t="s">
        <v>386</v>
      </c>
      <c r="B875" s="61" t="s">
        <v>387</v>
      </c>
      <c r="C875" s="82">
        <f>IFERROR(VLOOKUP(B875,'VTN2025'!B:I,8,FALSE),"-")</f>
        <v>29694.365000000002</v>
      </c>
      <c r="D875" s="83">
        <f t="shared" si="15"/>
        <v>23749.529523809524</v>
      </c>
    </row>
    <row r="876" spans="1:4" ht="16.5" thickBot="1" x14ac:dyDescent="0.3">
      <c r="A876" s="61" t="s">
        <v>466</v>
      </c>
      <c r="B876" s="61" t="s">
        <v>460</v>
      </c>
      <c r="C876" s="82">
        <f>IFERROR(VLOOKUP(B876,'VTN2025'!B:I,8,FALSE),"-")</f>
        <v>6024.7283333333335</v>
      </c>
      <c r="D876" s="83">
        <f t="shared" si="15"/>
        <v>7737.3149999999996</v>
      </c>
    </row>
    <row r="877" spans="1:4" ht="16.5" thickBot="1" x14ac:dyDescent="0.3">
      <c r="A877" s="61" t="s">
        <v>466</v>
      </c>
      <c r="B877" s="61" t="s">
        <v>461</v>
      </c>
      <c r="C877" s="82">
        <f>IFERROR(VLOOKUP(B877,'VTN2025'!B:I,8,FALSE),"-")</f>
        <v>13828.659999999998</v>
      </c>
      <c r="D877" s="83">
        <f t="shared" si="15"/>
        <v>7737.3149999999996</v>
      </c>
    </row>
    <row r="878" spans="1:4" ht="16.5" thickBot="1" x14ac:dyDescent="0.3">
      <c r="A878" s="61" t="s">
        <v>466</v>
      </c>
      <c r="B878" s="61" t="s">
        <v>462</v>
      </c>
      <c r="C878" s="82">
        <f>IFERROR(VLOOKUP(B878,'VTN2025'!B:I,8,FALSE),"-")</f>
        <v>5157.7650000000003</v>
      </c>
      <c r="D878" s="83">
        <f t="shared" si="15"/>
        <v>7737.3149999999996</v>
      </c>
    </row>
    <row r="879" spans="1:4" ht="16.5" thickBot="1" x14ac:dyDescent="0.3">
      <c r="A879" s="61" t="s">
        <v>466</v>
      </c>
      <c r="B879" s="61" t="s">
        <v>480</v>
      </c>
      <c r="C879" s="82">
        <f>IFERROR(VLOOKUP(B879,'VTN2025'!B:I,8,FALSE),"-")</f>
        <v>5938.1066666666666</v>
      </c>
      <c r="D879" s="83">
        <f t="shared" si="15"/>
        <v>7737.3149999999996</v>
      </c>
    </row>
    <row r="880" spans="1:4" ht="16.5" thickBot="1" x14ac:dyDescent="0.3">
      <c r="A880" s="61" t="s">
        <v>418</v>
      </c>
      <c r="B880" s="61" t="s">
        <v>416</v>
      </c>
      <c r="C880" s="82">
        <f>IFERROR(VLOOKUP(B880,'VTN2025'!B:I,8,FALSE),"-")</f>
        <v>6217.8816666666653</v>
      </c>
      <c r="D880" s="83">
        <f t="shared" si="15"/>
        <v>6541.4508333333324</v>
      </c>
    </row>
    <row r="881" spans="1:4" ht="16.5" thickBot="1" x14ac:dyDescent="0.3">
      <c r="A881" s="61" t="s">
        <v>418</v>
      </c>
      <c r="B881" s="61" t="s">
        <v>417</v>
      </c>
      <c r="C881" s="82">
        <f>IFERROR(VLOOKUP(B881,'VTN2025'!B:I,8,FALSE),"-")</f>
        <v>5547.3600000000006</v>
      </c>
      <c r="D881" s="83">
        <f t="shared" si="15"/>
        <v>6541.4508333333324</v>
      </c>
    </row>
    <row r="882" spans="1:4" ht="16.5" thickBot="1" x14ac:dyDescent="0.3">
      <c r="A882" s="61" t="s">
        <v>418</v>
      </c>
      <c r="B882" s="61" t="s">
        <v>480</v>
      </c>
      <c r="C882" s="82">
        <f>IFERROR(VLOOKUP(B882,'VTN2025'!B:I,8,FALSE),"-")</f>
        <v>5938.1066666666666</v>
      </c>
      <c r="D882" s="83">
        <f t="shared" si="15"/>
        <v>6541.4508333333324</v>
      </c>
    </row>
    <row r="883" spans="1:4" ht="16.5" thickBot="1" x14ac:dyDescent="0.3">
      <c r="A883" s="61" t="s">
        <v>418</v>
      </c>
      <c r="B883" s="61" t="s">
        <v>508</v>
      </c>
      <c r="C883" s="82">
        <f>IFERROR(VLOOKUP(B883,'VTN2025'!B:I,8,FALSE),"-")</f>
        <v>8462.4549999999999</v>
      </c>
      <c r="D883" s="83">
        <f t="shared" si="15"/>
        <v>6541.4508333333324</v>
      </c>
    </row>
    <row r="884" spans="1:4" ht="16.5" thickBot="1" x14ac:dyDescent="0.3">
      <c r="A884" s="61" t="s">
        <v>418</v>
      </c>
      <c r="B884" s="61" t="s">
        <v>421</v>
      </c>
      <c r="C884" s="82" t="str">
        <f>IFERROR(VLOOKUP(B884,'VTN2025'!B:I,8,FALSE),"-")</f>
        <v>-</v>
      </c>
      <c r="D884" s="83">
        <f t="shared" si="15"/>
        <v>6541.4508333333324</v>
      </c>
    </row>
    <row r="885" spans="1:4" ht="16.5" thickBot="1" x14ac:dyDescent="0.3">
      <c r="A885" s="61" t="s">
        <v>419</v>
      </c>
      <c r="B885" s="61" t="s">
        <v>416</v>
      </c>
      <c r="C885" s="82">
        <f>IFERROR(VLOOKUP(B885,'VTN2025'!B:I,8,FALSE),"-")</f>
        <v>6217.8816666666653</v>
      </c>
      <c r="D885" s="83">
        <f t="shared" si="15"/>
        <v>7094.9791666666661</v>
      </c>
    </row>
    <row r="886" spans="1:4" ht="16.5" thickBot="1" x14ac:dyDescent="0.3">
      <c r="A886" s="61" t="s">
        <v>419</v>
      </c>
      <c r="B886" s="61" t="s">
        <v>596</v>
      </c>
      <c r="C886" s="82">
        <f>IFERROR(VLOOKUP(B886,'VTN2025'!B:I,8,FALSE),"-")</f>
        <v>8049.0766666666668</v>
      </c>
      <c r="D886" s="83">
        <f t="shared" si="15"/>
        <v>7094.9791666666661</v>
      </c>
    </row>
    <row r="887" spans="1:4" ht="16.5" thickBot="1" x14ac:dyDescent="0.3">
      <c r="A887" s="61" t="s">
        <v>419</v>
      </c>
      <c r="B887" s="61" t="s">
        <v>398</v>
      </c>
      <c r="C887" s="82">
        <f>IFERROR(VLOOKUP(B887,'VTN2025'!B:I,8,FALSE),"-")</f>
        <v>7540.8016666666672</v>
      </c>
      <c r="D887" s="83">
        <f t="shared" si="15"/>
        <v>7094.9791666666661</v>
      </c>
    </row>
    <row r="888" spans="1:4" ht="16.5" thickBot="1" x14ac:dyDescent="0.3">
      <c r="A888" s="61" t="s">
        <v>419</v>
      </c>
      <c r="B888" s="61" t="s">
        <v>420</v>
      </c>
      <c r="C888" s="82">
        <f>IFERROR(VLOOKUP(B888,'VTN2025'!B:I,8,FALSE),"-")</f>
        <v>6572.1566666666668</v>
      </c>
      <c r="D888" s="83">
        <f t="shared" si="15"/>
        <v>7094.9791666666661</v>
      </c>
    </row>
    <row r="889" spans="1:4" ht="16.5" thickBot="1" x14ac:dyDescent="0.3">
      <c r="A889" s="61" t="s">
        <v>419</v>
      </c>
      <c r="B889" s="61" t="s">
        <v>597</v>
      </c>
      <c r="C889" s="82" t="str">
        <f>IFERROR(VLOOKUP(B889,'VTN2025'!B:I,8,FALSE),"-")</f>
        <v>-</v>
      </c>
      <c r="D889" s="83">
        <f t="shared" si="15"/>
        <v>7094.9791666666661</v>
      </c>
    </row>
    <row r="890" spans="1:4" ht="16.5" thickBot="1" x14ac:dyDescent="0.3">
      <c r="A890" s="61" t="s">
        <v>431</v>
      </c>
      <c r="B890" s="61" t="s">
        <v>385</v>
      </c>
      <c r="C890" s="82">
        <f>IFERROR(VLOOKUP(B890,'VTN2025'!B:I,8,FALSE),"-")</f>
        <v>27247.318333333333</v>
      </c>
      <c r="D890" s="83">
        <f t="shared" si="15"/>
        <v>27074.372333333333</v>
      </c>
    </row>
    <row r="891" spans="1:4" ht="16.5" thickBot="1" x14ac:dyDescent="0.3">
      <c r="A891" s="61" t="s">
        <v>431</v>
      </c>
      <c r="B891" s="61" t="s">
        <v>430</v>
      </c>
      <c r="C891" s="82">
        <f>IFERROR(VLOOKUP(B891,'VTN2025'!B:I,8,FALSE),"-")</f>
        <v>27850.556666666667</v>
      </c>
      <c r="D891" s="83">
        <f t="shared" si="15"/>
        <v>27074.372333333333</v>
      </c>
    </row>
    <row r="892" spans="1:4" ht="16.5" thickBot="1" x14ac:dyDescent="0.3">
      <c r="A892" s="61" t="s">
        <v>431</v>
      </c>
      <c r="B892" s="61" t="s">
        <v>542</v>
      </c>
      <c r="C892" s="82">
        <f>IFERROR(VLOOKUP(B892,'VTN2025'!B:I,8,FALSE),"-")</f>
        <v>19695.2</v>
      </c>
      <c r="D892" s="83">
        <f t="shared" si="15"/>
        <v>27074.372333333333</v>
      </c>
    </row>
    <row r="893" spans="1:4" ht="16.5" thickBot="1" x14ac:dyDescent="0.3">
      <c r="A893" s="61" t="s">
        <v>431</v>
      </c>
      <c r="B893" s="61" t="s">
        <v>487</v>
      </c>
      <c r="C893" s="82">
        <f>IFERROR(VLOOKUP(B893,'VTN2025'!B:I,8,FALSE),"-")</f>
        <v>24342.469999999998</v>
      </c>
      <c r="D893" s="83">
        <f t="shared" si="15"/>
        <v>27074.372333333333</v>
      </c>
    </row>
    <row r="894" spans="1:4" ht="16.5" thickBot="1" x14ac:dyDescent="0.3">
      <c r="A894" s="61" t="s">
        <v>431</v>
      </c>
      <c r="B894" s="61" t="s">
        <v>389</v>
      </c>
      <c r="C894" s="82">
        <f>IFERROR(VLOOKUP(B894,'VTN2025'!B:I,8,FALSE),"-")</f>
        <v>36236.316666666673</v>
      </c>
      <c r="D894" s="83">
        <f t="shared" si="15"/>
        <v>27074.372333333333</v>
      </c>
    </row>
    <row r="895" spans="1:4" ht="16.5" thickBot="1" x14ac:dyDescent="0.3">
      <c r="A895" s="61" t="s">
        <v>435</v>
      </c>
      <c r="B895" s="61" t="s">
        <v>371</v>
      </c>
      <c r="C895" s="82" t="str">
        <f>IFERROR(VLOOKUP(B895,'VTN2025'!B:I,8,FALSE),"-")</f>
        <v>-</v>
      </c>
      <c r="D895" s="83">
        <f t="shared" si="15"/>
        <v>38263.772916666669</v>
      </c>
    </row>
    <row r="896" spans="1:4" ht="16.5" thickBot="1" x14ac:dyDescent="0.3">
      <c r="A896" s="61" t="s">
        <v>435</v>
      </c>
      <c r="B896" s="61" t="s">
        <v>433</v>
      </c>
      <c r="C896" s="82">
        <f>IFERROR(VLOOKUP(B896,'VTN2025'!B:I,8,FALSE),"-")</f>
        <v>15196.01</v>
      </c>
      <c r="D896" s="83">
        <f t="shared" si="15"/>
        <v>38263.772916666669</v>
      </c>
    </row>
    <row r="897" spans="1:4" ht="16.5" thickBot="1" x14ac:dyDescent="0.3">
      <c r="A897" s="61" t="s">
        <v>435</v>
      </c>
      <c r="B897" s="61" t="s">
        <v>366</v>
      </c>
      <c r="C897" s="82">
        <f>IFERROR(VLOOKUP(B897,'VTN2025'!B:I,8,FALSE),"-")</f>
        <v>64897.67333333334</v>
      </c>
      <c r="D897" s="83">
        <f t="shared" si="15"/>
        <v>38263.772916666669</v>
      </c>
    </row>
    <row r="898" spans="1:4" ht="16.5" thickBot="1" x14ac:dyDescent="0.3">
      <c r="A898" s="61" t="s">
        <v>435</v>
      </c>
      <c r="B898" s="61" t="s">
        <v>512</v>
      </c>
      <c r="C898" s="82">
        <f>IFERROR(VLOOKUP(B898,'VTN2025'!B:I,8,FALSE),"-")</f>
        <v>46389.418333333335</v>
      </c>
      <c r="D898" s="83">
        <f t="shared" si="15"/>
        <v>38263.772916666669</v>
      </c>
    </row>
    <row r="899" spans="1:4" ht="16.5" thickBot="1" x14ac:dyDescent="0.3">
      <c r="A899" s="61" t="s">
        <v>435</v>
      </c>
      <c r="B899" s="61" t="s">
        <v>436</v>
      </c>
      <c r="C899" s="82">
        <f>IFERROR(VLOOKUP(B899,'VTN2025'!B:I,8,FALSE),"-")</f>
        <v>26571.99</v>
      </c>
      <c r="D899" s="83">
        <f t="shared" si="15"/>
        <v>38263.772916666669</v>
      </c>
    </row>
    <row r="900" spans="1:4" ht="16.5" thickBot="1" x14ac:dyDescent="0.3">
      <c r="A900" s="61" t="s">
        <v>435</v>
      </c>
      <c r="B900" s="61" t="s">
        <v>513</v>
      </c>
      <c r="C900" s="82" t="str">
        <f>IFERROR(VLOOKUP(B900,'VTN2025'!B:I,8,FALSE),"-")</f>
        <v>-</v>
      </c>
      <c r="D900" s="83">
        <f t="shared" si="15"/>
        <v>38263.772916666669</v>
      </c>
    </row>
    <row r="901" spans="1:4" ht="16.5" thickBot="1" x14ac:dyDescent="0.3">
      <c r="A901" s="61" t="s">
        <v>435</v>
      </c>
      <c r="B901" s="61" t="s">
        <v>438</v>
      </c>
      <c r="C901" s="82" t="str">
        <f>IFERROR(VLOOKUP(B901,'VTN2025'!B:I,8,FALSE),"-")</f>
        <v>-</v>
      </c>
      <c r="D901" s="83">
        <f t="shared" si="15"/>
        <v>38263.772916666669</v>
      </c>
    </row>
    <row r="902" spans="1:4" ht="16.5" thickBot="1" x14ac:dyDescent="0.3">
      <c r="A902" s="61" t="s">
        <v>404</v>
      </c>
      <c r="B902" s="61" t="s">
        <v>401</v>
      </c>
      <c r="C902" s="82">
        <f>IFERROR(VLOOKUP(B902,'VTN2025'!B:I,8,FALSE),"-")</f>
        <v>7938.1283333333331</v>
      </c>
      <c r="D902" s="83">
        <f t="shared" si="15"/>
        <v>7426.4666666666662</v>
      </c>
    </row>
    <row r="903" spans="1:4" ht="16.5" thickBot="1" x14ac:dyDescent="0.3">
      <c r="A903" s="61" t="s">
        <v>404</v>
      </c>
      <c r="B903" s="61" t="s">
        <v>490</v>
      </c>
      <c r="C903" s="82">
        <f>IFERROR(VLOOKUP(B903,'VTN2025'!B:I,8,FALSE),"-")</f>
        <v>4688.3266666666668</v>
      </c>
      <c r="D903" s="83">
        <f t="shared" si="15"/>
        <v>7426.4666666666662</v>
      </c>
    </row>
    <row r="904" spans="1:4" ht="16.5" thickBot="1" x14ac:dyDescent="0.3">
      <c r="A904" s="61" t="s">
        <v>404</v>
      </c>
      <c r="B904" s="61" t="s">
        <v>543</v>
      </c>
      <c r="C904" s="82">
        <f>IFERROR(VLOOKUP(B904,'VTN2025'!B:I,8,FALSE),"-")</f>
        <v>4987.3499999999995</v>
      </c>
      <c r="D904" s="83">
        <f t="shared" si="15"/>
        <v>7426.4666666666662</v>
      </c>
    </row>
    <row r="905" spans="1:4" ht="16.5" thickBot="1" x14ac:dyDescent="0.3">
      <c r="A905" s="61" t="s">
        <v>404</v>
      </c>
      <c r="B905" s="61" t="s">
        <v>403</v>
      </c>
      <c r="C905" s="82" t="str">
        <f>IFERROR(VLOOKUP(B905,'VTN2025'!B:I,8,FALSE),"-")</f>
        <v>-</v>
      </c>
      <c r="D905" s="83">
        <f t="shared" si="15"/>
        <v>7426.4666666666662</v>
      </c>
    </row>
    <row r="906" spans="1:4" ht="16.5" thickBot="1" x14ac:dyDescent="0.3">
      <c r="A906" s="61" t="s">
        <v>404</v>
      </c>
      <c r="B906" s="61" t="s">
        <v>629</v>
      </c>
      <c r="C906" s="82">
        <f>IFERROR(VLOOKUP(B906,'VTN2025'!B:I,8,FALSE),"-")</f>
        <v>5760.8</v>
      </c>
      <c r="D906" s="83">
        <f t="shared" si="15"/>
        <v>7426.4666666666662</v>
      </c>
    </row>
    <row r="907" spans="1:4" ht="16.5" thickBot="1" x14ac:dyDescent="0.3">
      <c r="A907" s="61" t="s">
        <v>404</v>
      </c>
      <c r="B907" s="61" t="s">
        <v>492</v>
      </c>
      <c r="C907" s="82">
        <f>IFERROR(VLOOKUP(B907,'VTN2025'!B:I,8,FALSE),"-")</f>
        <v>8292.09</v>
      </c>
      <c r="D907" s="83">
        <f t="shared" si="15"/>
        <v>7426.4666666666662</v>
      </c>
    </row>
    <row r="908" spans="1:4" ht="16.5" thickBot="1" x14ac:dyDescent="0.3">
      <c r="A908" s="61" t="s">
        <v>404</v>
      </c>
      <c r="B908" s="61" t="s">
        <v>406</v>
      </c>
      <c r="C908" s="82">
        <f>IFERROR(VLOOKUP(B908,'VTN2025'!B:I,8,FALSE),"-")</f>
        <v>7859.9633333333322</v>
      </c>
      <c r="D908" s="83">
        <f t="shared" si="15"/>
        <v>7426.4666666666662</v>
      </c>
    </row>
    <row r="909" spans="1:4" ht="16.5" thickBot="1" x14ac:dyDescent="0.3">
      <c r="A909" s="61" t="s">
        <v>404</v>
      </c>
      <c r="B909" s="61" t="s">
        <v>546</v>
      </c>
      <c r="C909" s="82">
        <f>IFERROR(VLOOKUP(B909,'VTN2025'!B:I,8,FALSE),"-")</f>
        <v>7605.0550000000003</v>
      </c>
      <c r="D909" s="83">
        <f t="shared" si="15"/>
        <v>7426.4666666666662</v>
      </c>
    </row>
    <row r="910" spans="1:4" ht="16.5" thickBot="1" x14ac:dyDescent="0.3">
      <c r="A910" s="61" t="s">
        <v>404</v>
      </c>
      <c r="B910" s="61" t="s">
        <v>493</v>
      </c>
      <c r="C910" s="82">
        <f>IFERROR(VLOOKUP(B910,'VTN2025'!B:I,8,FALSE),"-")</f>
        <v>12296.236666666666</v>
      </c>
      <c r="D910" s="83">
        <f t="shared" si="15"/>
        <v>7426.4666666666662</v>
      </c>
    </row>
    <row r="911" spans="1:4" ht="16.5" thickBot="1" x14ac:dyDescent="0.3">
      <c r="A911" s="61" t="s">
        <v>404</v>
      </c>
      <c r="B911" s="61" t="s">
        <v>603</v>
      </c>
      <c r="C911" s="82">
        <f>IFERROR(VLOOKUP(B911,'VTN2025'!B:I,8,FALSE),"-")</f>
        <v>7410.2500000000009</v>
      </c>
      <c r="D911" s="83">
        <f t="shared" si="15"/>
        <v>7426.4666666666662</v>
      </c>
    </row>
    <row r="912" spans="1:4" ht="16.5" thickBot="1" x14ac:dyDescent="0.3">
      <c r="A912" s="61" t="s">
        <v>467</v>
      </c>
      <c r="B912" s="61" t="s">
        <v>460</v>
      </c>
      <c r="C912" s="82">
        <f>IFERROR(VLOOKUP(B912,'VTN2025'!B:I,8,FALSE),"-")</f>
        <v>6024.7283333333335</v>
      </c>
      <c r="D912" s="83">
        <f t="shared" si="15"/>
        <v>8230.276249999999</v>
      </c>
    </row>
    <row r="913" spans="1:4" ht="16.5" thickBot="1" x14ac:dyDescent="0.3">
      <c r="A913" s="61" t="s">
        <v>467</v>
      </c>
      <c r="B913" s="61" t="s">
        <v>462</v>
      </c>
      <c r="C913" s="82">
        <f>IFERROR(VLOOKUP(B913,'VTN2025'!B:I,8,FALSE),"-")</f>
        <v>5157.7650000000003</v>
      </c>
      <c r="D913" s="83">
        <f t="shared" si="15"/>
        <v>8230.276249999999</v>
      </c>
    </row>
    <row r="914" spans="1:4" ht="16.5" thickBot="1" x14ac:dyDescent="0.3">
      <c r="A914" s="61" t="s">
        <v>467</v>
      </c>
      <c r="B914" s="61" t="s">
        <v>590</v>
      </c>
      <c r="C914" s="82">
        <f>IFERROR(VLOOKUP(B914,'VTN2025'!B:I,8,FALSE),"-")</f>
        <v>9122.2983333333341</v>
      </c>
      <c r="D914" s="83">
        <f t="shared" si="15"/>
        <v>8230.276249999999</v>
      </c>
    </row>
    <row r="915" spans="1:4" ht="16.5" thickBot="1" x14ac:dyDescent="0.3">
      <c r="A915" s="61" t="s">
        <v>467</v>
      </c>
      <c r="B915" s="61" t="s">
        <v>468</v>
      </c>
      <c r="C915" s="82">
        <f>IFERROR(VLOOKUP(B915,'VTN2025'!B:I,8,FALSE),"-")</f>
        <v>12616.313333333332</v>
      </c>
      <c r="D915" s="83">
        <f t="shared" si="15"/>
        <v>8230.276249999999</v>
      </c>
    </row>
    <row r="916" spans="1:4" ht="16.5" thickBot="1" x14ac:dyDescent="0.3">
      <c r="A916" s="61" t="s">
        <v>587</v>
      </c>
      <c r="B916" s="61" t="s">
        <v>518</v>
      </c>
      <c r="C916" s="82">
        <f>IFERROR(VLOOKUP(B916,'VTN2025'!B:I,8,FALSE),"-")</f>
        <v>17436.14</v>
      </c>
      <c r="D916" s="83">
        <f t="shared" si="15"/>
        <v>18851.136666666665</v>
      </c>
    </row>
    <row r="917" spans="1:4" ht="16.5" thickBot="1" x14ac:dyDescent="0.3">
      <c r="A917" s="61" t="s">
        <v>587</v>
      </c>
      <c r="B917" s="61" t="s">
        <v>429</v>
      </c>
      <c r="C917" s="82" t="str">
        <f>IFERROR(VLOOKUP(B917,'VTN2025'!B:I,8,FALSE),"-")</f>
        <v>-</v>
      </c>
      <c r="D917" s="83">
        <f t="shared" si="15"/>
        <v>18851.136666666665</v>
      </c>
    </row>
    <row r="918" spans="1:4" ht="16.5" thickBot="1" x14ac:dyDescent="0.3">
      <c r="A918" s="61" t="s">
        <v>587</v>
      </c>
      <c r="B918" s="61" t="s">
        <v>570</v>
      </c>
      <c r="C918" s="82" t="str">
        <f>IFERROR(VLOOKUP(B918,'VTN2025'!B:I,8,FALSE),"-")</f>
        <v>-</v>
      </c>
      <c r="D918" s="83">
        <f t="shared" si="15"/>
        <v>18851.136666666665</v>
      </c>
    </row>
    <row r="919" spans="1:4" ht="16.5" thickBot="1" x14ac:dyDescent="0.3">
      <c r="A919" s="61" t="s">
        <v>587</v>
      </c>
      <c r="B919" s="61" t="s">
        <v>536</v>
      </c>
      <c r="C919" s="82">
        <f>IFERROR(VLOOKUP(B919,'VTN2025'!B:I,8,FALSE),"-")</f>
        <v>20266.133333333335</v>
      </c>
      <c r="D919" s="83">
        <f t="shared" si="15"/>
        <v>18851.136666666665</v>
      </c>
    </row>
    <row r="920" spans="1:4" ht="16.5" thickBot="1" x14ac:dyDescent="0.3">
      <c r="A920" s="61" t="s">
        <v>480</v>
      </c>
      <c r="B920" s="61" t="s">
        <v>461</v>
      </c>
      <c r="C920" s="82">
        <f>IFERROR(VLOOKUP(B920,'VTN2025'!B:I,8,FALSE),"-")</f>
        <v>13828.659999999998</v>
      </c>
      <c r="D920" s="83">
        <f t="shared" si="15"/>
        <v>11343.47</v>
      </c>
    </row>
    <row r="921" spans="1:4" ht="16.5" thickBot="1" x14ac:dyDescent="0.3">
      <c r="A921" s="61" t="s">
        <v>480</v>
      </c>
      <c r="B921" s="61" t="s">
        <v>479</v>
      </c>
      <c r="C921" s="82" t="str">
        <f>IFERROR(VLOOKUP(B921,'VTN2025'!B:I,8,FALSE),"-")</f>
        <v>-</v>
      </c>
      <c r="D921" s="83">
        <f t="shared" si="15"/>
        <v>11343.47</v>
      </c>
    </row>
    <row r="922" spans="1:4" ht="16.5" thickBot="1" x14ac:dyDescent="0.3">
      <c r="A922" s="61" t="s">
        <v>480</v>
      </c>
      <c r="B922" s="61" t="s">
        <v>462</v>
      </c>
      <c r="C922" s="82">
        <f>IFERROR(VLOOKUP(B922,'VTN2025'!B:I,8,FALSE),"-")</f>
        <v>5157.7650000000003</v>
      </c>
      <c r="D922" s="83">
        <f t="shared" ref="D922:D985" si="16">AVERAGEIF($A:$A,A922,$C:$C)</f>
        <v>11343.47</v>
      </c>
    </row>
    <row r="923" spans="1:4" ht="16.5" thickBot="1" x14ac:dyDescent="0.3">
      <c r="A923" s="61" t="s">
        <v>480</v>
      </c>
      <c r="B923" s="61" t="s">
        <v>466</v>
      </c>
      <c r="C923" s="82">
        <f>IFERROR(VLOOKUP(B923,'VTN2025'!B:I,8,FALSE),"-")</f>
        <v>16485.681666666667</v>
      </c>
      <c r="D923" s="83">
        <f t="shared" si="16"/>
        <v>11343.47</v>
      </c>
    </row>
    <row r="924" spans="1:4" ht="16.5" thickBot="1" x14ac:dyDescent="0.3">
      <c r="A924" s="61" t="s">
        <v>480</v>
      </c>
      <c r="B924" s="61" t="s">
        <v>418</v>
      </c>
      <c r="C924" s="82">
        <f>IFERROR(VLOOKUP(B924,'VTN2025'!B:I,8,FALSE),"-")</f>
        <v>12782.788333333332</v>
      </c>
      <c r="D924" s="83">
        <f t="shared" si="16"/>
        <v>11343.47</v>
      </c>
    </row>
    <row r="925" spans="1:4" ht="16.5" thickBot="1" x14ac:dyDescent="0.3">
      <c r="A925" s="61" t="s">
        <v>480</v>
      </c>
      <c r="B925" s="61" t="s">
        <v>508</v>
      </c>
      <c r="C925" s="82">
        <f>IFERROR(VLOOKUP(B925,'VTN2025'!B:I,8,FALSE),"-")</f>
        <v>8462.4549999999999</v>
      </c>
      <c r="D925" s="83">
        <f t="shared" si="16"/>
        <v>11343.47</v>
      </c>
    </row>
    <row r="926" spans="1:4" ht="16.5" thickBot="1" x14ac:dyDescent="0.3">
      <c r="A926" s="61" t="s">
        <v>480</v>
      </c>
      <c r="B926" s="61" t="s">
        <v>421</v>
      </c>
      <c r="C926" s="82" t="str">
        <f>IFERROR(VLOOKUP(B926,'VTN2025'!B:I,8,FALSE),"-")</f>
        <v>-</v>
      </c>
      <c r="D926" s="83">
        <f t="shared" si="16"/>
        <v>11343.47</v>
      </c>
    </row>
    <row r="927" spans="1:4" ht="16.5" thickBot="1" x14ac:dyDescent="0.3">
      <c r="A927" s="61" t="s">
        <v>577</v>
      </c>
      <c r="B927" s="61" t="s">
        <v>561</v>
      </c>
      <c r="C927" s="82">
        <f>IFERROR(VLOOKUP(B927,'VTN2025'!B:I,8,FALSE),"-")</f>
        <v>17532.204999999998</v>
      </c>
      <c r="D927" s="83">
        <f t="shared" si="16"/>
        <v>13665.869583333331</v>
      </c>
    </row>
    <row r="928" spans="1:4" ht="16.5" thickBot="1" x14ac:dyDescent="0.3">
      <c r="A928" s="61" t="s">
        <v>577</v>
      </c>
      <c r="B928" s="61" t="s">
        <v>576</v>
      </c>
      <c r="C928" s="82">
        <f>IFERROR(VLOOKUP(B928,'VTN2025'!B:I,8,FALSE),"-")</f>
        <v>12876.885</v>
      </c>
      <c r="D928" s="83">
        <f t="shared" si="16"/>
        <v>13665.869583333331</v>
      </c>
    </row>
    <row r="929" spans="1:4" ht="16.5" thickBot="1" x14ac:dyDescent="0.3">
      <c r="A929" s="61" t="s">
        <v>577</v>
      </c>
      <c r="B929" s="61" t="s">
        <v>590</v>
      </c>
      <c r="C929" s="82">
        <f>IFERROR(VLOOKUP(B929,'VTN2025'!B:I,8,FALSE),"-")</f>
        <v>9122.2983333333341</v>
      </c>
      <c r="D929" s="83">
        <f t="shared" si="16"/>
        <v>13665.869583333331</v>
      </c>
    </row>
    <row r="930" spans="1:4" ht="16.5" thickBot="1" x14ac:dyDescent="0.3">
      <c r="A930" s="61" t="s">
        <v>577</v>
      </c>
      <c r="B930" s="61" t="s">
        <v>563</v>
      </c>
      <c r="C930" s="82" t="str">
        <f>IFERROR(VLOOKUP(B930,'VTN2025'!B:I,8,FALSE),"-")</f>
        <v>-</v>
      </c>
      <c r="D930" s="83">
        <f t="shared" si="16"/>
        <v>13665.869583333331</v>
      </c>
    </row>
    <row r="931" spans="1:4" ht="16.5" thickBot="1" x14ac:dyDescent="0.3">
      <c r="A931" s="61" t="s">
        <v>577</v>
      </c>
      <c r="B931" s="61" t="s">
        <v>605</v>
      </c>
      <c r="C931" s="82" t="str">
        <f>IFERROR(VLOOKUP(B931,'VTN2025'!B:I,8,FALSE),"-")</f>
        <v>-</v>
      </c>
      <c r="D931" s="83">
        <f t="shared" si="16"/>
        <v>13665.869583333331</v>
      </c>
    </row>
    <row r="932" spans="1:4" ht="16.5" thickBot="1" x14ac:dyDescent="0.3">
      <c r="A932" s="61" t="s">
        <v>577</v>
      </c>
      <c r="B932" s="61" t="s">
        <v>606</v>
      </c>
      <c r="C932" s="82">
        <f>IFERROR(VLOOKUP(B932,'VTN2025'!B:I,8,FALSE),"-")</f>
        <v>15132.089999999998</v>
      </c>
      <c r="D932" s="83">
        <f t="shared" si="16"/>
        <v>13665.869583333331</v>
      </c>
    </row>
    <row r="933" spans="1:4" ht="16.5" thickBot="1" x14ac:dyDescent="0.3">
      <c r="A933" s="61" t="s">
        <v>399</v>
      </c>
      <c r="B933" s="61" t="s">
        <v>396</v>
      </c>
      <c r="C933" s="82">
        <f>IFERROR(VLOOKUP(B933,'VTN2025'!B:I,8,FALSE),"-")</f>
        <v>5425.2616666666663</v>
      </c>
      <c r="D933" s="83">
        <f t="shared" si="16"/>
        <v>7026.7112500000003</v>
      </c>
    </row>
    <row r="934" spans="1:4" ht="16.5" thickBot="1" x14ac:dyDescent="0.3">
      <c r="A934" s="61" t="s">
        <v>399</v>
      </c>
      <c r="B934" s="61" t="s">
        <v>544</v>
      </c>
      <c r="C934" s="82">
        <f>IFERROR(VLOOKUP(B934,'VTN2025'!B:I,8,FALSE),"-")</f>
        <v>7535.7266666666665</v>
      </c>
      <c r="D934" s="83">
        <f t="shared" si="16"/>
        <v>7026.7112500000003</v>
      </c>
    </row>
    <row r="935" spans="1:4" ht="16.5" thickBot="1" x14ac:dyDescent="0.3">
      <c r="A935" s="61" t="s">
        <v>399</v>
      </c>
      <c r="B935" s="61" t="s">
        <v>398</v>
      </c>
      <c r="C935" s="82">
        <f>IFERROR(VLOOKUP(B935,'VTN2025'!B:I,8,FALSE),"-")</f>
        <v>7540.8016666666672</v>
      </c>
      <c r="D935" s="83">
        <f t="shared" si="16"/>
        <v>7026.7112500000003</v>
      </c>
    </row>
    <row r="936" spans="1:4" ht="16.5" thickBot="1" x14ac:dyDescent="0.3">
      <c r="A936" s="61" t="s">
        <v>399</v>
      </c>
      <c r="B936" s="61" t="s">
        <v>400</v>
      </c>
      <c r="C936" s="82" t="str">
        <f>IFERROR(VLOOKUP(B936,'VTN2025'!B:I,8,FALSE),"-")</f>
        <v>-</v>
      </c>
      <c r="D936" s="83">
        <f t="shared" si="16"/>
        <v>7026.7112500000003</v>
      </c>
    </row>
    <row r="937" spans="1:4" ht="16.5" thickBot="1" x14ac:dyDescent="0.3">
      <c r="A937" s="61" t="s">
        <v>399</v>
      </c>
      <c r="B937" s="61" t="s">
        <v>546</v>
      </c>
      <c r="C937" s="82">
        <f>IFERROR(VLOOKUP(B937,'VTN2025'!B:I,8,FALSE),"-")</f>
        <v>7605.0550000000003</v>
      </c>
      <c r="D937" s="83">
        <f t="shared" si="16"/>
        <v>7026.7112500000003</v>
      </c>
    </row>
    <row r="938" spans="1:4" ht="16.5" thickBot="1" x14ac:dyDescent="0.3">
      <c r="A938" s="61" t="s">
        <v>405</v>
      </c>
      <c r="B938" s="61" t="s">
        <v>401</v>
      </c>
      <c r="C938" s="82">
        <f>IFERROR(VLOOKUP(B938,'VTN2025'!B:I,8,FALSE),"-")</f>
        <v>7938.1283333333331</v>
      </c>
      <c r="D938" s="83">
        <f t="shared" si="16"/>
        <v>7732.1883333333317</v>
      </c>
    </row>
    <row r="939" spans="1:4" ht="16.5" thickBot="1" x14ac:dyDescent="0.3">
      <c r="A939" s="61" t="s">
        <v>405</v>
      </c>
      <c r="B939" s="61" t="s">
        <v>410</v>
      </c>
      <c r="C939" s="82">
        <f>IFERROR(VLOOKUP(B939,'VTN2025'!B:I,8,FALSE),"-")</f>
        <v>8049.333333333333</v>
      </c>
      <c r="D939" s="83">
        <f t="shared" si="16"/>
        <v>7732.1883333333317</v>
      </c>
    </row>
    <row r="940" spans="1:4" ht="16.5" thickBot="1" x14ac:dyDescent="0.3">
      <c r="A940" s="61" t="s">
        <v>405</v>
      </c>
      <c r="B940" s="61" t="s">
        <v>412</v>
      </c>
      <c r="C940" s="82">
        <f>IFERROR(VLOOKUP(B940,'VTN2025'!B:I,8,FALSE),"-")</f>
        <v>9641.8700000000008</v>
      </c>
      <c r="D940" s="83">
        <f t="shared" si="16"/>
        <v>7732.1883333333317</v>
      </c>
    </row>
    <row r="941" spans="1:4" ht="16.5" thickBot="1" x14ac:dyDescent="0.3">
      <c r="A941" s="61" t="s">
        <v>405</v>
      </c>
      <c r="B941" s="61" t="s">
        <v>555</v>
      </c>
      <c r="C941" s="82">
        <f>IFERROR(VLOOKUP(B941,'VTN2025'!B:I,8,FALSE),"-")</f>
        <v>8110.6716666666653</v>
      </c>
      <c r="D941" s="83">
        <f t="shared" si="16"/>
        <v>7732.1883333333317</v>
      </c>
    </row>
    <row r="942" spans="1:4" ht="16.5" thickBot="1" x14ac:dyDescent="0.3">
      <c r="A942" s="61" t="s">
        <v>405</v>
      </c>
      <c r="B942" s="61" t="s">
        <v>558</v>
      </c>
      <c r="C942" s="82">
        <f>IFERROR(VLOOKUP(B942,'VTN2025'!B:I,8,FALSE),"-")</f>
        <v>4793.163333333333</v>
      </c>
      <c r="D942" s="83">
        <f t="shared" si="16"/>
        <v>7732.1883333333317</v>
      </c>
    </row>
    <row r="943" spans="1:4" ht="16.5" thickBot="1" x14ac:dyDescent="0.3">
      <c r="A943" s="61" t="s">
        <v>405</v>
      </c>
      <c r="B943" s="61" t="s">
        <v>406</v>
      </c>
      <c r="C943" s="82">
        <f>IFERROR(VLOOKUP(B943,'VTN2025'!B:I,8,FALSE),"-")</f>
        <v>7859.9633333333322</v>
      </c>
      <c r="D943" s="83">
        <f t="shared" si="16"/>
        <v>7732.1883333333317</v>
      </c>
    </row>
    <row r="944" spans="1:4" ht="16.5" thickBot="1" x14ac:dyDescent="0.3">
      <c r="A944" s="61" t="s">
        <v>405</v>
      </c>
      <c r="B944" s="61" t="s">
        <v>407</v>
      </c>
      <c r="C944" s="82" t="str">
        <f>IFERROR(VLOOKUP(B944,'VTN2025'!B:I,8,FALSE),"-")</f>
        <v>-</v>
      </c>
      <c r="D944" s="83">
        <f t="shared" si="16"/>
        <v>7732.1883333333317</v>
      </c>
    </row>
    <row r="945" spans="1:4" ht="16.5" thickBot="1" x14ac:dyDescent="0.3">
      <c r="A945" s="61" t="s">
        <v>512</v>
      </c>
      <c r="B945" s="61" t="s">
        <v>509</v>
      </c>
      <c r="C945" s="82">
        <f>IFERROR(VLOOKUP(B945,'VTN2025'!B:I,8,FALSE),"-")</f>
        <v>29748.62166666667</v>
      </c>
      <c r="D945" s="83">
        <f t="shared" si="16"/>
        <v>28160.305833333336</v>
      </c>
    </row>
    <row r="946" spans="1:4" ht="16.5" thickBot="1" x14ac:dyDescent="0.3">
      <c r="A946" s="61" t="s">
        <v>512</v>
      </c>
      <c r="B946" s="61" t="s">
        <v>510</v>
      </c>
      <c r="C946" s="82" t="str">
        <f>IFERROR(VLOOKUP(B946,'VTN2025'!B:I,8,FALSE),"-")</f>
        <v>-</v>
      </c>
      <c r="D946" s="83">
        <f t="shared" si="16"/>
        <v>28160.305833333336</v>
      </c>
    </row>
    <row r="947" spans="1:4" ht="16.5" thickBot="1" x14ac:dyDescent="0.3">
      <c r="A947" s="61" t="s">
        <v>512</v>
      </c>
      <c r="B947" s="61" t="s">
        <v>435</v>
      </c>
      <c r="C947" s="82" t="str">
        <f>IFERROR(VLOOKUP(B947,'VTN2025'!B:I,8,FALSE),"-")</f>
        <v>-</v>
      </c>
      <c r="D947" s="83">
        <f t="shared" si="16"/>
        <v>28160.305833333336</v>
      </c>
    </row>
    <row r="948" spans="1:4" ht="16.5" thickBot="1" x14ac:dyDescent="0.3">
      <c r="A948" s="61" t="s">
        <v>512</v>
      </c>
      <c r="B948" s="61" t="s">
        <v>436</v>
      </c>
      <c r="C948" s="82">
        <f>IFERROR(VLOOKUP(B948,'VTN2025'!B:I,8,FALSE),"-")</f>
        <v>26571.99</v>
      </c>
      <c r="D948" s="83">
        <f t="shared" si="16"/>
        <v>28160.305833333336</v>
      </c>
    </row>
    <row r="949" spans="1:4" ht="16.5" thickBot="1" x14ac:dyDescent="0.3">
      <c r="A949" s="61" t="s">
        <v>512</v>
      </c>
      <c r="B949" s="61" t="s">
        <v>513</v>
      </c>
      <c r="C949" s="82" t="str">
        <f>IFERROR(VLOOKUP(B949,'VTN2025'!B:I,8,FALSE),"-")</f>
        <v>-</v>
      </c>
      <c r="D949" s="83">
        <f t="shared" si="16"/>
        <v>28160.305833333336</v>
      </c>
    </row>
    <row r="950" spans="1:4" ht="16.5" thickBot="1" x14ac:dyDescent="0.3">
      <c r="A950" s="61" t="s">
        <v>522</v>
      </c>
      <c r="B950" s="61" t="s">
        <v>520</v>
      </c>
      <c r="C950" s="82">
        <f>IFERROR(VLOOKUP(B950,'VTN2025'!B:I,8,FALSE),"-")</f>
        <v>12920.196666666669</v>
      </c>
      <c r="D950" s="83">
        <f t="shared" si="16"/>
        <v>12151.448055555556</v>
      </c>
    </row>
    <row r="951" spans="1:4" ht="16.5" thickBot="1" x14ac:dyDescent="0.3">
      <c r="A951" s="61" t="s">
        <v>522</v>
      </c>
      <c r="B951" s="61" t="s">
        <v>483</v>
      </c>
      <c r="C951" s="82">
        <f>IFERROR(VLOOKUP(B951,'VTN2025'!B:I,8,FALSE),"-")</f>
        <v>13927.696666666665</v>
      </c>
      <c r="D951" s="83">
        <f t="shared" si="16"/>
        <v>12151.448055555556</v>
      </c>
    </row>
    <row r="952" spans="1:4" ht="16.5" thickBot="1" x14ac:dyDescent="0.3">
      <c r="A952" s="61" t="s">
        <v>522</v>
      </c>
      <c r="B952" s="61" t="s">
        <v>593</v>
      </c>
      <c r="C952" s="82">
        <f>IFERROR(VLOOKUP(B952,'VTN2025'!B:I,8,FALSE),"-")</f>
        <v>10367.374999999998</v>
      </c>
      <c r="D952" s="83">
        <f t="shared" si="16"/>
        <v>12151.448055555556</v>
      </c>
    </row>
    <row r="953" spans="1:4" ht="16.5" thickBot="1" x14ac:dyDescent="0.3">
      <c r="A953" s="61" t="s">
        <v>522</v>
      </c>
      <c r="B953" s="61" t="s">
        <v>521</v>
      </c>
      <c r="C953" s="82">
        <f>IFERROR(VLOOKUP(B953,'VTN2025'!B:I,8,FALSE),"-")</f>
        <v>12253.573333333332</v>
      </c>
      <c r="D953" s="83">
        <f t="shared" si="16"/>
        <v>12151.448055555556</v>
      </c>
    </row>
    <row r="954" spans="1:4" ht="16.5" thickBot="1" x14ac:dyDescent="0.3">
      <c r="A954" s="61" t="s">
        <v>522</v>
      </c>
      <c r="B954" s="61" t="s">
        <v>514</v>
      </c>
      <c r="C954" s="82">
        <f>IFERROR(VLOOKUP(B954,'VTN2025'!B:I,8,FALSE),"-")</f>
        <v>11447.461666666668</v>
      </c>
      <c r="D954" s="83">
        <f t="shared" si="16"/>
        <v>12151.448055555556</v>
      </c>
    </row>
    <row r="955" spans="1:4" ht="16.5" thickBot="1" x14ac:dyDescent="0.3">
      <c r="A955" s="61" t="s">
        <v>522</v>
      </c>
      <c r="B955" s="61" t="s">
        <v>515</v>
      </c>
      <c r="C955" s="82">
        <f>IFERROR(VLOOKUP(B955,'VTN2025'!B:I,8,FALSE),"-")</f>
        <v>11992.385000000002</v>
      </c>
      <c r="D955" s="83">
        <f t="shared" si="16"/>
        <v>12151.448055555556</v>
      </c>
    </row>
    <row r="956" spans="1:4" ht="16.5" thickBot="1" x14ac:dyDescent="0.3">
      <c r="A956" s="61" t="s">
        <v>628</v>
      </c>
      <c r="B956" s="61" t="s">
        <v>390</v>
      </c>
      <c r="C956" s="82">
        <f>IFERROR(VLOOKUP(B956,'VTN2025'!B:I,8,FALSE),"-")</f>
        <v>8946.5783333333347</v>
      </c>
      <c r="D956" s="83">
        <f t="shared" si="16"/>
        <v>8946.5783333333347</v>
      </c>
    </row>
    <row r="957" spans="1:4" ht="16.5" thickBot="1" x14ac:dyDescent="0.3">
      <c r="A957" s="61" t="s">
        <v>628</v>
      </c>
      <c r="B957" s="61" t="s">
        <v>391</v>
      </c>
      <c r="C957" s="82" t="str">
        <f>IFERROR(VLOOKUP(B957,'VTN2025'!B:I,8,FALSE),"-")</f>
        <v>-</v>
      </c>
      <c r="D957" s="83">
        <f t="shared" si="16"/>
        <v>8946.5783333333347</v>
      </c>
    </row>
    <row r="958" spans="1:4" ht="16.5" thickBot="1" x14ac:dyDescent="0.3">
      <c r="A958" s="61" t="s">
        <v>628</v>
      </c>
      <c r="B958" s="61" t="s">
        <v>583</v>
      </c>
      <c r="C958" s="82" t="str">
        <f>IFERROR(VLOOKUP(B958,'VTN2025'!B:I,8,FALSE),"-")</f>
        <v>-</v>
      </c>
      <c r="D958" s="83">
        <f t="shared" si="16"/>
        <v>8946.5783333333347</v>
      </c>
    </row>
    <row r="959" spans="1:4" ht="16.5" thickBot="1" x14ac:dyDescent="0.3">
      <c r="A959" s="61" t="s">
        <v>507</v>
      </c>
      <c r="B959" s="61" t="s">
        <v>417</v>
      </c>
      <c r="C959" s="82">
        <f>IFERROR(VLOOKUP(B959,'VTN2025'!B:I,8,FALSE),"-")</f>
        <v>5547.3600000000006</v>
      </c>
      <c r="D959" s="83">
        <f t="shared" si="16"/>
        <v>6860.6572222222212</v>
      </c>
    </row>
    <row r="960" spans="1:4" ht="16.5" thickBot="1" x14ac:dyDescent="0.3">
      <c r="A960" s="61" t="s">
        <v>507</v>
      </c>
      <c r="B960" s="61" t="s">
        <v>420</v>
      </c>
      <c r="C960" s="82">
        <f>IFERROR(VLOOKUP(B960,'VTN2025'!B:I,8,FALSE),"-")</f>
        <v>6572.1566666666668</v>
      </c>
      <c r="D960" s="83">
        <f t="shared" si="16"/>
        <v>6860.6572222222212</v>
      </c>
    </row>
    <row r="961" spans="1:4" ht="16.5" thickBot="1" x14ac:dyDescent="0.3">
      <c r="A961" s="61" t="s">
        <v>507</v>
      </c>
      <c r="B961" s="61" t="s">
        <v>508</v>
      </c>
      <c r="C961" s="82">
        <f>IFERROR(VLOOKUP(B961,'VTN2025'!B:I,8,FALSE),"-")</f>
        <v>8462.4549999999999</v>
      </c>
      <c r="D961" s="83">
        <f t="shared" si="16"/>
        <v>6860.6572222222212</v>
      </c>
    </row>
    <row r="962" spans="1:4" ht="16.5" thickBot="1" x14ac:dyDescent="0.3">
      <c r="A962" s="61" t="s">
        <v>612</v>
      </c>
      <c r="B962" s="61" t="s">
        <v>536</v>
      </c>
      <c r="C962" s="82">
        <f>IFERROR(VLOOKUP(B962,'VTN2025'!B:I,8,FALSE),"-")</f>
        <v>20266.133333333335</v>
      </c>
      <c r="D962" s="83">
        <f t="shared" si="16"/>
        <v>17203.973333333332</v>
      </c>
    </row>
    <row r="963" spans="1:4" ht="16.5" thickBot="1" x14ac:dyDescent="0.3">
      <c r="A963" s="61" t="s">
        <v>612</v>
      </c>
      <c r="B963" s="61" t="s">
        <v>390</v>
      </c>
      <c r="C963" s="82">
        <f>IFERROR(VLOOKUP(B963,'VTN2025'!B:I,8,FALSE),"-")</f>
        <v>8946.5783333333347</v>
      </c>
      <c r="D963" s="83">
        <f t="shared" si="16"/>
        <v>17203.973333333332</v>
      </c>
    </row>
    <row r="964" spans="1:4" ht="16.5" thickBot="1" x14ac:dyDescent="0.3">
      <c r="A964" s="61" t="s">
        <v>612</v>
      </c>
      <c r="B964" s="61" t="s">
        <v>538</v>
      </c>
      <c r="C964" s="82">
        <f>IFERROR(VLOOKUP(B964,'VTN2025'!B:I,8,FALSE),"-")</f>
        <v>17871.291666666664</v>
      </c>
      <c r="D964" s="83">
        <f t="shared" si="16"/>
        <v>17203.973333333332</v>
      </c>
    </row>
    <row r="965" spans="1:4" ht="16.5" thickBot="1" x14ac:dyDescent="0.3">
      <c r="A965" s="61" t="s">
        <v>612</v>
      </c>
      <c r="B965" s="61" t="s">
        <v>375</v>
      </c>
      <c r="C965" s="82">
        <f>IFERROR(VLOOKUP(B965,'VTN2025'!B:I,8,FALSE),"-")</f>
        <v>20521.601666666666</v>
      </c>
      <c r="D965" s="83">
        <f t="shared" si="16"/>
        <v>17203.973333333332</v>
      </c>
    </row>
    <row r="966" spans="1:4" ht="16.5" thickBot="1" x14ac:dyDescent="0.3">
      <c r="A966" s="61" t="s">
        <v>612</v>
      </c>
      <c r="B966" s="61" t="s">
        <v>613</v>
      </c>
      <c r="C966" s="82">
        <f>IFERROR(VLOOKUP(B966,'VTN2025'!B:I,8,FALSE),"-")</f>
        <v>19950.168333333335</v>
      </c>
      <c r="D966" s="83">
        <f t="shared" si="16"/>
        <v>17203.973333333332</v>
      </c>
    </row>
    <row r="967" spans="1:4" ht="16.5" thickBot="1" x14ac:dyDescent="0.3">
      <c r="A967" s="61" t="s">
        <v>612</v>
      </c>
      <c r="B967" s="61" t="s">
        <v>588</v>
      </c>
      <c r="C967" s="82">
        <f>IFERROR(VLOOKUP(B967,'VTN2025'!B:I,8,FALSE),"-")</f>
        <v>15668.066666666668</v>
      </c>
      <c r="D967" s="83">
        <f t="shared" si="16"/>
        <v>17203.973333333332</v>
      </c>
    </row>
    <row r="968" spans="1:4" ht="16.5" thickBot="1" x14ac:dyDescent="0.3">
      <c r="A968" s="61" t="s">
        <v>436</v>
      </c>
      <c r="B968" s="61" t="s">
        <v>371</v>
      </c>
      <c r="C968" s="82" t="str">
        <f>IFERROR(VLOOKUP(B968,'VTN2025'!B:I,8,FALSE),"-")</f>
        <v>-</v>
      </c>
      <c r="D968" s="83">
        <f t="shared" si="16"/>
        <v>31325.612222222222</v>
      </c>
    </row>
    <row r="969" spans="1:4" ht="16.5" thickBot="1" x14ac:dyDescent="0.3">
      <c r="A969" s="61" t="s">
        <v>436</v>
      </c>
      <c r="B969" s="61" t="s">
        <v>432</v>
      </c>
      <c r="C969" s="82">
        <f>IFERROR(VLOOKUP(B969,'VTN2025'!B:I,8,FALSE),"-")</f>
        <v>20835.751666666667</v>
      </c>
      <c r="D969" s="83">
        <f t="shared" si="16"/>
        <v>31325.612222222222</v>
      </c>
    </row>
    <row r="970" spans="1:4" ht="16.5" thickBot="1" x14ac:dyDescent="0.3">
      <c r="A970" s="61" t="s">
        <v>436</v>
      </c>
      <c r="B970" s="61" t="s">
        <v>510</v>
      </c>
      <c r="C970" s="82" t="str">
        <f>IFERROR(VLOOKUP(B970,'VTN2025'!B:I,8,FALSE),"-")</f>
        <v>-</v>
      </c>
      <c r="D970" s="83">
        <f t="shared" si="16"/>
        <v>31325.612222222222</v>
      </c>
    </row>
    <row r="971" spans="1:4" ht="16.5" thickBot="1" x14ac:dyDescent="0.3">
      <c r="A971" s="61" t="s">
        <v>436</v>
      </c>
      <c r="B971" s="61" t="s">
        <v>435</v>
      </c>
      <c r="C971" s="82" t="str">
        <f>IFERROR(VLOOKUP(B971,'VTN2025'!B:I,8,FALSE),"-")</f>
        <v>-</v>
      </c>
      <c r="D971" s="83">
        <f t="shared" si="16"/>
        <v>31325.612222222222</v>
      </c>
    </row>
    <row r="972" spans="1:4" ht="16.5" thickBot="1" x14ac:dyDescent="0.3">
      <c r="A972" s="61" t="s">
        <v>436</v>
      </c>
      <c r="B972" s="61" t="s">
        <v>512</v>
      </c>
      <c r="C972" s="82">
        <f>IFERROR(VLOOKUP(B972,'VTN2025'!B:I,8,FALSE),"-")</f>
        <v>46389.418333333335</v>
      </c>
      <c r="D972" s="83">
        <f t="shared" si="16"/>
        <v>31325.612222222222</v>
      </c>
    </row>
    <row r="973" spans="1:4" ht="16.5" thickBot="1" x14ac:dyDescent="0.3">
      <c r="A973" s="61" t="s">
        <v>436</v>
      </c>
      <c r="B973" s="61" t="s">
        <v>437</v>
      </c>
      <c r="C973" s="82">
        <f>IFERROR(VLOOKUP(B973,'VTN2025'!B:I,8,FALSE),"-")</f>
        <v>26751.666666666668</v>
      </c>
      <c r="D973" s="83">
        <f t="shared" si="16"/>
        <v>31325.612222222222</v>
      </c>
    </row>
    <row r="974" spans="1:4" ht="16.5" thickBot="1" x14ac:dyDescent="0.3">
      <c r="A974" s="61" t="s">
        <v>572</v>
      </c>
      <c r="B974" s="61" t="s">
        <v>549</v>
      </c>
      <c r="C974" s="82">
        <f>IFERROR(VLOOKUP(B974,'VTN2025'!B:I,8,FALSE),"-")</f>
        <v>21583.333333333332</v>
      </c>
      <c r="D974" s="83">
        <f t="shared" si="16"/>
        <v>21583.333333333332</v>
      </c>
    </row>
    <row r="975" spans="1:4" ht="16.5" thickBot="1" x14ac:dyDescent="0.3">
      <c r="A975" s="61" t="s">
        <v>572</v>
      </c>
      <c r="B975" s="61" t="s">
        <v>569</v>
      </c>
      <c r="C975" s="82" t="str">
        <f>IFERROR(VLOOKUP(B975,'VTN2025'!B:I,8,FALSE),"-")</f>
        <v>-</v>
      </c>
      <c r="D975" s="83">
        <f t="shared" si="16"/>
        <v>21583.333333333332</v>
      </c>
    </row>
    <row r="976" spans="1:4" ht="16.5" thickBot="1" x14ac:dyDescent="0.3">
      <c r="A976" s="61" t="s">
        <v>572</v>
      </c>
      <c r="B976" s="61" t="s">
        <v>573</v>
      </c>
      <c r="C976" s="82" t="str">
        <f>IFERROR(VLOOKUP(B976,'VTN2025'!B:I,8,FALSE),"-")</f>
        <v>-</v>
      </c>
      <c r="D976" s="83">
        <f t="shared" si="16"/>
        <v>21583.333333333332</v>
      </c>
    </row>
    <row r="977" spans="1:4" ht="16.5" thickBot="1" x14ac:dyDescent="0.3">
      <c r="A977" s="61" t="s">
        <v>585</v>
      </c>
      <c r="B977" s="61" t="s">
        <v>584</v>
      </c>
      <c r="C977" s="82">
        <f>IFERROR(VLOOKUP(B977,'VTN2025'!B:I,8,FALSE),"-")</f>
        <v>6472.4866666666676</v>
      </c>
      <c r="D977" s="83">
        <f t="shared" si="16"/>
        <v>9362.8658333333333</v>
      </c>
    </row>
    <row r="978" spans="1:4" ht="16.5" thickBot="1" x14ac:dyDescent="0.3">
      <c r="A978" s="61" t="s">
        <v>585</v>
      </c>
      <c r="B978" s="61" t="s">
        <v>629</v>
      </c>
      <c r="C978" s="82">
        <f>IFERROR(VLOOKUP(B978,'VTN2025'!B:I,8,FALSE),"-")</f>
        <v>5760.8</v>
      </c>
      <c r="D978" s="83">
        <f t="shared" si="16"/>
        <v>9362.8658333333333</v>
      </c>
    </row>
    <row r="979" spans="1:4" ht="16.5" thickBot="1" x14ac:dyDescent="0.3">
      <c r="A979" s="61" t="s">
        <v>585</v>
      </c>
      <c r="B979" s="61" t="s">
        <v>602</v>
      </c>
      <c r="C979" s="82">
        <f>IFERROR(VLOOKUP(B979,'VTN2025'!B:I,8,FALSE),"-")</f>
        <v>12921.94</v>
      </c>
      <c r="D979" s="83">
        <f t="shared" si="16"/>
        <v>9362.8658333333333</v>
      </c>
    </row>
    <row r="980" spans="1:4" ht="16.5" thickBot="1" x14ac:dyDescent="0.3">
      <c r="A980" s="61" t="s">
        <v>585</v>
      </c>
      <c r="B980" s="61" t="s">
        <v>493</v>
      </c>
      <c r="C980" s="82">
        <f>IFERROR(VLOOKUP(B980,'VTN2025'!B:I,8,FALSE),"-")</f>
        <v>12296.236666666666</v>
      </c>
      <c r="D980" s="83">
        <f t="shared" si="16"/>
        <v>9362.8658333333333</v>
      </c>
    </row>
    <row r="981" spans="1:4" ht="16.5" thickBot="1" x14ac:dyDescent="0.3">
      <c r="A981" s="61" t="s">
        <v>585</v>
      </c>
      <c r="B981" s="61" t="s">
        <v>586</v>
      </c>
      <c r="C981" s="82" t="str">
        <f>IFERROR(VLOOKUP(B981,'VTN2025'!B:I,8,FALSE),"-")</f>
        <v>-</v>
      </c>
      <c r="D981" s="83">
        <f t="shared" si="16"/>
        <v>9362.8658333333333</v>
      </c>
    </row>
    <row r="982" spans="1:4" ht="16.5" thickBot="1" x14ac:dyDescent="0.3">
      <c r="A982" s="61" t="s">
        <v>476</v>
      </c>
      <c r="B982" s="61" t="s">
        <v>473</v>
      </c>
      <c r="C982" s="82">
        <f>IFERROR(VLOOKUP(B982,'VTN2025'!B:I,8,FALSE),"-")</f>
        <v>11753.996666666668</v>
      </c>
      <c r="D982" s="83">
        <f t="shared" si="16"/>
        <v>10523.805555555557</v>
      </c>
    </row>
    <row r="983" spans="1:4" ht="16.5" thickBot="1" x14ac:dyDescent="0.3">
      <c r="A983" s="61" t="s">
        <v>476</v>
      </c>
      <c r="B983" s="61" t="s">
        <v>474</v>
      </c>
      <c r="C983" s="82">
        <f>IFERROR(VLOOKUP(B983,'VTN2025'!B:I,8,FALSE),"-")</f>
        <v>7580.2250000000013</v>
      </c>
      <c r="D983" s="83">
        <f t="shared" si="16"/>
        <v>10523.805555555557</v>
      </c>
    </row>
    <row r="984" spans="1:4" ht="16.5" thickBot="1" x14ac:dyDescent="0.3">
      <c r="A984" s="61" t="s">
        <v>476</v>
      </c>
      <c r="B984" s="61" t="s">
        <v>426</v>
      </c>
      <c r="C984" s="82">
        <f>IFERROR(VLOOKUP(B984,'VTN2025'!B:I,8,FALSE),"-")</f>
        <v>12237.195</v>
      </c>
      <c r="D984" s="83">
        <f t="shared" si="16"/>
        <v>10523.805555555557</v>
      </c>
    </row>
    <row r="985" spans="1:4" ht="16.5" thickBot="1" x14ac:dyDescent="0.3">
      <c r="A985" s="61" t="s">
        <v>542</v>
      </c>
      <c r="B985" s="61" t="s">
        <v>541</v>
      </c>
      <c r="C985" s="82" t="str">
        <f>IFERROR(VLOOKUP(B985,'VTN2025'!B:I,8,FALSE),"-")</f>
        <v>-</v>
      </c>
      <c r="D985" s="83">
        <f t="shared" si="16"/>
        <v>23423.845833333336</v>
      </c>
    </row>
    <row r="986" spans="1:4" ht="16.5" thickBot="1" x14ac:dyDescent="0.3">
      <c r="A986" s="61" t="s">
        <v>542</v>
      </c>
      <c r="B986" s="61" t="s">
        <v>578</v>
      </c>
      <c r="C986" s="82">
        <f>IFERROR(VLOOKUP(B986,'VTN2025'!B:I,8,FALSE),"-")</f>
        <v>27568.820000000003</v>
      </c>
      <c r="D986" s="83">
        <f t="shared" ref="D986:D1049" si="17">AVERAGEIF($A:$A,A986,$C:$C)</f>
        <v>23423.845833333336</v>
      </c>
    </row>
    <row r="987" spans="1:4" ht="16.5" thickBot="1" x14ac:dyDescent="0.3">
      <c r="A987" s="61" t="s">
        <v>542</v>
      </c>
      <c r="B987" s="61" t="s">
        <v>367</v>
      </c>
      <c r="C987" s="82">
        <f>IFERROR(VLOOKUP(B987,'VTN2025'!B:I,8,FALSE),"-")</f>
        <v>21065.23</v>
      </c>
      <c r="D987" s="83">
        <f t="shared" si="17"/>
        <v>23423.845833333336</v>
      </c>
    </row>
    <row r="988" spans="1:4" ht="16.5" thickBot="1" x14ac:dyDescent="0.3">
      <c r="A988" s="61" t="s">
        <v>542</v>
      </c>
      <c r="B988" s="61" t="s">
        <v>378</v>
      </c>
      <c r="C988" s="82">
        <f>IFERROR(VLOOKUP(B988,'VTN2025'!B:I,8,FALSE),"-")</f>
        <v>20209.003333333334</v>
      </c>
      <c r="D988" s="83">
        <f t="shared" si="17"/>
        <v>23423.845833333336</v>
      </c>
    </row>
    <row r="989" spans="1:4" ht="16.5" thickBot="1" x14ac:dyDescent="0.3">
      <c r="A989" s="61" t="s">
        <v>542</v>
      </c>
      <c r="B989" s="61" t="s">
        <v>379</v>
      </c>
      <c r="C989" s="82">
        <f>IFERROR(VLOOKUP(B989,'VTN2025'!B:I,8,FALSE),"-")</f>
        <v>11121.235000000001</v>
      </c>
      <c r="D989" s="83">
        <f t="shared" si="17"/>
        <v>23423.845833333336</v>
      </c>
    </row>
    <row r="990" spans="1:4" ht="16.5" thickBot="1" x14ac:dyDescent="0.3">
      <c r="A990" s="61" t="s">
        <v>542</v>
      </c>
      <c r="B990" s="61" t="s">
        <v>431</v>
      </c>
      <c r="C990" s="82" t="str">
        <f>IFERROR(VLOOKUP(B990,'VTN2025'!B:I,8,FALSE),"-")</f>
        <v>-</v>
      </c>
      <c r="D990" s="83">
        <f t="shared" si="17"/>
        <v>23423.845833333336</v>
      </c>
    </row>
    <row r="991" spans="1:4" ht="16.5" thickBot="1" x14ac:dyDescent="0.3">
      <c r="A991" s="61" t="s">
        <v>542</v>
      </c>
      <c r="B991" s="61" t="s">
        <v>600</v>
      </c>
      <c r="C991" s="82" t="str">
        <f>IFERROR(VLOOKUP(B991,'VTN2025'!B:I,8,FALSE),"-")</f>
        <v>-</v>
      </c>
      <c r="D991" s="83">
        <f t="shared" si="17"/>
        <v>23423.845833333336</v>
      </c>
    </row>
    <row r="992" spans="1:4" ht="16.5" thickBot="1" x14ac:dyDescent="0.3">
      <c r="A992" s="61" t="s">
        <v>542</v>
      </c>
      <c r="B992" s="61" t="s">
        <v>487</v>
      </c>
      <c r="C992" s="82">
        <f>IFERROR(VLOOKUP(B992,'VTN2025'!B:I,8,FALSE),"-")</f>
        <v>24342.469999999998</v>
      </c>
      <c r="D992" s="83">
        <f t="shared" si="17"/>
        <v>23423.845833333336</v>
      </c>
    </row>
    <row r="993" spans="1:4" ht="16.5" thickBot="1" x14ac:dyDescent="0.3">
      <c r="A993" s="61" t="s">
        <v>542</v>
      </c>
      <c r="B993" s="61" t="s">
        <v>389</v>
      </c>
      <c r="C993" s="82">
        <f>IFERROR(VLOOKUP(B993,'VTN2025'!B:I,8,FALSE),"-")</f>
        <v>36236.316666666673</v>
      </c>
      <c r="D993" s="83">
        <f t="shared" si="17"/>
        <v>23423.845833333336</v>
      </c>
    </row>
    <row r="994" spans="1:4" ht="16.5" thickBot="1" x14ac:dyDescent="0.3">
      <c r="A994" s="61" t="s">
        <v>634</v>
      </c>
      <c r="B994" s="61" t="s">
        <v>538</v>
      </c>
      <c r="C994" s="82">
        <f>IFERROR(VLOOKUP(B994,'VTN2025'!B:I,8,FALSE),"-")</f>
        <v>17871.291666666664</v>
      </c>
      <c r="D994" s="83">
        <f t="shared" si="17"/>
        <v>17871.291666666664</v>
      </c>
    </row>
    <row r="995" spans="1:4" ht="16.5" thickBot="1" x14ac:dyDescent="0.3">
      <c r="A995" s="61" t="s">
        <v>634</v>
      </c>
      <c r="B995" s="61" t="s">
        <v>540</v>
      </c>
      <c r="C995" s="82" t="str">
        <f>IFERROR(VLOOKUP(B995,'VTN2025'!B:I,8,FALSE),"-")</f>
        <v>-</v>
      </c>
      <c r="D995" s="83">
        <f t="shared" si="17"/>
        <v>17871.291666666664</v>
      </c>
    </row>
    <row r="996" spans="1:4" ht="16.5" thickBot="1" x14ac:dyDescent="0.3">
      <c r="A996" s="61" t="s">
        <v>600</v>
      </c>
      <c r="B996" s="61" t="s">
        <v>484</v>
      </c>
      <c r="C996" s="82">
        <f>IFERROR(VLOOKUP(B996,'VTN2025'!B:I,8,FALSE),"-")</f>
        <v>26491.596666666665</v>
      </c>
      <c r="D996" s="83">
        <f t="shared" si="17"/>
        <v>22732.609444444442</v>
      </c>
    </row>
    <row r="997" spans="1:4" ht="16.5" thickBot="1" x14ac:dyDescent="0.3">
      <c r="A997" s="61" t="s">
        <v>600</v>
      </c>
      <c r="B997" s="61" t="s">
        <v>379</v>
      </c>
      <c r="C997" s="82">
        <f>IFERROR(VLOOKUP(B997,'VTN2025'!B:I,8,FALSE),"-")</f>
        <v>11121.235000000001</v>
      </c>
      <c r="D997" s="83">
        <f t="shared" si="17"/>
        <v>22732.609444444442</v>
      </c>
    </row>
    <row r="998" spans="1:4" ht="16.5" thickBot="1" x14ac:dyDescent="0.3">
      <c r="A998" s="61" t="s">
        <v>600</v>
      </c>
      <c r="B998" s="61" t="s">
        <v>542</v>
      </c>
      <c r="C998" s="82">
        <f>IFERROR(VLOOKUP(B998,'VTN2025'!B:I,8,FALSE),"-")</f>
        <v>19695.2</v>
      </c>
      <c r="D998" s="83">
        <f t="shared" si="17"/>
        <v>22732.609444444442</v>
      </c>
    </row>
    <row r="999" spans="1:4" ht="16.5" thickBot="1" x14ac:dyDescent="0.3">
      <c r="A999" s="61" t="s">
        <v>600</v>
      </c>
      <c r="B999" s="61" t="s">
        <v>380</v>
      </c>
      <c r="C999" s="82">
        <f>IFERROR(VLOOKUP(B999,'VTN2025'!B:I,8,FALSE),"-")</f>
        <v>14200.974999999999</v>
      </c>
      <c r="D999" s="83">
        <f t="shared" si="17"/>
        <v>22732.609444444442</v>
      </c>
    </row>
    <row r="1000" spans="1:4" ht="16.5" thickBot="1" x14ac:dyDescent="0.3">
      <c r="A1000" s="61" t="s">
        <v>600</v>
      </c>
      <c r="B1000" s="61" t="s">
        <v>486</v>
      </c>
      <c r="C1000" s="82">
        <f>IFERROR(VLOOKUP(B1000,'VTN2025'!B:I,8,FALSE),"-")</f>
        <v>28650.333333333332</v>
      </c>
      <c r="D1000" s="83">
        <f t="shared" si="17"/>
        <v>22732.609444444442</v>
      </c>
    </row>
    <row r="1001" spans="1:4" ht="16.5" thickBot="1" x14ac:dyDescent="0.3">
      <c r="A1001" s="61" t="s">
        <v>600</v>
      </c>
      <c r="B1001" s="61" t="s">
        <v>389</v>
      </c>
      <c r="C1001" s="82">
        <f>IFERROR(VLOOKUP(B1001,'VTN2025'!B:I,8,FALSE),"-")</f>
        <v>36236.316666666673</v>
      </c>
      <c r="D1001" s="83">
        <f t="shared" si="17"/>
        <v>22732.609444444442</v>
      </c>
    </row>
    <row r="1002" spans="1:4" ht="16.5" thickBot="1" x14ac:dyDescent="0.3">
      <c r="A1002" s="61" t="s">
        <v>504</v>
      </c>
      <c r="B1002" s="61" t="s">
        <v>498</v>
      </c>
      <c r="C1002" s="82">
        <f>IFERROR(VLOOKUP(B1002,'VTN2025'!B:I,8,FALSE),"-")</f>
        <v>41702.514999999992</v>
      </c>
      <c r="D1002" s="83">
        <f t="shared" si="17"/>
        <v>34797.254444444443</v>
      </c>
    </row>
    <row r="1003" spans="1:4" ht="16.5" thickBot="1" x14ac:dyDescent="0.3">
      <c r="A1003" s="61" t="s">
        <v>504</v>
      </c>
      <c r="B1003" s="61" t="s">
        <v>500</v>
      </c>
      <c r="C1003" s="82">
        <f>IFERROR(VLOOKUP(B1003,'VTN2025'!B:I,8,FALSE),"-")</f>
        <v>34286.04833333334</v>
      </c>
      <c r="D1003" s="83">
        <f t="shared" si="17"/>
        <v>34797.254444444443</v>
      </c>
    </row>
    <row r="1004" spans="1:4" ht="16.5" thickBot="1" x14ac:dyDescent="0.3">
      <c r="A1004" s="61" t="s">
        <v>504</v>
      </c>
      <c r="B1004" s="61" t="s">
        <v>503</v>
      </c>
      <c r="C1004" s="82">
        <f>IFERROR(VLOOKUP(B1004,'VTN2025'!B:I,8,FALSE),"-")</f>
        <v>28403.199999999997</v>
      </c>
      <c r="D1004" s="83">
        <f t="shared" si="17"/>
        <v>34797.254444444443</v>
      </c>
    </row>
    <row r="1005" spans="1:4" ht="16.5" thickBot="1" x14ac:dyDescent="0.3">
      <c r="A1005" s="61" t="s">
        <v>528</v>
      </c>
      <c r="B1005" s="61" t="s">
        <v>443</v>
      </c>
      <c r="C1005" s="82">
        <f>IFERROR(VLOOKUP(B1005,'VTN2025'!B:I,8,FALSE),"-")</f>
        <v>13249.846363636363</v>
      </c>
      <c r="D1005" s="83">
        <f t="shared" si="17"/>
        <v>14801.036590909091</v>
      </c>
    </row>
    <row r="1006" spans="1:4" ht="16.5" thickBot="1" x14ac:dyDescent="0.3">
      <c r="A1006" s="61" t="s">
        <v>528</v>
      </c>
      <c r="B1006" s="61" t="s">
        <v>444</v>
      </c>
      <c r="C1006" s="82">
        <f>IFERROR(VLOOKUP(B1006,'VTN2025'!B:I,8,FALSE),"-")</f>
        <v>17929.771666666667</v>
      </c>
      <c r="D1006" s="83">
        <f t="shared" si="17"/>
        <v>14801.036590909091</v>
      </c>
    </row>
    <row r="1007" spans="1:4" ht="16.5" thickBot="1" x14ac:dyDescent="0.3">
      <c r="A1007" s="61" t="s">
        <v>528</v>
      </c>
      <c r="B1007" s="61" t="s">
        <v>505</v>
      </c>
      <c r="C1007" s="82">
        <f>IFERROR(VLOOKUP(B1007,'VTN2025'!B:I,8,FALSE),"-")</f>
        <v>18862.241666666669</v>
      </c>
      <c r="D1007" s="83">
        <f t="shared" si="17"/>
        <v>14801.036590909091</v>
      </c>
    </row>
    <row r="1008" spans="1:4" ht="16.5" thickBot="1" x14ac:dyDescent="0.3">
      <c r="A1008" s="61" t="s">
        <v>528</v>
      </c>
      <c r="B1008" s="61" t="s">
        <v>574</v>
      </c>
      <c r="C1008" s="82" t="str">
        <f>IFERROR(VLOOKUP(B1008,'VTN2025'!B:I,8,FALSE),"-")</f>
        <v>-</v>
      </c>
      <c r="D1008" s="83">
        <f t="shared" si="17"/>
        <v>14801.036590909091</v>
      </c>
    </row>
    <row r="1009" spans="1:4" ht="16.5" thickBot="1" x14ac:dyDescent="0.3">
      <c r="A1009" s="61" t="s">
        <v>528</v>
      </c>
      <c r="B1009" s="61" t="s">
        <v>575</v>
      </c>
      <c r="C1009" s="82">
        <f>IFERROR(VLOOKUP(B1009,'VTN2025'!B:I,8,FALSE),"-")</f>
        <v>9162.2866666666669</v>
      </c>
      <c r="D1009" s="83">
        <f t="shared" si="17"/>
        <v>14801.036590909091</v>
      </c>
    </row>
    <row r="1010" spans="1:4" ht="16.5" thickBot="1" x14ac:dyDescent="0.3">
      <c r="A1010" s="61" t="s">
        <v>380</v>
      </c>
      <c r="B1010" s="61" t="s">
        <v>376</v>
      </c>
      <c r="C1010" s="82">
        <f>IFERROR(VLOOKUP(B1010,'VTN2025'!B:I,8,FALSE),"-")</f>
        <v>25844.203333333338</v>
      </c>
      <c r="D1010" s="83">
        <f t="shared" si="17"/>
        <v>20239.365370370371</v>
      </c>
    </row>
    <row r="1011" spans="1:4" ht="16.5" thickBot="1" x14ac:dyDescent="0.3">
      <c r="A1011" s="61" t="s">
        <v>380</v>
      </c>
      <c r="B1011" s="61" t="s">
        <v>481</v>
      </c>
      <c r="C1011" s="82">
        <f>IFERROR(VLOOKUP(B1011,'VTN2025'!B:I,8,FALSE),"-")</f>
        <v>13864.933333333334</v>
      </c>
      <c r="D1011" s="83">
        <f t="shared" si="17"/>
        <v>20239.365370370371</v>
      </c>
    </row>
    <row r="1012" spans="1:4" ht="16.5" thickBot="1" x14ac:dyDescent="0.3">
      <c r="A1012" s="61" t="s">
        <v>380</v>
      </c>
      <c r="B1012" s="61" t="s">
        <v>482</v>
      </c>
      <c r="C1012" s="82">
        <f>IFERROR(VLOOKUP(B1012,'VTN2025'!B:I,8,FALSE),"-")</f>
        <v>18832.576666666668</v>
      </c>
      <c r="D1012" s="83">
        <f t="shared" si="17"/>
        <v>20239.365370370371</v>
      </c>
    </row>
    <row r="1013" spans="1:4" ht="16.5" thickBot="1" x14ac:dyDescent="0.3">
      <c r="A1013" s="61" t="s">
        <v>380</v>
      </c>
      <c r="B1013" s="61" t="s">
        <v>474</v>
      </c>
      <c r="C1013" s="82">
        <f>IFERROR(VLOOKUP(B1013,'VTN2025'!B:I,8,FALSE),"-")</f>
        <v>7580.2250000000013</v>
      </c>
      <c r="D1013" s="83">
        <f t="shared" si="17"/>
        <v>20239.365370370371</v>
      </c>
    </row>
    <row r="1014" spans="1:4" ht="16.5" thickBot="1" x14ac:dyDescent="0.3">
      <c r="A1014" s="61" t="s">
        <v>380</v>
      </c>
      <c r="B1014" s="61" t="s">
        <v>426</v>
      </c>
      <c r="C1014" s="82">
        <f>IFERROR(VLOOKUP(B1014,'VTN2025'!B:I,8,FALSE),"-")</f>
        <v>12237.195</v>
      </c>
      <c r="D1014" s="83">
        <f t="shared" si="17"/>
        <v>20239.365370370371</v>
      </c>
    </row>
    <row r="1015" spans="1:4" ht="16.5" thickBot="1" x14ac:dyDescent="0.3">
      <c r="A1015" s="61" t="s">
        <v>380</v>
      </c>
      <c r="B1015" s="61" t="s">
        <v>379</v>
      </c>
      <c r="C1015" s="82">
        <f>IFERROR(VLOOKUP(B1015,'VTN2025'!B:I,8,FALSE),"-")</f>
        <v>11121.235000000001</v>
      </c>
      <c r="D1015" s="83">
        <f t="shared" si="17"/>
        <v>20239.365370370371</v>
      </c>
    </row>
    <row r="1016" spans="1:4" ht="16.5" thickBot="1" x14ac:dyDescent="0.3">
      <c r="A1016" s="61" t="s">
        <v>380</v>
      </c>
      <c r="B1016" s="61" t="s">
        <v>533</v>
      </c>
      <c r="C1016" s="82">
        <f>IFERROR(VLOOKUP(B1016,'VTN2025'!B:I,8,FALSE),"-")</f>
        <v>34005.480000000003</v>
      </c>
      <c r="D1016" s="83">
        <f t="shared" si="17"/>
        <v>20239.365370370371</v>
      </c>
    </row>
    <row r="1017" spans="1:4" ht="16.5" thickBot="1" x14ac:dyDescent="0.3">
      <c r="A1017" s="61" t="s">
        <v>380</v>
      </c>
      <c r="B1017" s="61" t="s">
        <v>600</v>
      </c>
      <c r="C1017" s="82" t="str">
        <f>IFERROR(VLOOKUP(B1017,'VTN2025'!B:I,8,FALSE),"-")</f>
        <v>-</v>
      </c>
      <c r="D1017" s="83">
        <f t="shared" si="17"/>
        <v>20239.365370370371</v>
      </c>
    </row>
    <row r="1018" spans="1:4" ht="16.5" thickBot="1" x14ac:dyDescent="0.3">
      <c r="A1018" s="61" t="s">
        <v>380</v>
      </c>
      <c r="B1018" s="61" t="s">
        <v>446</v>
      </c>
      <c r="C1018" s="82" t="str">
        <f>IFERROR(VLOOKUP(B1018,'VTN2025'!B:I,8,FALSE),"-")</f>
        <v>-</v>
      </c>
      <c r="D1018" s="83">
        <f t="shared" si="17"/>
        <v>20239.365370370371</v>
      </c>
    </row>
    <row r="1019" spans="1:4" ht="16.5" thickBot="1" x14ac:dyDescent="0.3">
      <c r="A1019" s="61" t="s">
        <v>380</v>
      </c>
      <c r="B1019" s="61" t="s">
        <v>382</v>
      </c>
      <c r="C1019" s="82">
        <f>IFERROR(VLOOKUP(B1019,'VTN2025'!B:I,8,FALSE),"-")</f>
        <v>30018.10666666667</v>
      </c>
      <c r="D1019" s="83">
        <f t="shared" si="17"/>
        <v>20239.365370370371</v>
      </c>
    </row>
    <row r="1020" spans="1:4" ht="16.5" thickBot="1" x14ac:dyDescent="0.3">
      <c r="A1020" s="61" t="s">
        <v>380</v>
      </c>
      <c r="B1020" s="61" t="s">
        <v>486</v>
      </c>
      <c r="C1020" s="82">
        <f>IFERROR(VLOOKUP(B1020,'VTN2025'!B:I,8,FALSE),"-")</f>
        <v>28650.333333333332</v>
      </c>
      <c r="D1020" s="83">
        <f t="shared" si="17"/>
        <v>20239.365370370371</v>
      </c>
    </row>
    <row r="1021" spans="1:4" ht="16.5" thickBot="1" x14ac:dyDescent="0.3">
      <c r="A1021" s="61" t="s">
        <v>534</v>
      </c>
      <c r="B1021" s="61" t="s">
        <v>474</v>
      </c>
      <c r="C1021" s="82">
        <f>IFERROR(VLOOKUP(B1021,'VTN2025'!B:I,8,FALSE),"-")</f>
        <v>7580.2250000000013</v>
      </c>
      <c r="D1021" s="83">
        <f t="shared" si="17"/>
        <v>13532.310555555558</v>
      </c>
    </row>
    <row r="1022" spans="1:4" ht="16.5" thickBot="1" x14ac:dyDescent="0.3">
      <c r="A1022" s="61" t="s">
        <v>534</v>
      </c>
      <c r="B1022" s="61" t="s">
        <v>445</v>
      </c>
      <c r="C1022" s="82">
        <f>IFERROR(VLOOKUP(B1022,'VTN2025'!B:I,8,FALSE),"-")</f>
        <v>17012.526666666668</v>
      </c>
      <c r="D1022" s="83">
        <f t="shared" si="17"/>
        <v>13532.310555555558</v>
      </c>
    </row>
    <row r="1023" spans="1:4" ht="16.5" thickBot="1" x14ac:dyDescent="0.3">
      <c r="A1023" s="61" t="s">
        <v>534</v>
      </c>
      <c r="B1023" s="61" t="s">
        <v>532</v>
      </c>
      <c r="C1023" s="82">
        <f>IFERROR(VLOOKUP(B1023,'VTN2025'!B:I,8,FALSE),"-")</f>
        <v>16004.18</v>
      </c>
      <c r="D1023" s="83">
        <f t="shared" si="17"/>
        <v>13532.310555555558</v>
      </c>
    </row>
    <row r="1024" spans="1:4" ht="16.5" thickBot="1" x14ac:dyDescent="0.3">
      <c r="A1024" s="61" t="s">
        <v>437</v>
      </c>
      <c r="B1024" s="61" t="s">
        <v>371</v>
      </c>
      <c r="C1024" s="82" t="str">
        <f>IFERROR(VLOOKUP(B1024,'VTN2025'!B:I,8,FALSE),"-")</f>
        <v>-</v>
      </c>
      <c r="D1024" s="83">
        <f t="shared" si="17"/>
        <v>25815.243999999999</v>
      </c>
    </row>
    <row r="1025" spans="1:4" ht="16.5" thickBot="1" x14ac:dyDescent="0.3">
      <c r="A1025" s="61" t="s">
        <v>437</v>
      </c>
      <c r="B1025" s="61" t="s">
        <v>510</v>
      </c>
      <c r="C1025" s="82" t="str">
        <f>IFERROR(VLOOKUP(B1025,'VTN2025'!B:I,8,FALSE),"-")</f>
        <v>-</v>
      </c>
      <c r="D1025" s="83">
        <f t="shared" si="17"/>
        <v>25815.243999999999</v>
      </c>
    </row>
    <row r="1026" spans="1:4" ht="16.5" thickBot="1" x14ac:dyDescent="0.3">
      <c r="A1026" s="61" t="s">
        <v>437</v>
      </c>
      <c r="B1026" s="61" t="s">
        <v>471</v>
      </c>
      <c r="C1026" s="82">
        <f>IFERROR(VLOOKUP(B1026,'VTN2025'!B:I,8,FALSE),"-")</f>
        <v>31249.99</v>
      </c>
      <c r="D1026" s="83">
        <f t="shared" si="17"/>
        <v>25815.243999999999</v>
      </c>
    </row>
    <row r="1027" spans="1:4" ht="16.5" thickBot="1" x14ac:dyDescent="0.3">
      <c r="A1027" s="61" t="s">
        <v>437</v>
      </c>
      <c r="B1027" s="61" t="s">
        <v>472</v>
      </c>
      <c r="C1027" s="82">
        <f>IFERROR(VLOOKUP(B1027,'VTN2025'!B:I,8,FALSE),"-")</f>
        <v>30042.521666666664</v>
      </c>
      <c r="D1027" s="83">
        <f t="shared" si="17"/>
        <v>25815.243999999999</v>
      </c>
    </row>
    <row r="1028" spans="1:4" ht="16.5" thickBot="1" x14ac:dyDescent="0.3">
      <c r="A1028" s="61" t="s">
        <v>437</v>
      </c>
      <c r="B1028" s="61" t="s">
        <v>625</v>
      </c>
      <c r="C1028" s="82" t="str">
        <f>IFERROR(VLOOKUP(B1028,'VTN2025'!B:I,8,FALSE),"-")</f>
        <v>-</v>
      </c>
      <c r="D1028" s="83">
        <f t="shared" si="17"/>
        <v>25815.243999999999</v>
      </c>
    </row>
    <row r="1029" spans="1:4" ht="16.5" thickBot="1" x14ac:dyDescent="0.3">
      <c r="A1029" s="61" t="s">
        <v>437</v>
      </c>
      <c r="B1029" s="61" t="s">
        <v>436</v>
      </c>
      <c r="C1029" s="82">
        <f>IFERROR(VLOOKUP(B1029,'VTN2025'!B:I,8,FALSE),"-")</f>
        <v>26571.99</v>
      </c>
      <c r="D1029" s="83">
        <f t="shared" si="17"/>
        <v>25815.243999999999</v>
      </c>
    </row>
    <row r="1030" spans="1:4" ht="16.5" thickBot="1" x14ac:dyDescent="0.3">
      <c r="A1030" s="61" t="s">
        <v>437</v>
      </c>
      <c r="B1030" s="61" t="s">
        <v>374</v>
      </c>
      <c r="C1030" s="82" t="str">
        <f>IFERROR(VLOOKUP(B1030,'VTN2025'!B:I,8,FALSE),"-")</f>
        <v>-</v>
      </c>
      <c r="D1030" s="83">
        <f t="shared" si="17"/>
        <v>25815.243999999999</v>
      </c>
    </row>
    <row r="1031" spans="1:4" ht="16.5" thickBot="1" x14ac:dyDescent="0.3">
      <c r="A1031" s="61" t="s">
        <v>437</v>
      </c>
      <c r="B1031" s="61" t="s">
        <v>620</v>
      </c>
      <c r="C1031" s="82">
        <f>IFERROR(VLOOKUP(B1031,'VTN2025'!B:I,8,FALSE),"-")</f>
        <v>22239.466666666664</v>
      </c>
      <c r="D1031" s="83">
        <f t="shared" si="17"/>
        <v>25815.243999999999</v>
      </c>
    </row>
    <row r="1032" spans="1:4" ht="16.5" thickBot="1" x14ac:dyDescent="0.3">
      <c r="A1032" s="61" t="s">
        <v>437</v>
      </c>
      <c r="B1032" s="61" t="s">
        <v>627</v>
      </c>
      <c r="C1032" s="82">
        <f>IFERROR(VLOOKUP(B1032,'VTN2025'!B:I,8,FALSE),"-")</f>
        <v>18972.251666666667</v>
      </c>
      <c r="D1032" s="83">
        <f t="shared" si="17"/>
        <v>25815.243999999999</v>
      </c>
    </row>
    <row r="1033" spans="1:4" ht="16.5" thickBot="1" x14ac:dyDescent="0.3">
      <c r="A1033" s="61" t="s">
        <v>400</v>
      </c>
      <c r="B1033" s="61" t="s">
        <v>396</v>
      </c>
      <c r="C1033" s="82">
        <f>IFERROR(VLOOKUP(B1033,'VTN2025'!B:I,8,FALSE),"-")</f>
        <v>5425.2616666666663</v>
      </c>
      <c r="D1033" s="83">
        <f t="shared" si="17"/>
        <v>8641.7258333333339</v>
      </c>
    </row>
    <row r="1034" spans="1:4" ht="16.5" thickBot="1" x14ac:dyDescent="0.3">
      <c r="A1034" s="61" t="s">
        <v>400</v>
      </c>
      <c r="B1034" s="61" t="s">
        <v>397</v>
      </c>
      <c r="C1034" s="82">
        <f>IFERROR(VLOOKUP(B1034,'VTN2025'!B:I,8,FALSE),"-")</f>
        <v>6386.3166666666657</v>
      </c>
      <c r="D1034" s="83">
        <f t="shared" si="17"/>
        <v>8641.7258333333339</v>
      </c>
    </row>
    <row r="1035" spans="1:4" ht="16.5" thickBot="1" x14ac:dyDescent="0.3">
      <c r="A1035" s="61" t="s">
        <v>400</v>
      </c>
      <c r="B1035" s="61" t="s">
        <v>589</v>
      </c>
      <c r="C1035" s="82">
        <f>IFERROR(VLOOKUP(B1035,'VTN2025'!B:I,8,FALSE),"-")</f>
        <v>8075.3499999999995</v>
      </c>
      <c r="D1035" s="83">
        <f t="shared" si="17"/>
        <v>8641.7258333333339</v>
      </c>
    </row>
    <row r="1036" spans="1:4" ht="16.5" thickBot="1" x14ac:dyDescent="0.3">
      <c r="A1036" s="61" t="s">
        <v>400</v>
      </c>
      <c r="B1036" s="61" t="s">
        <v>611</v>
      </c>
      <c r="C1036" s="82">
        <f>IFERROR(VLOOKUP(B1036,'VTN2025'!B:I,8,FALSE),"-")</f>
        <v>14129.861666666669</v>
      </c>
      <c r="D1036" s="83">
        <f t="shared" si="17"/>
        <v>8641.7258333333339</v>
      </c>
    </row>
    <row r="1037" spans="1:4" ht="16.5" thickBot="1" x14ac:dyDescent="0.3">
      <c r="A1037" s="61" t="s">
        <v>400</v>
      </c>
      <c r="B1037" s="61" t="s">
        <v>590</v>
      </c>
      <c r="C1037" s="82">
        <f>IFERROR(VLOOKUP(B1037,'VTN2025'!B:I,8,FALSE),"-")</f>
        <v>9122.2983333333341</v>
      </c>
      <c r="D1037" s="83">
        <f t="shared" si="17"/>
        <v>8641.7258333333339</v>
      </c>
    </row>
    <row r="1038" spans="1:4" ht="16.5" thickBot="1" x14ac:dyDescent="0.3">
      <c r="A1038" s="61" t="s">
        <v>400</v>
      </c>
      <c r="B1038" s="61" t="s">
        <v>399</v>
      </c>
      <c r="C1038" s="82">
        <f>IFERROR(VLOOKUP(B1038,'VTN2025'!B:I,8,FALSE),"-")</f>
        <v>9128.4416666666675</v>
      </c>
      <c r="D1038" s="83">
        <f t="shared" si="17"/>
        <v>8641.7258333333339</v>
      </c>
    </row>
    <row r="1039" spans="1:4" ht="16.5" thickBot="1" x14ac:dyDescent="0.3">
      <c r="A1039" s="61" t="s">
        <v>400</v>
      </c>
      <c r="B1039" s="61" t="s">
        <v>559</v>
      </c>
      <c r="C1039" s="82">
        <f>IFERROR(VLOOKUP(B1039,'VTN2025'!B:I,8,FALSE),"-")</f>
        <v>9261.2216666666664</v>
      </c>
      <c r="D1039" s="83">
        <f t="shared" si="17"/>
        <v>8641.7258333333339</v>
      </c>
    </row>
    <row r="1040" spans="1:4" ht="16.5" thickBot="1" x14ac:dyDescent="0.3">
      <c r="A1040" s="61" t="s">
        <v>400</v>
      </c>
      <c r="B1040" s="61" t="s">
        <v>546</v>
      </c>
      <c r="C1040" s="82">
        <f>IFERROR(VLOOKUP(B1040,'VTN2025'!B:I,8,FALSE),"-")</f>
        <v>7605.0550000000003</v>
      </c>
      <c r="D1040" s="83">
        <f t="shared" si="17"/>
        <v>8641.7258333333339</v>
      </c>
    </row>
    <row r="1041" spans="1:4" ht="16.5" thickBot="1" x14ac:dyDescent="0.3">
      <c r="A1041" s="61" t="s">
        <v>496</v>
      </c>
      <c r="B1041" s="61" t="s">
        <v>439</v>
      </c>
      <c r="C1041" s="82">
        <f>IFERROR(VLOOKUP(B1041,'VTN2025'!B:I,8,FALSE),"-")</f>
        <v>18695</v>
      </c>
      <c r="D1041" s="83">
        <f t="shared" si="17"/>
        <v>22350.665416666667</v>
      </c>
    </row>
    <row r="1042" spans="1:4" ht="16.5" thickBot="1" x14ac:dyDescent="0.3">
      <c r="A1042" s="61" t="s">
        <v>496</v>
      </c>
      <c r="B1042" s="61" t="s">
        <v>535</v>
      </c>
      <c r="C1042" s="82">
        <f>IFERROR(VLOOKUP(B1042,'VTN2025'!B:I,8,FALSE),"-")</f>
        <v>13189.393333333333</v>
      </c>
      <c r="D1042" s="83">
        <f t="shared" si="17"/>
        <v>22350.665416666667</v>
      </c>
    </row>
    <row r="1043" spans="1:4" ht="16.5" thickBot="1" x14ac:dyDescent="0.3">
      <c r="A1043" s="61" t="s">
        <v>496</v>
      </c>
      <c r="B1043" s="61" t="s">
        <v>495</v>
      </c>
      <c r="C1043" s="82">
        <f>IFERROR(VLOOKUP(B1043,'VTN2025'!B:I,8,FALSE),"-")</f>
        <v>26078.190000000002</v>
      </c>
      <c r="D1043" s="83">
        <f t="shared" si="17"/>
        <v>22350.665416666667</v>
      </c>
    </row>
    <row r="1044" spans="1:4" ht="16.5" thickBot="1" x14ac:dyDescent="0.3">
      <c r="A1044" s="61" t="s">
        <v>496</v>
      </c>
      <c r="B1044" s="61" t="s">
        <v>440</v>
      </c>
      <c r="C1044" s="82">
        <f>IFERROR(VLOOKUP(B1044,'VTN2025'!B:I,8,FALSE),"-")</f>
        <v>32851.071666666663</v>
      </c>
      <c r="D1044" s="83">
        <f t="shared" si="17"/>
        <v>22350.665416666667</v>
      </c>
    </row>
    <row r="1045" spans="1:4" ht="16.5" thickBot="1" x14ac:dyDescent="0.3">
      <c r="A1045" s="61" t="s">
        <v>496</v>
      </c>
      <c r="B1045" s="61" t="s">
        <v>580</v>
      </c>
      <c r="C1045" s="82">
        <f>IFERROR(VLOOKUP(B1045,'VTN2025'!B:I,8,FALSE),"-")</f>
        <v>17729.596666666665</v>
      </c>
      <c r="D1045" s="83">
        <f t="shared" si="17"/>
        <v>22350.665416666667</v>
      </c>
    </row>
    <row r="1046" spans="1:4" ht="16.5" thickBot="1" x14ac:dyDescent="0.3">
      <c r="A1046" s="61" t="s">
        <v>496</v>
      </c>
      <c r="B1046" s="61" t="s">
        <v>394</v>
      </c>
      <c r="C1046" s="82">
        <f>IFERROR(VLOOKUP(B1046,'VTN2025'!B:I,8,FALSE),"-")</f>
        <v>23441.798333333336</v>
      </c>
      <c r="D1046" s="83">
        <f t="shared" si="17"/>
        <v>22350.665416666667</v>
      </c>
    </row>
    <row r="1047" spans="1:4" ht="16.5" thickBot="1" x14ac:dyDescent="0.3">
      <c r="A1047" s="61" t="s">
        <v>496</v>
      </c>
      <c r="B1047" s="61" t="s">
        <v>395</v>
      </c>
      <c r="C1047" s="82">
        <f>IFERROR(VLOOKUP(B1047,'VTN2025'!B:I,8,FALSE),"-")</f>
        <v>33083.333333333336</v>
      </c>
      <c r="D1047" s="83">
        <f t="shared" si="17"/>
        <v>22350.665416666667</v>
      </c>
    </row>
    <row r="1048" spans="1:4" ht="16.5" thickBot="1" x14ac:dyDescent="0.3">
      <c r="A1048" s="61" t="s">
        <v>496</v>
      </c>
      <c r="B1048" s="61" t="s">
        <v>592</v>
      </c>
      <c r="C1048" s="82">
        <f>IFERROR(VLOOKUP(B1048,'VTN2025'!B:I,8,FALSE),"-")</f>
        <v>13736.94</v>
      </c>
      <c r="D1048" s="83">
        <f t="shared" si="17"/>
        <v>22350.665416666667</v>
      </c>
    </row>
    <row r="1049" spans="1:4" ht="16.5" thickBot="1" x14ac:dyDescent="0.3">
      <c r="A1049" s="61" t="s">
        <v>496</v>
      </c>
      <c r="B1049" s="61" t="s">
        <v>540</v>
      </c>
      <c r="C1049" s="82" t="str">
        <f>IFERROR(VLOOKUP(B1049,'VTN2025'!B:I,8,FALSE),"-")</f>
        <v>-</v>
      </c>
      <c r="D1049" s="83">
        <f t="shared" si="17"/>
        <v>22350.665416666667</v>
      </c>
    </row>
    <row r="1050" spans="1:4" ht="16.5" thickBot="1" x14ac:dyDescent="0.3">
      <c r="A1050" s="61" t="s">
        <v>477</v>
      </c>
      <c r="B1050" s="61" t="s">
        <v>473</v>
      </c>
      <c r="C1050" s="82">
        <f>IFERROR(VLOOKUP(B1050,'VTN2025'!B:I,8,FALSE),"-")</f>
        <v>11753.996666666668</v>
      </c>
      <c r="D1050" s="83">
        <f t="shared" ref="D1050:D1113" si="18">AVERAGEIF($A:$A,A1050,$C:$C)</f>
        <v>8006.2916666666679</v>
      </c>
    </row>
    <row r="1051" spans="1:4" ht="16.5" thickBot="1" x14ac:dyDescent="0.3">
      <c r="A1051" s="61" t="s">
        <v>477</v>
      </c>
      <c r="B1051" s="61" t="s">
        <v>456</v>
      </c>
      <c r="C1051" s="82">
        <f>IFERROR(VLOOKUP(B1051,'VTN2025'!B:I,8,FALSE),"-")</f>
        <v>4684.6533333333327</v>
      </c>
      <c r="D1051" s="83">
        <f t="shared" si="18"/>
        <v>8006.2916666666679</v>
      </c>
    </row>
    <row r="1052" spans="1:4" ht="16.5" thickBot="1" x14ac:dyDescent="0.3">
      <c r="A1052" s="61" t="s">
        <v>477</v>
      </c>
      <c r="B1052" s="61" t="s">
        <v>474</v>
      </c>
      <c r="C1052" s="82">
        <f>IFERROR(VLOOKUP(B1052,'VTN2025'!B:I,8,FALSE),"-")</f>
        <v>7580.2250000000013</v>
      </c>
      <c r="D1052" s="83">
        <f t="shared" si="18"/>
        <v>8006.2916666666679</v>
      </c>
    </row>
    <row r="1053" spans="1:4" ht="16.5" thickBot="1" x14ac:dyDescent="0.3">
      <c r="A1053" s="61" t="s">
        <v>374</v>
      </c>
      <c r="B1053" s="61" t="s">
        <v>369</v>
      </c>
      <c r="C1053" s="82">
        <f>IFERROR(VLOOKUP(B1053,'VTN2025'!B:I,8,FALSE),"-")</f>
        <v>20561.290000000005</v>
      </c>
      <c r="D1053" s="83">
        <f t="shared" si="18"/>
        <v>16306.234523809526</v>
      </c>
    </row>
    <row r="1054" spans="1:4" ht="16.5" thickBot="1" x14ac:dyDescent="0.3">
      <c r="A1054" s="61" t="s">
        <v>374</v>
      </c>
      <c r="B1054" s="61" t="s">
        <v>371</v>
      </c>
      <c r="C1054" s="82" t="str">
        <f>IFERROR(VLOOKUP(B1054,'VTN2025'!B:I,8,FALSE),"-")</f>
        <v>-</v>
      </c>
      <c r="D1054" s="83">
        <f t="shared" si="18"/>
        <v>16306.234523809526</v>
      </c>
    </row>
    <row r="1055" spans="1:4" ht="16.5" thickBot="1" x14ac:dyDescent="0.3">
      <c r="A1055" s="61" t="s">
        <v>374</v>
      </c>
      <c r="B1055" s="61" t="s">
        <v>584</v>
      </c>
      <c r="C1055" s="82">
        <f>IFERROR(VLOOKUP(B1055,'VTN2025'!B:I,8,FALSE),"-")</f>
        <v>6472.4866666666676</v>
      </c>
      <c r="D1055" s="83">
        <f t="shared" si="18"/>
        <v>16306.234523809526</v>
      </c>
    </row>
    <row r="1056" spans="1:4" ht="16.5" thickBot="1" x14ac:dyDescent="0.3">
      <c r="A1056" s="61" t="s">
        <v>374</v>
      </c>
      <c r="B1056" s="61" t="s">
        <v>372</v>
      </c>
      <c r="C1056" s="82" t="str">
        <f>IFERROR(VLOOKUP(B1056,'VTN2025'!B:I,8,FALSE),"-")</f>
        <v>-</v>
      </c>
      <c r="D1056" s="83">
        <f t="shared" si="18"/>
        <v>16306.234523809526</v>
      </c>
    </row>
    <row r="1057" spans="1:4" ht="16.5" thickBot="1" x14ac:dyDescent="0.3">
      <c r="A1057" s="61" t="s">
        <v>374</v>
      </c>
      <c r="B1057" s="61" t="s">
        <v>491</v>
      </c>
      <c r="C1057" s="82">
        <f>IFERROR(VLOOKUP(B1057,'VTN2025'!B:I,8,FALSE),"-")</f>
        <v>12579.736666666669</v>
      </c>
      <c r="D1057" s="83">
        <f t="shared" si="18"/>
        <v>16306.234523809526</v>
      </c>
    </row>
    <row r="1058" spans="1:4" ht="16.5" thickBot="1" x14ac:dyDescent="0.3">
      <c r="A1058" s="61" t="s">
        <v>374</v>
      </c>
      <c r="B1058" s="61" t="s">
        <v>604</v>
      </c>
      <c r="C1058" s="82">
        <f>IFERROR(VLOOKUP(B1058,'VTN2025'!B:I,8,FALSE),"-")</f>
        <v>16509.973333333332</v>
      </c>
      <c r="D1058" s="83">
        <f t="shared" si="18"/>
        <v>16306.234523809526</v>
      </c>
    </row>
    <row r="1059" spans="1:4" ht="16.5" thickBot="1" x14ac:dyDescent="0.3">
      <c r="A1059" s="61" t="s">
        <v>374</v>
      </c>
      <c r="B1059" s="61" t="s">
        <v>437</v>
      </c>
      <c r="C1059" s="82">
        <f>IFERROR(VLOOKUP(B1059,'VTN2025'!B:I,8,FALSE),"-")</f>
        <v>26751.666666666668</v>
      </c>
      <c r="D1059" s="83">
        <f t="shared" si="18"/>
        <v>16306.234523809526</v>
      </c>
    </row>
    <row r="1060" spans="1:4" ht="16.5" thickBot="1" x14ac:dyDescent="0.3">
      <c r="A1060" s="61" t="s">
        <v>374</v>
      </c>
      <c r="B1060" s="61" t="s">
        <v>627</v>
      </c>
      <c r="C1060" s="82">
        <f>IFERROR(VLOOKUP(B1060,'VTN2025'!B:I,8,FALSE),"-")</f>
        <v>18972.251666666667</v>
      </c>
      <c r="D1060" s="83">
        <f t="shared" si="18"/>
        <v>16306.234523809526</v>
      </c>
    </row>
    <row r="1061" spans="1:4" ht="16.5" thickBot="1" x14ac:dyDescent="0.3">
      <c r="A1061" s="61" t="s">
        <v>374</v>
      </c>
      <c r="B1061" s="61" t="s">
        <v>493</v>
      </c>
      <c r="C1061" s="82">
        <f>IFERROR(VLOOKUP(B1061,'VTN2025'!B:I,8,FALSE),"-")</f>
        <v>12296.236666666666</v>
      </c>
      <c r="D1061" s="83">
        <f t="shared" si="18"/>
        <v>16306.234523809526</v>
      </c>
    </row>
    <row r="1062" spans="1:4" ht="16.5" thickBot="1" x14ac:dyDescent="0.3">
      <c r="A1062" s="61" t="s">
        <v>538</v>
      </c>
      <c r="B1062" s="61" t="s">
        <v>535</v>
      </c>
      <c r="C1062" s="82">
        <f>IFERROR(VLOOKUP(B1062,'VTN2025'!B:I,8,FALSE),"-")</f>
        <v>13189.393333333333</v>
      </c>
      <c r="D1062" s="83">
        <f t="shared" si="18"/>
        <v>18362.573055555556</v>
      </c>
    </row>
    <row r="1063" spans="1:4" ht="16.5" thickBot="1" x14ac:dyDescent="0.3">
      <c r="A1063" s="61" t="s">
        <v>538</v>
      </c>
      <c r="B1063" s="61" t="s">
        <v>495</v>
      </c>
      <c r="C1063" s="82">
        <f>IFERROR(VLOOKUP(B1063,'VTN2025'!B:I,8,FALSE),"-")</f>
        <v>26078.190000000002</v>
      </c>
      <c r="D1063" s="83">
        <f t="shared" si="18"/>
        <v>18362.573055555556</v>
      </c>
    </row>
    <row r="1064" spans="1:4" ht="16.5" thickBot="1" x14ac:dyDescent="0.3">
      <c r="A1064" s="61" t="s">
        <v>538</v>
      </c>
      <c r="B1064" s="61" t="s">
        <v>536</v>
      </c>
      <c r="C1064" s="82">
        <f>IFERROR(VLOOKUP(B1064,'VTN2025'!B:I,8,FALSE),"-")</f>
        <v>20266.133333333335</v>
      </c>
      <c r="D1064" s="83">
        <f t="shared" si="18"/>
        <v>18362.573055555556</v>
      </c>
    </row>
    <row r="1065" spans="1:4" ht="16.5" thickBot="1" x14ac:dyDescent="0.3">
      <c r="A1065" s="61" t="s">
        <v>538</v>
      </c>
      <c r="B1065" s="61" t="s">
        <v>612</v>
      </c>
      <c r="C1065" s="82" t="str">
        <f>IFERROR(VLOOKUP(B1065,'VTN2025'!B:I,8,FALSE),"-")</f>
        <v>-</v>
      </c>
      <c r="D1065" s="83">
        <f t="shared" si="18"/>
        <v>18362.573055555556</v>
      </c>
    </row>
    <row r="1066" spans="1:4" ht="16.5" thickBot="1" x14ac:dyDescent="0.3">
      <c r="A1066" s="61" t="s">
        <v>538</v>
      </c>
      <c r="B1066" s="61" t="s">
        <v>634</v>
      </c>
      <c r="C1066" s="82" t="str">
        <f>IFERROR(VLOOKUP(B1066,'VTN2025'!B:I,8,FALSE),"-")</f>
        <v>-</v>
      </c>
      <c r="D1066" s="83">
        <f t="shared" si="18"/>
        <v>18362.573055555556</v>
      </c>
    </row>
    <row r="1067" spans="1:4" ht="16.5" thickBot="1" x14ac:dyDescent="0.3">
      <c r="A1067" s="61" t="s">
        <v>538</v>
      </c>
      <c r="B1067" s="61" t="s">
        <v>540</v>
      </c>
      <c r="C1067" s="82" t="str">
        <f>IFERROR(VLOOKUP(B1067,'VTN2025'!B:I,8,FALSE),"-")</f>
        <v>-</v>
      </c>
      <c r="D1067" s="83">
        <f t="shared" si="18"/>
        <v>18362.573055555556</v>
      </c>
    </row>
    <row r="1068" spans="1:4" ht="16.5" thickBot="1" x14ac:dyDescent="0.3">
      <c r="A1068" s="61" t="s">
        <v>538</v>
      </c>
      <c r="B1068" s="61" t="s">
        <v>497</v>
      </c>
      <c r="C1068" s="82">
        <f>IFERROR(VLOOKUP(B1068,'VTN2025'!B:I,8,FALSE),"-")</f>
        <v>15023.486666666666</v>
      </c>
      <c r="D1068" s="83">
        <f t="shared" si="18"/>
        <v>18362.573055555556</v>
      </c>
    </row>
    <row r="1069" spans="1:4" ht="16.5" thickBot="1" x14ac:dyDescent="0.3">
      <c r="A1069" s="61" t="s">
        <v>538</v>
      </c>
      <c r="B1069" s="61" t="s">
        <v>613</v>
      </c>
      <c r="C1069" s="82">
        <f>IFERROR(VLOOKUP(B1069,'VTN2025'!B:I,8,FALSE),"-")</f>
        <v>19950.168333333335</v>
      </c>
      <c r="D1069" s="83">
        <f t="shared" si="18"/>
        <v>18362.573055555556</v>
      </c>
    </row>
    <row r="1070" spans="1:4" ht="16.5" thickBot="1" x14ac:dyDescent="0.3">
      <c r="A1070" s="61" t="s">
        <v>538</v>
      </c>
      <c r="B1070" s="61" t="s">
        <v>588</v>
      </c>
      <c r="C1070" s="82">
        <f>IFERROR(VLOOKUP(B1070,'VTN2025'!B:I,8,FALSE),"-")</f>
        <v>15668.066666666668</v>
      </c>
      <c r="D1070" s="83">
        <f t="shared" si="18"/>
        <v>18362.573055555556</v>
      </c>
    </row>
    <row r="1071" spans="1:4" ht="16.5" thickBot="1" x14ac:dyDescent="0.3">
      <c r="A1071" s="61" t="s">
        <v>602</v>
      </c>
      <c r="B1071" s="61" t="s">
        <v>527</v>
      </c>
      <c r="C1071" s="82">
        <f>IFERROR(VLOOKUP(B1071,'VTN2025'!B:I,8,FALSE),"-")</f>
        <v>15579.35</v>
      </c>
      <c r="D1071" s="83">
        <f t="shared" si="18"/>
        <v>8967.2962500000012</v>
      </c>
    </row>
    <row r="1072" spans="1:4" ht="16.5" thickBot="1" x14ac:dyDescent="0.3">
      <c r="A1072" s="61" t="s">
        <v>602</v>
      </c>
      <c r="B1072" s="61" t="s">
        <v>629</v>
      </c>
      <c r="C1072" s="82">
        <f>IFERROR(VLOOKUP(B1072,'VTN2025'!B:I,8,FALSE),"-")</f>
        <v>5760.8</v>
      </c>
      <c r="D1072" s="83">
        <f t="shared" si="18"/>
        <v>8967.2962500000012</v>
      </c>
    </row>
    <row r="1073" spans="1:4" ht="16.5" thickBot="1" x14ac:dyDescent="0.3">
      <c r="A1073" s="61" t="s">
        <v>602</v>
      </c>
      <c r="B1073" s="61" t="s">
        <v>585</v>
      </c>
      <c r="C1073" s="82">
        <f>IFERROR(VLOOKUP(B1073,'VTN2025'!B:I,8,FALSE),"-")</f>
        <v>7118.7849999999999</v>
      </c>
      <c r="D1073" s="83">
        <f t="shared" si="18"/>
        <v>8967.2962500000012</v>
      </c>
    </row>
    <row r="1074" spans="1:4" ht="16.5" thickBot="1" x14ac:dyDescent="0.3">
      <c r="A1074" s="61" t="s">
        <v>602</v>
      </c>
      <c r="B1074" s="61" t="s">
        <v>603</v>
      </c>
      <c r="C1074" s="82">
        <f>IFERROR(VLOOKUP(B1074,'VTN2025'!B:I,8,FALSE),"-")</f>
        <v>7410.2500000000009</v>
      </c>
      <c r="D1074" s="83">
        <f t="shared" si="18"/>
        <v>8967.2962500000012</v>
      </c>
    </row>
    <row r="1075" spans="1:4" ht="16.5" thickBot="1" x14ac:dyDescent="0.3">
      <c r="A1075" s="61" t="s">
        <v>395</v>
      </c>
      <c r="B1075" s="61" t="s">
        <v>392</v>
      </c>
      <c r="C1075" s="82" t="str">
        <f>IFERROR(VLOOKUP(B1075,'VTN2025'!B:I,8,FALSE),"-")</f>
        <v>-</v>
      </c>
      <c r="D1075" s="83">
        <f t="shared" si="18"/>
        <v>28532.431944444445</v>
      </c>
    </row>
    <row r="1076" spans="1:4" ht="16.5" thickBot="1" x14ac:dyDescent="0.3">
      <c r="A1076" s="61" t="s">
        <v>395</v>
      </c>
      <c r="B1076" s="61" t="s">
        <v>578</v>
      </c>
      <c r="C1076" s="82">
        <f>IFERROR(VLOOKUP(B1076,'VTN2025'!B:I,8,FALSE),"-")</f>
        <v>27568.820000000003</v>
      </c>
      <c r="D1076" s="83">
        <f t="shared" si="18"/>
        <v>28532.431944444445</v>
      </c>
    </row>
    <row r="1077" spans="1:4" ht="16.5" thickBot="1" x14ac:dyDescent="0.3">
      <c r="A1077" s="61" t="s">
        <v>395</v>
      </c>
      <c r="B1077" s="61" t="s">
        <v>579</v>
      </c>
      <c r="C1077" s="82" t="str">
        <f>IFERROR(VLOOKUP(B1077,'VTN2025'!B:I,8,FALSE),"-")</f>
        <v>-</v>
      </c>
      <c r="D1077" s="83">
        <f t="shared" si="18"/>
        <v>28532.431944444445</v>
      </c>
    </row>
    <row r="1078" spans="1:4" ht="16.5" thickBot="1" x14ac:dyDescent="0.3">
      <c r="A1078" s="61" t="s">
        <v>395</v>
      </c>
      <c r="B1078" s="61" t="s">
        <v>393</v>
      </c>
      <c r="C1078" s="82">
        <f>IFERROR(VLOOKUP(B1078,'VTN2025'!B:I,8,FALSE),"-")</f>
        <v>28203.205000000002</v>
      </c>
      <c r="D1078" s="83">
        <f t="shared" si="18"/>
        <v>28532.431944444445</v>
      </c>
    </row>
    <row r="1079" spans="1:4" ht="16.5" thickBot="1" x14ac:dyDescent="0.3">
      <c r="A1079" s="61" t="s">
        <v>395</v>
      </c>
      <c r="B1079" s="61" t="s">
        <v>580</v>
      </c>
      <c r="C1079" s="82">
        <f>IFERROR(VLOOKUP(B1079,'VTN2025'!B:I,8,FALSE),"-")</f>
        <v>17729.596666666665</v>
      </c>
      <c r="D1079" s="83">
        <f t="shared" si="18"/>
        <v>28532.431944444445</v>
      </c>
    </row>
    <row r="1080" spans="1:4" ht="16.5" thickBot="1" x14ac:dyDescent="0.3">
      <c r="A1080" s="61" t="s">
        <v>395</v>
      </c>
      <c r="B1080" s="61" t="s">
        <v>394</v>
      </c>
      <c r="C1080" s="82">
        <f>IFERROR(VLOOKUP(B1080,'VTN2025'!B:I,8,FALSE),"-")</f>
        <v>23441.798333333336</v>
      </c>
      <c r="D1080" s="83">
        <f t="shared" si="18"/>
        <v>28532.431944444445</v>
      </c>
    </row>
    <row r="1081" spans="1:4" ht="16.5" thickBot="1" x14ac:dyDescent="0.3">
      <c r="A1081" s="61" t="s">
        <v>395</v>
      </c>
      <c r="B1081" s="61" t="s">
        <v>496</v>
      </c>
      <c r="C1081" s="82">
        <f>IFERROR(VLOOKUP(B1081,'VTN2025'!B:I,8,FALSE),"-")</f>
        <v>32040.615000000002</v>
      </c>
      <c r="D1081" s="83">
        <f t="shared" si="18"/>
        <v>28532.431944444445</v>
      </c>
    </row>
    <row r="1082" spans="1:4" ht="16.5" thickBot="1" x14ac:dyDescent="0.3">
      <c r="A1082" s="61" t="s">
        <v>395</v>
      </c>
      <c r="B1082" s="61" t="s">
        <v>595</v>
      </c>
      <c r="C1082" s="82">
        <f>IFERROR(VLOOKUP(B1082,'VTN2025'!B:I,8,FALSE),"-")</f>
        <v>42210.556666666664</v>
      </c>
      <c r="D1082" s="83">
        <f t="shared" si="18"/>
        <v>28532.431944444445</v>
      </c>
    </row>
    <row r="1083" spans="1:4" ht="16.5" thickBot="1" x14ac:dyDescent="0.3">
      <c r="A1083" s="61" t="s">
        <v>420</v>
      </c>
      <c r="B1083" s="61" t="s">
        <v>416</v>
      </c>
      <c r="C1083" s="82">
        <f>IFERROR(VLOOKUP(B1083,'VTN2025'!B:I,8,FALSE),"-")</f>
        <v>6217.8816666666653</v>
      </c>
      <c r="D1083" s="83">
        <f t="shared" si="18"/>
        <v>6187.2436666666663</v>
      </c>
    </row>
    <row r="1084" spans="1:4" ht="16.5" thickBot="1" x14ac:dyDescent="0.3">
      <c r="A1084" s="61" t="s">
        <v>420</v>
      </c>
      <c r="B1084" s="61" t="s">
        <v>417</v>
      </c>
      <c r="C1084" s="82">
        <f>IFERROR(VLOOKUP(B1084,'VTN2025'!B:I,8,FALSE),"-")</f>
        <v>5547.3600000000006</v>
      </c>
      <c r="D1084" s="83">
        <f t="shared" si="18"/>
        <v>6187.2436666666663</v>
      </c>
    </row>
    <row r="1085" spans="1:4" ht="16.5" thickBot="1" x14ac:dyDescent="0.3">
      <c r="A1085" s="61" t="s">
        <v>420</v>
      </c>
      <c r="B1085" s="61" t="s">
        <v>630</v>
      </c>
      <c r="C1085" s="82">
        <f>IFERROR(VLOOKUP(B1085,'VTN2025'!B:I,8,FALSE),"-")</f>
        <v>7275.9333333333343</v>
      </c>
      <c r="D1085" s="83">
        <f t="shared" si="18"/>
        <v>6187.2436666666663</v>
      </c>
    </row>
    <row r="1086" spans="1:4" ht="16.5" thickBot="1" x14ac:dyDescent="0.3">
      <c r="A1086" s="61" t="s">
        <v>420</v>
      </c>
      <c r="B1086" s="61" t="s">
        <v>419</v>
      </c>
      <c r="C1086" s="82">
        <f>IFERROR(VLOOKUP(B1086,'VTN2025'!B:I,8,FALSE),"-")</f>
        <v>6193.1383333333333</v>
      </c>
      <c r="D1086" s="83">
        <f t="shared" si="18"/>
        <v>6187.2436666666663</v>
      </c>
    </row>
    <row r="1087" spans="1:4" ht="16.5" thickBot="1" x14ac:dyDescent="0.3">
      <c r="A1087" s="61" t="s">
        <v>420</v>
      </c>
      <c r="B1087" s="61" t="s">
        <v>507</v>
      </c>
      <c r="C1087" s="82">
        <f>IFERROR(VLOOKUP(B1087,'VTN2025'!B:I,8,FALSE),"-")</f>
        <v>5701.9049999999997</v>
      </c>
      <c r="D1087" s="83">
        <f t="shared" si="18"/>
        <v>6187.2436666666663</v>
      </c>
    </row>
    <row r="1088" spans="1:4" ht="16.5" thickBot="1" x14ac:dyDescent="0.3">
      <c r="A1088" s="61" t="s">
        <v>420</v>
      </c>
      <c r="B1088" s="61" t="s">
        <v>597</v>
      </c>
      <c r="C1088" s="82" t="str">
        <f>IFERROR(VLOOKUP(B1088,'VTN2025'!B:I,8,FALSE),"-")</f>
        <v>-</v>
      </c>
      <c r="D1088" s="83">
        <f t="shared" si="18"/>
        <v>6187.2436666666663</v>
      </c>
    </row>
    <row r="1089" spans="1:4" ht="16.5" thickBot="1" x14ac:dyDescent="0.3">
      <c r="A1089" s="61" t="s">
        <v>420</v>
      </c>
      <c r="B1089" s="61" t="s">
        <v>547</v>
      </c>
      <c r="C1089" s="82" t="str">
        <f>IFERROR(VLOOKUP(B1089,'VTN2025'!B:I,8,FALSE),"-")</f>
        <v>-</v>
      </c>
      <c r="D1089" s="83">
        <f t="shared" si="18"/>
        <v>6187.2436666666663</v>
      </c>
    </row>
    <row r="1090" spans="1:4" ht="16.5" thickBot="1" x14ac:dyDescent="0.3">
      <c r="A1090" s="61" t="s">
        <v>567</v>
      </c>
      <c r="B1090" s="61" t="s">
        <v>499</v>
      </c>
      <c r="C1090" s="82">
        <f>IFERROR(VLOOKUP(B1090,'VTN2025'!B:I,8,FALSE),"-")</f>
        <v>37844.496666666666</v>
      </c>
      <c r="D1090" s="83">
        <f t="shared" si="18"/>
        <v>37678.371388888889</v>
      </c>
    </row>
    <row r="1091" spans="1:4" ht="16.5" thickBot="1" x14ac:dyDescent="0.3">
      <c r="A1091" s="61" t="s">
        <v>567</v>
      </c>
      <c r="B1091" s="61" t="s">
        <v>377</v>
      </c>
      <c r="C1091" s="82">
        <f>IFERROR(VLOOKUP(B1091,'VTN2025'!B:I,8,FALSE),"-")</f>
        <v>36128.400000000001</v>
      </c>
      <c r="D1091" s="83">
        <f t="shared" si="18"/>
        <v>37678.371388888889</v>
      </c>
    </row>
    <row r="1092" spans="1:4" ht="16.5" thickBot="1" x14ac:dyDescent="0.3">
      <c r="A1092" s="61" t="s">
        <v>567</v>
      </c>
      <c r="B1092" s="61" t="s">
        <v>500</v>
      </c>
      <c r="C1092" s="82">
        <f>IFERROR(VLOOKUP(B1092,'VTN2025'!B:I,8,FALSE),"-")</f>
        <v>34286.04833333334</v>
      </c>
      <c r="D1092" s="83">
        <f t="shared" si="18"/>
        <v>37678.371388888889</v>
      </c>
    </row>
    <row r="1093" spans="1:4" ht="16.5" thickBot="1" x14ac:dyDescent="0.3">
      <c r="A1093" s="61" t="s">
        <v>567</v>
      </c>
      <c r="B1093" s="61" t="s">
        <v>566</v>
      </c>
      <c r="C1093" s="82">
        <f>IFERROR(VLOOKUP(B1093,'VTN2025'!B:I,8,FALSE),"-")</f>
        <v>51652.889999999992</v>
      </c>
      <c r="D1093" s="83">
        <f t="shared" si="18"/>
        <v>37678.371388888889</v>
      </c>
    </row>
    <row r="1094" spans="1:4" ht="16.5" thickBot="1" x14ac:dyDescent="0.3">
      <c r="A1094" s="61" t="s">
        <v>567</v>
      </c>
      <c r="B1094" s="61" t="s">
        <v>383</v>
      </c>
      <c r="C1094" s="82">
        <f>IFERROR(VLOOKUP(B1094,'VTN2025'!B:I,8,FALSE),"-")</f>
        <v>23947.836666666666</v>
      </c>
      <c r="D1094" s="83">
        <f t="shared" si="18"/>
        <v>37678.371388888889</v>
      </c>
    </row>
    <row r="1095" spans="1:4" ht="16.5" thickBot="1" x14ac:dyDescent="0.3">
      <c r="A1095" s="61" t="s">
        <v>567</v>
      </c>
      <c r="B1095" s="61" t="s">
        <v>595</v>
      </c>
      <c r="C1095" s="82">
        <f>IFERROR(VLOOKUP(B1095,'VTN2025'!B:I,8,FALSE),"-")</f>
        <v>42210.556666666664</v>
      </c>
      <c r="D1095" s="83">
        <f t="shared" si="18"/>
        <v>37678.371388888889</v>
      </c>
    </row>
    <row r="1096" spans="1:4" ht="16.5" thickBot="1" x14ac:dyDescent="0.3">
      <c r="A1096" s="61" t="s">
        <v>632</v>
      </c>
      <c r="B1096" s="61" t="s">
        <v>532</v>
      </c>
      <c r="C1096" s="82">
        <f>IFERROR(VLOOKUP(B1096,'VTN2025'!B:I,8,FALSE),"-")</f>
        <v>16004.18</v>
      </c>
      <c r="D1096" s="83">
        <f t="shared" si="18"/>
        <v>16004.18</v>
      </c>
    </row>
    <row r="1097" spans="1:4" ht="16.5" thickBot="1" x14ac:dyDescent="0.3">
      <c r="A1097" s="61" t="s">
        <v>413</v>
      </c>
      <c r="B1097" s="61" t="s">
        <v>408</v>
      </c>
      <c r="C1097" s="82" t="str">
        <f>IFERROR(VLOOKUP(B1097,'VTN2025'!B:I,8,FALSE),"-")</f>
        <v>-</v>
      </c>
      <c r="D1097" s="83">
        <f t="shared" si="18"/>
        <v>9641.8700000000008</v>
      </c>
    </row>
    <row r="1098" spans="1:4" ht="16.5" thickBot="1" x14ac:dyDescent="0.3">
      <c r="A1098" s="61" t="s">
        <v>413</v>
      </c>
      <c r="B1098" s="61" t="s">
        <v>409</v>
      </c>
      <c r="C1098" s="82" t="str">
        <f>IFERROR(VLOOKUP(B1098,'VTN2025'!B:I,8,FALSE),"-")</f>
        <v>-</v>
      </c>
      <c r="D1098" s="83">
        <f t="shared" si="18"/>
        <v>9641.8700000000008</v>
      </c>
    </row>
    <row r="1099" spans="1:4" ht="16.5" thickBot="1" x14ac:dyDescent="0.3">
      <c r="A1099" s="61" t="s">
        <v>413</v>
      </c>
      <c r="B1099" s="61" t="s">
        <v>609</v>
      </c>
      <c r="C1099" s="82">
        <f>IFERROR(VLOOKUP(B1099,'VTN2025'!B:I,8,FALSE),"-")</f>
        <v>9641.8700000000008</v>
      </c>
      <c r="D1099" s="83">
        <f t="shared" si="18"/>
        <v>9641.8700000000008</v>
      </c>
    </row>
    <row r="1100" spans="1:4" ht="16.5" thickBot="1" x14ac:dyDescent="0.3">
      <c r="A1100" s="61" t="s">
        <v>413</v>
      </c>
      <c r="B1100" s="61" t="s">
        <v>412</v>
      </c>
      <c r="C1100" s="82">
        <f>IFERROR(VLOOKUP(B1100,'VTN2025'!B:I,8,FALSE),"-")</f>
        <v>9641.8700000000008</v>
      </c>
      <c r="D1100" s="83">
        <f t="shared" si="18"/>
        <v>9641.8700000000008</v>
      </c>
    </row>
    <row r="1101" spans="1:4" ht="16.5" thickBot="1" x14ac:dyDescent="0.3">
      <c r="A1101" s="61" t="s">
        <v>413</v>
      </c>
      <c r="B1101" s="61" t="s">
        <v>524</v>
      </c>
      <c r="C1101" s="82" t="str">
        <f>IFERROR(VLOOKUP(B1101,'VTN2025'!B:I,8,FALSE),"-")</f>
        <v>-</v>
      </c>
      <c r="D1101" s="83">
        <f t="shared" si="18"/>
        <v>9641.8700000000008</v>
      </c>
    </row>
    <row r="1102" spans="1:4" ht="16.5" thickBot="1" x14ac:dyDescent="0.3">
      <c r="A1102" s="61" t="s">
        <v>413</v>
      </c>
      <c r="B1102" s="61" t="s">
        <v>414</v>
      </c>
      <c r="C1102" s="82" t="str">
        <f>IFERROR(VLOOKUP(B1102,'VTN2025'!B:I,8,FALSE),"-")</f>
        <v>-</v>
      </c>
      <c r="D1102" s="83">
        <f t="shared" si="18"/>
        <v>9641.8700000000008</v>
      </c>
    </row>
    <row r="1103" spans="1:4" ht="16.5" thickBot="1" x14ac:dyDescent="0.3">
      <c r="A1103" s="61" t="s">
        <v>592</v>
      </c>
      <c r="B1103" s="61" t="s">
        <v>591</v>
      </c>
      <c r="C1103" s="82">
        <f>IFERROR(VLOOKUP(B1103,'VTN2025'!B:I,8,FALSE),"-")</f>
        <v>21794.404999999999</v>
      </c>
      <c r="D1103" s="83">
        <f t="shared" si="18"/>
        <v>26103.922083333335</v>
      </c>
    </row>
    <row r="1104" spans="1:4" ht="16.5" thickBot="1" x14ac:dyDescent="0.3">
      <c r="A1104" s="61" t="s">
        <v>592</v>
      </c>
      <c r="B1104" s="61" t="s">
        <v>440</v>
      </c>
      <c r="C1104" s="82">
        <f>IFERROR(VLOOKUP(B1104,'VTN2025'!B:I,8,FALSE),"-")</f>
        <v>32851.071666666663</v>
      </c>
      <c r="D1104" s="83">
        <f t="shared" si="18"/>
        <v>26103.922083333335</v>
      </c>
    </row>
    <row r="1105" spans="1:4" ht="16.5" thickBot="1" x14ac:dyDescent="0.3">
      <c r="A1105" s="61" t="s">
        <v>592</v>
      </c>
      <c r="B1105" s="61" t="s">
        <v>580</v>
      </c>
      <c r="C1105" s="82">
        <f>IFERROR(VLOOKUP(B1105,'VTN2025'!B:I,8,FALSE),"-")</f>
        <v>17729.596666666665</v>
      </c>
      <c r="D1105" s="83">
        <f t="shared" si="18"/>
        <v>26103.922083333335</v>
      </c>
    </row>
    <row r="1106" spans="1:4" ht="16.5" thickBot="1" x14ac:dyDescent="0.3">
      <c r="A1106" s="61" t="s">
        <v>592</v>
      </c>
      <c r="B1106" s="61" t="s">
        <v>496</v>
      </c>
      <c r="C1106" s="82">
        <f>IFERROR(VLOOKUP(B1106,'VTN2025'!B:I,8,FALSE),"-")</f>
        <v>32040.615000000002</v>
      </c>
      <c r="D1106" s="83">
        <f t="shared" si="18"/>
        <v>26103.922083333335</v>
      </c>
    </row>
    <row r="1107" spans="1:4" ht="16.5" thickBot="1" x14ac:dyDescent="0.3">
      <c r="A1107" s="61" t="s">
        <v>505</v>
      </c>
      <c r="B1107" s="61" t="s">
        <v>498</v>
      </c>
      <c r="C1107" s="82">
        <f>IFERROR(VLOOKUP(B1107,'VTN2025'!B:I,8,FALSE),"-")</f>
        <v>41702.514999999992</v>
      </c>
      <c r="D1107" s="83">
        <f t="shared" si="18"/>
        <v>25906.634939393938</v>
      </c>
    </row>
    <row r="1108" spans="1:4" ht="16.5" thickBot="1" x14ac:dyDescent="0.3">
      <c r="A1108" s="61" t="s">
        <v>505</v>
      </c>
      <c r="B1108" s="61" t="s">
        <v>443</v>
      </c>
      <c r="C1108" s="82">
        <f>IFERROR(VLOOKUP(B1108,'VTN2025'!B:I,8,FALSE),"-")</f>
        <v>13249.846363636363</v>
      </c>
      <c r="D1108" s="83">
        <f t="shared" si="18"/>
        <v>25906.634939393938</v>
      </c>
    </row>
    <row r="1109" spans="1:4" ht="16.5" thickBot="1" x14ac:dyDescent="0.3">
      <c r="A1109" s="61" t="s">
        <v>505</v>
      </c>
      <c r="B1109" s="61" t="s">
        <v>499</v>
      </c>
      <c r="C1109" s="82">
        <f>IFERROR(VLOOKUP(B1109,'VTN2025'!B:I,8,FALSE),"-")</f>
        <v>37844.496666666666</v>
      </c>
      <c r="D1109" s="83">
        <f t="shared" si="18"/>
        <v>25906.634939393938</v>
      </c>
    </row>
    <row r="1110" spans="1:4" ht="16.5" thickBot="1" x14ac:dyDescent="0.3">
      <c r="A1110" s="61" t="s">
        <v>505</v>
      </c>
      <c r="B1110" s="61" t="s">
        <v>501</v>
      </c>
      <c r="C1110" s="82">
        <f>IFERROR(VLOOKUP(B1110,'VTN2025'!B:I,8,FALSE),"-")</f>
        <v>25816.183333333338</v>
      </c>
      <c r="D1110" s="83">
        <f t="shared" si="18"/>
        <v>25906.634939393938</v>
      </c>
    </row>
    <row r="1111" spans="1:4" ht="16.5" thickBot="1" x14ac:dyDescent="0.3">
      <c r="A1111" s="61" t="s">
        <v>505</v>
      </c>
      <c r="B1111" s="61" t="s">
        <v>528</v>
      </c>
      <c r="C1111" s="82">
        <f>IFERROR(VLOOKUP(B1111,'VTN2025'!B:I,8,FALSE),"-")</f>
        <v>10920.133333333333</v>
      </c>
      <c r="D1111" s="83">
        <f t="shared" si="18"/>
        <v>25906.634939393938</v>
      </c>
    </row>
    <row r="1112" spans="1:4" ht="16.5" thickBot="1" x14ac:dyDescent="0.3">
      <c r="A1112" s="61" t="s">
        <v>505</v>
      </c>
      <c r="B1112" s="61" t="s">
        <v>446</v>
      </c>
      <c r="C1112" s="82" t="str">
        <f>IFERROR(VLOOKUP(B1112,'VTN2025'!B:I,8,FALSE),"-")</f>
        <v>-</v>
      </c>
      <c r="D1112" s="83">
        <f t="shared" si="18"/>
        <v>25906.634939393938</v>
      </c>
    </row>
    <row r="1113" spans="1:4" ht="16.5" thickBot="1" x14ac:dyDescent="0.3">
      <c r="A1113" s="61" t="s">
        <v>505</v>
      </c>
      <c r="B1113" s="61" t="s">
        <v>574</v>
      </c>
      <c r="C1113" s="82" t="str">
        <f>IFERROR(VLOOKUP(B1113,'VTN2025'!B:I,8,FALSE),"-")</f>
        <v>-</v>
      </c>
      <c r="D1113" s="83">
        <f t="shared" si="18"/>
        <v>25906.634939393938</v>
      </c>
    </row>
    <row r="1114" spans="1:4" ht="16.5" thickBot="1" x14ac:dyDescent="0.3">
      <c r="A1114" s="61" t="s">
        <v>563</v>
      </c>
      <c r="B1114" s="61" t="s">
        <v>560</v>
      </c>
      <c r="C1114" s="82" t="str">
        <f>IFERROR(VLOOKUP(B1114,'VTN2025'!B:I,8,FALSE),"-")</f>
        <v>-</v>
      </c>
      <c r="D1114" s="83">
        <f t="shared" ref="D1114:D1177" si="19">AVERAGEIF($A:$A,A1114,$C:$C)</f>
        <v>21208.432222222222</v>
      </c>
    </row>
    <row r="1115" spans="1:4" ht="16.5" thickBot="1" x14ac:dyDescent="0.3">
      <c r="A1115" s="61" t="s">
        <v>563</v>
      </c>
      <c r="B1115" s="61" t="s">
        <v>561</v>
      </c>
      <c r="C1115" s="82">
        <f>IFERROR(VLOOKUP(B1115,'VTN2025'!B:I,8,FALSE),"-")</f>
        <v>17532.204999999998</v>
      </c>
      <c r="D1115" s="83">
        <f t="shared" si="19"/>
        <v>21208.432222222222</v>
      </c>
    </row>
    <row r="1116" spans="1:4" ht="16.5" thickBot="1" x14ac:dyDescent="0.3">
      <c r="A1116" s="61" t="s">
        <v>563</v>
      </c>
      <c r="B1116" s="61" t="s">
        <v>577</v>
      </c>
      <c r="C1116" s="82">
        <f>IFERROR(VLOOKUP(B1116,'VTN2025'!B:I,8,FALSE),"-")</f>
        <v>14057.038333333336</v>
      </c>
      <c r="D1116" s="83">
        <f t="shared" si="19"/>
        <v>21208.432222222222</v>
      </c>
    </row>
    <row r="1117" spans="1:4" ht="16.5" thickBot="1" x14ac:dyDescent="0.3">
      <c r="A1117" s="61" t="s">
        <v>563</v>
      </c>
      <c r="B1117" s="61" t="s">
        <v>626</v>
      </c>
      <c r="C1117" s="82" t="str">
        <f>IFERROR(VLOOKUP(B1117,'VTN2025'!B:I,8,FALSE),"-")</f>
        <v>-</v>
      </c>
      <c r="D1117" s="83">
        <f t="shared" si="19"/>
        <v>21208.432222222222</v>
      </c>
    </row>
    <row r="1118" spans="1:4" ht="16.5" thickBot="1" x14ac:dyDescent="0.3">
      <c r="A1118" s="61" t="s">
        <v>563</v>
      </c>
      <c r="B1118" s="61" t="s">
        <v>605</v>
      </c>
      <c r="C1118" s="82" t="str">
        <f>IFERROR(VLOOKUP(B1118,'VTN2025'!B:I,8,FALSE),"-")</f>
        <v>-</v>
      </c>
      <c r="D1118" s="83">
        <f t="shared" si="19"/>
        <v>21208.432222222222</v>
      </c>
    </row>
    <row r="1119" spans="1:4" ht="16.5" thickBot="1" x14ac:dyDescent="0.3">
      <c r="A1119" s="61" t="s">
        <v>563</v>
      </c>
      <c r="B1119" s="61" t="s">
        <v>565</v>
      </c>
      <c r="C1119" s="82">
        <f>IFERROR(VLOOKUP(B1119,'VTN2025'!B:I,8,FALSE),"-")</f>
        <v>32036.05333333333</v>
      </c>
      <c r="D1119" s="83">
        <f t="shared" si="19"/>
        <v>21208.432222222222</v>
      </c>
    </row>
    <row r="1120" spans="1:4" ht="16.5" thickBot="1" x14ac:dyDescent="0.3">
      <c r="A1120" s="61" t="s">
        <v>635</v>
      </c>
      <c r="B1120" s="61" t="s">
        <v>604</v>
      </c>
      <c r="C1120" s="82">
        <f>IFERROR(VLOOKUP(B1120,'VTN2025'!B:I,8,FALSE),"-")</f>
        <v>16509.973333333332</v>
      </c>
      <c r="D1120" s="83">
        <f t="shared" si="19"/>
        <v>24273.013333333329</v>
      </c>
    </row>
    <row r="1121" spans="1:4" ht="16.5" thickBot="1" x14ac:dyDescent="0.3">
      <c r="A1121" s="61" t="s">
        <v>635</v>
      </c>
      <c r="B1121" s="61" t="s">
        <v>563</v>
      </c>
      <c r="C1121" s="82" t="str">
        <f>IFERROR(VLOOKUP(B1121,'VTN2025'!B:I,8,FALSE),"-")</f>
        <v>-</v>
      </c>
      <c r="D1121" s="83">
        <f t="shared" si="19"/>
        <v>24273.013333333329</v>
      </c>
    </row>
    <row r="1122" spans="1:4" ht="16.5" thickBot="1" x14ac:dyDescent="0.3">
      <c r="A1122" s="61" t="s">
        <v>635</v>
      </c>
      <c r="B1122" s="61" t="s">
        <v>605</v>
      </c>
      <c r="C1122" s="82" t="str">
        <f>IFERROR(VLOOKUP(B1122,'VTN2025'!B:I,8,FALSE),"-")</f>
        <v>-</v>
      </c>
      <c r="D1122" s="83">
        <f t="shared" si="19"/>
        <v>24273.013333333329</v>
      </c>
    </row>
    <row r="1123" spans="1:4" ht="16.5" thickBot="1" x14ac:dyDescent="0.3">
      <c r="A1123" s="61" t="s">
        <v>635</v>
      </c>
      <c r="B1123" s="61" t="s">
        <v>565</v>
      </c>
      <c r="C1123" s="82">
        <f>IFERROR(VLOOKUP(B1123,'VTN2025'!B:I,8,FALSE),"-")</f>
        <v>32036.05333333333</v>
      </c>
      <c r="D1123" s="83">
        <f t="shared" si="19"/>
        <v>24273.013333333329</v>
      </c>
    </row>
    <row r="1124" spans="1:4" ht="16.5" thickBot="1" x14ac:dyDescent="0.3">
      <c r="A1124" s="61" t="s">
        <v>539</v>
      </c>
      <c r="B1124" s="61" t="s">
        <v>535</v>
      </c>
      <c r="C1124" s="82">
        <f>IFERROR(VLOOKUP(B1124,'VTN2025'!B:I,8,FALSE),"-")</f>
        <v>13189.393333333333</v>
      </c>
      <c r="D1124" s="83">
        <f t="shared" si="19"/>
        <v>19578.763888888891</v>
      </c>
    </row>
    <row r="1125" spans="1:4" ht="16.5" thickBot="1" x14ac:dyDescent="0.3">
      <c r="A1125" s="61" t="s">
        <v>539</v>
      </c>
      <c r="B1125" s="61" t="s">
        <v>537</v>
      </c>
      <c r="C1125" s="82">
        <f>IFERROR(VLOOKUP(B1125,'VTN2025'!B:I,8,FALSE),"-")</f>
        <v>22105.100000000002</v>
      </c>
      <c r="D1125" s="83">
        <f t="shared" si="19"/>
        <v>19578.763888888891</v>
      </c>
    </row>
    <row r="1126" spans="1:4" ht="16.5" thickBot="1" x14ac:dyDescent="0.3">
      <c r="A1126" s="61" t="s">
        <v>539</v>
      </c>
      <c r="B1126" s="61" t="s">
        <v>394</v>
      </c>
      <c r="C1126" s="82">
        <f>IFERROR(VLOOKUP(B1126,'VTN2025'!B:I,8,FALSE),"-")</f>
        <v>23441.798333333336</v>
      </c>
      <c r="D1126" s="83">
        <f t="shared" si="19"/>
        <v>19578.763888888891</v>
      </c>
    </row>
    <row r="1127" spans="1:4" ht="16.5" thickBot="1" x14ac:dyDescent="0.3">
      <c r="A1127" s="61" t="s">
        <v>539</v>
      </c>
      <c r="B1127" s="61" t="s">
        <v>519</v>
      </c>
      <c r="C1127" s="82" t="str">
        <f>IFERROR(VLOOKUP(B1127,'VTN2025'!B:I,8,FALSE),"-")</f>
        <v>-</v>
      </c>
      <c r="D1127" s="83">
        <f t="shared" si="19"/>
        <v>19578.763888888891</v>
      </c>
    </row>
    <row r="1128" spans="1:4" ht="16.5" thickBot="1" x14ac:dyDescent="0.3">
      <c r="A1128" s="61" t="s">
        <v>446</v>
      </c>
      <c r="B1128" s="61" t="s">
        <v>442</v>
      </c>
      <c r="C1128" s="82">
        <f>IFERROR(VLOOKUP(B1128,'VTN2025'!B:I,8,FALSE),"-")</f>
        <v>12349.69</v>
      </c>
      <c r="D1128" s="83">
        <f t="shared" si="19"/>
        <v>23354.76103305785</v>
      </c>
    </row>
    <row r="1129" spans="1:4" ht="16.5" thickBot="1" x14ac:dyDescent="0.3">
      <c r="A1129" s="61" t="s">
        <v>446</v>
      </c>
      <c r="B1129" s="61" t="s">
        <v>443</v>
      </c>
      <c r="C1129" s="82">
        <f>IFERROR(VLOOKUP(B1129,'VTN2025'!B:I,8,FALSE),"-")</f>
        <v>13249.846363636363</v>
      </c>
      <c r="D1129" s="83">
        <f t="shared" si="19"/>
        <v>23354.76103305785</v>
      </c>
    </row>
    <row r="1130" spans="1:4" ht="16.5" thickBot="1" x14ac:dyDescent="0.3">
      <c r="A1130" s="61" t="s">
        <v>446</v>
      </c>
      <c r="B1130" s="61" t="s">
        <v>474</v>
      </c>
      <c r="C1130" s="82">
        <f>IFERROR(VLOOKUP(B1130,'VTN2025'!B:I,8,FALSE),"-")</f>
        <v>7580.2250000000013</v>
      </c>
      <c r="D1130" s="83">
        <f t="shared" si="19"/>
        <v>23354.76103305785</v>
      </c>
    </row>
    <row r="1131" spans="1:4" ht="16.5" thickBot="1" x14ac:dyDescent="0.3">
      <c r="A1131" s="61" t="s">
        <v>446</v>
      </c>
      <c r="B1131" s="61" t="s">
        <v>499</v>
      </c>
      <c r="C1131" s="82">
        <f>IFERROR(VLOOKUP(B1131,'VTN2025'!B:I,8,FALSE),"-")</f>
        <v>37844.496666666666</v>
      </c>
      <c r="D1131" s="83">
        <f t="shared" si="19"/>
        <v>23354.76103305785</v>
      </c>
    </row>
    <row r="1132" spans="1:4" ht="16.5" thickBot="1" x14ac:dyDescent="0.3">
      <c r="A1132" s="61" t="s">
        <v>446</v>
      </c>
      <c r="B1132" s="61" t="s">
        <v>445</v>
      </c>
      <c r="C1132" s="82">
        <f>IFERROR(VLOOKUP(B1132,'VTN2025'!B:I,8,FALSE),"-")</f>
        <v>17012.526666666668</v>
      </c>
      <c r="D1132" s="83">
        <f t="shared" si="19"/>
        <v>23354.76103305785</v>
      </c>
    </row>
    <row r="1133" spans="1:4" ht="16.5" thickBot="1" x14ac:dyDescent="0.3">
      <c r="A1133" s="61" t="s">
        <v>446</v>
      </c>
      <c r="B1133" s="61" t="s">
        <v>566</v>
      </c>
      <c r="C1133" s="82">
        <f>IFERROR(VLOOKUP(B1133,'VTN2025'!B:I,8,FALSE),"-")</f>
        <v>51652.889999999992</v>
      </c>
      <c r="D1133" s="83">
        <f t="shared" si="19"/>
        <v>23354.76103305785</v>
      </c>
    </row>
    <row r="1134" spans="1:4" ht="16.5" thickBot="1" x14ac:dyDescent="0.3">
      <c r="A1134" s="61" t="s">
        <v>446</v>
      </c>
      <c r="B1134" s="61" t="s">
        <v>533</v>
      </c>
      <c r="C1134" s="82">
        <f>IFERROR(VLOOKUP(B1134,'VTN2025'!B:I,8,FALSE),"-")</f>
        <v>34005.480000000003</v>
      </c>
      <c r="D1134" s="83">
        <f t="shared" si="19"/>
        <v>23354.76103305785</v>
      </c>
    </row>
    <row r="1135" spans="1:4" ht="16.5" thickBot="1" x14ac:dyDescent="0.3">
      <c r="A1135" s="61" t="s">
        <v>446</v>
      </c>
      <c r="B1135" s="61" t="s">
        <v>380</v>
      </c>
      <c r="C1135" s="82">
        <f>IFERROR(VLOOKUP(B1135,'VTN2025'!B:I,8,FALSE),"-")</f>
        <v>14200.974999999999</v>
      </c>
      <c r="D1135" s="83">
        <f t="shared" si="19"/>
        <v>23354.76103305785</v>
      </c>
    </row>
    <row r="1136" spans="1:4" ht="16.5" thickBot="1" x14ac:dyDescent="0.3">
      <c r="A1136" s="61" t="s">
        <v>446</v>
      </c>
      <c r="B1136" s="61" t="s">
        <v>505</v>
      </c>
      <c r="C1136" s="82">
        <f>IFERROR(VLOOKUP(B1136,'VTN2025'!B:I,8,FALSE),"-")</f>
        <v>18862.241666666669</v>
      </c>
      <c r="D1136" s="83">
        <f t="shared" si="19"/>
        <v>23354.76103305785</v>
      </c>
    </row>
    <row r="1137" spans="1:4" ht="16.5" thickBot="1" x14ac:dyDescent="0.3">
      <c r="A1137" s="61" t="s">
        <v>446</v>
      </c>
      <c r="B1137" s="61" t="s">
        <v>381</v>
      </c>
      <c r="C1137" s="82">
        <f>IFERROR(VLOOKUP(B1137,'VTN2025'!B:I,8,FALSE),"-")</f>
        <v>20125.893333333333</v>
      </c>
      <c r="D1137" s="83">
        <f t="shared" si="19"/>
        <v>23354.76103305785</v>
      </c>
    </row>
    <row r="1138" spans="1:4" ht="16.5" thickBot="1" x14ac:dyDescent="0.3">
      <c r="A1138" s="61" t="s">
        <v>446</v>
      </c>
      <c r="B1138" s="61" t="s">
        <v>382</v>
      </c>
      <c r="C1138" s="82">
        <f>IFERROR(VLOOKUP(B1138,'VTN2025'!B:I,8,FALSE),"-")</f>
        <v>30018.10666666667</v>
      </c>
      <c r="D1138" s="83">
        <f t="shared" si="19"/>
        <v>23354.76103305785</v>
      </c>
    </row>
    <row r="1139" spans="1:4" ht="16.5" thickBot="1" x14ac:dyDescent="0.3">
      <c r="A1139" s="61" t="s">
        <v>468</v>
      </c>
      <c r="B1139" s="61" t="s">
        <v>460</v>
      </c>
      <c r="C1139" s="82">
        <f>IFERROR(VLOOKUP(B1139,'VTN2025'!B:I,8,FALSE),"-")</f>
        <v>6024.7283333333335</v>
      </c>
      <c r="D1139" s="83">
        <f t="shared" si="19"/>
        <v>14034.123541666666</v>
      </c>
    </row>
    <row r="1140" spans="1:4" ht="16.5" thickBot="1" x14ac:dyDescent="0.3">
      <c r="A1140" s="61" t="s">
        <v>468</v>
      </c>
      <c r="B1140" s="61" t="s">
        <v>561</v>
      </c>
      <c r="C1140" s="82">
        <f>IFERROR(VLOOKUP(B1140,'VTN2025'!B:I,8,FALSE),"-")</f>
        <v>17532.204999999998</v>
      </c>
      <c r="D1140" s="83">
        <f t="shared" si="19"/>
        <v>14034.123541666666</v>
      </c>
    </row>
    <row r="1141" spans="1:4" ht="16.5" thickBot="1" x14ac:dyDescent="0.3">
      <c r="A1141" s="61" t="s">
        <v>468</v>
      </c>
      <c r="B1141" s="61" t="s">
        <v>462</v>
      </c>
      <c r="C1141" s="82">
        <f>IFERROR(VLOOKUP(B1141,'VTN2025'!B:I,8,FALSE),"-")</f>
        <v>5157.7650000000003</v>
      </c>
      <c r="D1141" s="83">
        <f t="shared" si="19"/>
        <v>14034.123541666666</v>
      </c>
    </row>
    <row r="1142" spans="1:4" ht="16.5" thickBot="1" x14ac:dyDescent="0.3">
      <c r="A1142" s="61" t="s">
        <v>468</v>
      </c>
      <c r="B1142" s="61" t="s">
        <v>576</v>
      </c>
      <c r="C1142" s="82">
        <f>IFERROR(VLOOKUP(B1142,'VTN2025'!B:I,8,FALSE),"-")</f>
        <v>12876.885</v>
      </c>
      <c r="D1142" s="83">
        <f t="shared" si="19"/>
        <v>14034.123541666666</v>
      </c>
    </row>
    <row r="1143" spans="1:4" ht="16.5" thickBot="1" x14ac:dyDescent="0.3">
      <c r="A1143" s="61" t="s">
        <v>468</v>
      </c>
      <c r="B1143" s="61" t="s">
        <v>590</v>
      </c>
      <c r="C1143" s="82">
        <f>IFERROR(VLOOKUP(B1143,'VTN2025'!B:I,8,FALSE),"-")</f>
        <v>9122.2983333333341</v>
      </c>
      <c r="D1143" s="83">
        <f t="shared" si="19"/>
        <v>14034.123541666666</v>
      </c>
    </row>
    <row r="1144" spans="1:4" ht="16.5" thickBot="1" x14ac:dyDescent="0.3">
      <c r="A1144" s="61" t="s">
        <v>468</v>
      </c>
      <c r="B1144" s="61" t="s">
        <v>465</v>
      </c>
      <c r="C1144" s="82">
        <f>IFERROR(VLOOKUP(B1144,'VTN2025'!B:I,8,FALSE),"-")</f>
        <v>23764.458333333332</v>
      </c>
      <c r="D1144" s="83">
        <f t="shared" si="19"/>
        <v>14034.123541666666</v>
      </c>
    </row>
    <row r="1145" spans="1:4" ht="16.5" thickBot="1" x14ac:dyDescent="0.3">
      <c r="A1145" s="61" t="s">
        <v>468</v>
      </c>
      <c r="B1145" s="61" t="s">
        <v>467</v>
      </c>
      <c r="C1145" s="82">
        <f>IFERROR(VLOOKUP(B1145,'VTN2025'!B:I,8,FALSE),"-")</f>
        <v>11653.743333333334</v>
      </c>
      <c r="D1145" s="83">
        <f t="shared" si="19"/>
        <v>14034.123541666666</v>
      </c>
    </row>
    <row r="1146" spans="1:4" ht="16.5" thickBot="1" x14ac:dyDescent="0.3">
      <c r="A1146" s="61" t="s">
        <v>468</v>
      </c>
      <c r="B1146" s="61" t="s">
        <v>564</v>
      </c>
      <c r="C1146" s="82">
        <f>IFERROR(VLOOKUP(B1146,'VTN2025'!B:I,8,FALSE),"-")</f>
        <v>26140.904999999999</v>
      </c>
      <c r="D1146" s="83">
        <f t="shared" si="19"/>
        <v>14034.123541666666</v>
      </c>
    </row>
    <row r="1147" spans="1:4" ht="16.5" thickBot="1" x14ac:dyDescent="0.3">
      <c r="A1147" s="61" t="s">
        <v>387</v>
      </c>
      <c r="B1147" s="61" t="s">
        <v>384</v>
      </c>
      <c r="C1147" s="82">
        <f>IFERROR(VLOOKUP(B1147,'VTN2025'!B:I,8,FALSE),"-")</f>
        <v>22678.789999999997</v>
      </c>
      <c r="D1147" s="83">
        <f t="shared" si="19"/>
        <v>18005.880666666664</v>
      </c>
    </row>
    <row r="1148" spans="1:4" ht="16.5" thickBot="1" x14ac:dyDescent="0.3">
      <c r="A1148" s="61" t="s">
        <v>387</v>
      </c>
      <c r="B1148" s="61" t="s">
        <v>520</v>
      </c>
      <c r="C1148" s="82">
        <f>IFERROR(VLOOKUP(B1148,'VTN2025'!B:I,8,FALSE),"-")</f>
        <v>12920.196666666669</v>
      </c>
      <c r="D1148" s="83">
        <f t="shared" si="19"/>
        <v>18005.880666666664</v>
      </c>
    </row>
    <row r="1149" spans="1:4" ht="16.5" thickBot="1" x14ac:dyDescent="0.3">
      <c r="A1149" s="61" t="s">
        <v>387</v>
      </c>
      <c r="B1149" s="61" t="s">
        <v>483</v>
      </c>
      <c r="C1149" s="82">
        <f>IFERROR(VLOOKUP(B1149,'VTN2025'!B:I,8,FALSE),"-")</f>
        <v>13927.696666666665</v>
      </c>
      <c r="D1149" s="83">
        <f t="shared" si="19"/>
        <v>18005.880666666664</v>
      </c>
    </row>
    <row r="1150" spans="1:4" ht="16.5" thickBot="1" x14ac:dyDescent="0.3">
      <c r="A1150" s="61" t="s">
        <v>387</v>
      </c>
      <c r="B1150" s="61" t="s">
        <v>386</v>
      </c>
      <c r="C1150" s="82">
        <f>IFERROR(VLOOKUP(B1150,'VTN2025'!B:I,8,FALSE),"-")</f>
        <v>22097</v>
      </c>
      <c r="D1150" s="83">
        <f t="shared" si="19"/>
        <v>18005.880666666664</v>
      </c>
    </row>
    <row r="1151" spans="1:4" ht="16.5" thickBot="1" x14ac:dyDescent="0.3">
      <c r="A1151" s="61" t="s">
        <v>387</v>
      </c>
      <c r="B1151" s="61" t="s">
        <v>388</v>
      </c>
      <c r="C1151" s="82">
        <f>IFERROR(VLOOKUP(B1151,'VTN2025'!B:I,8,FALSE),"-")</f>
        <v>18405.719999999998</v>
      </c>
      <c r="D1151" s="83">
        <f t="shared" si="19"/>
        <v>18005.880666666664</v>
      </c>
    </row>
    <row r="1152" spans="1:4" ht="16.5" thickBot="1" x14ac:dyDescent="0.3">
      <c r="A1152" s="61" t="s">
        <v>487</v>
      </c>
      <c r="B1152" s="61" t="s">
        <v>430</v>
      </c>
      <c r="C1152" s="82">
        <f>IFERROR(VLOOKUP(B1152,'VTN2025'!B:I,8,FALSE),"-")</f>
        <v>27850.556666666667</v>
      </c>
      <c r="D1152" s="83">
        <f t="shared" si="19"/>
        <v>24701.489444444447</v>
      </c>
    </row>
    <row r="1153" spans="1:4" ht="16.5" thickBot="1" x14ac:dyDescent="0.3">
      <c r="A1153" s="61" t="s">
        <v>487</v>
      </c>
      <c r="B1153" s="61" t="s">
        <v>541</v>
      </c>
      <c r="C1153" s="82" t="str">
        <f>IFERROR(VLOOKUP(B1153,'VTN2025'!B:I,8,FALSE),"-")</f>
        <v>-</v>
      </c>
      <c r="D1153" s="83">
        <f t="shared" si="19"/>
        <v>24701.489444444447</v>
      </c>
    </row>
    <row r="1154" spans="1:4" ht="16.5" thickBot="1" x14ac:dyDescent="0.3">
      <c r="A1154" s="61" t="s">
        <v>487</v>
      </c>
      <c r="B1154" s="61" t="s">
        <v>431</v>
      </c>
      <c r="C1154" s="82" t="str">
        <f>IFERROR(VLOOKUP(B1154,'VTN2025'!B:I,8,FALSE),"-")</f>
        <v>-</v>
      </c>
      <c r="D1154" s="83">
        <f t="shared" si="19"/>
        <v>24701.489444444447</v>
      </c>
    </row>
    <row r="1155" spans="1:4" ht="16.5" thickBot="1" x14ac:dyDescent="0.3">
      <c r="A1155" s="61" t="s">
        <v>487</v>
      </c>
      <c r="B1155" s="61" t="s">
        <v>542</v>
      </c>
      <c r="C1155" s="82">
        <f>IFERROR(VLOOKUP(B1155,'VTN2025'!B:I,8,FALSE),"-")</f>
        <v>19695.2</v>
      </c>
      <c r="D1155" s="83">
        <f t="shared" si="19"/>
        <v>24701.489444444447</v>
      </c>
    </row>
    <row r="1156" spans="1:4" ht="16.5" thickBot="1" x14ac:dyDescent="0.3">
      <c r="A1156" s="61" t="s">
        <v>487</v>
      </c>
      <c r="B1156" s="61" t="s">
        <v>368</v>
      </c>
      <c r="C1156" s="82">
        <f>IFERROR(VLOOKUP(B1156,'VTN2025'!B:I,8,FALSE),"-")</f>
        <v>26558.71166666667</v>
      </c>
      <c r="D1156" s="83">
        <f t="shared" si="19"/>
        <v>24701.489444444447</v>
      </c>
    </row>
    <row r="1157" spans="1:4" ht="16.5" thickBot="1" x14ac:dyDescent="0.3">
      <c r="A1157" s="61" t="s">
        <v>540</v>
      </c>
      <c r="B1157" s="61" t="s">
        <v>535</v>
      </c>
      <c r="C1157" s="82">
        <f>IFERROR(VLOOKUP(B1157,'VTN2025'!B:I,8,FALSE),"-")</f>
        <v>13189.393333333333</v>
      </c>
      <c r="D1157" s="83">
        <f t="shared" si="19"/>
        <v>22294.872499999998</v>
      </c>
    </row>
    <row r="1158" spans="1:4" ht="16.5" thickBot="1" x14ac:dyDescent="0.3">
      <c r="A1158" s="61" t="s">
        <v>540</v>
      </c>
      <c r="B1158" s="61" t="s">
        <v>495</v>
      </c>
      <c r="C1158" s="82">
        <f>IFERROR(VLOOKUP(B1158,'VTN2025'!B:I,8,FALSE),"-")</f>
        <v>26078.190000000002</v>
      </c>
      <c r="D1158" s="83">
        <f t="shared" si="19"/>
        <v>22294.872499999998</v>
      </c>
    </row>
    <row r="1159" spans="1:4" ht="16.5" thickBot="1" x14ac:dyDescent="0.3">
      <c r="A1159" s="61" t="s">
        <v>540</v>
      </c>
      <c r="B1159" s="61" t="s">
        <v>634</v>
      </c>
      <c r="C1159" s="82" t="str">
        <f>IFERROR(VLOOKUP(B1159,'VTN2025'!B:I,8,FALSE),"-")</f>
        <v>-</v>
      </c>
      <c r="D1159" s="83">
        <f t="shared" si="19"/>
        <v>22294.872499999998</v>
      </c>
    </row>
    <row r="1160" spans="1:4" ht="16.5" thickBot="1" x14ac:dyDescent="0.3">
      <c r="A1160" s="61" t="s">
        <v>540</v>
      </c>
      <c r="B1160" s="61" t="s">
        <v>496</v>
      </c>
      <c r="C1160" s="82">
        <f>IFERROR(VLOOKUP(B1160,'VTN2025'!B:I,8,FALSE),"-")</f>
        <v>32040.615000000002</v>
      </c>
      <c r="D1160" s="83">
        <f t="shared" si="19"/>
        <v>22294.872499999998</v>
      </c>
    </row>
    <row r="1161" spans="1:4" ht="16.5" thickBot="1" x14ac:dyDescent="0.3">
      <c r="A1161" s="61" t="s">
        <v>540</v>
      </c>
      <c r="B1161" s="61" t="s">
        <v>538</v>
      </c>
      <c r="C1161" s="82">
        <f>IFERROR(VLOOKUP(B1161,'VTN2025'!B:I,8,FALSE),"-")</f>
        <v>17871.291666666664</v>
      </c>
      <c r="D1161" s="83">
        <f t="shared" si="19"/>
        <v>22294.872499999998</v>
      </c>
    </row>
    <row r="1162" spans="1:4" ht="16.5" thickBot="1" x14ac:dyDescent="0.3">
      <c r="A1162" s="61" t="s">
        <v>516</v>
      </c>
      <c r="B1162" s="61" t="s">
        <v>478</v>
      </c>
      <c r="C1162" s="82">
        <f>IFERROR(VLOOKUP(B1162,'VTN2025'!B:I,8,FALSE),"-")</f>
        <v>8311.25</v>
      </c>
      <c r="D1162" s="83">
        <f t="shared" si="19"/>
        <v>10583.69888888889</v>
      </c>
    </row>
    <row r="1163" spans="1:4" ht="16.5" thickBot="1" x14ac:dyDescent="0.3">
      <c r="A1163" s="61" t="s">
        <v>516</v>
      </c>
      <c r="B1163" s="61" t="s">
        <v>514</v>
      </c>
      <c r="C1163" s="82">
        <f>IFERROR(VLOOKUP(B1163,'VTN2025'!B:I,8,FALSE),"-")</f>
        <v>11447.461666666668</v>
      </c>
      <c r="D1163" s="83">
        <f t="shared" si="19"/>
        <v>10583.69888888889</v>
      </c>
    </row>
    <row r="1164" spans="1:4" ht="16.5" thickBot="1" x14ac:dyDescent="0.3">
      <c r="A1164" s="61" t="s">
        <v>516</v>
      </c>
      <c r="B1164" s="61" t="s">
        <v>515</v>
      </c>
      <c r="C1164" s="82">
        <f>IFERROR(VLOOKUP(B1164,'VTN2025'!B:I,8,FALSE),"-")</f>
        <v>11992.385000000002</v>
      </c>
      <c r="D1164" s="83">
        <f t="shared" si="19"/>
        <v>10583.69888888889</v>
      </c>
    </row>
    <row r="1165" spans="1:4" ht="16.5" thickBot="1" x14ac:dyDescent="0.3">
      <c r="A1165" s="61" t="s">
        <v>381</v>
      </c>
      <c r="B1165" s="61" t="s">
        <v>376</v>
      </c>
      <c r="C1165" s="82">
        <f>IFERROR(VLOOKUP(B1165,'VTN2025'!B:I,8,FALSE),"-")</f>
        <v>25844.203333333338</v>
      </c>
      <c r="D1165" s="83">
        <f t="shared" si="19"/>
        <v>32865.759166666663</v>
      </c>
    </row>
    <row r="1166" spans="1:4" ht="16.5" thickBot="1" x14ac:dyDescent="0.3">
      <c r="A1166" s="61" t="s">
        <v>381</v>
      </c>
      <c r="B1166" s="61" t="s">
        <v>566</v>
      </c>
      <c r="C1166" s="82">
        <f>IFERROR(VLOOKUP(B1166,'VTN2025'!B:I,8,FALSE),"-")</f>
        <v>51652.889999999992</v>
      </c>
      <c r="D1166" s="83">
        <f t="shared" si="19"/>
        <v>32865.759166666663</v>
      </c>
    </row>
    <row r="1167" spans="1:4" ht="16.5" thickBot="1" x14ac:dyDescent="0.3">
      <c r="A1167" s="61" t="s">
        <v>381</v>
      </c>
      <c r="B1167" s="61" t="s">
        <v>446</v>
      </c>
      <c r="C1167" s="82" t="str">
        <f>IFERROR(VLOOKUP(B1167,'VTN2025'!B:I,8,FALSE),"-")</f>
        <v>-</v>
      </c>
      <c r="D1167" s="83">
        <f t="shared" si="19"/>
        <v>32865.759166666663</v>
      </c>
    </row>
    <row r="1168" spans="1:4" ht="16.5" thickBot="1" x14ac:dyDescent="0.3">
      <c r="A1168" s="61" t="s">
        <v>381</v>
      </c>
      <c r="B1168" s="61" t="s">
        <v>382</v>
      </c>
      <c r="C1168" s="82">
        <f>IFERROR(VLOOKUP(B1168,'VTN2025'!B:I,8,FALSE),"-")</f>
        <v>30018.10666666667</v>
      </c>
      <c r="D1168" s="83">
        <f t="shared" si="19"/>
        <v>32865.759166666663</v>
      </c>
    </row>
    <row r="1169" spans="1:4" ht="16.5" thickBot="1" x14ac:dyDescent="0.3">
      <c r="A1169" s="61" t="s">
        <v>381</v>
      </c>
      <c r="B1169" s="61" t="s">
        <v>383</v>
      </c>
      <c r="C1169" s="82">
        <f>IFERROR(VLOOKUP(B1169,'VTN2025'!B:I,8,FALSE),"-")</f>
        <v>23947.836666666666</v>
      </c>
      <c r="D1169" s="83">
        <f t="shared" si="19"/>
        <v>32865.759166666663</v>
      </c>
    </row>
    <row r="1170" spans="1:4" ht="16.5" thickBot="1" x14ac:dyDescent="0.3">
      <c r="A1170" s="61" t="s">
        <v>605</v>
      </c>
      <c r="B1170" s="61" t="s">
        <v>491</v>
      </c>
      <c r="C1170" s="82">
        <f>IFERROR(VLOOKUP(B1170,'VTN2025'!B:I,8,FALSE),"-")</f>
        <v>12579.736666666669</v>
      </c>
      <c r="D1170" s="83">
        <f t="shared" si="19"/>
        <v>14569.709583333333</v>
      </c>
    </row>
    <row r="1171" spans="1:4" ht="16.5" thickBot="1" x14ac:dyDescent="0.3">
      <c r="A1171" s="61" t="s">
        <v>605</v>
      </c>
      <c r="B1171" s="61" t="s">
        <v>604</v>
      </c>
      <c r="C1171" s="82">
        <f>IFERROR(VLOOKUP(B1171,'VTN2025'!B:I,8,FALSE),"-")</f>
        <v>16509.973333333332</v>
      </c>
      <c r="D1171" s="83">
        <f t="shared" si="19"/>
        <v>14569.709583333333</v>
      </c>
    </row>
    <row r="1172" spans="1:4" ht="16.5" thickBot="1" x14ac:dyDescent="0.3">
      <c r="A1172" s="61" t="s">
        <v>605</v>
      </c>
      <c r="B1172" s="61" t="s">
        <v>577</v>
      </c>
      <c r="C1172" s="82">
        <f>IFERROR(VLOOKUP(B1172,'VTN2025'!B:I,8,FALSE),"-")</f>
        <v>14057.038333333336</v>
      </c>
      <c r="D1172" s="83">
        <f t="shared" si="19"/>
        <v>14569.709583333333</v>
      </c>
    </row>
    <row r="1173" spans="1:4" ht="16.5" thickBot="1" x14ac:dyDescent="0.3">
      <c r="A1173" s="61" t="s">
        <v>605</v>
      </c>
      <c r="B1173" s="61" t="s">
        <v>563</v>
      </c>
      <c r="C1173" s="82" t="str">
        <f>IFERROR(VLOOKUP(B1173,'VTN2025'!B:I,8,FALSE),"-")</f>
        <v>-</v>
      </c>
      <c r="D1173" s="83">
        <f t="shared" si="19"/>
        <v>14569.709583333333</v>
      </c>
    </row>
    <row r="1174" spans="1:4" ht="16.5" thickBot="1" x14ac:dyDescent="0.3">
      <c r="A1174" s="61" t="s">
        <v>605</v>
      </c>
      <c r="B1174" s="61" t="s">
        <v>626</v>
      </c>
      <c r="C1174" s="82" t="str">
        <f>IFERROR(VLOOKUP(B1174,'VTN2025'!B:I,8,FALSE),"-")</f>
        <v>-</v>
      </c>
      <c r="D1174" s="83">
        <f t="shared" si="19"/>
        <v>14569.709583333333</v>
      </c>
    </row>
    <row r="1175" spans="1:4" ht="16.5" thickBot="1" x14ac:dyDescent="0.3">
      <c r="A1175" s="61" t="s">
        <v>605</v>
      </c>
      <c r="B1175" s="61" t="s">
        <v>606</v>
      </c>
      <c r="C1175" s="82">
        <f>IFERROR(VLOOKUP(B1175,'VTN2025'!B:I,8,FALSE),"-")</f>
        <v>15132.089999999998</v>
      </c>
      <c r="D1175" s="83">
        <f t="shared" si="19"/>
        <v>14569.709583333333</v>
      </c>
    </row>
    <row r="1176" spans="1:4" ht="16.5" thickBot="1" x14ac:dyDescent="0.3">
      <c r="A1176" s="61" t="s">
        <v>633</v>
      </c>
      <c r="B1176" s="61" t="s">
        <v>532</v>
      </c>
      <c r="C1176" s="82">
        <f>IFERROR(VLOOKUP(B1176,'VTN2025'!B:I,8,FALSE),"-")</f>
        <v>16004.18</v>
      </c>
      <c r="D1176" s="83">
        <f t="shared" si="19"/>
        <v>16004.18</v>
      </c>
    </row>
    <row r="1177" spans="1:4" ht="16.5" thickBot="1" x14ac:dyDescent="0.3">
      <c r="A1177" s="61" t="s">
        <v>492</v>
      </c>
      <c r="B1177" s="61" t="s">
        <v>490</v>
      </c>
      <c r="C1177" s="82">
        <f>IFERROR(VLOOKUP(B1177,'VTN2025'!B:I,8,FALSE),"-")</f>
        <v>4688.3266666666668</v>
      </c>
      <c r="D1177" s="83">
        <f t="shared" si="19"/>
        <v>10079.152222222221</v>
      </c>
    </row>
    <row r="1178" spans="1:4" ht="16.5" thickBot="1" x14ac:dyDescent="0.3">
      <c r="A1178" s="61" t="s">
        <v>492</v>
      </c>
      <c r="B1178" s="61" t="s">
        <v>491</v>
      </c>
      <c r="C1178" s="82">
        <f>IFERROR(VLOOKUP(B1178,'VTN2025'!B:I,8,FALSE),"-")</f>
        <v>12579.736666666669</v>
      </c>
      <c r="D1178" s="83">
        <f t="shared" ref="D1178:D1241" si="20">AVERAGEIF($A:$A,A1178,$C:$C)</f>
        <v>10079.152222222221</v>
      </c>
    </row>
    <row r="1179" spans="1:4" ht="16.5" thickBot="1" x14ac:dyDescent="0.3">
      <c r="A1179" s="61" t="s">
        <v>492</v>
      </c>
      <c r="B1179" s="61" t="s">
        <v>611</v>
      </c>
      <c r="C1179" s="82">
        <f>IFERROR(VLOOKUP(B1179,'VTN2025'!B:I,8,FALSE),"-")</f>
        <v>14129.861666666669</v>
      </c>
      <c r="D1179" s="83">
        <f t="shared" si="20"/>
        <v>10079.152222222221</v>
      </c>
    </row>
    <row r="1180" spans="1:4" ht="16.5" thickBot="1" x14ac:dyDescent="0.3">
      <c r="A1180" s="61" t="s">
        <v>492</v>
      </c>
      <c r="B1180" s="61" t="s">
        <v>404</v>
      </c>
      <c r="C1180" s="82">
        <f>IFERROR(VLOOKUP(B1180,'VTN2025'!B:I,8,FALSE),"-")</f>
        <v>6339.8433333333332</v>
      </c>
      <c r="D1180" s="83">
        <f t="shared" si="20"/>
        <v>10079.152222222221</v>
      </c>
    </row>
    <row r="1181" spans="1:4" ht="16.5" thickBot="1" x14ac:dyDescent="0.3">
      <c r="A1181" s="61" t="s">
        <v>492</v>
      </c>
      <c r="B1181" s="61" t="s">
        <v>606</v>
      </c>
      <c r="C1181" s="82">
        <f>IFERROR(VLOOKUP(B1181,'VTN2025'!B:I,8,FALSE),"-")</f>
        <v>15132.089999999998</v>
      </c>
      <c r="D1181" s="83">
        <f t="shared" si="20"/>
        <v>10079.152222222221</v>
      </c>
    </row>
    <row r="1182" spans="1:4" ht="16.5" thickBot="1" x14ac:dyDescent="0.3">
      <c r="A1182" s="61" t="s">
        <v>492</v>
      </c>
      <c r="B1182" s="61" t="s">
        <v>546</v>
      </c>
      <c r="C1182" s="82">
        <f>IFERROR(VLOOKUP(B1182,'VTN2025'!B:I,8,FALSE),"-")</f>
        <v>7605.0550000000003</v>
      </c>
      <c r="D1182" s="83">
        <f t="shared" si="20"/>
        <v>10079.152222222221</v>
      </c>
    </row>
    <row r="1183" spans="1:4" ht="16.5" thickBot="1" x14ac:dyDescent="0.3">
      <c r="A1183" s="61" t="s">
        <v>620</v>
      </c>
      <c r="B1183" s="61" t="s">
        <v>472</v>
      </c>
      <c r="C1183" s="82">
        <f>IFERROR(VLOOKUP(B1183,'VTN2025'!B:I,8,FALSE),"-")</f>
        <v>30042.521666666664</v>
      </c>
      <c r="D1183" s="83">
        <f t="shared" si="20"/>
        <v>21832.206249999999</v>
      </c>
    </row>
    <row r="1184" spans="1:4" ht="16.5" thickBot="1" x14ac:dyDescent="0.3">
      <c r="A1184" s="61" t="s">
        <v>620</v>
      </c>
      <c r="B1184" s="61" t="s">
        <v>604</v>
      </c>
      <c r="C1184" s="82">
        <f>IFERROR(VLOOKUP(B1184,'VTN2025'!B:I,8,FALSE),"-")</f>
        <v>16509.973333333332</v>
      </c>
      <c r="D1184" s="83">
        <f t="shared" si="20"/>
        <v>21832.206249999999</v>
      </c>
    </row>
    <row r="1185" spans="1:4" ht="16.5" thickBot="1" x14ac:dyDescent="0.3">
      <c r="A1185" s="61" t="s">
        <v>620</v>
      </c>
      <c r="B1185" s="61" t="s">
        <v>625</v>
      </c>
      <c r="C1185" s="82" t="str">
        <f>IFERROR(VLOOKUP(B1185,'VTN2025'!B:I,8,FALSE),"-")</f>
        <v>-</v>
      </c>
      <c r="D1185" s="83">
        <f t="shared" si="20"/>
        <v>21832.206249999999</v>
      </c>
    </row>
    <row r="1186" spans="1:4" ht="16.5" thickBot="1" x14ac:dyDescent="0.3">
      <c r="A1186" s="61" t="s">
        <v>620</v>
      </c>
      <c r="B1186" s="61" t="s">
        <v>437</v>
      </c>
      <c r="C1186" s="82">
        <f>IFERROR(VLOOKUP(B1186,'VTN2025'!B:I,8,FALSE),"-")</f>
        <v>26751.666666666668</v>
      </c>
      <c r="D1186" s="83">
        <f t="shared" si="20"/>
        <v>21832.206249999999</v>
      </c>
    </row>
    <row r="1187" spans="1:4" ht="16.5" thickBot="1" x14ac:dyDescent="0.3">
      <c r="A1187" s="61" t="s">
        <v>620</v>
      </c>
      <c r="B1187" s="61" t="s">
        <v>616</v>
      </c>
      <c r="C1187" s="82">
        <f>IFERROR(VLOOKUP(B1187,'VTN2025'!B:I,8,FALSE),"-")</f>
        <v>14024.663333333332</v>
      </c>
      <c r="D1187" s="83">
        <f t="shared" si="20"/>
        <v>21832.206249999999</v>
      </c>
    </row>
    <row r="1188" spans="1:4" ht="16.5" thickBot="1" x14ac:dyDescent="0.3">
      <c r="A1188" s="61" t="s">
        <v>597</v>
      </c>
      <c r="B1188" s="61" t="s">
        <v>596</v>
      </c>
      <c r="C1188" s="82">
        <f>IFERROR(VLOOKUP(B1188,'VTN2025'!B:I,8,FALSE),"-")</f>
        <v>8049.0766666666668</v>
      </c>
      <c r="D1188" s="83">
        <f t="shared" si="20"/>
        <v>6650.2054166666667</v>
      </c>
    </row>
    <row r="1189" spans="1:4" ht="16.5" thickBot="1" x14ac:dyDescent="0.3">
      <c r="A1189" s="61" t="s">
        <v>597</v>
      </c>
      <c r="B1189" s="61" t="s">
        <v>411</v>
      </c>
      <c r="C1189" s="82">
        <f>IFERROR(VLOOKUP(B1189,'VTN2025'!B:I,8,FALSE),"-")</f>
        <v>5786.45</v>
      </c>
      <c r="D1189" s="83">
        <f t="shared" si="20"/>
        <v>6650.2054166666667</v>
      </c>
    </row>
    <row r="1190" spans="1:4" ht="16.5" thickBot="1" x14ac:dyDescent="0.3">
      <c r="A1190" s="61" t="s">
        <v>597</v>
      </c>
      <c r="B1190" s="61" t="s">
        <v>419</v>
      </c>
      <c r="C1190" s="82">
        <f>IFERROR(VLOOKUP(B1190,'VTN2025'!B:I,8,FALSE),"-")</f>
        <v>6193.1383333333333</v>
      </c>
      <c r="D1190" s="83">
        <f t="shared" si="20"/>
        <v>6650.2054166666667</v>
      </c>
    </row>
    <row r="1191" spans="1:4" ht="16.5" thickBot="1" x14ac:dyDescent="0.3">
      <c r="A1191" s="61" t="s">
        <v>597</v>
      </c>
      <c r="B1191" s="61" t="s">
        <v>420</v>
      </c>
      <c r="C1191" s="82">
        <f>IFERROR(VLOOKUP(B1191,'VTN2025'!B:I,8,FALSE),"-")</f>
        <v>6572.1566666666668</v>
      </c>
      <c r="D1191" s="83">
        <f t="shared" si="20"/>
        <v>6650.2054166666667</v>
      </c>
    </row>
    <row r="1192" spans="1:4" ht="16.5" thickBot="1" x14ac:dyDescent="0.3">
      <c r="A1192" s="61" t="s">
        <v>597</v>
      </c>
      <c r="B1192" s="61" t="s">
        <v>547</v>
      </c>
      <c r="C1192" s="82" t="str">
        <f>IFERROR(VLOOKUP(B1192,'VTN2025'!B:I,8,FALSE),"-")</f>
        <v>-</v>
      </c>
      <c r="D1192" s="83">
        <f t="shared" si="20"/>
        <v>6650.2054166666667</v>
      </c>
    </row>
    <row r="1193" spans="1:4" ht="16.5" thickBot="1" x14ac:dyDescent="0.3">
      <c r="A1193" s="61" t="s">
        <v>559</v>
      </c>
      <c r="B1193" s="61" t="s">
        <v>397</v>
      </c>
      <c r="C1193" s="82">
        <f>IFERROR(VLOOKUP(B1193,'VTN2025'!B:I,8,FALSE),"-")</f>
        <v>6386.3166666666657</v>
      </c>
      <c r="D1193" s="83">
        <f t="shared" si="20"/>
        <v>6790.0583333333325</v>
      </c>
    </row>
    <row r="1194" spans="1:4" ht="16.5" thickBot="1" x14ac:dyDescent="0.3">
      <c r="A1194" s="61" t="s">
        <v>559</v>
      </c>
      <c r="B1194" s="61" t="s">
        <v>462</v>
      </c>
      <c r="C1194" s="82">
        <f>IFERROR(VLOOKUP(B1194,'VTN2025'!B:I,8,FALSE),"-")</f>
        <v>5157.7650000000003</v>
      </c>
      <c r="D1194" s="83">
        <f t="shared" si="20"/>
        <v>6790.0583333333325</v>
      </c>
    </row>
    <row r="1195" spans="1:4" ht="16.5" thickBot="1" x14ac:dyDescent="0.3">
      <c r="A1195" s="61" t="s">
        <v>559</v>
      </c>
      <c r="B1195" s="61" t="s">
        <v>589</v>
      </c>
      <c r="C1195" s="82">
        <f>IFERROR(VLOOKUP(B1195,'VTN2025'!B:I,8,FALSE),"-")</f>
        <v>8075.3499999999995</v>
      </c>
      <c r="D1195" s="83">
        <f t="shared" si="20"/>
        <v>6790.0583333333325</v>
      </c>
    </row>
    <row r="1196" spans="1:4" ht="16.5" thickBot="1" x14ac:dyDescent="0.3">
      <c r="A1196" s="61" t="s">
        <v>559</v>
      </c>
      <c r="B1196" s="61" t="s">
        <v>398</v>
      </c>
      <c r="C1196" s="82">
        <f>IFERROR(VLOOKUP(B1196,'VTN2025'!B:I,8,FALSE),"-")</f>
        <v>7540.8016666666672</v>
      </c>
      <c r="D1196" s="83">
        <f t="shared" si="20"/>
        <v>6790.0583333333325</v>
      </c>
    </row>
    <row r="1197" spans="1:4" ht="16.5" thickBot="1" x14ac:dyDescent="0.3">
      <c r="A1197" s="61" t="s">
        <v>559</v>
      </c>
      <c r="B1197" s="61" t="s">
        <v>400</v>
      </c>
      <c r="C1197" s="82" t="str">
        <f>IFERROR(VLOOKUP(B1197,'VTN2025'!B:I,8,FALSE),"-")</f>
        <v>-</v>
      </c>
      <c r="D1197" s="83">
        <f t="shared" si="20"/>
        <v>6790.0583333333325</v>
      </c>
    </row>
    <row r="1198" spans="1:4" ht="16.5" thickBot="1" x14ac:dyDescent="0.3">
      <c r="A1198" s="61" t="s">
        <v>559</v>
      </c>
      <c r="B1198" s="61" t="s">
        <v>421</v>
      </c>
      <c r="C1198" s="82" t="str">
        <f>IFERROR(VLOOKUP(B1198,'VTN2025'!B:I,8,FALSE),"-")</f>
        <v>-</v>
      </c>
      <c r="D1198" s="83">
        <f t="shared" si="20"/>
        <v>6790.0583333333325</v>
      </c>
    </row>
    <row r="1199" spans="1:4" ht="16.5" thickBot="1" x14ac:dyDescent="0.3">
      <c r="A1199" s="61" t="s">
        <v>382</v>
      </c>
      <c r="B1199" s="61" t="s">
        <v>376</v>
      </c>
      <c r="C1199" s="82">
        <f>IFERROR(VLOOKUP(B1199,'VTN2025'!B:I,8,FALSE),"-")</f>
        <v>25844.203333333338</v>
      </c>
      <c r="D1199" s="83">
        <f t="shared" si="20"/>
        <v>20057.023888888889</v>
      </c>
    </row>
    <row r="1200" spans="1:4" ht="16.5" thickBot="1" x14ac:dyDescent="0.3">
      <c r="A1200" s="61" t="s">
        <v>382</v>
      </c>
      <c r="B1200" s="61" t="s">
        <v>380</v>
      </c>
      <c r="C1200" s="82">
        <f>IFERROR(VLOOKUP(B1200,'VTN2025'!B:I,8,FALSE),"-")</f>
        <v>14200.974999999999</v>
      </c>
      <c r="D1200" s="83">
        <f t="shared" si="20"/>
        <v>20057.023888888889</v>
      </c>
    </row>
    <row r="1201" spans="1:4" ht="16.5" thickBot="1" x14ac:dyDescent="0.3">
      <c r="A1201" s="61" t="s">
        <v>382</v>
      </c>
      <c r="B1201" s="61" t="s">
        <v>446</v>
      </c>
      <c r="C1201" s="82" t="str">
        <f>IFERROR(VLOOKUP(B1201,'VTN2025'!B:I,8,FALSE),"-")</f>
        <v>-</v>
      </c>
      <c r="D1201" s="83">
        <f t="shared" si="20"/>
        <v>20057.023888888889</v>
      </c>
    </row>
    <row r="1202" spans="1:4" ht="16.5" thickBot="1" x14ac:dyDescent="0.3">
      <c r="A1202" s="61" t="s">
        <v>382</v>
      </c>
      <c r="B1202" s="61" t="s">
        <v>381</v>
      </c>
      <c r="C1202" s="82">
        <f>IFERROR(VLOOKUP(B1202,'VTN2025'!B:I,8,FALSE),"-")</f>
        <v>20125.893333333333</v>
      </c>
      <c r="D1202" s="83">
        <f t="shared" si="20"/>
        <v>20057.023888888889</v>
      </c>
    </row>
    <row r="1203" spans="1:4" ht="16.5" thickBot="1" x14ac:dyDescent="0.3">
      <c r="A1203" s="61" t="s">
        <v>513</v>
      </c>
      <c r="B1203" s="61" t="s">
        <v>509</v>
      </c>
      <c r="C1203" s="82">
        <f>IFERROR(VLOOKUP(B1203,'VTN2025'!B:I,8,FALSE),"-")</f>
        <v>29748.62166666667</v>
      </c>
      <c r="D1203" s="83">
        <f t="shared" si="20"/>
        <v>47011.904444444452</v>
      </c>
    </row>
    <row r="1204" spans="1:4" ht="16.5" thickBot="1" x14ac:dyDescent="0.3">
      <c r="A1204" s="61" t="s">
        <v>513</v>
      </c>
      <c r="B1204" s="61" t="s">
        <v>511</v>
      </c>
      <c r="C1204" s="82" t="str">
        <f>IFERROR(VLOOKUP(B1204,'VTN2025'!B:I,8,FALSE),"-")</f>
        <v>-</v>
      </c>
      <c r="D1204" s="83">
        <f t="shared" si="20"/>
        <v>47011.904444444452</v>
      </c>
    </row>
    <row r="1205" spans="1:4" ht="16.5" thickBot="1" x14ac:dyDescent="0.3">
      <c r="A1205" s="61" t="s">
        <v>513</v>
      </c>
      <c r="B1205" s="61" t="s">
        <v>366</v>
      </c>
      <c r="C1205" s="82">
        <f>IFERROR(VLOOKUP(B1205,'VTN2025'!B:I,8,FALSE),"-")</f>
        <v>64897.67333333334</v>
      </c>
      <c r="D1205" s="83">
        <f t="shared" si="20"/>
        <v>47011.904444444452</v>
      </c>
    </row>
    <row r="1206" spans="1:4" ht="16.5" thickBot="1" x14ac:dyDescent="0.3">
      <c r="A1206" s="61" t="s">
        <v>513</v>
      </c>
      <c r="B1206" s="61" t="s">
        <v>435</v>
      </c>
      <c r="C1206" s="82" t="str">
        <f>IFERROR(VLOOKUP(B1206,'VTN2025'!B:I,8,FALSE),"-")</f>
        <v>-</v>
      </c>
      <c r="D1206" s="83">
        <f t="shared" si="20"/>
        <v>47011.904444444452</v>
      </c>
    </row>
    <row r="1207" spans="1:4" ht="16.5" thickBot="1" x14ac:dyDescent="0.3">
      <c r="A1207" s="61" t="s">
        <v>513</v>
      </c>
      <c r="B1207" s="61" t="s">
        <v>512</v>
      </c>
      <c r="C1207" s="82">
        <f>IFERROR(VLOOKUP(B1207,'VTN2025'!B:I,8,FALSE),"-")</f>
        <v>46389.418333333335</v>
      </c>
      <c r="D1207" s="83">
        <f t="shared" si="20"/>
        <v>47011.904444444452</v>
      </c>
    </row>
    <row r="1208" spans="1:4" ht="16.5" thickBot="1" x14ac:dyDescent="0.3">
      <c r="A1208" s="61" t="s">
        <v>391</v>
      </c>
      <c r="B1208" s="61" t="s">
        <v>370</v>
      </c>
      <c r="C1208" s="82">
        <f>IFERROR(VLOOKUP(B1208,'VTN2025'!B:I,8,FALSE),"-")</f>
        <v>12335.518333333333</v>
      </c>
      <c r="D1208" s="83">
        <f t="shared" si="20"/>
        <v>9251.5277777777792</v>
      </c>
    </row>
    <row r="1209" spans="1:4" ht="16.5" thickBot="1" x14ac:dyDescent="0.3">
      <c r="A1209" s="61" t="s">
        <v>391</v>
      </c>
      <c r="B1209" s="61" t="s">
        <v>584</v>
      </c>
      <c r="C1209" s="82">
        <f>IFERROR(VLOOKUP(B1209,'VTN2025'!B:I,8,FALSE),"-")</f>
        <v>6472.4866666666676</v>
      </c>
      <c r="D1209" s="83">
        <f t="shared" si="20"/>
        <v>9251.5277777777792</v>
      </c>
    </row>
    <row r="1210" spans="1:4" ht="16.5" thickBot="1" x14ac:dyDescent="0.3">
      <c r="A1210" s="61" t="s">
        <v>391</v>
      </c>
      <c r="B1210" s="61" t="s">
        <v>372</v>
      </c>
      <c r="C1210" s="82" t="str">
        <f>IFERROR(VLOOKUP(B1210,'VTN2025'!B:I,8,FALSE),"-")</f>
        <v>-</v>
      </c>
      <c r="D1210" s="83">
        <f t="shared" si="20"/>
        <v>9251.5277777777792</v>
      </c>
    </row>
    <row r="1211" spans="1:4" ht="16.5" thickBot="1" x14ac:dyDescent="0.3">
      <c r="A1211" s="61" t="s">
        <v>391</v>
      </c>
      <c r="B1211" s="61" t="s">
        <v>390</v>
      </c>
      <c r="C1211" s="82">
        <f>IFERROR(VLOOKUP(B1211,'VTN2025'!B:I,8,FALSE),"-")</f>
        <v>8946.5783333333347</v>
      </c>
      <c r="D1211" s="83">
        <f t="shared" si="20"/>
        <v>9251.5277777777792</v>
      </c>
    </row>
    <row r="1212" spans="1:4" ht="16.5" thickBot="1" x14ac:dyDescent="0.3">
      <c r="A1212" s="61" t="s">
        <v>391</v>
      </c>
      <c r="B1212" s="61" t="s">
        <v>628</v>
      </c>
      <c r="C1212" s="82" t="str">
        <f>IFERROR(VLOOKUP(B1212,'VTN2025'!B:I,8,FALSE),"-")</f>
        <v>-</v>
      </c>
      <c r="D1212" s="83">
        <f t="shared" si="20"/>
        <v>9251.5277777777792</v>
      </c>
    </row>
    <row r="1213" spans="1:4" ht="16.5" thickBot="1" x14ac:dyDescent="0.3">
      <c r="A1213" s="61" t="s">
        <v>391</v>
      </c>
      <c r="B1213" s="61" t="s">
        <v>586</v>
      </c>
      <c r="C1213" s="82" t="str">
        <f>IFERROR(VLOOKUP(B1213,'VTN2025'!B:I,8,FALSE),"-")</f>
        <v>-</v>
      </c>
      <c r="D1213" s="83">
        <f t="shared" si="20"/>
        <v>9251.5277777777792</v>
      </c>
    </row>
    <row r="1214" spans="1:4" ht="16.5" thickBot="1" x14ac:dyDescent="0.3">
      <c r="A1214" s="61" t="s">
        <v>441</v>
      </c>
      <c r="B1214" s="61" t="s">
        <v>364</v>
      </c>
      <c r="C1214" s="82" t="str">
        <f>IFERROR(VLOOKUP(B1214,'VTN2025'!B:I,8,FALSE),"-")</f>
        <v>-</v>
      </c>
      <c r="D1214" s="83">
        <f t="shared" si="20"/>
        <v>29050.551333333337</v>
      </c>
    </row>
    <row r="1215" spans="1:4" ht="16.5" thickBot="1" x14ac:dyDescent="0.3">
      <c r="A1215" s="61" t="s">
        <v>441</v>
      </c>
      <c r="B1215" s="61" t="s">
        <v>439</v>
      </c>
      <c r="C1215" s="82">
        <f>IFERROR(VLOOKUP(B1215,'VTN2025'!B:I,8,FALSE),"-")</f>
        <v>18695</v>
      </c>
      <c r="D1215" s="83">
        <f t="shared" si="20"/>
        <v>29050.551333333337</v>
      </c>
    </row>
    <row r="1216" spans="1:4" ht="16.5" thickBot="1" x14ac:dyDescent="0.3">
      <c r="A1216" s="61" t="s">
        <v>441</v>
      </c>
      <c r="B1216" s="61" t="s">
        <v>506</v>
      </c>
      <c r="C1216" s="82">
        <f>IFERROR(VLOOKUP(B1216,'VTN2025'!B:I,8,FALSE),"-")</f>
        <v>28732.248333333333</v>
      </c>
      <c r="D1216" s="83">
        <f t="shared" si="20"/>
        <v>29050.551333333337</v>
      </c>
    </row>
    <row r="1217" spans="1:4" ht="16.5" thickBot="1" x14ac:dyDescent="0.3">
      <c r="A1217" s="61" t="s">
        <v>441</v>
      </c>
      <c r="B1217" s="61" t="s">
        <v>494</v>
      </c>
      <c r="C1217" s="82" t="str">
        <f>IFERROR(VLOOKUP(B1217,'VTN2025'!B:I,8,FALSE),"-")</f>
        <v>-</v>
      </c>
      <c r="D1217" s="83">
        <f t="shared" si="20"/>
        <v>29050.551333333337</v>
      </c>
    </row>
    <row r="1218" spans="1:4" ht="16.5" thickBot="1" x14ac:dyDescent="0.3">
      <c r="A1218" s="61" t="s">
        <v>441</v>
      </c>
      <c r="B1218" s="61" t="s">
        <v>433</v>
      </c>
      <c r="C1218" s="82">
        <f>IFERROR(VLOOKUP(B1218,'VTN2025'!B:I,8,FALSE),"-")</f>
        <v>15196.01</v>
      </c>
      <c r="D1218" s="83">
        <f t="shared" si="20"/>
        <v>29050.551333333337</v>
      </c>
    </row>
    <row r="1219" spans="1:4" ht="16.5" thickBot="1" x14ac:dyDescent="0.3">
      <c r="A1219" s="61" t="s">
        <v>441</v>
      </c>
      <c r="B1219" s="61" t="s">
        <v>366</v>
      </c>
      <c r="C1219" s="82">
        <f>IFERROR(VLOOKUP(B1219,'VTN2025'!B:I,8,FALSE),"-")</f>
        <v>64897.67333333334</v>
      </c>
      <c r="D1219" s="83">
        <f t="shared" si="20"/>
        <v>29050.551333333337</v>
      </c>
    </row>
    <row r="1220" spans="1:4" ht="16.5" thickBot="1" x14ac:dyDescent="0.3">
      <c r="A1220" s="61" t="s">
        <v>441</v>
      </c>
      <c r="B1220" s="61" t="s">
        <v>434</v>
      </c>
      <c r="C1220" s="82">
        <f>IFERROR(VLOOKUP(B1220,'VTN2025'!B:I,8,FALSE),"-")</f>
        <v>17731.825000000001</v>
      </c>
      <c r="D1220" s="83">
        <f t="shared" si="20"/>
        <v>29050.551333333337</v>
      </c>
    </row>
    <row r="1221" spans="1:4" ht="16.5" thickBot="1" x14ac:dyDescent="0.3">
      <c r="A1221" s="61" t="s">
        <v>452</v>
      </c>
      <c r="B1221" s="61" t="s">
        <v>447</v>
      </c>
      <c r="C1221" s="82">
        <f>IFERROR(VLOOKUP(B1221,'VTN2025'!B:I,8,FALSE),"-")</f>
        <v>13705</v>
      </c>
      <c r="D1221" s="83">
        <f t="shared" si="20"/>
        <v>15043.886333333334</v>
      </c>
    </row>
    <row r="1222" spans="1:4" ht="16.5" thickBot="1" x14ac:dyDescent="0.3">
      <c r="A1222" s="61" t="s">
        <v>452</v>
      </c>
      <c r="B1222" s="61" t="s">
        <v>448</v>
      </c>
      <c r="C1222" s="82">
        <f>IFERROR(VLOOKUP(B1222,'VTN2025'!B:I,8,FALSE),"-")</f>
        <v>15121.058333333332</v>
      </c>
      <c r="D1222" s="83">
        <f t="shared" si="20"/>
        <v>15043.886333333334</v>
      </c>
    </row>
    <row r="1223" spans="1:4" ht="16.5" thickBot="1" x14ac:dyDescent="0.3">
      <c r="A1223" s="61" t="s">
        <v>452</v>
      </c>
      <c r="B1223" s="61" t="s">
        <v>451</v>
      </c>
      <c r="C1223" s="82">
        <f>IFERROR(VLOOKUP(B1223,'VTN2025'!B:I,8,FALSE),"-")</f>
        <v>13376.666666666666</v>
      </c>
      <c r="D1223" s="83">
        <f t="shared" si="20"/>
        <v>15043.886333333334</v>
      </c>
    </row>
    <row r="1224" spans="1:4" ht="16.5" thickBot="1" x14ac:dyDescent="0.3">
      <c r="A1224" s="61" t="s">
        <v>452</v>
      </c>
      <c r="B1224" s="61" t="s">
        <v>445</v>
      </c>
      <c r="C1224" s="82">
        <f>IFERROR(VLOOKUP(B1224,'VTN2025'!B:I,8,FALSE),"-")</f>
        <v>17012.526666666668</v>
      </c>
      <c r="D1224" s="83">
        <f t="shared" si="20"/>
        <v>15043.886333333334</v>
      </c>
    </row>
    <row r="1225" spans="1:4" ht="16.5" thickBot="1" x14ac:dyDescent="0.3">
      <c r="A1225" s="61" t="s">
        <v>452</v>
      </c>
      <c r="B1225" s="61" t="s">
        <v>532</v>
      </c>
      <c r="C1225" s="82">
        <f>IFERROR(VLOOKUP(B1225,'VTN2025'!B:I,8,FALSE),"-")</f>
        <v>16004.18</v>
      </c>
      <c r="D1225" s="83">
        <f t="shared" si="20"/>
        <v>15043.886333333334</v>
      </c>
    </row>
    <row r="1226" spans="1:4" ht="16.5" thickBot="1" x14ac:dyDescent="0.3">
      <c r="A1226" s="61" t="s">
        <v>375</v>
      </c>
      <c r="B1226" s="61" t="s">
        <v>369</v>
      </c>
      <c r="C1226" s="82">
        <f>IFERROR(VLOOKUP(B1226,'VTN2025'!B:I,8,FALSE),"-")</f>
        <v>20561.290000000005</v>
      </c>
      <c r="D1226" s="83">
        <f t="shared" si="20"/>
        <v>15565.966428571428</v>
      </c>
    </row>
    <row r="1227" spans="1:4" ht="16.5" thickBot="1" x14ac:dyDescent="0.3">
      <c r="A1227" s="61" t="s">
        <v>375</v>
      </c>
      <c r="B1227" s="61" t="s">
        <v>370</v>
      </c>
      <c r="C1227" s="82">
        <f>IFERROR(VLOOKUP(B1227,'VTN2025'!B:I,8,FALSE),"-")</f>
        <v>12335.518333333333</v>
      </c>
      <c r="D1227" s="83">
        <f t="shared" si="20"/>
        <v>15565.966428571428</v>
      </c>
    </row>
    <row r="1228" spans="1:4" ht="16.5" thickBot="1" x14ac:dyDescent="0.3">
      <c r="A1228" s="61" t="s">
        <v>375</v>
      </c>
      <c r="B1228" s="61" t="s">
        <v>371</v>
      </c>
      <c r="C1228" s="82" t="str">
        <f>IFERROR(VLOOKUP(B1228,'VTN2025'!B:I,8,FALSE),"-")</f>
        <v>-</v>
      </c>
      <c r="D1228" s="83">
        <f t="shared" si="20"/>
        <v>15565.966428571428</v>
      </c>
    </row>
    <row r="1229" spans="1:4" ht="16.5" thickBot="1" x14ac:dyDescent="0.3">
      <c r="A1229" s="61" t="s">
        <v>375</v>
      </c>
      <c r="B1229" s="61" t="s">
        <v>439</v>
      </c>
      <c r="C1229" s="82">
        <f>IFERROR(VLOOKUP(B1229,'VTN2025'!B:I,8,FALSE),"-")</f>
        <v>18695</v>
      </c>
      <c r="D1229" s="83">
        <f t="shared" si="20"/>
        <v>15565.966428571428</v>
      </c>
    </row>
    <row r="1230" spans="1:4" ht="16.5" thickBot="1" x14ac:dyDescent="0.3">
      <c r="A1230" s="61" t="s">
        <v>375</v>
      </c>
      <c r="B1230" s="61" t="s">
        <v>494</v>
      </c>
      <c r="C1230" s="82" t="str">
        <f>IFERROR(VLOOKUP(B1230,'VTN2025'!B:I,8,FALSE),"-")</f>
        <v>-</v>
      </c>
      <c r="D1230" s="83">
        <f t="shared" si="20"/>
        <v>15565.966428571428</v>
      </c>
    </row>
    <row r="1231" spans="1:4" ht="16.5" thickBot="1" x14ac:dyDescent="0.3">
      <c r="A1231" s="61" t="s">
        <v>375</v>
      </c>
      <c r="B1231" s="61" t="s">
        <v>373</v>
      </c>
      <c r="C1231" s="82" t="str">
        <f>IFERROR(VLOOKUP(B1231,'VTN2025'!B:I,8,FALSE),"-")</f>
        <v>-</v>
      </c>
      <c r="D1231" s="83">
        <f t="shared" si="20"/>
        <v>15565.966428571428</v>
      </c>
    </row>
    <row r="1232" spans="1:4" ht="16.5" thickBot="1" x14ac:dyDescent="0.3">
      <c r="A1232" s="61" t="s">
        <v>375</v>
      </c>
      <c r="B1232" s="61" t="s">
        <v>434</v>
      </c>
      <c r="C1232" s="82">
        <f>IFERROR(VLOOKUP(B1232,'VTN2025'!B:I,8,FALSE),"-")</f>
        <v>17731.825000000001</v>
      </c>
      <c r="D1232" s="83">
        <f t="shared" si="20"/>
        <v>15565.966428571428</v>
      </c>
    </row>
    <row r="1233" spans="1:4" ht="16.5" thickBot="1" x14ac:dyDescent="0.3">
      <c r="A1233" s="61" t="s">
        <v>375</v>
      </c>
      <c r="B1233" s="61" t="s">
        <v>390</v>
      </c>
      <c r="C1233" s="82">
        <f>IFERROR(VLOOKUP(B1233,'VTN2025'!B:I,8,FALSE),"-")</f>
        <v>8946.5783333333347</v>
      </c>
      <c r="D1233" s="83">
        <f t="shared" si="20"/>
        <v>15565.966428571428</v>
      </c>
    </row>
    <row r="1234" spans="1:4" ht="16.5" thickBot="1" x14ac:dyDescent="0.3">
      <c r="A1234" s="61" t="s">
        <v>375</v>
      </c>
      <c r="B1234" s="61" t="s">
        <v>612</v>
      </c>
      <c r="C1234" s="82" t="str">
        <f>IFERROR(VLOOKUP(B1234,'VTN2025'!B:I,8,FALSE),"-")</f>
        <v>-</v>
      </c>
      <c r="D1234" s="83">
        <f t="shared" si="20"/>
        <v>15565.966428571428</v>
      </c>
    </row>
    <row r="1235" spans="1:4" ht="16.5" thickBot="1" x14ac:dyDescent="0.3">
      <c r="A1235" s="61" t="s">
        <v>375</v>
      </c>
      <c r="B1235" s="61" t="s">
        <v>497</v>
      </c>
      <c r="C1235" s="82">
        <f>IFERROR(VLOOKUP(B1235,'VTN2025'!B:I,8,FALSE),"-")</f>
        <v>15023.486666666666</v>
      </c>
      <c r="D1235" s="83">
        <f t="shared" si="20"/>
        <v>15565.966428571428</v>
      </c>
    </row>
    <row r="1236" spans="1:4" ht="16.5" thickBot="1" x14ac:dyDescent="0.3">
      <c r="A1236" s="61" t="s">
        <v>375</v>
      </c>
      <c r="B1236" s="61" t="s">
        <v>588</v>
      </c>
      <c r="C1236" s="82">
        <f>IFERROR(VLOOKUP(B1236,'VTN2025'!B:I,8,FALSE),"-")</f>
        <v>15668.066666666668</v>
      </c>
      <c r="D1236" s="83">
        <f t="shared" si="20"/>
        <v>15565.966428571428</v>
      </c>
    </row>
    <row r="1237" spans="1:4" ht="16.5" thickBot="1" x14ac:dyDescent="0.3">
      <c r="A1237" s="61" t="s">
        <v>414</v>
      </c>
      <c r="B1237" s="61" t="s">
        <v>408</v>
      </c>
      <c r="C1237" s="82" t="str">
        <f>IFERROR(VLOOKUP(B1237,'VTN2025'!B:I,8,FALSE),"-")</f>
        <v>-</v>
      </c>
      <c r="D1237" s="83">
        <f t="shared" si="20"/>
        <v>9641.8700000000008</v>
      </c>
    </row>
    <row r="1238" spans="1:4" ht="16.5" thickBot="1" x14ac:dyDescent="0.3">
      <c r="A1238" s="61" t="s">
        <v>414</v>
      </c>
      <c r="B1238" s="61" t="s">
        <v>409</v>
      </c>
      <c r="C1238" s="82" t="str">
        <f>IFERROR(VLOOKUP(B1238,'VTN2025'!B:I,8,FALSE),"-")</f>
        <v>-</v>
      </c>
      <c r="D1238" s="83">
        <f t="shared" si="20"/>
        <v>9641.8700000000008</v>
      </c>
    </row>
    <row r="1239" spans="1:4" ht="16.5" thickBot="1" x14ac:dyDescent="0.3">
      <c r="A1239" s="61" t="s">
        <v>414</v>
      </c>
      <c r="B1239" s="61" t="s">
        <v>413</v>
      </c>
      <c r="C1239" s="82">
        <f>IFERROR(VLOOKUP(B1239,'VTN2025'!B:I,8,FALSE),"-")</f>
        <v>9641.8700000000008</v>
      </c>
      <c r="D1239" s="83">
        <f t="shared" si="20"/>
        <v>9641.8700000000008</v>
      </c>
    </row>
    <row r="1240" spans="1:4" ht="16.5" thickBot="1" x14ac:dyDescent="0.3">
      <c r="A1240" s="61" t="s">
        <v>558</v>
      </c>
      <c r="B1240" s="61" t="s">
        <v>550</v>
      </c>
      <c r="C1240" s="82">
        <f>IFERROR(VLOOKUP(B1240,'VTN2025'!B:I,8,FALSE),"-")</f>
        <v>5612.2550000000001</v>
      </c>
      <c r="D1240" s="83">
        <f t="shared" si="20"/>
        <v>7553.1146666666682</v>
      </c>
    </row>
    <row r="1241" spans="1:4" ht="16.5" thickBot="1" x14ac:dyDescent="0.3">
      <c r="A1241" s="61" t="s">
        <v>558</v>
      </c>
      <c r="B1241" s="61" t="s">
        <v>553</v>
      </c>
      <c r="C1241" s="82" t="str">
        <f>IFERROR(VLOOKUP(B1241,'VTN2025'!B:I,8,FALSE),"-")</f>
        <v>-</v>
      </c>
      <c r="D1241" s="83">
        <f t="shared" si="20"/>
        <v>7553.1146666666682</v>
      </c>
    </row>
    <row r="1242" spans="1:4" ht="16.5" thickBot="1" x14ac:dyDescent="0.3">
      <c r="A1242" s="61" t="s">
        <v>558</v>
      </c>
      <c r="B1242" s="61" t="s">
        <v>609</v>
      </c>
      <c r="C1242" s="82">
        <f>IFERROR(VLOOKUP(B1242,'VTN2025'!B:I,8,FALSE),"-")</f>
        <v>9641.8700000000008</v>
      </c>
      <c r="D1242" s="83">
        <f t="shared" ref="D1242:D1305" si="21">AVERAGEIF($A:$A,A1242,$C:$C)</f>
        <v>7553.1146666666682</v>
      </c>
    </row>
    <row r="1243" spans="1:4" ht="16.5" thickBot="1" x14ac:dyDescent="0.3">
      <c r="A1243" s="61" t="s">
        <v>558</v>
      </c>
      <c r="B1243" s="61" t="s">
        <v>412</v>
      </c>
      <c r="C1243" s="82">
        <f>IFERROR(VLOOKUP(B1243,'VTN2025'!B:I,8,FALSE),"-")</f>
        <v>9641.8700000000008</v>
      </c>
      <c r="D1243" s="83">
        <f t="shared" si="21"/>
        <v>7553.1146666666682</v>
      </c>
    </row>
    <row r="1244" spans="1:4" ht="16.5" thickBot="1" x14ac:dyDescent="0.3">
      <c r="A1244" s="61" t="s">
        <v>558</v>
      </c>
      <c r="B1244" s="61" t="s">
        <v>555</v>
      </c>
      <c r="C1244" s="82">
        <f>IFERROR(VLOOKUP(B1244,'VTN2025'!B:I,8,FALSE),"-")</f>
        <v>8110.6716666666653</v>
      </c>
      <c r="D1244" s="83">
        <f t="shared" si="21"/>
        <v>7553.1146666666682</v>
      </c>
    </row>
    <row r="1245" spans="1:4" ht="16.5" thickBot="1" x14ac:dyDescent="0.3">
      <c r="A1245" s="61" t="s">
        <v>558</v>
      </c>
      <c r="B1245" s="61" t="s">
        <v>405</v>
      </c>
      <c r="C1245" s="82">
        <f>IFERROR(VLOOKUP(B1245,'VTN2025'!B:I,8,FALSE),"-")</f>
        <v>4758.9066666666668</v>
      </c>
      <c r="D1245" s="83">
        <f t="shared" si="21"/>
        <v>7553.1146666666682</v>
      </c>
    </row>
    <row r="1246" spans="1:4" ht="16.5" thickBot="1" x14ac:dyDescent="0.3">
      <c r="A1246" s="61" t="s">
        <v>627</v>
      </c>
      <c r="B1246" s="61" t="s">
        <v>604</v>
      </c>
      <c r="C1246" s="82">
        <f>IFERROR(VLOOKUP(B1246,'VTN2025'!B:I,8,FALSE),"-")</f>
        <v>16509.973333333332</v>
      </c>
      <c r="D1246" s="83">
        <f t="shared" si="21"/>
        <v>21630.82</v>
      </c>
    </row>
    <row r="1247" spans="1:4" ht="16.5" thickBot="1" x14ac:dyDescent="0.3">
      <c r="A1247" s="61" t="s">
        <v>627</v>
      </c>
      <c r="B1247" s="61" t="s">
        <v>625</v>
      </c>
      <c r="C1247" s="82" t="str">
        <f>IFERROR(VLOOKUP(B1247,'VTN2025'!B:I,8,FALSE),"-")</f>
        <v>-</v>
      </c>
      <c r="D1247" s="83">
        <f t="shared" si="21"/>
        <v>21630.82</v>
      </c>
    </row>
    <row r="1248" spans="1:4" ht="16.5" thickBot="1" x14ac:dyDescent="0.3">
      <c r="A1248" s="61" t="s">
        <v>627</v>
      </c>
      <c r="B1248" s="61" t="s">
        <v>437</v>
      </c>
      <c r="C1248" s="82">
        <f>IFERROR(VLOOKUP(B1248,'VTN2025'!B:I,8,FALSE),"-")</f>
        <v>26751.666666666668</v>
      </c>
      <c r="D1248" s="83">
        <f t="shared" si="21"/>
        <v>21630.82</v>
      </c>
    </row>
    <row r="1249" spans="1:4" ht="16.5" thickBot="1" x14ac:dyDescent="0.3">
      <c r="A1249" s="61" t="s">
        <v>627</v>
      </c>
      <c r="B1249" s="61" t="s">
        <v>374</v>
      </c>
      <c r="C1249" s="82" t="str">
        <f>IFERROR(VLOOKUP(B1249,'VTN2025'!B:I,8,FALSE),"-")</f>
        <v>-</v>
      </c>
      <c r="D1249" s="83">
        <f t="shared" si="21"/>
        <v>21630.82</v>
      </c>
    </row>
    <row r="1250" spans="1:4" ht="16.5" thickBot="1" x14ac:dyDescent="0.3">
      <c r="A1250" s="61" t="s">
        <v>406</v>
      </c>
      <c r="B1250" s="61" t="s">
        <v>401</v>
      </c>
      <c r="C1250" s="82">
        <f>IFERROR(VLOOKUP(B1250,'VTN2025'!B:I,8,FALSE),"-")</f>
        <v>7938.1283333333331</v>
      </c>
      <c r="D1250" s="83">
        <f t="shared" si="21"/>
        <v>8345.9686111111114</v>
      </c>
    </row>
    <row r="1251" spans="1:4" ht="16.5" thickBot="1" x14ac:dyDescent="0.3">
      <c r="A1251" s="61" t="s">
        <v>406</v>
      </c>
      <c r="B1251" s="61" t="s">
        <v>410</v>
      </c>
      <c r="C1251" s="82">
        <f>IFERROR(VLOOKUP(B1251,'VTN2025'!B:I,8,FALSE),"-")</f>
        <v>8049.333333333333</v>
      </c>
      <c r="D1251" s="83">
        <f t="shared" si="21"/>
        <v>8345.9686111111114</v>
      </c>
    </row>
    <row r="1252" spans="1:4" ht="16.5" thickBot="1" x14ac:dyDescent="0.3">
      <c r="A1252" s="61" t="s">
        <v>406</v>
      </c>
      <c r="B1252" s="61" t="s">
        <v>527</v>
      </c>
      <c r="C1252" s="82">
        <f>IFERROR(VLOOKUP(B1252,'VTN2025'!B:I,8,FALSE),"-")</f>
        <v>15579.35</v>
      </c>
      <c r="D1252" s="83">
        <f t="shared" si="21"/>
        <v>8345.9686111111114</v>
      </c>
    </row>
    <row r="1253" spans="1:4" ht="16.5" thickBot="1" x14ac:dyDescent="0.3">
      <c r="A1253" s="61" t="s">
        <v>406</v>
      </c>
      <c r="B1253" s="61" t="s">
        <v>404</v>
      </c>
      <c r="C1253" s="82">
        <f>IFERROR(VLOOKUP(B1253,'VTN2025'!B:I,8,FALSE),"-")</f>
        <v>6339.8433333333332</v>
      </c>
      <c r="D1253" s="83">
        <f t="shared" si="21"/>
        <v>8345.9686111111114</v>
      </c>
    </row>
    <row r="1254" spans="1:4" ht="16.5" thickBot="1" x14ac:dyDescent="0.3">
      <c r="A1254" s="61" t="s">
        <v>406</v>
      </c>
      <c r="B1254" s="61" t="s">
        <v>405</v>
      </c>
      <c r="C1254" s="82">
        <f>IFERROR(VLOOKUP(B1254,'VTN2025'!B:I,8,FALSE),"-")</f>
        <v>4758.9066666666668</v>
      </c>
      <c r="D1254" s="83">
        <f t="shared" si="21"/>
        <v>8345.9686111111114</v>
      </c>
    </row>
    <row r="1255" spans="1:4" ht="16.5" thickBot="1" x14ac:dyDescent="0.3">
      <c r="A1255" s="61" t="s">
        <v>406</v>
      </c>
      <c r="B1255" s="61" t="s">
        <v>603</v>
      </c>
      <c r="C1255" s="82">
        <f>IFERROR(VLOOKUP(B1255,'VTN2025'!B:I,8,FALSE),"-")</f>
        <v>7410.2500000000009</v>
      </c>
      <c r="D1255" s="83">
        <f t="shared" si="21"/>
        <v>8345.9686111111114</v>
      </c>
    </row>
    <row r="1256" spans="1:4" ht="16.5" thickBot="1" x14ac:dyDescent="0.3">
      <c r="A1256" s="61" t="s">
        <v>486</v>
      </c>
      <c r="B1256" s="61" t="s">
        <v>481</v>
      </c>
      <c r="C1256" s="82">
        <f>IFERROR(VLOOKUP(B1256,'VTN2025'!B:I,8,FALSE),"-")</f>
        <v>13864.933333333334</v>
      </c>
      <c r="D1256" s="83">
        <f t="shared" si="21"/>
        <v>18185.834999999999</v>
      </c>
    </row>
    <row r="1257" spans="1:4" ht="16.5" thickBot="1" x14ac:dyDescent="0.3">
      <c r="A1257" s="61" t="s">
        <v>486</v>
      </c>
      <c r="B1257" s="61" t="s">
        <v>484</v>
      </c>
      <c r="C1257" s="82">
        <f>IFERROR(VLOOKUP(B1257,'VTN2025'!B:I,8,FALSE),"-")</f>
        <v>26491.596666666665</v>
      </c>
      <c r="D1257" s="83">
        <f t="shared" si="21"/>
        <v>18185.834999999999</v>
      </c>
    </row>
    <row r="1258" spans="1:4" ht="16.5" thickBot="1" x14ac:dyDescent="0.3">
      <c r="A1258" s="61" t="s">
        <v>486</v>
      </c>
      <c r="B1258" s="61" t="s">
        <v>600</v>
      </c>
      <c r="C1258" s="82" t="str">
        <f>IFERROR(VLOOKUP(B1258,'VTN2025'!B:I,8,FALSE),"-")</f>
        <v>-</v>
      </c>
      <c r="D1258" s="83">
        <f t="shared" si="21"/>
        <v>18185.834999999999</v>
      </c>
    </row>
    <row r="1259" spans="1:4" ht="16.5" thickBot="1" x14ac:dyDescent="0.3">
      <c r="A1259" s="61" t="s">
        <v>486</v>
      </c>
      <c r="B1259" s="61" t="s">
        <v>380</v>
      </c>
      <c r="C1259" s="82">
        <f>IFERROR(VLOOKUP(B1259,'VTN2025'!B:I,8,FALSE),"-")</f>
        <v>14200.974999999999</v>
      </c>
      <c r="D1259" s="83">
        <f t="shared" si="21"/>
        <v>18185.834999999999</v>
      </c>
    </row>
    <row r="1260" spans="1:4" ht="16.5" thickBot="1" x14ac:dyDescent="0.3">
      <c r="A1260" s="61" t="s">
        <v>606</v>
      </c>
      <c r="B1260" s="61" t="s">
        <v>491</v>
      </c>
      <c r="C1260" s="82">
        <f>IFERROR(VLOOKUP(B1260,'VTN2025'!B:I,8,FALSE),"-")</f>
        <v>12579.736666666669</v>
      </c>
      <c r="D1260" s="83">
        <f t="shared" si="21"/>
        <v>11636.205000000002</v>
      </c>
    </row>
    <row r="1261" spans="1:4" ht="16.5" thickBot="1" x14ac:dyDescent="0.3">
      <c r="A1261" s="61" t="s">
        <v>606</v>
      </c>
      <c r="B1261" s="61" t="s">
        <v>611</v>
      </c>
      <c r="C1261" s="82">
        <f>IFERROR(VLOOKUP(B1261,'VTN2025'!B:I,8,FALSE),"-")</f>
        <v>14129.861666666669</v>
      </c>
      <c r="D1261" s="83">
        <f t="shared" si="21"/>
        <v>11636.205000000002</v>
      </c>
    </row>
    <row r="1262" spans="1:4" ht="16.5" thickBot="1" x14ac:dyDescent="0.3">
      <c r="A1262" s="61" t="s">
        <v>606</v>
      </c>
      <c r="B1262" s="61" t="s">
        <v>590</v>
      </c>
      <c r="C1262" s="82">
        <f>IFERROR(VLOOKUP(B1262,'VTN2025'!B:I,8,FALSE),"-")</f>
        <v>9122.2983333333341</v>
      </c>
      <c r="D1262" s="83">
        <f t="shared" si="21"/>
        <v>11636.205000000002</v>
      </c>
    </row>
    <row r="1263" spans="1:4" ht="16.5" thickBot="1" x14ac:dyDescent="0.3">
      <c r="A1263" s="61" t="s">
        <v>606</v>
      </c>
      <c r="B1263" s="61" t="s">
        <v>577</v>
      </c>
      <c r="C1263" s="82">
        <f>IFERROR(VLOOKUP(B1263,'VTN2025'!B:I,8,FALSE),"-")</f>
        <v>14057.038333333336</v>
      </c>
      <c r="D1263" s="83">
        <f t="shared" si="21"/>
        <v>11636.205000000002</v>
      </c>
    </row>
    <row r="1264" spans="1:4" ht="16.5" thickBot="1" x14ac:dyDescent="0.3">
      <c r="A1264" s="61" t="s">
        <v>606</v>
      </c>
      <c r="B1264" s="61" t="s">
        <v>605</v>
      </c>
      <c r="C1264" s="82" t="str">
        <f>IFERROR(VLOOKUP(B1264,'VTN2025'!B:I,8,FALSE),"-")</f>
        <v>-</v>
      </c>
      <c r="D1264" s="83">
        <f t="shared" si="21"/>
        <v>11636.205000000002</v>
      </c>
    </row>
    <row r="1265" spans="1:4" ht="16.5" thickBot="1" x14ac:dyDescent="0.3">
      <c r="A1265" s="61" t="s">
        <v>606</v>
      </c>
      <c r="B1265" s="61" t="s">
        <v>492</v>
      </c>
      <c r="C1265" s="82">
        <f>IFERROR(VLOOKUP(B1265,'VTN2025'!B:I,8,FALSE),"-")</f>
        <v>8292.09</v>
      </c>
      <c r="D1265" s="83">
        <f t="shared" si="21"/>
        <v>11636.205000000002</v>
      </c>
    </row>
    <row r="1266" spans="1:4" ht="16.5" thickBot="1" x14ac:dyDescent="0.3">
      <c r="A1266" s="61" t="s">
        <v>388</v>
      </c>
      <c r="B1266" s="61" t="s">
        <v>384</v>
      </c>
      <c r="C1266" s="82">
        <f>IFERROR(VLOOKUP(B1266,'VTN2025'!B:I,8,FALSE),"-")</f>
        <v>22678.789999999997</v>
      </c>
      <c r="D1266" s="83">
        <f t="shared" si="21"/>
        <v>24305.859523809522</v>
      </c>
    </row>
    <row r="1267" spans="1:4" ht="16.5" thickBot="1" x14ac:dyDescent="0.3">
      <c r="A1267" s="61" t="s">
        <v>388</v>
      </c>
      <c r="B1267" s="61" t="s">
        <v>385</v>
      </c>
      <c r="C1267" s="82">
        <f>IFERROR(VLOOKUP(B1267,'VTN2025'!B:I,8,FALSE),"-")</f>
        <v>27247.318333333333</v>
      </c>
      <c r="D1267" s="83">
        <f t="shared" si="21"/>
        <v>24305.859523809522</v>
      </c>
    </row>
    <row r="1268" spans="1:4" ht="16.5" thickBot="1" x14ac:dyDescent="0.3">
      <c r="A1268" s="61" t="s">
        <v>388</v>
      </c>
      <c r="B1268" s="61" t="s">
        <v>481</v>
      </c>
      <c r="C1268" s="82">
        <f>IFERROR(VLOOKUP(B1268,'VTN2025'!B:I,8,FALSE),"-")</f>
        <v>13864.933333333334</v>
      </c>
      <c r="D1268" s="83">
        <f t="shared" si="21"/>
        <v>24305.859523809522</v>
      </c>
    </row>
    <row r="1269" spans="1:4" ht="16.5" thickBot="1" x14ac:dyDescent="0.3">
      <c r="A1269" s="61" t="s">
        <v>388</v>
      </c>
      <c r="B1269" s="61" t="s">
        <v>483</v>
      </c>
      <c r="C1269" s="82">
        <f>IFERROR(VLOOKUP(B1269,'VTN2025'!B:I,8,FALSE),"-")</f>
        <v>13927.696666666665</v>
      </c>
      <c r="D1269" s="83">
        <f t="shared" si="21"/>
        <v>24305.859523809522</v>
      </c>
    </row>
    <row r="1270" spans="1:4" ht="16.5" thickBot="1" x14ac:dyDescent="0.3">
      <c r="A1270" s="61" t="s">
        <v>388</v>
      </c>
      <c r="B1270" s="61" t="s">
        <v>484</v>
      </c>
      <c r="C1270" s="82">
        <f>IFERROR(VLOOKUP(B1270,'VTN2025'!B:I,8,FALSE),"-")</f>
        <v>26491.596666666665</v>
      </c>
      <c r="D1270" s="83">
        <f t="shared" si="21"/>
        <v>24305.859523809522</v>
      </c>
    </row>
    <row r="1271" spans="1:4" ht="16.5" thickBot="1" x14ac:dyDescent="0.3">
      <c r="A1271" s="61" t="s">
        <v>388</v>
      </c>
      <c r="B1271" s="61" t="s">
        <v>387</v>
      </c>
      <c r="C1271" s="82">
        <f>IFERROR(VLOOKUP(B1271,'VTN2025'!B:I,8,FALSE),"-")</f>
        <v>29694.365000000002</v>
      </c>
      <c r="D1271" s="83">
        <f t="shared" si="21"/>
        <v>24305.859523809522</v>
      </c>
    </row>
    <row r="1272" spans="1:4" ht="16.5" thickBot="1" x14ac:dyDescent="0.3">
      <c r="A1272" s="61" t="s">
        <v>388</v>
      </c>
      <c r="B1272" s="61" t="s">
        <v>389</v>
      </c>
      <c r="C1272" s="82">
        <f>IFERROR(VLOOKUP(B1272,'VTN2025'!B:I,8,FALSE),"-")</f>
        <v>36236.316666666673</v>
      </c>
      <c r="D1272" s="83">
        <f t="shared" si="21"/>
        <v>24305.859523809522</v>
      </c>
    </row>
    <row r="1273" spans="1:4" ht="16.5" thickBot="1" x14ac:dyDescent="0.3">
      <c r="A1273" s="61" t="s">
        <v>508</v>
      </c>
      <c r="B1273" s="61" t="s">
        <v>417</v>
      </c>
      <c r="C1273" s="82">
        <f>IFERROR(VLOOKUP(B1273,'VTN2025'!B:I,8,FALSE),"-")</f>
        <v>5547.3600000000006</v>
      </c>
      <c r="D1273" s="83">
        <f t="shared" si="21"/>
        <v>7492.5399999999991</v>
      </c>
    </row>
    <row r="1274" spans="1:4" ht="16.5" thickBot="1" x14ac:dyDescent="0.3">
      <c r="A1274" s="61" t="s">
        <v>508</v>
      </c>
      <c r="B1274" s="61" t="s">
        <v>479</v>
      </c>
      <c r="C1274" s="82" t="str">
        <f>IFERROR(VLOOKUP(B1274,'VTN2025'!B:I,8,FALSE),"-")</f>
        <v>-</v>
      </c>
      <c r="D1274" s="83">
        <f t="shared" si="21"/>
        <v>7492.5399999999991</v>
      </c>
    </row>
    <row r="1275" spans="1:4" ht="16.5" thickBot="1" x14ac:dyDescent="0.3">
      <c r="A1275" s="61" t="s">
        <v>508</v>
      </c>
      <c r="B1275" s="61" t="s">
        <v>636</v>
      </c>
      <c r="C1275" s="82" t="str">
        <f>IFERROR(VLOOKUP(B1275,'VTN2025'!B:I,8,FALSE),"-")</f>
        <v>-</v>
      </c>
      <c r="D1275" s="83">
        <f t="shared" si="21"/>
        <v>7492.5399999999991</v>
      </c>
    </row>
    <row r="1276" spans="1:4" ht="16.5" thickBot="1" x14ac:dyDescent="0.3">
      <c r="A1276" s="61" t="s">
        <v>508</v>
      </c>
      <c r="B1276" s="61" t="s">
        <v>418</v>
      </c>
      <c r="C1276" s="82">
        <f>IFERROR(VLOOKUP(B1276,'VTN2025'!B:I,8,FALSE),"-")</f>
        <v>12782.788333333332</v>
      </c>
      <c r="D1276" s="83">
        <f t="shared" si="21"/>
        <v>7492.5399999999991</v>
      </c>
    </row>
    <row r="1277" spans="1:4" ht="16.5" thickBot="1" x14ac:dyDescent="0.3">
      <c r="A1277" s="61" t="s">
        <v>508</v>
      </c>
      <c r="B1277" s="61" t="s">
        <v>480</v>
      </c>
      <c r="C1277" s="82">
        <f>IFERROR(VLOOKUP(B1277,'VTN2025'!B:I,8,FALSE),"-")</f>
        <v>5938.1066666666666</v>
      </c>
      <c r="D1277" s="83">
        <f t="shared" si="21"/>
        <v>7492.5399999999991</v>
      </c>
    </row>
    <row r="1278" spans="1:4" ht="16.5" thickBot="1" x14ac:dyDescent="0.3">
      <c r="A1278" s="61" t="s">
        <v>508</v>
      </c>
      <c r="B1278" s="61" t="s">
        <v>507</v>
      </c>
      <c r="C1278" s="82">
        <f>IFERROR(VLOOKUP(B1278,'VTN2025'!B:I,8,FALSE),"-")</f>
        <v>5701.9049999999997</v>
      </c>
      <c r="D1278" s="83">
        <f t="shared" si="21"/>
        <v>7492.5399999999991</v>
      </c>
    </row>
    <row r="1279" spans="1:4" ht="16.5" thickBot="1" x14ac:dyDescent="0.3">
      <c r="A1279" s="61" t="s">
        <v>508</v>
      </c>
      <c r="B1279" s="61" t="s">
        <v>637</v>
      </c>
      <c r="C1279" s="82" t="str">
        <f>IFERROR(VLOOKUP(B1279,'VTN2025'!B:I,8,FALSE),"-")</f>
        <v>-</v>
      </c>
      <c r="D1279" s="83">
        <f t="shared" si="21"/>
        <v>7492.5399999999991</v>
      </c>
    </row>
    <row r="1280" spans="1:4" ht="16.5" thickBot="1" x14ac:dyDescent="0.3">
      <c r="A1280" s="61" t="s">
        <v>497</v>
      </c>
      <c r="B1280" s="61" t="s">
        <v>439</v>
      </c>
      <c r="C1280" s="82">
        <f>IFERROR(VLOOKUP(B1280,'VTN2025'!B:I,8,FALSE),"-")</f>
        <v>18695</v>
      </c>
      <c r="D1280" s="83">
        <f t="shared" si="21"/>
        <v>19766.829999999998</v>
      </c>
    </row>
    <row r="1281" spans="1:4" ht="16.5" thickBot="1" x14ac:dyDescent="0.3">
      <c r="A1281" s="61" t="s">
        <v>497</v>
      </c>
      <c r="B1281" s="61" t="s">
        <v>495</v>
      </c>
      <c r="C1281" s="82">
        <f>IFERROR(VLOOKUP(B1281,'VTN2025'!B:I,8,FALSE),"-")</f>
        <v>26078.190000000002</v>
      </c>
      <c r="D1281" s="83">
        <f t="shared" si="21"/>
        <v>19766.829999999998</v>
      </c>
    </row>
    <row r="1282" spans="1:4" ht="16.5" thickBot="1" x14ac:dyDescent="0.3">
      <c r="A1282" s="61" t="s">
        <v>497</v>
      </c>
      <c r="B1282" s="61" t="s">
        <v>538</v>
      </c>
      <c r="C1282" s="82">
        <f>IFERROR(VLOOKUP(B1282,'VTN2025'!B:I,8,FALSE),"-")</f>
        <v>17871.291666666664</v>
      </c>
      <c r="D1282" s="83">
        <f t="shared" si="21"/>
        <v>19766.829999999998</v>
      </c>
    </row>
    <row r="1283" spans="1:4" ht="16.5" thickBot="1" x14ac:dyDescent="0.3">
      <c r="A1283" s="61" t="s">
        <v>497</v>
      </c>
      <c r="B1283" s="61" t="s">
        <v>375</v>
      </c>
      <c r="C1283" s="82">
        <f>IFERROR(VLOOKUP(B1283,'VTN2025'!B:I,8,FALSE),"-")</f>
        <v>20521.601666666666</v>
      </c>
      <c r="D1283" s="83">
        <f t="shared" si="21"/>
        <v>19766.829999999998</v>
      </c>
    </row>
    <row r="1284" spans="1:4" ht="16.5" thickBot="1" x14ac:dyDescent="0.3">
      <c r="A1284" s="61" t="s">
        <v>497</v>
      </c>
      <c r="B1284" s="61" t="s">
        <v>588</v>
      </c>
      <c r="C1284" s="82">
        <f>IFERROR(VLOOKUP(B1284,'VTN2025'!B:I,8,FALSE),"-")</f>
        <v>15668.066666666668</v>
      </c>
      <c r="D1284" s="83">
        <f t="shared" si="21"/>
        <v>19766.829999999998</v>
      </c>
    </row>
    <row r="1285" spans="1:4" ht="16.5" thickBot="1" x14ac:dyDescent="0.3">
      <c r="A1285" s="61" t="s">
        <v>564</v>
      </c>
      <c r="B1285" s="61" t="s">
        <v>560</v>
      </c>
      <c r="C1285" s="82" t="str">
        <f>IFERROR(VLOOKUP(B1285,'VTN2025'!B:I,8,FALSE),"-")</f>
        <v>-</v>
      </c>
      <c r="D1285" s="83">
        <f t="shared" si="21"/>
        <v>16101.573333333332</v>
      </c>
    </row>
    <row r="1286" spans="1:4" ht="16.5" thickBot="1" x14ac:dyDescent="0.3">
      <c r="A1286" s="61" t="s">
        <v>564</v>
      </c>
      <c r="B1286" s="61" t="s">
        <v>561</v>
      </c>
      <c r="C1286" s="82">
        <f>IFERROR(VLOOKUP(B1286,'VTN2025'!B:I,8,FALSE),"-")</f>
        <v>17532.204999999998</v>
      </c>
      <c r="D1286" s="83">
        <f t="shared" si="21"/>
        <v>16101.573333333332</v>
      </c>
    </row>
    <row r="1287" spans="1:4" ht="16.5" thickBot="1" x14ac:dyDescent="0.3">
      <c r="A1287" s="61" t="s">
        <v>564</v>
      </c>
      <c r="B1287" s="61" t="s">
        <v>562</v>
      </c>
      <c r="C1287" s="82">
        <f>IFERROR(VLOOKUP(B1287,'VTN2025'!B:I,8,FALSE),"-")</f>
        <v>10493.316666666666</v>
      </c>
      <c r="D1287" s="83">
        <f t="shared" si="21"/>
        <v>16101.573333333332</v>
      </c>
    </row>
    <row r="1288" spans="1:4" ht="16.5" thickBot="1" x14ac:dyDescent="0.3">
      <c r="A1288" s="61" t="s">
        <v>564</v>
      </c>
      <c r="B1288" s="61" t="s">
        <v>465</v>
      </c>
      <c r="C1288" s="82">
        <f>IFERROR(VLOOKUP(B1288,'VTN2025'!B:I,8,FALSE),"-")</f>
        <v>23764.458333333332</v>
      </c>
      <c r="D1288" s="83">
        <f t="shared" si="21"/>
        <v>16101.573333333332</v>
      </c>
    </row>
    <row r="1289" spans="1:4" ht="16.5" thickBot="1" x14ac:dyDescent="0.3">
      <c r="A1289" s="61" t="s">
        <v>564</v>
      </c>
      <c r="B1289" s="61" t="s">
        <v>468</v>
      </c>
      <c r="C1289" s="82">
        <f>IFERROR(VLOOKUP(B1289,'VTN2025'!B:I,8,FALSE),"-")</f>
        <v>12616.313333333332</v>
      </c>
      <c r="D1289" s="83">
        <f t="shared" si="21"/>
        <v>16101.573333333332</v>
      </c>
    </row>
    <row r="1290" spans="1:4" ht="16.5" thickBot="1" x14ac:dyDescent="0.3">
      <c r="A1290" s="61" t="s">
        <v>575</v>
      </c>
      <c r="B1290" s="61" t="s">
        <v>444</v>
      </c>
      <c r="C1290" s="82">
        <f>IFERROR(VLOOKUP(B1290,'VTN2025'!B:I,8,FALSE),"-")</f>
        <v>17929.771666666667</v>
      </c>
      <c r="D1290" s="83">
        <f t="shared" si="21"/>
        <v>14424.952499999999</v>
      </c>
    </row>
    <row r="1291" spans="1:4" ht="16.5" thickBot="1" x14ac:dyDescent="0.3">
      <c r="A1291" s="61" t="s">
        <v>575</v>
      </c>
      <c r="B1291" s="61" t="s">
        <v>528</v>
      </c>
      <c r="C1291" s="82">
        <f>IFERROR(VLOOKUP(B1291,'VTN2025'!B:I,8,FALSE),"-")</f>
        <v>10920.133333333333</v>
      </c>
      <c r="D1291" s="83">
        <f t="shared" si="21"/>
        <v>14424.952499999999</v>
      </c>
    </row>
    <row r="1292" spans="1:4" ht="16.5" thickBot="1" x14ac:dyDescent="0.3">
      <c r="A1292" s="61" t="s">
        <v>575</v>
      </c>
      <c r="B1292" s="61" t="s">
        <v>574</v>
      </c>
      <c r="C1292" s="82" t="str">
        <f>IFERROR(VLOOKUP(B1292,'VTN2025'!B:I,8,FALSE),"-")</f>
        <v>-</v>
      </c>
      <c r="D1292" s="83">
        <f t="shared" si="21"/>
        <v>14424.952499999999</v>
      </c>
    </row>
    <row r="1293" spans="1:4" ht="16.5" thickBot="1" x14ac:dyDescent="0.3">
      <c r="A1293" s="61" t="s">
        <v>415</v>
      </c>
      <c r="B1293" s="61" t="s">
        <v>408</v>
      </c>
      <c r="C1293" s="82" t="str">
        <f>IFERROR(VLOOKUP(B1293,'VTN2025'!B:I,8,FALSE),"-")</f>
        <v>-</v>
      </c>
      <c r="D1293" s="83">
        <f t="shared" si="21"/>
        <v>6917.8916666666664</v>
      </c>
    </row>
    <row r="1294" spans="1:4" ht="16.5" thickBot="1" x14ac:dyDescent="0.3">
      <c r="A1294" s="61" t="s">
        <v>415</v>
      </c>
      <c r="B1294" s="61" t="s">
        <v>409</v>
      </c>
      <c r="C1294" s="82" t="str">
        <f>IFERROR(VLOOKUP(B1294,'VTN2025'!B:I,8,FALSE),"-")</f>
        <v>-</v>
      </c>
      <c r="D1294" s="83">
        <f t="shared" si="21"/>
        <v>6917.8916666666664</v>
      </c>
    </row>
    <row r="1295" spans="1:4" ht="16.5" thickBot="1" x14ac:dyDescent="0.3">
      <c r="A1295" s="61" t="s">
        <v>415</v>
      </c>
      <c r="B1295" s="61" t="s">
        <v>526</v>
      </c>
      <c r="C1295" s="82" t="str">
        <f>IFERROR(VLOOKUP(B1295,'VTN2025'!B:I,8,FALSE),"-")</f>
        <v>-</v>
      </c>
      <c r="D1295" s="83">
        <f t="shared" si="21"/>
        <v>6917.8916666666664</v>
      </c>
    </row>
    <row r="1296" spans="1:4" ht="16.5" thickBot="1" x14ac:dyDescent="0.3">
      <c r="A1296" s="61" t="s">
        <v>415</v>
      </c>
      <c r="B1296" s="61" t="s">
        <v>523</v>
      </c>
      <c r="C1296" s="82" t="str">
        <f>IFERROR(VLOOKUP(B1296,'VTN2025'!B:I,8,FALSE),"-")</f>
        <v>-</v>
      </c>
      <c r="D1296" s="83">
        <f t="shared" si="21"/>
        <v>6917.8916666666664</v>
      </c>
    </row>
    <row r="1297" spans="1:4" ht="16.5" thickBot="1" x14ac:dyDescent="0.3">
      <c r="A1297" s="61" t="s">
        <v>415</v>
      </c>
      <c r="B1297" s="61" t="s">
        <v>410</v>
      </c>
      <c r="C1297" s="82">
        <f>IFERROR(VLOOKUP(B1297,'VTN2025'!B:I,8,FALSE),"-")</f>
        <v>8049.333333333333</v>
      </c>
      <c r="D1297" s="83">
        <f t="shared" si="21"/>
        <v>6917.8916666666664</v>
      </c>
    </row>
    <row r="1298" spans="1:4" ht="16.5" thickBot="1" x14ac:dyDescent="0.3">
      <c r="A1298" s="61" t="s">
        <v>415</v>
      </c>
      <c r="B1298" s="61" t="s">
        <v>411</v>
      </c>
      <c r="C1298" s="82">
        <f>IFERROR(VLOOKUP(B1298,'VTN2025'!B:I,8,FALSE),"-")</f>
        <v>5786.45</v>
      </c>
      <c r="D1298" s="83">
        <f t="shared" si="21"/>
        <v>6917.8916666666664</v>
      </c>
    </row>
    <row r="1299" spans="1:4" ht="16.5" thickBot="1" x14ac:dyDescent="0.3">
      <c r="A1299" s="61" t="s">
        <v>616</v>
      </c>
      <c r="B1299" s="61" t="s">
        <v>423</v>
      </c>
      <c r="C1299" s="82">
        <f>IFERROR(VLOOKUP(B1299,'VTN2025'!B:I,8,FALSE),"-")</f>
        <v>28687.101666666669</v>
      </c>
      <c r="D1299" s="83">
        <f t="shared" si="21"/>
        <v>23806.483</v>
      </c>
    </row>
    <row r="1300" spans="1:4" ht="16.5" thickBot="1" x14ac:dyDescent="0.3">
      <c r="A1300" s="61" t="s">
        <v>616</v>
      </c>
      <c r="B1300" s="61" t="s">
        <v>614</v>
      </c>
      <c r="C1300" s="82">
        <f>IFERROR(VLOOKUP(B1300,'VTN2025'!B:I,8,FALSE),"-")</f>
        <v>21553.351666666669</v>
      </c>
      <c r="D1300" s="83">
        <f t="shared" si="21"/>
        <v>23806.483</v>
      </c>
    </row>
    <row r="1301" spans="1:4" ht="16.5" thickBot="1" x14ac:dyDescent="0.3">
      <c r="A1301" s="61" t="s">
        <v>616</v>
      </c>
      <c r="B1301" s="61" t="s">
        <v>472</v>
      </c>
      <c r="C1301" s="82">
        <f>IFERROR(VLOOKUP(B1301,'VTN2025'!B:I,8,FALSE),"-")</f>
        <v>30042.521666666664</v>
      </c>
      <c r="D1301" s="83">
        <f t="shared" si="21"/>
        <v>23806.483</v>
      </c>
    </row>
    <row r="1302" spans="1:4" ht="16.5" thickBot="1" x14ac:dyDescent="0.3">
      <c r="A1302" s="61" t="s">
        <v>616</v>
      </c>
      <c r="B1302" s="61" t="s">
        <v>604</v>
      </c>
      <c r="C1302" s="82">
        <f>IFERROR(VLOOKUP(B1302,'VTN2025'!B:I,8,FALSE),"-")</f>
        <v>16509.973333333332</v>
      </c>
      <c r="D1302" s="83">
        <f t="shared" si="21"/>
        <v>23806.483</v>
      </c>
    </row>
    <row r="1303" spans="1:4" ht="16.5" thickBot="1" x14ac:dyDescent="0.3">
      <c r="A1303" s="61" t="s">
        <v>616</v>
      </c>
      <c r="B1303" s="61" t="s">
        <v>620</v>
      </c>
      <c r="C1303" s="82">
        <f>IFERROR(VLOOKUP(B1303,'VTN2025'!B:I,8,FALSE),"-")</f>
        <v>22239.466666666664</v>
      </c>
      <c r="D1303" s="83">
        <f t="shared" si="21"/>
        <v>23806.483</v>
      </c>
    </row>
    <row r="1304" spans="1:4" ht="16.5" thickBot="1" x14ac:dyDescent="0.3">
      <c r="A1304" s="61" t="s">
        <v>407</v>
      </c>
      <c r="B1304" s="61" t="s">
        <v>401</v>
      </c>
      <c r="C1304" s="82">
        <f>IFERROR(VLOOKUP(B1304,'VTN2025'!B:I,8,FALSE),"-")</f>
        <v>7938.1283333333331</v>
      </c>
      <c r="D1304" s="83">
        <f t="shared" si="21"/>
        <v>6242.8770833333328</v>
      </c>
    </row>
    <row r="1305" spans="1:4" ht="16.5" thickBot="1" x14ac:dyDescent="0.3">
      <c r="A1305" s="61" t="s">
        <v>407</v>
      </c>
      <c r="B1305" s="61" t="s">
        <v>402</v>
      </c>
      <c r="C1305" s="82">
        <f>IFERROR(VLOOKUP(B1305,'VTN2025'!B:I,8,FALSE),"-")</f>
        <v>4163.8016666666672</v>
      </c>
      <c r="D1305" s="83">
        <f t="shared" si="21"/>
        <v>6242.8770833333328</v>
      </c>
    </row>
    <row r="1306" spans="1:4" ht="16.5" thickBot="1" x14ac:dyDescent="0.3">
      <c r="A1306" s="61" t="s">
        <v>407</v>
      </c>
      <c r="B1306" s="61" t="s">
        <v>555</v>
      </c>
      <c r="C1306" s="82">
        <f>IFERROR(VLOOKUP(B1306,'VTN2025'!B:I,8,FALSE),"-")</f>
        <v>8110.6716666666653</v>
      </c>
      <c r="D1306" s="83">
        <f t="shared" ref="D1306:D1369" si="22">AVERAGEIF($A:$A,A1306,$C:$C)</f>
        <v>6242.8770833333328</v>
      </c>
    </row>
    <row r="1307" spans="1:4" ht="16.5" thickBot="1" x14ac:dyDescent="0.3">
      <c r="A1307" s="61" t="s">
        <v>407</v>
      </c>
      <c r="B1307" s="61" t="s">
        <v>405</v>
      </c>
      <c r="C1307" s="82">
        <f>IFERROR(VLOOKUP(B1307,'VTN2025'!B:I,8,FALSE),"-")</f>
        <v>4758.9066666666668</v>
      </c>
      <c r="D1307" s="83">
        <f t="shared" si="22"/>
        <v>6242.8770833333328</v>
      </c>
    </row>
    <row r="1308" spans="1:4" ht="16.5" thickBot="1" x14ac:dyDescent="0.3">
      <c r="A1308" s="61" t="s">
        <v>438</v>
      </c>
      <c r="B1308" s="61" t="s">
        <v>371</v>
      </c>
      <c r="C1308" s="82" t="str">
        <f>IFERROR(VLOOKUP(B1308,'VTN2025'!B:I,8,FALSE),"-")</f>
        <v>-</v>
      </c>
      <c r="D1308" s="83">
        <f t="shared" si="22"/>
        <v>15196.01</v>
      </c>
    </row>
    <row r="1309" spans="1:4" ht="16.5" thickBot="1" x14ac:dyDescent="0.3">
      <c r="A1309" s="61" t="s">
        <v>438</v>
      </c>
      <c r="B1309" s="61" t="s">
        <v>433</v>
      </c>
      <c r="C1309" s="82">
        <f>IFERROR(VLOOKUP(B1309,'VTN2025'!B:I,8,FALSE),"-")</f>
        <v>15196.01</v>
      </c>
      <c r="D1309" s="83">
        <f t="shared" si="22"/>
        <v>15196.01</v>
      </c>
    </row>
    <row r="1310" spans="1:4" ht="16.5" thickBot="1" x14ac:dyDescent="0.3">
      <c r="A1310" s="61" t="s">
        <v>438</v>
      </c>
      <c r="B1310" s="61" t="s">
        <v>435</v>
      </c>
      <c r="C1310" s="82" t="str">
        <f>IFERROR(VLOOKUP(B1310,'VTN2025'!B:I,8,FALSE),"-")</f>
        <v>-</v>
      </c>
      <c r="D1310" s="83">
        <f t="shared" si="22"/>
        <v>15196.01</v>
      </c>
    </row>
    <row r="1311" spans="1:4" ht="16.5" thickBot="1" x14ac:dyDescent="0.3">
      <c r="A1311" s="61" t="s">
        <v>368</v>
      </c>
      <c r="B1311" s="61" t="s">
        <v>363</v>
      </c>
      <c r="C1311" s="82">
        <f>IFERROR(VLOOKUP(B1311,'VTN2025'!B:I,8,FALSE),"-")</f>
        <v>25479.37</v>
      </c>
      <c r="D1311" s="83">
        <f t="shared" si="22"/>
        <v>32727.060000000005</v>
      </c>
    </row>
    <row r="1312" spans="1:4" ht="16.5" thickBot="1" x14ac:dyDescent="0.3">
      <c r="A1312" s="61" t="s">
        <v>368</v>
      </c>
      <c r="B1312" s="61" t="s">
        <v>430</v>
      </c>
      <c r="C1312" s="82">
        <f>IFERROR(VLOOKUP(B1312,'VTN2025'!B:I,8,FALSE),"-")</f>
        <v>27850.556666666667</v>
      </c>
      <c r="D1312" s="83">
        <f t="shared" si="22"/>
        <v>32727.060000000005</v>
      </c>
    </row>
    <row r="1313" spans="1:4" ht="16.5" thickBot="1" x14ac:dyDescent="0.3">
      <c r="A1313" s="61" t="s">
        <v>368</v>
      </c>
      <c r="B1313" s="61" t="s">
        <v>541</v>
      </c>
      <c r="C1313" s="82" t="str">
        <f>IFERROR(VLOOKUP(B1313,'VTN2025'!B:I,8,FALSE),"-")</f>
        <v>-</v>
      </c>
      <c r="D1313" s="83">
        <f t="shared" si="22"/>
        <v>32727.060000000005</v>
      </c>
    </row>
    <row r="1314" spans="1:4" ht="16.5" thickBot="1" x14ac:dyDescent="0.3">
      <c r="A1314" s="61" t="s">
        <v>368</v>
      </c>
      <c r="B1314" s="61" t="s">
        <v>470</v>
      </c>
      <c r="C1314" s="82" t="str">
        <f>IFERROR(VLOOKUP(B1314,'VTN2025'!B:I,8,FALSE),"-")</f>
        <v>-</v>
      </c>
      <c r="D1314" s="83">
        <f t="shared" si="22"/>
        <v>32727.060000000005</v>
      </c>
    </row>
    <row r="1315" spans="1:4" ht="16.5" thickBot="1" x14ac:dyDescent="0.3">
      <c r="A1315" s="61" t="s">
        <v>368</v>
      </c>
      <c r="B1315" s="61" t="s">
        <v>511</v>
      </c>
      <c r="C1315" s="82" t="str">
        <f>IFERROR(VLOOKUP(B1315,'VTN2025'!B:I,8,FALSE),"-")</f>
        <v>-</v>
      </c>
      <c r="D1315" s="83">
        <f t="shared" si="22"/>
        <v>32727.060000000005</v>
      </c>
    </row>
    <row r="1316" spans="1:4" ht="16.5" thickBot="1" x14ac:dyDescent="0.3">
      <c r="A1316" s="61" t="s">
        <v>368</v>
      </c>
      <c r="B1316" s="61" t="s">
        <v>366</v>
      </c>
      <c r="C1316" s="82">
        <f>IFERROR(VLOOKUP(B1316,'VTN2025'!B:I,8,FALSE),"-")</f>
        <v>64897.67333333334</v>
      </c>
      <c r="D1316" s="83">
        <f t="shared" si="22"/>
        <v>32727.060000000005</v>
      </c>
    </row>
    <row r="1317" spans="1:4" ht="16.5" thickBot="1" x14ac:dyDescent="0.3">
      <c r="A1317" s="61" t="s">
        <v>368</v>
      </c>
      <c r="B1317" s="61" t="s">
        <v>367</v>
      </c>
      <c r="C1317" s="82">
        <f>IFERROR(VLOOKUP(B1317,'VTN2025'!B:I,8,FALSE),"-")</f>
        <v>21065.23</v>
      </c>
      <c r="D1317" s="83">
        <f t="shared" si="22"/>
        <v>32727.060000000005</v>
      </c>
    </row>
    <row r="1318" spans="1:4" ht="16.5" thickBot="1" x14ac:dyDescent="0.3">
      <c r="A1318" s="61" t="s">
        <v>368</v>
      </c>
      <c r="B1318" s="61" t="s">
        <v>487</v>
      </c>
      <c r="C1318" s="82">
        <f>IFERROR(VLOOKUP(B1318,'VTN2025'!B:I,8,FALSE),"-")</f>
        <v>24342.469999999998</v>
      </c>
      <c r="D1318" s="83">
        <f t="shared" si="22"/>
        <v>32727.060000000005</v>
      </c>
    </row>
    <row r="1319" spans="1:4" ht="16.5" thickBot="1" x14ac:dyDescent="0.3">
      <c r="A1319" s="61" t="s">
        <v>547</v>
      </c>
      <c r="B1319" s="61" t="s">
        <v>544</v>
      </c>
      <c r="C1319" s="82">
        <f>IFERROR(VLOOKUP(B1319,'VTN2025'!B:I,8,FALSE),"-")</f>
        <v>7535.7266666666665</v>
      </c>
      <c r="D1319" s="83">
        <f t="shared" si="22"/>
        <v>6207.4169999999995</v>
      </c>
    </row>
    <row r="1320" spans="1:4" ht="16.5" thickBot="1" x14ac:dyDescent="0.3">
      <c r="A1320" s="61" t="s">
        <v>547</v>
      </c>
      <c r="B1320" s="61" t="s">
        <v>411</v>
      </c>
      <c r="C1320" s="82">
        <f>IFERROR(VLOOKUP(B1320,'VTN2025'!B:I,8,FALSE),"-")</f>
        <v>5786.45</v>
      </c>
      <c r="D1320" s="83">
        <f t="shared" si="22"/>
        <v>6207.4169999999995</v>
      </c>
    </row>
    <row r="1321" spans="1:4" ht="16.5" thickBot="1" x14ac:dyDescent="0.3">
      <c r="A1321" s="61" t="s">
        <v>547</v>
      </c>
      <c r="B1321" s="61" t="s">
        <v>545</v>
      </c>
      <c r="C1321" s="82">
        <f>IFERROR(VLOOKUP(B1321,'VTN2025'!B:I,8,FALSE),"-")</f>
        <v>3866.8183333333332</v>
      </c>
      <c r="D1321" s="83">
        <f t="shared" si="22"/>
        <v>6207.4169999999995</v>
      </c>
    </row>
    <row r="1322" spans="1:4" ht="16.5" thickBot="1" x14ac:dyDescent="0.3">
      <c r="A1322" s="61" t="s">
        <v>547</v>
      </c>
      <c r="B1322" s="61" t="s">
        <v>630</v>
      </c>
      <c r="C1322" s="82">
        <f>IFERROR(VLOOKUP(B1322,'VTN2025'!B:I,8,FALSE),"-")</f>
        <v>7275.9333333333343</v>
      </c>
      <c r="D1322" s="83">
        <f t="shared" si="22"/>
        <v>6207.4169999999995</v>
      </c>
    </row>
    <row r="1323" spans="1:4" ht="16.5" thickBot="1" x14ac:dyDescent="0.3">
      <c r="A1323" s="61" t="s">
        <v>547</v>
      </c>
      <c r="B1323" s="61" t="s">
        <v>420</v>
      </c>
      <c r="C1323" s="82">
        <f>IFERROR(VLOOKUP(B1323,'VTN2025'!B:I,8,FALSE),"-")</f>
        <v>6572.1566666666668</v>
      </c>
      <c r="D1323" s="83">
        <f t="shared" si="22"/>
        <v>6207.4169999999995</v>
      </c>
    </row>
    <row r="1324" spans="1:4" ht="16.5" thickBot="1" x14ac:dyDescent="0.3">
      <c r="A1324" s="61" t="s">
        <v>547</v>
      </c>
      <c r="B1324" s="61" t="s">
        <v>597</v>
      </c>
      <c r="C1324" s="82" t="str">
        <f>IFERROR(VLOOKUP(B1324,'VTN2025'!B:I,8,FALSE),"-")</f>
        <v>-</v>
      </c>
      <c r="D1324" s="83">
        <f t="shared" si="22"/>
        <v>6207.4169999999995</v>
      </c>
    </row>
    <row r="1325" spans="1:4" ht="16.5" thickBot="1" x14ac:dyDescent="0.3">
      <c r="A1325" s="61" t="s">
        <v>573</v>
      </c>
      <c r="B1325" s="61" t="s">
        <v>549</v>
      </c>
      <c r="C1325" s="82">
        <f>IFERROR(VLOOKUP(B1325,'VTN2025'!B:I,8,FALSE),"-")</f>
        <v>21583.333333333332</v>
      </c>
      <c r="D1325" s="83">
        <f t="shared" si="22"/>
        <v>21583.333333333332</v>
      </c>
    </row>
    <row r="1326" spans="1:4" ht="16.5" thickBot="1" x14ac:dyDescent="0.3">
      <c r="A1326" s="61" t="s">
        <v>573</v>
      </c>
      <c r="B1326" s="61" t="s">
        <v>638</v>
      </c>
      <c r="C1326" s="82" t="str">
        <f>IFERROR(VLOOKUP(B1326,'VTN2025'!B:I,8,FALSE),"-")</f>
        <v>-</v>
      </c>
      <c r="D1326" s="83">
        <f t="shared" si="22"/>
        <v>21583.333333333332</v>
      </c>
    </row>
    <row r="1327" spans="1:4" ht="16.5" thickBot="1" x14ac:dyDescent="0.3">
      <c r="A1327" s="61" t="s">
        <v>573</v>
      </c>
      <c r="B1327" s="61" t="s">
        <v>571</v>
      </c>
      <c r="C1327" s="82" t="str">
        <f>IFERROR(VLOOKUP(B1327,'VTN2025'!B:I,8,FALSE),"-")</f>
        <v>-</v>
      </c>
      <c r="D1327" s="83">
        <f t="shared" si="22"/>
        <v>21583.333333333332</v>
      </c>
    </row>
    <row r="1328" spans="1:4" ht="16.5" thickBot="1" x14ac:dyDescent="0.3">
      <c r="A1328" s="61" t="s">
        <v>573</v>
      </c>
      <c r="B1328" s="61" t="s">
        <v>572</v>
      </c>
      <c r="C1328" s="82" t="str">
        <f>IFERROR(VLOOKUP(B1328,'VTN2025'!B:I,8,FALSE),"-")</f>
        <v>-</v>
      </c>
      <c r="D1328" s="83">
        <f t="shared" si="22"/>
        <v>21583.333333333332</v>
      </c>
    </row>
    <row r="1329" spans="1:4" ht="16.5" thickBot="1" x14ac:dyDescent="0.3">
      <c r="A1329" s="61" t="s">
        <v>383</v>
      </c>
      <c r="B1329" s="61" t="s">
        <v>376</v>
      </c>
      <c r="C1329" s="82">
        <f>IFERROR(VLOOKUP(B1329,'VTN2025'!B:I,8,FALSE),"-")</f>
        <v>25844.203333333338</v>
      </c>
      <c r="D1329" s="83">
        <f t="shared" si="22"/>
        <v>31535.804666666671</v>
      </c>
    </row>
    <row r="1330" spans="1:4" ht="16.5" thickBot="1" x14ac:dyDescent="0.3">
      <c r="A1330" s="61" t="s">
        <v>383</v>
      </c>
      <c r="B1330" s="61" t="s">
        <v>377</v>
      </c>
      <c r="C1330" s="82">
        <f>IFERROR(VLOOKUP(B1330,'VTN2025'!B:I,8,FALSE),"-")</f>
        <v>36128.400000000001</v>
      </c>
      <c r="D1330" s="83">
        <f t="shared" si="22"/>
        <v>31535.804666666671</v>
      </c>
    </row>
    <row r="1331" spans="1:4" ht="16.5" thickBot="1" x14ac:dyDescent="0.3">
      <c r="A1331" s="61" t="s">
        <v>383</v>
      </c>
      <c r="B1331" s="61" t="s">
        <v>566</v>
      </c>
      <c r="C1331" s="82">
        <f>IFERROR(VLOOKUP(B1331,'VTN2025'!B:I,8,FALSE),"-")</f>
        <v>51652.889999999992</v>
      </c>
      <c r="D1331" s="83">
        <f t="shared" si="22"/>
        <v>31535.804666666671</v>
      </c>
    </row>
    <row r="1332" spans="1:4" ht="16.5" thickBot="1" x14ac:dyDescent="0.3">
      <c r="A1332" s="61" t="s">
        <v>383</v>
      </c>
      <c r="B1332" s="61" t="s">
        <v>567</v>
      </c>
      <c r="C1332" s="82">
        <f>IFERROR(VLOOKUP(B1332,'VTN2025'!B:I,8,FALSE),"-")</f>
        <v>23927.636666666669</v>
      </c>
      <c r="D1332" s="83">
        <f t="shared" si="22"/>
        <v>31535.804666666671</v>
      </c>
    </row>
    <row r="1333" spans="1:4" ht="16.5" thickBot="1" x14ac:dyDescent="0.3">
      <c r="A1333" s="61" t="s">
        <v>383</v>
      </c>
      <c r="B1333" s="61" t="s">
        <v>381</v>
      </c>
      <c r="C1333" s="82">
        <f>IFERROR(VLOOKUP(B1333,'VTN2025'!B:I,8,FALSE),"-")</f>
        <v>20125.893333333333</v>
      </c>
      <c r="D1333" s="83">
        <f t="shared" si="22"/>
        <v>31535.804666666671</v>
      </c>
    </row>
    <row r="1334" spans="1:4" ht="16.5" thickBot="1" x14ac:dyDescent="0.3">
      <c r="A1334" s="61" t="s">
        <v>389</v>
      </c>
      <c r="B1334" s="61" t="s">
        <v>384</v>
      </c>
      <c r="C1334" s="82">
        <f>IFERROR(VLOOKUP(B1334,'VTN2025'!B:I,8,FALSE),"-")</f>
        <v>22678.789999999997</v>
      </c>
      <c r="D1334" s="83">
        <f t="shared" si="22"/>
        <v>22903.724999999999</v>
      </c>
    </row>
    <row r="1335" spans="1:4" ht="16.5" thickBot="1" x14ac:dyDescent="0.3">
      <c r="A1335" s="61" t="s">
        <v>389</v>
      </c>
      <c r="B1335" s="61" t="s">
        <v>385</v>
      </c>
      <c r="C1335" s="82">
        <f>IFERROR(VLOOKUP(B1335,'VTN2025'!B:I,8,FALSE),"-")</f>
        <v>27247.318333333333</v>
      </c>
      <c r="D1335" s="83">
        <f t="shared" si="22"/>
        <v>22903.724999999999</v>
      </c>
    </row>
    <row r="1336" spans="1:4" ht="16.5" thickBot="1" x14ac:dyDescent="0.3">
      <c r="A1336" s="61" t="s">
        <v>389</v>
      </c>
      <c r="B1336" s="61" t="s">
        <v>484</v>
      </c>
      <c r="C1336" s="82">
        <f>IFERROR(VLOOKUP(B1336,'VTN2025'!B:I,8,FALSE),"-")</f>
        <v>26491.596666666665</v>
      </c>
      <c r="D1336" s="83">
        <f t="shared" si="22"/>
        <v>22903.724999999999</v>
      </c>
    </row>
    <row r="1337" spans="1:4" ht="16.5" thickBot="1" x14ac:dyDescent="0.3">
      <c r="A1337" s="61" t="s">
        <v>389</v>
      </c>
      <c r="B1337" s="61" t="s">
        <v>431</v>
      </c>
      <c r="C1337" s="82" t="str">
        <f>IFERROR(VLOOKUP(B1337,'VTN2025'!B:I,8,FALSE),"-")</f>
        <v>-</v>
      </c>
      <c r="D1337" s="83">
        <f t="shared" si="22"/>
        <v>22903.724999999999</v>
      </c>
    </row>
    <row r="1338" spans="1:4" ht="16.5" thickBot="1" x14ac:dyDescent="0.3">
      <c r="A1338" s="61" t="s">
        <v>389</v>
      </c>
      <c r="B1338" s="61" t="s">
        <v>542</v>
      </c>
      <c r="C1338" s="82">
        <f>IFERROR(VLOOKUP(B1338,'VTN2025'!B:I,8,FALSE),"-")</f>
        <v>19695.2</v>
      </c>
      <c r="D1338" s="83">
        <f t="shared" si="22"/>
        <v>22903.724999999999</v>
      </c>
    </row>
    <row r="1339" spans="1:4" ht="16.5" thickBot="1" x14ac:dyDescent="0.3">
      <c r="A1339" s="61" t="s">
        <v>389</v>
      </c>
      <c r="B1339" s="61" t="s">
        <v>600</v>
      </c>
      <c r="C1339" s="82" t="str">
        <f>IFERROR(VLOOKUP(B1339,'VTN2025'!B:I,8,FALSE),"-")</f>
        <v>-</v>
      </c>
      <c r="D1339" s="83">
        <f t="shared" si="22"/>
        <v>22903.724999999999</v>
      </c>
    </row>
    <row r="1340" spans="1:4" ht="16.5" thickBot="1" x14ac:dyDescent="0.3">
      <c r="A1340" s="61" t="s">
        <v>389</v>
      </c>
      <c r="B1340" s="61" t="s">
        <v>388</v>
      </c>
      <c r="C1340" s="82">
        <f>IFERROR(VLOOKUP(B1340,'VTN2025'!B:I,8,FALSE),"-")</f>
        <v>18405.719999999998</v>
      </c>
      <c r="D1340" s="83">
        <f t="shared" si="22"/>
        <v>22903.724999999999</v>
      </c>
    </row>
    <row r="1341" spans="1:4" ht="16.5" thickBot="1" x14ac:dyDescent="0.3">
      <c r="A1341" s="61" t="s">
        <v>421</v>
      </c>
      <c r="B1341" s="61" t="s">
        <v>416</v>
      </c>
      <c r="C1341" s="82">
        <f>IFERROR(VLOOKUP(B1341,'VTN2025'!B:I,8,FALSE),"-")</f>
        <v>6217.8816666666653</v>
      </c>
      <c r="D1341" s="83">
        <f t="shared" si="22"/>
        <v>7816.4274999999989</v>
      </c>
    </row>
    <row r="1342" spans="1:4" ht="16.5" thickBot="1" x14ac:dyDescent="0.3">
      <c r="A1342" s="61" t="s">
        <v>421</v>
      </c>
      <c r="B1342" s="61" t="s">
        <v>462</v>
      </c>
      <c r="C1342" s="82">
        <f>IFERROR(VLOOKUP(B1342,'VTN2025'!B:I,8,FALSE),"-")</f>
        <v>5157.7650000000003</v>
      </c>
      <c r="D1342" s="83">
        <f t="shared" si="22"/>
        <v>7816.4274999999989</v>
      </c>
    </row>
    <row r="1343" spans="1:4" ht="16.5" thickBot="1" x14ac:dyDescent="0.3">
      <c r="A1343" s="61" t="s">
        <v>421</v>
      </c>
      <c r="B1343" s="61" t="s">
        <v>398</v>
      </c>
      <c r="C1343" s="82">
        <f>IFERROR(VLOOKUP(B1343,'VTN2025'!B:I,8,FALSE),"-")</f>
        <v>7540.8016666666672</v>
      </c>
      <c r="D1343" s="83">
        <f t="shared" si="22"/>
        <v>7816.4274999999989</v>
      </c>
    </row>
    <row r="1344" spans="1:4" ht="16.5" thickBot="1" x14ac:dyDescent="0.3">
      <c r="A1344" s="61" t="s">
        <v>421</v>
      </c>
      <c r="B1344" s="61" t="s">
        <v>418</v>
      </c>
      <c r="C1344" s="82">
        <f>IFERROR(VLOOKUP(B1344,'VTN2025'!B:I,8,FALSE),"-")</f>
        <v>12782.788333333332</v>
      </c>
      <c r="D1344" s="83">
        <f t="shared" si="22"/>
        <v>7816.4274999999989</v>
      </c>
    </row>
    <row r="1345" spans="1:4" ht="16.5" thickBot="1" x14ac:dyDescent="0.3">
      <c r="A1345" s="61" t="s">
        <v>421</v>
      </c>
      <c r="B1345" s="61" t="s">
        <v>480</v>
      </c>
      <c r="C1345" s="82">
        <f>IFERROR(VLOOKUP(B1345,'VTN2025'!B:I,8,FALSE),"-")</f>
        <v>5938.1066666666666</v>
      </c>
      <c r="D1345" s="83">
        <f t="shared" si="22"/>
        <v>7816.4274999999989</v>
      </c>
    </row>
    <row r="1346" spans="1:4" ht="16.5" thickBot="1" x14ac:dyDescent="0.3">
      <c r="A1346" s="61" t="s">
        <v>421</v>
      </c>
      <c r="B1346" s="61" t="s">
        <v>559</v>
      </c>
      <c r="C1346" s="82">
        <f>IFERROR(VLOOKUP(B1346,'VTN2025'!B:I,8,FALSE),"-")</f>
        <v>9261.2216666666664</v>
      </c>
      <c r="D1346" s="83">
        <f t="shared" si="22"/>
        <v>7816.4274999999989</v>
      </c>
    </row>
    <row r="1347" spans="1:4" ht="16.5" thickBot="1" x14ac:dyDescent="0.3">
      <c r="A1347" s="61" t="s">
        <v>565</v>
      </c>
      <c r="B1347" s="61" t="s">
        <v>560</v>
      </c>
      <c r="C1347" s="82" t="str">
        <f>IFERROR(VLOOKUP(B1347,'VTN2025'!B:I,8,FALSE),"-")</f>
        <v>-</v>
      </c>
      <c r="D1347" s="83">
        <f t="shared" si="22"/>
        <v>22187.0625</v>
      </c>
    </row>
    <row r="1348" spans="1:4" ht="16.5" thickBot="1" x14ac:dyDescent="0.3">
      <c r="A1348" s="61" t="s">
        <v>565</v>
      </c>
      <c r="B1348" s="61" t="s">
        <v>607</v>
      </c>
      <c r="C1348" s="82" t="str">
        <f>IFERROR(VLOOKUP(B1348,'VTN2025'!B:I,8,FALSE),"-")</f>
        <v>-</v>
      </c>
      <c r="D1348" s="83">
        <f t="shared" si="22"/>
        <v>22187.0625</v>
      </c>
    </row>
    <row r="1349" spans="1:4" ht="16.5" thickBot="1" x14ac:dyDescent="0.3">
      <c r="A1349" s="61" t="s">
        <v>565</v>
      </c>
      <c r="B1349" s="61" t="s">
        <v>423</v>
      </c>
      <c r="C1349" s="82">
        <f>IFERROR(VLOOKUP(B1349,'VTN2025'!B:I,8,FALSE),"-")</f>
        <v>28687.101666666669</v>
      </c>
      <c r="D1349" s="83">
        <f t="shared" si="22"/>
        <v>22187.0625</v>
      </c>
    </row>
    <row r="1350" spans="1:4" ht="16.5" thickBot="1" x14ac:dyDescent="0.3">
      <c r="A1350" s="61" t="s">
        <v>565</v>
      </c>
      <c r="B1350" s="61" t="s">
        <v>615</v>
      </c>
      <c r="C1350" s="82">
        <f>IFERROR(VLOOKUP(B1350,'VTN2025'!B:I,8,FALSE),"-")</f>
        <v>33057.858333333337</v>
      </c>
      <c r="D1350" s="83">
        <f t="shared" si="22"/>
        <v>22187.0625</v>
      </c>
    </row>
    <row r="1351" spans="1:4" ht="16.5" thickBot="1" x14ac:dyDescent="0.3">
      <c r="A1351" s="61" t="s">
        <v>565</v>
      </c>
      <c r="B1351" s="61" t="s">
        <v>562</v>
      </c>
      <c r="C1351" s="82">
        <f>IFERROR(VLOOKUP(B1351,'VTN2025'!B:I,8,FALSE),"-")</f>
        <v>10493.316666666666</v>
      </c>
      <c r="D1351" s="83">
        <f t="shared" si="22"/>
        <v>22187.0625</v>
      </c>
    </row>
    <row r="1352" spans="1:4" ht="16.5" thickBot="1" x14ac:dyDescent="0.3">
      <c r="A1352" s="61" t="s">
        <v>565</v>
      </c>
      <c r="B1352" s="61" t="s">
        <v>604</v>
      </c>
      <c r="C1352" s="82">
        <f>IFERROR(VLOOKUP(B1352,'VTN2025'!B:I,8,FALSE),"-")</f>
        <v>16509.973333333332</v>
      </c>
      <c r="D1352" s="83">
        <f t="shared" si="22"/>
        <v>22187.0625</v>
      </c>
    </row>
    <row r="1353" spans="1:4" ht="16.5" thickBot="1" x14ac:dyDescent="0.3">
      <c r="A1353" s="61" t="s">
        <v>565</v>
      </c>
      <c r="B1353" s="61" t="s">
        <v>563</v>
      </c>
      <c r="C1353" s="82" t="str">
        <f>IFERROR(VLOOKUP(B1353,'VTN2025'!B:I,8,FALSE),"-")</f>
        <v>-</v>
      </c>
      <c r="D1353" s="83">
        <f t="shared" si="22"/>
        <v>22187.0625</v>
      </c>
    </row>
    <row r="1354" spans="1:4" ht="16.5" thickBot="1" x14ac:dyDescent="0.3">
      <c r="A1354" s="61" t="s">
        <v>565</v>
      </c>
      <c r="B1354" s="61" t="s">
        <v>626</v>
      </c>
      <c r="C1354" s="82" t="str">
        <f>IFERROR(VLOOKUP(B1354,'VTN2025'!B:I,8,FALSE),"-")</f>
        <v>-</v>
      </c>
      <c r="D1354" s="83">
        <f t="shared" si="22"/>
        <v>22187.0625</v>
      </c>
    </row>
    <row r="1355" spans="1:4" ht="16.5" thickBot="1" x14ac:dyDescent="0.3">
      <c r="A1355" s="61" t="s">
        <v>546</v>
      </c>
      <c r="B1355" s="61" t="s">
        <v>543</v>
      </c>
      <c r="C1355" s="82">
        <f>IFERROR(VLOOKUP(B1355,'VTN2025'!B:I,8,FALSE),"-")</f>
        <v>4987.3499999999995</v>
      </c>
      <c r="D1355" s="83">
        <f t="shared" si="22"/>
        <v>8402.2188888888904</v>
      </c>
    </row>
    <row r="1356" spans="1:4" ht="16.5" thickBot="1" x14ac:dyDescent="0.3">
      <c r="A1356" s="61" t="s">
        <v>546</v>
      </c>
      <c r="B1356" s="61" t="s">
        <v>544</v>
      </c>
      <c r="C1356" s="82">
        <f>IFERROR(VLOOKUP(B1356,'VTN2025'!B:I,8,FALSE),"-")</f>
        <v>7535.7266666666665</v>
      </c>
      <c r="D1356" s="83">
        <f t="shared" si="22"/>
        <v>8402.2188888888904</v>
      </c>
    </row>
    <row r="1357" spans="1:4" ht="16.5" thickBot="1" x14ac:dyDescent="0.3">
      <c r="A1357" s="61" t="s">
        <v>546</v>
      </c>
      <c r="B1357" s="61" t="s">
        <v>611</v>
      </c>
      <c r="C1357" s="82">
        <f>IFERROR(VLOOKUP(B1357,'VTN2025'!B:I,8,FALSE),"-")</f>
        <v>14129.861666666669</v>
      </c>
      <c r="D1357" s="83">
        <f t="shared" si="22"/>
        <v>8402.2188888888904</v>
      </c>
    </row>
    <row r="1358" spans="1:4" ht="16.5" thickBot="1" x14ac:dyDescent="0.3">
      <c r="A1358" s="61" t="s">
        <v>546</v>
      </c>
      <c r="B1358" s="61" t="s">
        <v>404</v>
      </c>
      <c r="C1358" s="82">
        <f>IFERROR(VLOOKUP(B1358,'VTN2025'!B:I,8,FALSE),"-")</f>
        <v>6339.8433333333332</v>
      </c>
      <c r="D1358" s="83">
        <f t="shared" si="22"/>
        <v>8402.2188888888904</v>
      </c>
    </row>
    <row r="1359" spans="1:4" ht="16.5" thickBot="1" x14ac:dyDescent="0.3">
      <c r="A1359" s="61" t="s">
        <v>546</v>
      </c>
      <c r="B1359" s="61" t="s">
        <v>399</v>
      </c>
      <c r="C1359" s="82">
        <f>IFERROR(VLOOKUP(B1359,'VTN2025'!B:I,8,FALSE),"-")</f>
        <v>9128.4416666666675</v>
      </c>
      <c r="D1359" s="83">
        <f t="shared" si="22"/>
        <v>8402.2188888888904</v>
      </c>
    </row>
    <row r="1360" spans="1:4" ht="16.5" thickBot="1" x14ac:dyDescent="0.3">
      <c r="A1360" s="61" t="s">
        <v>546</v>
      </c>
      <c r="B1360" s="61" t="s">
        <v>400</v>
      </c>
      <c r="C1360" s="82" t="str">
        <f>IFERROR(VLOOKUP(B1360,'VTN2025'!B:I,8,FALSE),"-")</f>
        <v>-</v>
      </c>
      <c r="D1360" s="83">
        <f t="shared" si="22"/>
        <v>8402.2188888888904</v>
      </c>
    </row>
    <row r="1361" spans="1:4" ht="16.5" thickBot="1" x14ac:dyDescent="0.3">
      <c r="A1361" s="61" t="s">
        <v>546</v>
      </c>
      <c r="B1361" s="61" t="s">
        <v>492</v>
      </c>
      <c r="C1361" s="82">
        <f>IFERROR(VLOOKUP(B1361,'VTN2025'!B:I,8,FALSE),"-")</f>
        <v>8292.09</v>
      </c>
      <c r="D1361" s="83">
        <f t="shared" si="22"/>
        <v>8402.2188888888904</v>
      </c>
    </row>
    <row r="1362" spans="1:4" ht="16.5" thickBot="1" x14ac:dyDescent="0.3">
      <c r="A1362" s="61" t="s">
        <v>613</v>
      </c>
      <c r="B1362" s="61" t="s">
        <v>536</v>
      </c>
      <c r="C1362" s="82">
        <f>IFERROR(VLOOKUP(B1362,'VTN2025'!B:I,8,FALSE),"-")</f>
        <v>20266.133333333335</v>
      </c>
      <c r="D1362" s="83">
        <f t="shared" si="22"/>
        <v>19068.712500000001</v>
      </c>
    </row>
    <row r="1363" spans="1:4" ht="16.5" thickBot="1" x14ac:dyDescent="0.3">
      <c r="A1363" s="61" t="s">
        <v>613</v>
      </c>
      <c r="B1363" s="61" t="s">
        <v>612</v>
      </c>
      <c r="C1363" s="82" t="str">
        <f>IFERROR(VLOOKUP(B1363,'VTN2025'!B:I,8,FALSE),"-")</f>
        <v>-</v>
      </c>
      <c r="D1363" s="83">
        <f t="shared" si="22"/>
        <v>19068.712500000001</v>
      </c>
    </row>
    <row r="1364" spans="1:4" ht="16.5" thickBot="1" x14ac:dyDescent="0.3">
      <c r="A1364" s="61" t="s">
        <v>613</v>
      </c>
      <c r="B1364" s="61" t="s">
        <v>538</v>
      </c>
      <c r="C1364" s="82">
        <f>IFERROR(VLOOKUP(B1364,'VTN2025'!B:I,8,FALSE),"-")</f>
        <v>17871.291666666664</v>
      </c>
      <c r="D1364" s="83">
        <f t="shared" si="22"/>
        <v>19068.712500000001</v>
      </c>
    </row>
    <row r="1365" spans="1:4" ht="16.5" thickBot="1" x14ac:dyDescent="0.3">
      <c r="A1365" s="61" t="s">
        <v>583</v>
      </c>
      <c r="B1365" s="61" t="s">
        <v>581</v>
      </c>
      <c r="C1365" s="82" t="str">
        <f>IFERROR(VLOOKUP(B1365,'VTN2025'!B:I,8,FALSE),"-")</f>
        <v>-</v>
      </c>
      <c r="D1365" s="83">
        <f t="shared" si="22"/>
        <v>8946.5783333333347</v>
      </c>
    </row>
    <row r="1366" spans="1:4" ht="16.5" thickBot="1" x14ac:dyDescent="0.3">
      <c r="A1366" s="61" t="s">
        <v>583</v>
      </c>
      <c r="B1366" s="61" t="s">
        <v>390</v>
      </c>
      <c r="C1366" s="82">
        <f>IFERROR(VLOOKUP(B1366,'VTN2025'!B:I,8,FALSE),"-")</f>
        <v>8946.5783333333347</v>
      </c>
      <c r="D1366" s="83">
        <f t="shared" si="22"/>
        <v>8946.5783333333347</v>
      </c>
    </row>
    <row r="1367" spans="1:4" ht="16.5" thickBot="1" x14ac:dyDescent="0.3">
      <c r="A1367" s="61" t="s">
        <v>583</v>
      </c>
      <c r="B1367" s="61" t="s">
        <v>628</v>
      </c>
      <c r="C1367" s="82" t="str">
        <f>IFERROR(VLOOKUP(B1367,'VTN2025'!B:I,8,FALSE),"-")</f>
        <v>-</v>
      </c>
      <c r="D1367" s="83">
        <f t="shared" si="22"/>
        <v>8946.5783333333347</v>
      </c>
    </row>
    <row r="1368" spans="1:4" ht="16.5" thickBot="1" x14ac:dyDescent="0.3">
      <c r="A1368" s="61" t="s">
        <v>459</v>
      </c>
      <c r="B1368" s="61" t="s">
        <v>365</v>
      </c>
      <c r="C1368" s="82">
        <f>IFERROR(VLOOKUP(B1368,'VTN2025'!B:I,8,FALSE),"-")</f>
        <v>28728.081666666665</v>
      </c>
      <c r="D1368" s="83">
        <f t="shared" si="22"/>
        <v>25588.560000000001</v>
      </c>
    </row>
    <row r="1369" spans="1:4" ht="16.5" thickBot="1" x14ac:dyDescent="0.3">
      <c r="A1369" s="61" t="s">
        <v>459</v>
      </c>
      <c r="B1369" s="61" t="s">
        <v>578</v>
      </c>
      <c r="C1369" s="82">
        <f>IFERROR(VLOOKUP(B1369,'VTN2025'!B:I,8,FALSE),"-")</f>
        <v>27568.820000000003</v>
      </c>
      <c r="D1369" s="83">
        <f t="shared" si="22"/>
        <v>25588.560000000001</v>
      </c>
    </row>
    <row r="1370" spans="1:4" ht="16.5" thickBot="1" x14ac:dyDescent="0.3">
      <c r="A1370" s="61" t="s">
        <v>459</v>
      </c>
      <c r="B1370" s="61" t="s">
        <v>367</v>
      </c>
      <c r="C1370" s="82">
        <f>IFERROR(VLOOKUP(B1370,'VTN2025'!B:I,8,FALSE),"-")</f>
        <v>21065.23</v>
      </c>
      <c r="D1370" s="83">
        <f t="shared" ref="D1370:D1409" si="23">AVERAGEIF($A:$A,A1370,$C:$C)</f>
        <v>25588.560000000001</v>
      </c>
    </row>
    <row r="1371" spans="1:4" ht="16.5" thickBot="1" x14ac:dyDescent="0.3">
      <c r="A1371" s="61" t="s">
        <v>459</v>
      </c>
      <c r="B1371" s="61" t="s">
        <v>440</v>
      </c>
      <c r="C1371" s="82">
        <f>IFERROR(VLOOKUP(B1371,'VTN2025'!B:I,8,FALSE),"-")</f>
        <v>32851.071666666663</v>
      </c>
      <c r="D1371" s="83">
        <f t="shared" si="23"/>
        <v>25588.560000000001</v>
      </c>
    </row>
    <row r="1372" spans="1:4" ht="16.5" thickBot="1" x14ac:dyDescent="0.3">
      <c r="A1372" s="61" t="s">
        <v>459</v>
      </c>
      <c r="B1372" s="61" t="s">
        <v>580</v>
      </c>
      <c r="C1372" s="82">
        <f>IFERROR(VLOOKUP(B1372,'VTN2025'!B:I,8,FALSE),"-")</f>
        <v>17729.596666666665</v>
      </c>
      <c r="D1372" s="83">
        <f t="shared" si="23"/>
        <v>25588.560000000001</v>
      </c>
    </row>
    <row r="1373" spans="1:4" ht="16.5" thickBot="1" x14ac:dyDescent="0.3">
      <c r="A1373" s="61" t="s">
        <v>588</v>
      </c>
      <c r="B1373" s="61" t="s">
        <v>495</v>
      </c>
      <c r="C1373" s="82">
        <f>IFERROR(VLOOKUP(B1373,'VTN2025'!B:I,8,FALSE),"-")</f>
        <v>26078.190000000002</v>
      </c>
      <c r="D1373" s="83">
        <f t="shared" si="23"/>
        <v>19873.642499999998</v>
      </c>
    </row>
    <row r="1374" spans="1:4" ht="16.5" thickBot="1" x14ac:dyDescent="0.3">
      <c r="A1374" s="61" t="s">
        <v>588</v>
      </c>
      <c r="B1374" s="61" t="s">
        <v>612</v>
      </c>
      <c r="C1374" s="82" t="str">
        <f>IFERROR(VLOOKUP(B1374,'VTN2025'!B:I,8,FALSE),"-")</f>
        <v>-</v>
      </c>
      <c r="D1374" s="83">
        <f t="shared" si="23"/>
        <v>19873.642499999998</v>
      </c>
    </row>
    <row r="1375" spans="1:4" ht="16.5" thickBot="1" x14ac:dyDescent="0.3">
      <c r="A1375" s="61" t="s">
        <v>588</v>
      </c>
      <c r="B1375" s="61" t="s">
        <v>538</v>
      </c>
      <c r="C1375" s="82">
        <f>IFERROR(VLOOKUP(B1375,'VTN2025'!B:I,8,FALSE),"-")</f>
        <v>17871.291666666664</v>
      </c>
      <c r="D1375" s="83">
        <f t="shared" si="23"/>
        <v>19873.642499999998</v>
      </c>
    </row>
    <row r="1376" spans="1:4" ht="16.5" thickBot="1" x14ac:dyDescent="0.3">
      <c r="A1376" s="61" t="s">
        <v>588</v>
      </c>
      <c r="B1376" s="61" t="s">
        <v>375</v>
      </c>
      <c r="C1376" s="82">
        <f>IFERROR(VLOOKUP(B1376,'VTN2025'!B:I,8,FALSE),"-")</f>
        <v>20521.601666666666</v>
      </c>
      <c r="D1376" s="83">
        <f t="shared" si="23"/>
        <v>19873.642499999998</v>
      </c>
    </row>
    <row r="1377" spans="1:4" ht="16.5" thickBot="1" x14ac:dyDescent="0.3">
      <c r="A1377" s="61" t="s">
        <v>588</v>
      </c>
      <c r="B1377" s="61" t="s">
        <v>497</v>
      </c>
      <c r="C1377" s="82">
        <f>IFERROR(VLOOKUP(B1377,'VTN2025'!B:I,8,FALSE),"-")</f>
        <v>15023.486666666666</v>
      </c>
      <c r="D1377" s="83">
        <f t="shared" si="23"/>
        <v>19873.642499999998</v>
      </c>
    </row>
    <row r="1378" spans="1:4" ht="16.5" thickBot="1" x14ac:dyDescent="0.3">
      <c r="A1378" s="61" t="s">
        <v>595</v>
      </c>
      <c r="B1378" s="61" t="s">
        <v>579</v>
      </c>
      <c r="C1378" s="82" t="str">
        <f>IFERROR(VLOOKUP(B1378,'VTN2025'!B:I,8,FALSE),"-")</f>
        <v>-</v>
      </c>
      <c r="D1378" s="83">
        <f t="shared" si="23"/>
        <v>31125.724666666665</v>
      </c>
    </row>
    <row r="1379" spans="1:4" ht="16.5" thickBot="1" x14ac:dyDescent="0.3">
      <c r="A1379" s="61" t="s">
        <v>595</v>
      </c>
      <c r="B1379" s="61" t="s">
        <v>377</v>
      </c>
      <c r="C1379" s="82">
        <f>IFERROR(VLOOKUP(B1379,'VTN2025'!B:I,8,FALSE),"-")</f>
        <v>36128.400000000001</v>
      </c>
      <c r="D1379" s="83">
        <f t="shared" si="23"/>
        <v>31125.724666666665</v>
      </c>
    </row>
    <row r="1380" spans="1:4" ht="16.5" thickBot="1" x14ac:dyDescent="0.3">
      <c r="A1380" s="61" t="s">
        <v>595</v>
      </c>
      <c r="B1380" s="61" t="s">
        <v>500</v>
      </c>
      <c r="C1380" s="82">
        <f>IFERROR(VLOOKUP(B1380,'VTN2025'!B:I,8,FALSE),"-")</f>
        <v>34286.04833333334</v>
      </c>
      <c r="D1380" s="83">
        <f t="shared" si="23"/>
        <v>31125.724666666665</v>
      </c>
    </row>
    <row r="1381" spans="1:4" ht="16.5" thickBot="1" x14ac:dyDescent="0.3">
      <c r="A1381" s="61" t="s">
        <v>595</v>
      </c>
      <c r="B1381" s="61" t="s">
        <v>393</v>
      </c>
      <c r="C1381" s="82">
        <f>IFERROR(VLOOKUP(B1381,'VTN2025'!B:I,8,FALSE),"-")</f>
        <v>28203.205000000002</v>
      </c>
      <c r="D1381" s="83">
        <f t="shared" si="23"/>
        <v>31125.724666666665</v>
      </c>
    </row>
    <row r="1382" spans="1:4" ht="16.5" thickBot="1" x14ac:dyDescent="0.3">
      <c r="A1382" s="61" t="s">
        <v>595</v>
      </c>
      <c r="B1382" s="61" t="s">
        <v>395</v>
      </c>
      <c r="C1382" s="82">
        <f>IFERROR(VLOOKUP(B1382,'VTN2025'!B:I,8,FALSE),"-")</f>
        <v>33083.333333333336</v>
      </c>
      <c r="D1382" s="83">
        <f t="shared" si="23"/>
        <v>31125.724666666665</v>
      </c>
    </row>
    <row r="1383" spans="1:4" ht="16.5" thickBot="1" x14ac:dyDescent="0.3">
      <c r="A1383" s="61" t="s">
        <v>595</v>
      </c>
      <c r="B1383" s="61" t="s">
        <v>567</v>
      </c>
      <c r="C1383" s="82">
        <f>IFERROR(VLOOKUP(B1383,'VTN2025'!B:I,8,FALSE),"-")</f>
        <v>23927.636666666669</v>
      </c>
      <c r="D1383" s="83">
        <f t="shared" si="23"/>
        <v>31125.724666666665</v>
      </c>
    </row>
    <row r="1384" spans="1:4" ht="16.5" thickBot="1" x14ac:dyDescent="0.3">
      <c r="A1384" s="61" t="s">
        <v>601</v>
      </c>
      <c r="B1384" s="61" t="s">
        <v>526</v>
      </c>
      <c r="C1384" s="82" t="str">
        <f>IFERROR(VLOOKUP(B1384,'VTN2025'!B:I,8,FALSE),"-")</f>
        <v>-</v>
      </c>
      <c r="D1384" s="83">
        <f t="shared" si="23"/>
        <v>11814.341666666667</v>
      </c>
    </row>
    <row r="1385" spans="1:4" ht="16.5" thickBot="1" x14ac:dyDescent="0.3">
      <c r="A1385" s="61" t="s">
        <v>601</v>
      </c>
      <c r="B1385" s="61" t="s">
        <v>410</v>
      </c>
      <c r="C1385" s="82">
        <f>IFERROR(VLOOKUP(B1385,'VTN2025'!B:I,8,FALSE),"-")</f>
        <v>8049.333333333333</v>
      </c>
      <c r="D1385" s="83">
        <f t="shared" si="23"/>
        <v>11814.341666666667</v>
      </c>
    </row>
    <row r="1386" spans="1:4" ht="16.5" thickBot="1" x14ac:dyDescent="0.3">
      <c r="A1386" s="61" t="s">
        <v>601</v>
      </c>
      <c r="B1386" s="61" t="s">
        <v>527</v>
      </c>
      <c r="C1386" s="82">
        <f>IFERROR(VLOOKUP(B1386,'VTN2025'!B:I,8,FALSE),"-")</f>
        <v>15579.35</v>
      </c>
      <c r="D1386" s="83">
        <f t="shared" si="23"/>
        <v>11814.341666666667</v>
      </c>
    </row>
    <row r="1387" spans="1:4" ht="16.5" thickBot="1" x14ac:dyDescent="0.3">
      <c r="A1387" s="61" t="s">
        <v>493</v>
      </c>
      <c r="B1387" s="61" t="s">
        <v>490</v>
      </c>
      <c r="C1387" s="82">
        <f>IFERROR(VLOOKUP(B1387,'VTN2025'!B:I,8,FALSE),"-")</f>
        <v>4688.3266666666668</v>
      </c>
      <c r="D1387" s="83">
        <f t="shared" si="23"/>
        <v>7159.9963888888888</v>
      </c>
    </row>
    <row r="1388" spans="1:4" ht="16.5" thickBot="1" x14ac:dyDescent="0.3">
      <c r="A1388" s="61" t="s">
        <v>493</v>
      </c>
      <c r="B1388" s="61" t="s">
        <v>584</v>
      </c>
      <c r="C1388" s="82">
        <f>IFERROR(VLOOKUP(B1388,'VTN2025'!B:I,8,FALSE),"-")</f>
        <v>6472.4866666666676</v>
      </c>
      <c r="D1388" s="83">
        <f t="shared" si="23"/>
        <v>7159.9963888888888</v>
      </c>
    </row>
    <row r="1389" spans="1:4" ht="16.5" thickBot="1" x14ac:dyDescent="0.3">
      <c r="A1389" s="61" t="s">
        <v>493</v>
      </c>
      <c r="B1389" s="61" t="s">
        <v>491</v>
      </c>
      <c r="C1389" s="82">
        <f>IFERROR(VLOOKUP(B1389,'VTN2025'!B:I,8,FALSE),"-")</f>
        <v>12579.736666666669</v>
      </c>
      <c r="D1389" s="83">
        <f t="shared" si="23"/>
        <v>7159.9963888888888</v>
      </c>
    </row>
    <row r="1390" spans="1:4" ht="16.5" thickBot="1" x14ac:dyDescent="0.3">
      <c r="A1390" s="61" t="s">
        <v>493</v>
      </c>
      <c r="B1390" s="61" t="s">
        <v>629</v>
      </c>
      <c r="C1390" s="82">
        <f>IFERROR(VLOOKUP(B1390,'VTN2025'!B:I,8,FALSE),"-")</f>
        <v>5760.8</v>
      </c>
      <c r="D1390" s="83">
        <f t="shared" si="23"/>
        <v>7159.9963888888888</v>
      </c>
    </row>
    <row r="1391" spans="1:4" ht="16.5" thickBot="1" x14ac:dyDescent="0.3">
      <c r="A1391" s="61" t="s">
        <v>493</v>
      </c>
      <c r="B1391" s="61" t="s">
        <v>404</v>
      </c>
      <c r="C1391" s="82">
        <f>IFERROR(VLOOKUP(B1391,'VTN2025'!B:I,8,FALSE),"-")</f>
        <v>6339.8433333333332</v>
      </c>
      <c r="D1391" s="83">
        <f t="shared" si="23"/>
        <v>7159.9963888888888</v>
      </c>
    </row>
    <row r="1392" spans="1:4" ht="16.5" thickBot="1" x14ac:dyDescent="0.3">
      <c r="A1392" s="61" t="s">
        <v>493</v>
      </c>
      <c r="B1392" s="61" t="s">
        <v>585</v>
      </c>
      <c r="C1392" s="82">
        <f>IFERROR(VLOOKUP(B1392,'VTN2025'!B:I,8,FALSE),"-")</f>
        <v>7118.7849999999999</v>
      </c>
      <c r="D1392" s="83">
        <f t="shared" si="23"/>
        <v>7159.9963888888888</v>
      </c>
    </row>
    <row r="1393" spans="1:4" ht="16.5" thickBot="1" x14ac:dyDescent="0.3">
      <c r="A1393" s="61" t="s">
        <v>493</v>
      </c>
      <c r="B1393" s="61" t="s">
        <v>374</v>
      </c>
      <c r="C1393" s="82" t="str">
        <f>IFERROR(VLOOKUP(B1393,'VTN2025'!B:I,8,FALSE),"-")</f>
        <v>-</v>
      </c>
      <c r="D1393" s="83">
        <f t="shared" si="23"/>
        <v>7159.9963888888888</v>
      </c>
    </row>
    <row r="1394" spans="1:4" ht="16.5" thickBot="1" x14ac:dyDescent="0.3">
      <c r="A1394" s="61" t="s">
        <v>603</v>
      </c>
      <c r="B1394" s="61" t="s">
        <v>582</v>
      </c>
      <c r="C1394" s="82">
        <f>IFERROR(VLOOKUP(B1394,'VTN2025'!B:I,8,FALSE),"-")</f>
        <v>19664.763333333336</v>
      </c>
      <c r="D1394" s="83">
        <f t="shared" si="23"/>
        <v>12827.369166666667</v>
      </c>
    </row>
    <row r="1395" spans="1:4" ht="16.5" thickBot="1" x14ac:dyDescent="0.3">
      <c r="A1395" s="61" t="s">
        <v>603</v>
      </c>
      <c r="B1395" s="61" t="s">
        <v>390</v>
      </c>
      <c r="C1395" s="82">
        <f>IFERROR(VLOOKUP(B1395,'VTN2025'!B:I,8,FALSE),"-")</f>
        <v>8946.5783333333347</v>
      </c>
      <c r="D1395" s="83">
        <f t="shared" si="23"/>
        <v>12827.369166666667</v>
      </c>
    </row>
    <row r="1396" spans="1:4" ht="16.5" thickBot="1" x14ac:dyDescent="0.3">
      <c r="A1396" s="61" t="s">
        <v>603</v>
      </c>
      <c r="B1396" s="61" t="s">
        <v>583</v>
      </c>
      <c r="C1396" s="82" t="str">
        <f>IFERROR(VLOOKUP(B1396,'VTN2025'!B:I,8,FALSE),"-")</f>
        <v>-</v>
      </c>
      <c r="D1396" s="83">
        <f t="shared" si="23"/>
        <v>12827.369166666667</v>
      </c>
    </row>
    <row r="1397" spans="1:4" ht="16.5" thickBot="1" x14ac:dyDescent="0.3">
      <c r="A1397" s="61" t="s">
        <v>603</v>
      </c>
      <c r="B1397" s="61" t="s">
        <v>639</v>
      </c>
      <c r="C1397" s="82" t="str">
        <f>IFERROR(VLOOKUP(B1397,'VTN2025'!B:I,8,FALSE),"-")</f>
        <v>-</v>
      </c>
      <c r="D1397" s="83">
        <f t="shared" si="23"/>
        <v>12827.369166666667</v>
      </c>
    </row>
    <row r="1398" spans="1:4" ht="16.5" thickBot="1" x14ac:dyDescent="0.3">
      <c r="A1398" s="61" t="s">
        <v>603</v>
      </c>
      <c r="B1398" s="61" t="s">
        <v>527</v>
      </c>
      <c r="C1398" s="82">
        <f>IFERROR(VLOOKUP(B1398,'VTN2025'!B:I,8,FALSE),"-")</f>
        <v>15579.35</v>
      </c>
      <c r="D1398" s="83">
        <f t="shared" si="23"/>
        <v>12827.369166666667</v>
      </c>
    </row>
    <row r="1399" spans="1:4" ht="16.5" thickBot="1" x14ac:dyDescent="0.3">
      <c r="A1399" s="61" t="s">
        <v>603</v>
      </c>
      <c r="B1399" s="61" t="s">
        <v>628</v>
      </c>
      <c r="C1399" s="82" t="str">
        <f>IFERROR(VLOOKUP(B1399,'VTN2025'!B:I,8,FALSE),"-")</f>
        <v>-</v>
      </c>
      <c r="D1399" s="83">
        <f t="shared" si="23"/>
        <v>12827.369166666667</v>
      </c>
    </row>
    <row r="1400" spans="1:4" ht="16.5" thickBot="1" x14ac:dyDescent="0.3">
      <c r="A1400" s="61" t="s">
        <v>603</v>
      </c>
      <c r="B1400" s="61" t="s">
        <v>585</v>
      </c>
      <c r="C1400" s="82">
        <f>IFERROR(VLOOKUP(B1400,'VTN2025'!B:I,8,FALSE),"-")</f>
        <v>7118.7849999999999</v>
      </c>
      <c r="D1400" s="83">
        <f t="shared" si="23"/>
        <v>12827.369166666667</v>
      </c>
    </row>
    <row r="1401" spans="1:4" ht="16.5" thickBot="1" x14ac:dyDescent="0.3">
      <c r="A1401" s="61" t="s">
        <v>603</v>
      </c>
      <c r="B1401" s="61" t="s">
        <v>391</v>
      </c>
      <c r="C1401" s="82" t="str">
        <f>IFERROR(VLOOKUP(B1401,'VTN2025'!B:I,8,FALSE),"-")</f>
        <v>-</v>
      </c>
      <c r="D1401" s="83">
        <f t="shared" si="23"/>
        <v>12827.369166666667</v>
      </c>
    </row>
    <row r="1402" spans="1:4" ht="16.5" thickBot="1" x14ac:dyDescent="0.3">
      <c r="A1402" s="61" t="s">
        <v>519</v>
      </c>
      <c r="B1402" s="61" t="s">
        <v>517</v>
      </c>
      <c r="C1402" s="82">
        <f>IFERROR(VLOOKUP(B1402,'VTN2025'!B:I,8,FALSE),"-")</f>
        <v>16961.02</v>
      </c>
      <c r="D1402" s="83">
        <f t="shared" si="23"/>
        <v>19186.853000000003</v>
      </c>
    </row>
    <row r="1403" spans="1:4" ht="16.5" thickBot="1" x14ac:dyDescent="0.3">
      <c r="A1403" s="61" t="s">
        <v>519</v>
      </c>
      <c r="B1403" s="61" t="s">
        <v>518</v>
      </c>
      <c r="C1403" s="82">
        <f>IFERROR(VLOOKUP(B1403,'VTN2025'!B:I,8,FALSE),"-")</f>
        <v>17436.14</v>
      </c>
      <c r="D1403" s="83">
        <f t="shared" si="23"/>
        <v>19186.853000000003</v>
      </c>
    </row>
    <row r="1404" spans="1:4" ht="16.5" thickBot="1" x14ac:dyDescent="0.3">
      <c r="A1404" s="61" t="s">
        <v>519</v>
      </c>
      <c r="B1404" s="61" t="s">
        <v>537</v>
      </c>
      <c r="C1404" s="82">
        <f>IFERROR(VLOOKUP(B1404,'VTN2025'!B:I,8,FALSE),"-")</f>
        <v>22105.100000000002</v>
      </c>
      <c r="D1404" s="83">
        <f t="shared" si="23"/>
        <v>19186.853000000003</v>
      </c>
    </row>
    <row r="1405" spans="1:4" ht="16.5" thickBot="1" x14ac:dyDescent="0.3">
      <c r="A1405" s="61" t="s">
        <v>519</v>
      </c>
      <c r="B1405" s="61" t="s">
        <v>394</v>
      </c>
      <c r="C1405" s="82">
        <f>IFERROR(VLOOKUP(B1405,'VTN2025'!B:I,8,FALSE),"-")</f>
        <v>23441.798333333336</v>
      </c>
      <c r="D1405" s="83">
        <f t="shared" si="23"/>
        <v>19186.853000000003</v>
      </c>
    </row>
    <row r="1406" spans="1:4" ht="16.5" thickBot="1" x14ac:dyDescent="0.3">
      <c r="A1406" s="61" t="s">
        <v>519</v>
      </c>
      <c r="B1406" s="61" t="s">
        <v>539</v>
      </c>
      <c r="C1406" s="82">
        <f>IFERROR(VLOOKUP(B1406,'VTN2025'!B:I,8,FALSE),"-")</f>
        <v>15990.206666666665</v>
      </c>
      <c r="D1406" s="83">
        <f t="shared" si="23"/>
        <v>19186.853000000003</v>
      </c>
    </row>
    <row r="1407" spans="1:4" ht="16.5" thickBot="1" x14ac:dyDescent="0.3">
      <c r="A1407" s="61" t="s">
        <v>586</v>
      </c>
      <c r="B1407" s="61" t="s">
        <v>584</v>
      </c>
      <c r="C1407" s="82">
        <f>IFERROR(VLOOKUP(B1407,'VTN2025'!B:I,8,FALSE),"-")</f>
        <v>6472.4866666666676</v>
      </c>
      <c r="D1407" s="83">
        <f t="shared" si="23"/>
        <v>6795.6358333333337</v>
      </c>
    </row>
    <row r="1408" spans="1:4" ht="16.5" thickBot="1" x14ac:dyDescent="0.3">
      <c r="A1408" s="61" t="s">
        <v>586</v>
      </c>
      <c r="B1408" s="61" t="s">
        <v>585</v>
      </c>
      <c r="C1408" s="82">
        <f>IFERROR(VLOOKUP(B1408,'VTN2025'!B:I,8,FALSE),"-")</f>
        <v>7118.7849999999999</v>
      </c>
      <c r="D1408" s="83">
        <f t="shared" si="23"/>
        <v>6795.6358333333337</v>
      </c>
    </row>
    <row r="1409" spans="1:4" ht="16.5" thickBot="1" x14ac:dyDescent="0.3">
      <c r="A1409" s="61" t="s">
        <v>586</v>
      </c>
      <c r="B1409" s="61" t="s">
        <v>391</v>
      </c>
      <c r="C1409" s="82" t="str">
        <f>IFERROR(VLOOKUP(B1409,'VTN2025'!B:I,8,FALSE),"-")</f>
        <v>-</v>
      </c>
      <c r="D1409" s="83">
        <f t="shared" si="23"/>
        <v>6795.6358333333337</v>
      </c>
    </row>
  </sheetData>
  <sheetProtection algorithmName="SHA-512" hashValue="xTYQGwNZ2jHWpkHm7Tr0a/Arh3qzJrSroREKmTpjnpy/jZy19QQfkmM/W7TVqIirbEPB0ZuQE4F2fmtiBmZJuA==" saltValue="Gz3Dl+0UJsSbHQaRPIFk3w==" spinCount="100000" sheet="1" objects="1" scenarios="1"/>
  <autoFilter ref="A1:E1409" xr:uid="{00000000-0001-0000-0600-000000000000}"/>
  <conditionalFormatting sqref="A1:E1">
    <cfRule type="cellIs" dxfId="0" priority="1" operator="equal">
      <formula>"Ausente"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Planilha6</vt:lpstr>
      <vt:lpstr>Simuladores 1.0</vt:lpstr>
      <vt:lpstr>Calculadora Compensação</vt:lpstr>
      <vt:lpstr>Calculadora Linear</vt:lpstr>
      <vt:lpstr>Fatores</vt:lpstr>
      <vt:lpstr>VTN2025</vt:lpstr>
      <vt:lpstr>Médias2025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Serpa</dc:creator>
  <dc:description/>
  <cp:lastModifiedBy>Paulo Higor Fontoura Moreira</cp:lastModifiedBy>
  <cp:revision>2</cp:revision>
  <cp:lastPrinted>2025-10-30T21:13:17Z</cp:lastPrinted>
  <dcterms:created xsi:type="dcterms:W3CDTF">2025-04-26T12:58:11Z</dcterms:created>
  <dcterms:modified xsi:type="dcterms:W3CDTF">2026-05-08T13:03:07Z</dcterms:modified>
  <dc:language>pt-BR</dc:language>
</cp:coreProperties>
</file>